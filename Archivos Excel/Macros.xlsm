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:\PC Facundo L Pfeffer - Drive Backup\Ingeniería Civil\03 - Investigaciones\01 - Automatización de Diagramas de Interacción\01 - Archivos\ACSAHE\Archivos Excel\"/>
    </mc:Choice>
  </mc:AlternateContent>
  <xr:revisionPtr revIDLastSave="0" documentId="13_ncr:1_{5EB68FBA-BD2E-484E-A304-4DBF96455156}" xr6:coauthVersionLast="47" xr6:coauthVersionMax="47" xr10:uidLastSave="{00000000-0000-0000-0000-000000000000}"/>
  <bookViews>
    <workbookView xWindow="735" yWindow="930" windowWidth="28800" windowHeight="15345" xr2:uid="{6C1792F0-6D7B-40E4-BF39-E06A9BBFB0A4}"/>
  </bookViews>
  <sheets>
    <sheet name="Ingreso de Datos" sheetId="1" r:id="rId1"/>
    <sheet name="Armaduras Pasivas" sheetId="3" r:id="rId2"/>
    <sheet name="Armaduras Activas" sheetId="4" r:id="rId3"/>
    <sheet name="AUX" sheetId="5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8" i="1" l="1"/>
  <c r="A29" i="1" s="1"/>
  <c r="A30" i="1" s="1"/>
  <c r="B5" i="3" l="1"/>
  <c r="D5" i="3"/>
  <c r="C5" i="3"/>
</calcChain>
</file>

<file path=xl/sharedStrings.xml><?xml version="1.0" encoding="utf-8"?>
<sst xmlns="http://schemas.openxmlformats.org/spreadsheetml/2006/main" count="100" uniqueCount="66">
  <si>
    <t>MATERIALES</t>
  </si>
  <si>
    <t>Calidad/Tipo</t>
  </si>
  <si>
    <t>Hormigón Calidad  H -</t>
  </si>
  <si>
    <t>Acero Pasivo Tipo</t>
  </si>
  <si>
    <t>ADN 420</t>
  </si>
  <si>
    <t>Acero Pretensado Tipo</t>
  </si>
  <si>
    <t>Def. efectiva</t>
  </si>
  <si>
    <t>ARMADURAS TRANSVERSALES</t>
  </si>
  <si>
    <t xml:space="preserve"> mediante</t>
  </si>
  <si>
    <t>Estribos</t>
  </si>
  <si>
    <t>GEOMETRÍA DE LA SECCIÓN DE HORMIGÓN</t>
  </si>
  <si>
    <t>Cantidad de contornos convexos</t>
  </si>
  <si>
    <t>Cantidad de Nodos</t>
  </si>
  <si>
    <t>X [cm]</t>
  </si>
  <si>
    <t>Y [cm]</t>
  </si>
  <si>
    <t>ARMADURAS PASIVAS (H°- Armado)</t>
  </si>
  <si>
    <t>Cantidad de barras</t>
  </si>
  <si>
    <t>Barra nº</t>
  </si>
  <si>
    <t>Diámetro [mm]</t>
  </si>
  <si>
    <t>ARMADURAS ACTIVAS (H°- Pretensado)</t>
  </si>
  <si>
    <t>Área [cm²]</t>
  </si>
  <si>
    <t>DISCRETIZACIÓN DE LA SECCIÓN</t>
  </si>
  <si>
    <t>ΔX =</t>
  </si>
  <si>
    <t>cm</t>
  </si>
  <si>
    <t>ΔY =</t>
  </si>
  <si>
    <t>INCLINACIÓN DEL PLANO DE CARGA</t>
  </si>
  <si>
    <r>
      <t xml:space="preserve">Graficar el diagrama de interacción para </t>
    </r>
    <r>
      <rPr>
        <sz val="11"/>
        <color theme="1"/>
        <rFont val="Calibri"/>
        <family val="2"/>
      </rPr>
      <t>λ</t>
    </r>
    <r>
      <rPr>
        <sz val="11"/>
        <color theme="1"/>
        <rFont val="Arial"/>
        <family val="2"/>
      </rPr>
      <t xml:space="preserve"> =</t>
    </r>
  </si>
  <si>
    <t>AL 220</t>
  </si>
  <si>
    <t>ADN 500</t>
  </si>
  <si>
    <t>Propiedades</t>
  </si>
  <si>
    <t>Provisto por Usuario</t>
  </si>
  <si>
    <t>fy: Tensión de Fluencia [MPa]</t>
  </si>
  <si>
    <t>E [Mpa]</t>
  </si>
  <si>
    <t>ARMADURAS PASIVAS</t>
  </si>
  <si>
    <t>BARRAS
1050</t>
  </si>
  <si>
    <t>TRENZAS
C1650</t>
  </si>
  <si>
    <t>TRENZAS
C1900</t>
  </si>
  <si>
    <t>fpy: Tensión de Fluencia [MPa]</t>
  </si>
  <si>
    <t>fpu: Tensión de Rotura [MPa]</t>
  </si>
  <si>
    <t>N</t>
  </si>
  <si>
    <t>K</t>
  </si>
  <si>
    <t>Q</t>
  </si>
  <si>
    <t>ARMADURAS ACTIVAS</t>
  </si>
  <si>
    <t>Trenzas C1900</t>
  </si>
  <si>
    <t>Eps [Mpa]</t>
  </si>
  <si>
    <t>(Recomendado ≈ 5‰)</t>
  </si>
  <si>
    <t>εy: Alargamiento
 de fluencia</t>
  </si>
  <si>
    <t>εu: Alargamiento
de rotura</t>
  </si>
  <si>
    <t>εpu: Alargamiento
de rotura</t>
  </si>
  <si>
    <t>Nodo Nº</t>
  </si>
  <si>
    <t>Contorno</t>
  </si>
  <si>
    <t>Positivo</t>
  </si>
  <si>
    <t>Poligonal</t>
  </si>
  <si>
    <t>Circular</t>
  </si>
  <si>
    <t>Nodo Centroº</t>
  </si>
  <si>
    <t>Radio Interno [cm]</t>
  </si>
  <si>
    <t>Radio Externo [cm]</t>
  </si>
  <si>
    <t>Trapecio Circular</t>
  </si>
  <si>
    <t>Ángulo Inicial [°]</t>
  </si>
  <si>
    <t>Ángulo Final [°]</t>
  </si>
  <si>
    <t>Nodo Centro</t>
  </si>
  <si>
    <t>Los ángulos se definen con respecto al eje x en sentido antihorario</t>
  </si>
  <si>
    <t>Tipo</t>
  </si>
  <si>
    <t>Signo</t>
  </si>
  <si>
    <t xml:space="preserve">
</t>
  </si>
  <si>
    <t>Normal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</si>
</sst>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\ &quot;‰&quot;"/>
    <numFmt numFmtId="165" formatCode="0.0"/>
    <numFmt numFmtId="166" formatCode="0.000"/>
    <numFmt numFmtId="167" formatCode="00\º.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color theme="1"/>
      <name val="Arial"/>
      <family val="2"/>
    </font>
    <font>
      <b/>
      <i/>
      <sz val="11"/>
      <color rgb="FFFF0000"/>
      <name val="Arial"/>
      <family val="2"/>
    </font>
    <font>
      <sz val="11"/>
      <color theme="1"/>
      <name val="Arial"/>
      <family val="2"/>
    </font>
    <font>
      <u/>
      <sz val="11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</font>
    <font>
      <b/>
      <sz val="11"/>
      <color theme="1"/>
      <name val="Arial"/>
      <family val="2"/>
    </font>
    <font>
      <sz val="11"/>
      <color theme="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4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 tint="-0.34998626667073579"/>
      </top>
      <bottom style="thin">
        <color theme="0"/>
      </bottom>
      <diagonal/>
    </border>
    <border>
      <left style="thin">
        <color theme="0"/>
      </left>
      <right/>
      <top style="thin">
        <color theme="0" tint="-0.34998626667073579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05">
    <xf numFmtId="0" fontId="0" fillId="0" borderId="0" xfId="0"/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/>
    </xf>
    <xf numFmtId="166" fontId="4" fillId="2" borderId="0" xfId="0" applyNumberFormat="1" applyFont="1" applyFill="1" applyAlignment="1">
      <alignment horizontal="center"/>
    </xf>
    <xf numFmtId="0" fontId="4" fillId="0" borderId="1" xfId="0" applyFont="1" applyBorder="1" applyAlignment="1">
      <alignment vertical="center"/>
    </xf>
    <xf numFmtId="0" fontId="2" fillId="0" borderId="1" xfId="0" applyFont="1" applyBorder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vertical="center"/>
    </xf>
    <xf numFmtId="0" fontId="6" fillId="0" borderId="1" xfId="0" applyFont="1" applyBorder="1" applyAlignment="1">
      <alignment vertical="center" wrapText="1"/>
    </xf>
    <xf numFmtId="0" fontId="4" fillId="0" borderId="1" xfId="0" applyFont="1" applyBorder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164" fontId="4" fillId="2" borderId="1" xfId="1" applyNumberFormat="1" applyFont="1" applyFill="1" applyBorder="1" applyAlignment="1">
      <alignment horizontal="center" vertical="center"/>
    </xf>
    <xf numFmtId="0" fontId="4" fillId="0" borderId="1" xfId="0" applyFont="1" applyBorder="1"/>
    <xf numFmtId="0" fontId="4" fillId="0" borderId="1" xfId="0" applyFont="1" applyBorder="1" applyAlignment="1">
      <alignment horizontal="center"/>
    </xf>
    <xf numFmtId="165" fontId="4" fillId="2" borderId="1" xfId="0" applyNumberFormat="1" applyFont="1" applyFill="1" applyBorder="1" applyAlignment="1">
      <alignment horizontal="center"/>
    </xf>
    <xf numFmtId="0" fontId="0" fillId="0" borderId="1" xfId="0" applyBorder="1"/>
    <xf numFmtId="0" fontId="0" fillId="2" borderId="1" xfId="0" applyFill="1" applyBorder="1" applyAlignment="1">
      <alignment horizontal="center"/>
    </xf>
    <xf numFmtId="165" fontId="4" fillId="0" borderId="1" xfId="0" applyNumberFormat="1" applyFont="1" applyBorder="1"/>
    <xf numFmtId="167" fontId="4" fillId="2" borderId="1" xfId="0" applyNumberFormat="1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4" fillId="0" borderId="5" xfId="0" applyFont="1" applyBorder="1"/>
    <xf numFmtId="0" fontId="4" fillId="0" borderId="6" xfId="0" applyFont="1" applyBorder="1"/>
    <xf numFmtId="166" fontId="4" fillId="2" borderId="2" xfId="0" applyNumberFormat="1" applyFont="1" applyFill="1" applyBorder="1" applyAlignment="1">
      <alignment horizontal="center"/>
    </xf>
    <xf numFmtId="166" fontId="4" fillId="2" borderId="3" xfId="0" applyNumberFormat="1" applyFont="1" applyFill="1" applyBorder="1" applyAlignment="1">
      <alignment horizontal="center"/>
    </xf>
    <xf numFmtId="166" fontId="4" fillId="2" borderId="4" xfId="0" applyNumberFormat="1" applyFont="1" applyFill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2" xfId="0" applyFont="1" applyBorder="1"/>
    <xf numFmtId="0" fontId="0" fillId="2" borderId="3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10" fontId="4" fillId="3" borderId="1" xfId="1" applyNumberFormat="1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10" fontId="4" fillId="3" borderId="0" xfId="1" applyNumberFormat="1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 wrapText="1"/>
    </xf>
    <xf numFmtId="0" fontId="4" fillId="3" borderId="10" xfId="0" applyFont="1" applyFill="1" applyBorder="1" applyAlignment="1">
      <alignment horizontal="center" vertical="center" wrapText="1"/>
    </xf>
    <xf numFmtId="9" fontId="4" fillId="3" borderId="11" xfId="1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9" fontId="4" fillId="2" borderId="12" xfId="1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center" vertical="center"/>
    </xf>
    <xf numFmtId="0" fontId="4" fillId="3" borderId="17" xfId="0" applyFont="1" applyFill="1" applyBorder="1" applyAlignment="1">
      <alignment horizontal="center" vertical="center"/>
    </xf>
    <xf numFmtId="0" fontId="4" fillId="2" borderId="18" xfId="0" applyFont="1" applyFill="1" applyBorder="1" applyAlignment="1">
      <alignment horizontal="center" vertical="center" wrapText="1"/>
    </xf>
    <xf numFmtId="166" fontId="4" fillId="3" borderId="0" xfId="1" applyNumberFormat="1" applyFont="1" applyFill="1" applyBorder="1" applyAlignment="1">
      <alignment horizontal="center" vertical="center"/>
    </xf>
    <xf numFmtId="0" fontId="4" fillId="3" borderId="19" xfId="0" applyFont="1" applyFill="1" applyBorder="1" applyAlignment="1">
      <alignment horizontal="center" vertical="center" wrapText="1"/>
    </xf>
    <xf numFmtId="10" fontId="4" fillId="3" borderId="20" xfId="1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/>
    </xf>
    <xf numFmtId="0" fontId="4" fillId="3" borderId="24" xfId="0" applyFont="1" applyFill="1" applyBorder="1" applyAlignment="1">
      <alignment horizontal="center" vertical="center"/>
    </xf>
    <xf numFmtId="0" fontId="4" fillId="2" borderId="25" xfId="0" applyFont="1" applyFill="1" applyBorder="1" applyAlignment="1">
      <alignment horizontal="center" vertical="center" wrapText="1"/>
    </xf>
    <xf numFmtId="0" fontId="4" fillId="3" borderId="26" xfId="0" applyFont="1" applyFill="1" applyBorder="1" applyAlignment="1">
      <alignment horizontal="center" vertical="center"/>
    </xf>
    <xf numFmtId="0" fontId="4" fillId="2" borderId="27" xfId="0" applyFont="1" applyFill="1" applyBorder="1" applyAlignment="1">
      <alignment horizontal="center" vertical="center" wrapText="1"/>
    </xf>
    <xf numFmtId="0" fontId="4" fillId="3" borderId="26" xfId="0" applyFont="1" applyFill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/>
    </xf>
    <xf numFmtId="0" fontId="4" fillId="3" borderId="28" xfId="0" applyFont="1" applyFill="1" applyBorder="1" applyAlignment="1">
      <alignment horizontal="center" vertical="center" wrapText="1"/>
    </xf>
    <xf numFmtId="10" fontId="4" fillId="2" borderId="29" xfId="0" applyNumberFormat="1" applyFont="1" applyFill="1" applyBorder="1" applyAlignment="1">
      <alignment horizontal="center" vertical="center"/>
    </xf>
    <xf numFmtId="0" fontId="4" fillId="3" borderId="30" xfId="0" applyFont="1" applyFill="1" applyBorder="1" applyAlignment="1">
      <alignment horizontal="center" vertical="center"/>
    </xf>
    <xf numFmtId="0" fontId="4" fillId="3" borderId="31" xfId="0" applyFont="1" applyFill="1" applyBorder="1" applyAlignment="1">
      <alignment horizontal="center" vertical="center"/>
    </xf>
    <xf numFmtId="9" fontId="4" fillId="2" borderId="32" xfId="1" applyFont="1" applyFill="1" applyBorder="1" applyAlignment="1">
      <alignment horizontal="center" vertical="center"/>
    </xf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5" xfId="0" applyFont="1" applyBorder="1" applyAlignment="1">
      <alignment vertical="center"/>
    </xf>
    <xf numFmtId="0" fontId="4" fillId="0" borderId="6" xfId="0" applyFont="1" applyBorder="1" applyAlignment="1">
      <alignment vertical="center"/>
    </xf>
    <xf numFmtId="165" fontId="4" fillId="2" borderId="3" xfId="0" applyNumberFormat="1" applyFont="1" applyFill="1" applyBorder="1" applyAlignment="1">
      <alignment horizontal="center" vertical="center"/>
    </xf>
    <xf numFmtId="165" fontId="4" fillId="2" borderId="4" xfId="0" applyNumberFormat="1" applyFont="1" applyFill="1" applyBorder="1" applyAlignment="1">
      <alignment horizontal="center" vertical="center"/>
    </xf>
    <xf numFmtId="165" fontId="4" fillId="2" borderId="2" xfId="0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vertical="center"/>
    </xf>
    <xf numFmtId="0" fontId="4" fillId="0" borderId="34" xfId="0" applyFont="1" applyBorder="1" applyAlignment="1">
      <alignment horizontal="center" vertical="center"/>
    </xf>
    <xf numFmtId="0" fontId="4" fillId="2" borderId="35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4" fillId="0" borderId="2" xfId="0" applyFont="1" applyBorder="1" applyAlignment="1">
      <alignment horizontal="center" vertical="center"/>
    </xf>
    <xf numFmtId="0" fontId="4" fillId="3" borderId="0" xfId="0" applyFont="1" applyFill="1" applyAlignment="1">
      <alignment horizontal="center" vertical="center" wrapText="1"/>
    </xf>
    <xf numFmtId="0" fontId="4" fillId="3" borderId="0" xfId="0" applyFont="1" applyFill="1" applyAlignment="1">
      <alignment vertical="center"/>
    </xf>
    <xf numFmtId="0" fontId="4" fillId="3" borderId="41" xfId="0" applyFont="1" applyFill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9" fillId="3" borderId="0" xfId="0" applyFont="1" applyFill="1" applyAlignment="1">
      <alignment horizontal="center" vertical="center" wrapText="1"/>
    </xf>
    <xf numFmtId="0" fontId="4" fillId="3" borderId="3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0" borderId="5" xfId="0" applyFont="1" applyBorder="1" applyAlignment="1">
      <alignment horizontal="center"/>
    </xf>
    <xf numFmtId="0" fontId="4" fillId="0" borderId="33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2" fillId="0" borderId="1" xfId="0" applyFont="1" applyBorder="1" applyAlignment="1">
      <alignment horizontal="left"/>
    </xf>
    <xf numFmtId="0" fontId="2" fillId="0" borderId="5" xfId="0" applyFont="1" applyBorder="1" applyAlignment="1">
      <alignment horizontal="left"/>
    </xf>
    <xf numFmtId="0" fontId="2" fillId="0" borderId="33" xfId="0" applyFont="1" applyBorder="1" applyAlignment="1">
      <alignment horizontal="left"/>
    </xf>
    <xf numFmtId="0" fontId="2" fillId="0" borderId="6" xfId="0" applyFont="1" applyBorder="1" applyAlignment="1">
      <alignment horizontal="left"/>
    </xf>
    <xf numFmtId="0" fontId="4" fillId="0" borderId="1" xfId="0" applyFont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8" fillId="3" borderId="13" xfId="0" applyFont="1" applyFill="1" applyBorder="1" applyAlignment="1">
      <alignment horizontal="center" vertical="center"/>
    </xf>
    <xf numFmtId="0" fontId="8" fillId="3" borderId="14" xfId="0" applyFont="1" applyFill="1" applyBorder="1" applyAlignment="1">
      <alignment horizontal="center" vertical="center"/>
    </xf>
    <xf numFmtId="0" fontId="8" fillId="3" borderId="15" xfId="0" applyFont="1" applyFill="1" applyBorder="1" applyAlignment="1">
      <alignment horizontal="center" vertical="center"/>
    </xf>
    <xf numFmtId="0" fontId="8" fillId="3" borderId="21" xfId="0" applyFont="1" applyFill="1" applyBorder="1" applyAlignment="1">
      <alignment horizontal="center" vertical="center"/>
    </xf>
    <xf numFmtId="0" fontId="8" fillId="3" borderId="22" xfId="0" applyFont="1" applyFill="1" applyBorder="1" applyAlignment="1">
      <alignment horizontal="center" vertical="center"/>
    </xf>
    <xf numFmtId="0" fontId="8" fillId="3" borderId="23" xfId="0" applyFont="1" applyFill="1" applyBorder="1" applyAlignment="1">
      <alignment horizontal="center" vertical="center"/>
    </xf>
    <xf numFmtId="0" fontId="4" fillId="0" borderId="36" xfId="0" applyFont="1" applyBorder="1" applyAlignment="1">
      <alignment horizontal="center" vertical="center" wrapText="1"/>
    </xf>
    <xf numFmtId="0" fontId="4" fillId="0" borderId="37" xfId="0" applyFont="1" applyBorder="1" applyAlignment="1">
      <alignment horizontal="center" vertical="center" wrapText="1"/>
    </xf>
    <xf numFmtId="0" fontId="4" fillId="0" borderId="38" xfId="0" applyFont="1" applyBorder="1" applyAlignment="1">
      <alignment horizontal="center" vertical="center" wrapText="1"/>
    </xf>
    <xf numFmtId="0" fontId="4" fillId="0" borderId="39" xfId="0" applyFont="1" applyBorder="1" applyAlignment="1">
      <alignment horizontal="center" vertical="center" wrapText="1"/>
    </xf>
    <xf numFmtId="0" fontId="4" fillId="0" borderId="40" xfId="0" applyFont="1" applyBorder="1" applyAlignment="1">
      <alignment horizontal="center" vertical="center" wrapText="1"/>
    </xf>
    <xf numFmtId="0" fontId="4" fillId="0" borderId="41" xfId="0" applyFont="1" applyBorder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65315</xdr:rowOff>
    </xdr:from>
    <xdr:to>
      <xdr:col>4</xdr:col>
      <xdr:colOff>827942</xdr:colOff>
      <xdr:row>28</xdr:row>
      <xdr:rowOff>110540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780065"/>
          <a:ext cx="5062904" cy="35318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8219CF-6ADB-42DB-892B-6E41BC7D49E6}">
  <sheetPr codeName="Sheet1"/>
  <dimension ref="A1:H55"/>
  <sheetViews>
    <sheetView tabSelected="1" topLeftCell="A22" zoomScale="110" zoomScaleNormal="110" workbookViewId="0">
      <selection activeCell="D48" sqref="D48"/>
    </sheetView>
  </sheetViews>
  <sheetFormatPr defaultColWidth="0" defaultRowHeight="15" x14ac:dyDescent="0.25"/>
  <cols>
    <col min="1" max="1" width="18.85546875" style="17" customWidth="1"/>
    <col min="2" max="2" width="12.5703125" style="17" customWidth="1"/>
    <col min="3" max="3" width="22.85546875" style="17" customWidth="1"/>
    <col min="4" max="4" width="15.42578125" style="17" customWidth="1"/>
    <col min="5" max="5" width="17.85546875" style="17" customWidth="1"/>
    <col min="6" max="6" width="11.42578125" style="17" customWidth="1"/>
    <col min="7" max="7" width="15.7109375" style="17" customWidth="1"/>
    <col min="8" max="8" width="0" style="17" hidden="1" customWidth="1"/>
    <col min="9" max="16384" width="9.140625" style="17" hidden="1"/>
  </cols>
  <sheetData>
    <row r="1" spans="1:7" x14ac:dyDescent="0.25">
      <c r="A1" s="90" t="s">
        <v>0</v>
      </c>
      <c r="B1" s="90"/>
      <c r="C1" s="90"/>
      <c r="D1" s="91"/>
      <c r="E1" s="91"/>
      <c r="F1" s="91"/>
      <c r="G1" s="4"/>
    </row>
    <row r="2" spans="1:7" ht="28.5" customHeight="1" x14ac:dyDescent="0.25">
      <c r="A2" s="5"/>
      <c r="B2" s="5"/>
      <c r="C2" s="6" t="s">
        <v>1</v>
      </c>
      <c r="D2" s="7"/>
      <c r="E2" s="8"/>
      <c r="F2" s="7"/>
      <c r="G2" s="8"/>
    </row>
    <row r="3" spans="1:7" x14ac:dyDescent="0.25">
      <c r="A3" s="9"/>
      <c r="B3" s="4"/>
      <c r="C3" s="4"/>
      <c r="D3" s="10"/>
      <c r="E3" s="11"/>
      <c r="F3" s="11"/>
      <c r="G3" s="11"/>
    </row>
    <row r="4" spans="1:7" x14ac:dyDescent="0.25">
      <c r="A4" s="92" t="s">
        <v>2</v>
      </c>
      <c r="B4" s="92"/>
      <c r="C4" s="12">
        <v>35</v>
      </c>
      <c r="D4" s="11"/>
      <c r="E4" s="11"/>
      <c r="F4" s="11"/>
      <c r="G4" s="11"/>
    </row>
    <row r="5" spans="1:7" x14ac:dyDescent="0.25">
      <c r="A5" s="6"/>
      <c r="B5" s="6"/>
      <c r="C5" s="6"/>
      <c r="D5" s="11"/>
      <c r="E5" s="11"/>
      <c r="F5" s="11"/>
      <c r="G5" s="11"/>
    </row>
    <row r="6" spans="1:7" x14ac:dyDescent="0.25">
      <c r="A6" s="92" t="s">
        <v>3</v>
      </c>
      <c r="B6" s="92"/>
      <c r="C6" s="1" t="s">
        <v>4</v>
      </c>
      <c r="D6" s="8"/>
      <c r="F6" s="4"/>
      <c r="G6" s="33"/>
    </row>
    <row r="7" spans="1:7" x14ac:dyDescent="0.25">
      <c r="A7" s="6"/>
      <c r="B7" s="6"/>
      <c r="C7" s="6"/>
      <c r="D7" s="6"/>
      <c r="E7" s="6"/>
      <c r="F7" s="6"/>
      <c r="G7" s="4"/>
    </row>
    <row r="8" spans="1:7" x14ac:dyDescent="0.25">
      <c r="A8" s="92" t="s">
        <v>5</v>
      </c>
      <c r="B8" s="92"/>
      <c r="C8" s="12" t="s">
        <v>43</v>
      </c>
      <c r="D8" s="6" t="s">
        <v>6</v>
      </c>
      <c r="E8" s="13">
        <v>5.21</v>
      </c>
      <c r="F8" s="4" t="s">
        <v>45</v>
      </c>
      <c r="G8" s="4"/>
    </row>
    <row r="9" spans="1:7" x14ac:dyDescent="0.25">
      <c r="A9" s="14"/>
      <c r="B9" s="14"/>
      <c r="C9" s="14"/>
      <c r="D9" s="14"/>
      <c r="E9" s="14"/>
      <c r="F9" s="14"/>
      <c r="G9" s="14"/>
    </row>
    <row r="10" spans="1:7" x14ac:dyDescent="0.25">
      <c r="A10" s="84" t="s">
        <v>7</v>
      </c>
      <c r="B10" s="84"/>
      <c r="C10" s="84"/>
      <c r="D10" s="15" t="s">
        <v>8</v>
      </c>
      <c r="E10" s="89" t="s">
        <v>9</v>
      </c>
      <c r="F10" s="89"/>
      <c r="G10" s="14"/>
    </row>
    <row r="11" spans="1:7" x14ac:dyDescent="0.25">
      <c r="A11" s="14"/>
      <c r="B11" s="14"/>
      <c r="C11" s="14"/>
      <c r="D11" s="14"/>
      <c r="E11" s="14"/>
      <c r="F11" s="14"/>
      <c r="G11" s="14"/>
    </row>
    <row r="12" spans="1:7" x14ac:dyDescent="0.25">
      <c r="A12" s="84" t="s">
        <v>10</v>
      </c>
      <c r="B12" s="84"/>
      <c r="C12" s="84"/>
      <c r="D12" s="84"/>
      <c r="E12" s="84"/>
      <c r="F12" s="14"/>
      <c r="G12" s="14"/>
    </row>
    <row r="13" spans="1:7" x14ac:dyDescent="0.25">
      <c r="A13" s="14"/>
      <c r="B13" s="14"/>
      <c r="C13" s="14"/>
      <c r="D13" s="14"/>
      <c r="E13" s="14"/>
      <c r="F13" s="14"/>
      <c r="G13" s="14"/>
    </row>
    <row r="14" spans="1:7" x14ac:dyDescent="0.25">
      <c r="A14" s="81" t="s">
        <v>11</v>
      </c>
      <c r="B14" s="82"/>
      <c r="C14" s="83"/>
      <c r="D14" s="48">
        <v>1</v>
      </c>
      <c r="E14" s="14"/>
      <c r="F14" s="14"/>
      <c r="G14" s="14"/>
    </row>
    <row r="15" spans="1:7" x14ac:dyDescent="0.25">
      <c r="A15" s="60"/>
      <c r="B15" s="14"/>
      <c r="C15" s="61"/>
      <c r="D15" s="14"/>
      <c r="E15" s="14"/>
      <c r="F15" s="14"/>
      <c r="G15" s="14"/>
    </row>
    <row r="16" spans="1:7" ht="42.75" x14ac:dyDescent="0.25">
      <c r="A16" s="34" t="s">
        <v>50</v>
      </c>
      <c r="B16" s="34" t="s">
        <v>63</v>
      </c>
      <c r="C16" s="1" t="s">
        <v>51</v>
      </c>
      <c r="D16" s="34" t="s">
        <v>62</v>
      </c>
      <c r="E16" s="1" t="s">
        <v>53</v>
      </c>
      <c r="F16" s="77" t="s">
        <v>64</v>
      </c>
      <c r="G16" s="77"/>
    </row>
    <row r="17" spans="1:7" x14ac:dyDescent="0.25">
      <c r="A17" s="4"/>
      <c r="B17" s="4"/>
      <c r="C17" s="4"/>
      <c r="D17" s="4"/>
      <c r="E17" s="67"/>
      <c r="F17" s="67"/>
      <c r="G17" s="4"/>
    </row>
    <row r="18" spans="1:7" x14ac:dyDescent="0.25">
      <c r="A18" s="6" t="s">
        <v>60</v>
      </c>
      <c r="B18" s="6" t="s">
        <v>13</v>
      </c>
      <c r="C18" s="64">
        <v>30</v>
      </c>
      <c r="D18" s="6" t="s">
        <v>14</v>
      </c>
      <c r="E18" s="64">
        <v>30</v>
      </c>
      <c r="F18" s="4"/>
      <c r="G18" s="4"/>
    </row>
    <row r="19" spans="1:7" x14ac:dyDescent="0.25">
      <c r="A19" s="6" t="s">
        <v>55</v>
      </c>
      <c r="B19" s="4"/>
      <c r="C19" s="64">
        <v>10</v>
      </c>
      <c r="D19"/>
      <c r="E19"/>
      <c r="F19" s="4"/>
      <c r="G19" s="4"/>
    </row>
    <row r="20" spans="1:7" x14ac:dyDescent="0.25">
      <c r="A20" s="6" t="s">
        <v>56</v>
      </c>
      <c r="B20" s="4"/>
      <c r="C20" s="65">
        <v>30</v>
      </c>
      <c r="D20" s="4"/>
      <c r="E20" s="4"/>
      <c r="F20" s="4"/>
      <c r="G20" s="4"/>
    </row>
    <row r="21" spans="1:7" x14ac:dyDescent="0.25">
      <c r="A21" s="4"/>
      <c r="B21" s="4"/>
      <c r="C21" s="4"/>
      <c r="D21" s="4"/>
      <c r="E21" s="4"/>
      <c r="F21" s="4"/>
      <c r="G21" s="4"/>
    </row>
    <row r="22" spans="1:7" x14ac:dyDescent="0.25">
      <c r="A22" s="85" t="s">
        <v>15</v>
      </c>
      <c r="B22" s="86"/>
      <c r="C22" s="87"/>
      <c r="E22" s="14"/>
    </row>
    <row r="23" spans="1:7" x14ac:dyDescent="0.25">
      <c r="A23" s="14"/>
      <c r="B23" s="14"/>
      <c r="C23" s="14"/>
      <c r="D23" s="14"/>
      <c r="E23" s="14"/>
      <c r="F23" s="14"/>
      <c r="G23" s="14"/>
    </row>
    <row r="24" spans="1:7" x14ac:dyDescent="0.25">
      <c r="A24" s="81" t="s">
        <v>16</v>
      </c>
      <c r="B24" s="82"/>
      <c r="C24" s="83"/>
      <c r="D24" s="18">
        <v>88</v>
      </c>
      <c r="E24" s="14"/>
      <c r="F24" s="14"/>
      <c r="G24" s="14"/>
    </row>
    <row r="25" spans="1:7" x14ac:dyDescent="0.25">
      <c r="A25" s="14"/>
      <c r="B25" s="14"/>
      <c r="C25" s="14"/>
      <c r="D25" s="14"/>
      <c r="E25" s="14"/>
      <c r="F25" s="14"/>
      <c r="G25" s="14"/>
    </row>
    <row r="26" spans="1:7" x14ac:dyDescent="0.25">
      <c r="A26" s="15" t="s">
        <v>17</v>
      </c>
      <c r="B26" s="14"/>
      <c r="C26" s="15" t="s">
        <v>13</v>
      </c>
      <c r="D26" s="14"/>
      <c r="E26" s="15" t="s">
        <v>14</v>
      </c>
      <c r="F26" s="14"/>
      <c r="G26" s="15" t="s">
        <v>18</v>
      </c>
    </row>
    <row r="27" spans="1:7" x14ac:dyDescent="0.25">
      <c r="A27" s="31">
        <v>1</v>
      </c>
      <c r="B27" s="14"/>
      <c r="C27" s="26">
        <v>30</v>
      </c>
      <c r="D27" s="14"/>
      <c r="E27" s="26">
        <v>2</v>
      </c>
      <c r="F27" s="14"/>
      <c r="G27" s="2">
        <v>12</v>
      </c>
    </row>
    <row r="28" spans="1:7" x14ac:dyDescent="0.25">
      <c r="A28" s="31">
        <f>A27+1</f>
        <v>2</v>
      </c>
      <c r="B28" s="14"/>
      <c r="C28" s="26">
        <v>30</v>
      </c>
      <c r="D28" s="14"/>
      <c r="E28" s="26">
        <v>58</v>
      </c>
      <c r="F28" s="14"/>
      <c r="G28" s="2">
        <v>12</v>
      </c>
    </row>
    <row r="29" spans="1:7" x14ac:dyDescent="0.25">
      <c r="A29" s="31">
        <f t="shared" ref="A29:A30" si="0">A28+1</f>
        <v>3</v>
      </c>
      <c r="B29" s="14"/>
      <c r="C29" s="26">
        <v>58</v>
      </c>
      <c r="D29" s="14"/>
      <c r="E29" s="26">
        <v>30</v>
      </c>
      <c r="F29" s="14"/>
      <c r="G29" s="2">
        <v>12</v>
      </c>
    </row>
    <row r="30" spans="1:7" x14ac:dyDescent="0.25">
      <c r="A30" s="31">
        <f t="shared" si="0"/>
        <v>4</v>
      </c>
      <c r="B30" s="14"/>
      <c r="C30" s="26">
        <v>2</v>
      </c>
      <c r="D30" s="14"/>
      <c r="E30" s="26">
        <v>30</v>
      </c>
      <c r="F30" s="14"/>
      <c r="G30" s="2">
        <v>12</v>
      </c>
    </row>
    <row r="31" spans="1:7" x14ac:dyDescent="0.25">
      <c r="A31" s="14"/>
      <c r="B31" s="14"/>
      <c r="C31" s="14"/>
      <c r="D31" s="14"/>
      <c r="E31" s="14"/>
      <c r="F31" s="14"/>
      <c r="G31" s="14"/>
    </row>
    <row r="32" spans="1:7" x14ac:dyDescent="0.25">
      <c r="A32" s="85" t="s">
        <v>19</v>
      </c>
      <c r="B32" s="86"/>
      <c r="C32" s="87"/>
      <c r="E32" s="14"/>
    </row>
    <row r="33" spans="1:7" x14ac:dyDescent="0.25">
      <c r="A33" s="14"/>
      <c r="B33" s="14"/>
      <c r="C33" s="14"/>
      <c r="D33" s="14"/>
      <c r="E33" s="14"/>
      <c r="F33" s="14"/>
      <c r="G33" s="14"/>
    </row>
    <row r="34" spans="1:7" x14ac:dyDescent="0.25">
      <c r="A34" s="81" t="s">
        <v>16</v>
      </c>
      <c r="B34" s="82"/>
      <c r="C34" s="83"/>
      <c r="D34" s="18">
        <v>1</v>
      </c>
      <c r="E34" s="14"/>
      <c r="F34" s="14"/>
      <c r="G34" s="14"/>
    </row>
    <row r="35" spans="1:7" x14ac:dyDescent="0.25">
      <c r="A35" s="14"/>
      <c r="B35" s="14"/>
      <c r="C35" s="14"/>
      <c r="D35" s="14"/>
      <c r="E35" s="14"/>
      <c r="F35" s="14"/>
      <c r="G35" s="14"/>
    </row>
    <row r="36" spans="1:7" x14ac:dyDescent="0.25">
      <c r="A36" s="15" t="s">
        <v>17</v>
      </c>
      <c r="B36" s="14"/>
      <c r="C36" s="15" t="s">
        <v>13</v>
      </c>
      <c r="D36" s="14"/>
      <c r="E36" s="15" t="s">
        <v>14</v>
      </c>
      <c r="F36" s="14"/>
      <c r="G36" s="27" t="s">
        <v>20</v>
      </c>
    </row>
    <row r="37" spans="1:7" x14ac:dyDescent="0.25">
      <c r="A37" s="29">
        <v>1</v>
      </c>
      <c r="B37" s="14"/>
      <c r="C37" s="25">
        <v>25</v>
      </c>
      <c r="D37" s="14"/>
      <c r="E37" s="25">
        <v>25</v>
      </c>
      <c r="F37" s="14"/>
      <c r="G37" s="21">
        <v>0</v>
      </c>
    </row>
    <row r="38" spans="1:7" x14ac:dyDescent="0.25">
      <c r="A38" s="32">
        <v>3</v>
      </c>
      <c r="B38" s="23"/>
      <c r="C38" s="26">
        <v>46.5</v>
      </c>
      <c r="D38" s="14"/>
      <c r="E38" s="26">
        <v>3.5</v>
      </c>
      <c r="F38" s="22"/>
      <c r="G38" s="2">
        <v>0</v>
      </c>
    </row>
    <row r="39" spans="1:7" x14ac:dyDescent="0.25">
      <c r="A39" s="32">
        <v>4</v>
      </c>
      <c r="B39" s="23"/>
      <c r="C39" s="26">
        <v>46.5</v>
      </c>
      <c r="D39" s="14"/>
      <c r="E39" s="26">
        <v>31.5</v>
      </c>
      <c r="F39" s="14"/>
      <c r="G39" s="21">
        <v>0</v>
      </c>
    </row>
    <row r="40" spans="1:7" x14ac:dyDescent="0.25">
      <c r="A40" s="32">
        <v>5</v>
      </c>
      <c r="B40" s="23"/>
      <c r="C40" s="26">
        <v>25</v>
      </c>
      <c r="D40" s="14"/>
      <c r="E40" s="26">
        <v>31.5</v>
      </c>
      <c r="F40" s="22"/>
      <c r="G40" s="2">
        <v>0</v>
      </c>
    </row>
    <row r="41" spans="1:7" x14ac:dyDescent="0.25">
      <c r="A41" s="32">
        <v>6</v>
      </c>
      <c r="B41" s="23"/>
      <c r="C41" s="26">
        <v>3.5</v>
      </c>
      <c r="D41" s="22"/>
      <c r="E41" s="3">
        <v>31.5</v>
      </c>
      <c r="F41" s="23"/>
      <c r="G41" s="21">
        <v>0</v>
      </c>
    </row>
    <row r="42" spans="1:7" x14ac:dyDescent="0.25">
      <c r="A42" s="31">
        <v>7</v>
      </c>
      <c r="B42" s="14"/>
      <c r="C42" s="26">
        <v>3.5</v>
      </c>
      <c r="D42" s="14"/>
      <c r="E42" s="26">
        <v>17.5</v>
      </c>
      <c r="F42" s="14"/>
      <c r="G42" s="21">
        <v>0</v>
      </c>
    </row>
    <row r="43" spans="1:7" x14ac:dyDescent="0.25">
      <c r="A43" s="30">
        <v>8</v>
      </c>
      <c r="B43" s="14"/>
      <c r="C43" s="24">
        <v>46.5</v>
      </c>
      <c r="D43" s="14"/>
      <c r="E43" s="24">
        <v>17.5</v>
      </c>
      <c r="F43" s="14"/>
      <c r="G43" s="21">
        <v>0</v>
      </c>
    </row>
    <row r="44" spans="1:7" x14ac:dyDescent="0.25">
      <c r="A44" s="14"/>
      <c r="B44" s="14"/>
      <c r="C44" s="14"/>
      <c r="D44" s="14"/>
      <c r="E44" s="14"/>
      <c r="F44" s="14"/>
      <c r="G44" s="28"/>
    </row>
    <row r="45" spans="1:7" x14ac:dyDescent="0.25">
      <c r="A45" s="85" t="s">
        <v>21</v>
      </c>
      <c r="B45" s="86"/>
      <c r="C45" s="86"/>
      <c r="D45" s="86"/>
      <c r="E45" s="87"/>
      <c r="F45" s="14"/>
      <c r="G45" s="14"/>
    </row>
    <row r="46" spans="1:7" x14ac:dyDescent="0.25">
      <c r="A46" s="14"/>
      <c r="B46" s="14"/>
      <c r="C46" s="14"/>
      <c r="D46" s="14"/>
      <c r="E46" s="14"/>
      <c r="F46" s="14"/>
      <c r="G46" s="14"/>
    </row>
    <row r="47" spans="1:7" x14ac:dyDescent="0.25">
      <c r="A47" s="81" t="s">
        <v>62</v>
      </c>
      <c r="B47" s="83"/>
      <c r="C47" s="16" t="s">
        <v>65</v>
      </c>
      <c r="D47" s="14"/>
      <c r="E47" s="14"/>
      <c r="F47" s="14"/>
      <c r="G47" s="14"/>
    </row>
    <row r="48" spans="1:7" x14ac:dyDescent="0.25">
      <c r="A48" s="14"/>
      <c r="B48" s="14"/>
      <c r="C48" s="14"/>
      <c r="D48" s="14"/>
      <c r="E48" s="14"/>
      <c r="F48" s="14"/>
      <c r="G48" s="14"/>
    </row>
    <row r="49" spans="1:7" x14ac:dyDescent="0.25">
      <c r="A49" s="88" t="s">
        <v>22</v>
      </c>
      <c r="B49" s="88"/>
      <c r="C49" s="16">
        <v>2</v>
      </c>
      <c r="D49" s="14" t="s">
        <v>23</v>
      </c>
      <c r="E49" s="14"/>
      <c r="F49" s="14"/>
      <c r="G49" s="14"/>
    </row>
    <row r="50" spans="1:7" x14ac:dyDescent="0.25">
      <c r="A50" s="14"/>
      <c r="B50" s="14"/>
      <c r="C50" s="19"/>
      <c r="D50" s="14"/>
      <c r="E50" s="14"/>
      <c r="F50" s="14"/>
      <c r="G50" s="14"/>
    </row>
    <row r="51" spans="1:7" x14ac:dyDescent="0.25">
      <c r="A51" s="88" t="s">
        <v>24</v>
      </c>
      <c r="B51" s="88"/>
      <c r="C51" s="16">
        <v>2</v>
      </c>
      <c r="D51" s="14" t="s">
        <v>23</v>
      </c>
      <c r="E51" s="14"/>
      <c r="F51" s="14"/>
      <c r="G51" s="14"/>
    </row>
    <row r="52" spans="1:7" x14ac:dyDescent="0.25">
      <c r="A52" s="14"/>
      <c r="B52" s="14"/>
      <c r="C52" s="14"/>
      <c r="D52" s="14"/>
      <c r="E52" s="14"/>
      <c r="F52" s="14"/>
      <c r="G52" s="14"/>
    </row>
    <row r="53" spans="1:7" x14ac:dyDescent="0.25">
      <c r="A53" s="85" t="s">
        <v>25</v>
      </c>
      <c r="B53" s="86"/>
      <c r="C53" s="86"/>
      <c r="D53" s="86"/>
      <c r="E53" s="87"/>
      <c r="F53" s="14"/>
      <c r="G53" s="14"/>
    </row>
    <row r="54" spans="1:7" x14ac:dyDescent="0.25">
      <c r="A54" s="14"/>
      <c r="B54" s="14"/>
      <c r="C54" s="14"/>
      <c r="D54" s="14"/>
      <c r="E54" s="14"/>
      <c r="F54" s="14"/>
      <c r="G54" s="14"/>
    </row>
    <row r="55" spans="1:7" x14ac:dyDescent="0.25">
      <c r="A55" s="81" t="s">
        <v>26</v>
      </c>
      <c r="B55" s="82"/>
      <c r="C55" s="82"/>
      <c r="D55" s="83"/>
      <c r="E55" s="20">
        <v>0</v>
      </c>
      <c r="F55" s="14"/>
      <c r="G55" s="14"/>
    </row>
  </sheetData>
  <dataConsolidate/>
  <mergeCells count="19">
    <mergeCell ref="A10:C10"/>
    <mergeCell ref="E10:F10"/>
    <mergeCell ref="A1:C1"/>
    <mergeCell ref="D1:F1"/>
    <mergeCell ref="A4:B4"/>
    <mergeCell ref="A6:B6"/>
    <mergeCell ref="A8:B8"/>
    <mergeCell ref="A55:D55"/>
    <mergeCell ref="A12:E12"/>
    <mergeCell ref="A14:C14"/>
    <mergeCell ref="A22:C22"/>
    <mergeCell ref="A24:C24"/>
    <mergeCell ref="A32:C32"/>
    <mergeCell ref="A34:C34"/>
    <mergeCell ref="A45:E45"/>
    <mergeCell ref="A49:B49"/>
    <mergeCell ref="A51:B51"/>
    <mergeCell ref="A53:E53"/>
    <mergeCell ref="A47:B47"/>
  </mergeCells>
  <dataValidations count="9">
    <dataValidation type="decimal" allowBlank="1" showInputMessage="1" showErrorMessage="1" errorTitle="ERROR" error="El ángulo de inclinación del plano de carga debe estar comprendido entre -90º y 90º" sqref="E55" xr:uid="{187B3F15-E228-4DA4-9FD6-390CC5550EB2}">
      <formula1>-90</formula1>
      <formula2>90</formula2>
    </dataValidation>
    <dataValidation type="list" allowBlank="1" showInputMessage="1" showErrorMessage="1" sqref="C8" xr:uid="{B3627AAC-0B73-4EEF-9344-EE7946BF5017}">
      <formula1>"Barras 1050, Trenzas C1650, Trenzas C1900, Provisto por Usuario"</formula1>
    </dataValidation>
    <dataValidation type="whole" allowBlank="1" showInputMessage="1" showErrorMessage="1" errorTitle="Error" error="El número de barras debe estar comprendido entre 1 y 500" sqref="D24 D34 A37:A43 A27:A30" xr:uid="{9F3AB60A-079F-4C56-BC9C-D823AED72C1A}">
      <formula1>1</formula1>
      <formula2>500</formula2>
    </dataValidation>
    <dataValidation type="list" allowBlank="1" showInputMessage="1" sqref="C4" xr:uid="{DA165C53-42F4-43F4-9BB7-8CC0489BF377}">
      <formula1>"20,25,30,35,40,45,50,55, 60, Otro(Ingresar en misma Celda)"</formula1>
    </dataValidation>
    <dataValidation type="list" allowBlank="1" showInputMessage="1" showErrorMessage="1" sqref="E10:F10" xr:uid="{3769C79A-5AAF-4168-88E6-9E109F05644E}">
      <formula1>"Estribos, Barras Zunchadas"</formula1>
    </dataValidation>
    <dataValidation type="whole" allowBlank="1" showInputMessage="1" showErrorMessage="1" errorTitle="Error" error="El número de nodos debe estar comprendido entre 1 y 500" sqref="G16" xr:uid="{722D61C5-8ABB-4294-A318-66E82CAB3550}">
      <formula1>1</formula1>
      <formula2>500</formula2>
    </dataValidation>
    <dataValidation type="list" allowBlank="1" showInputMessage="1" showErrorMessage="1" sqref="E16" xr:uid="{A31FCCE3-0608-4897-A325-22D022EB98CE}">
      <formula1>"Poligonal, Circular, Trapecio Circular"</formula1>
    </dataValidation>
    <dataValidation type="list" allowBlank="1" showInputMessage="1" showErrorMessage="1" sqref="C16" xr:uid="{823361AA-B9E8-4237-90B9-173679E81204}">
      <formula1>"Positivo, Negativo"</formula1>
    </dataValidation>
    <dataValidation type="list" allowBlank="1" showInputMessage="1" showErrorMessage="1" sqref="C47" xr:uid="{5451235B-8A0F-43B8-A711-3FBE11729E52}">
      <formula1>"Menos Refinada, Poco Refinada, Normal, Fina, Extra Fina"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55A2423-7BF4-44EA-A88C-1F34A4A01AEB}">
          <x14:formula1>
            <xm:f>'Armaduras Pasivas'!$B$2:$E$2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31AC1-26AB-44B7-9DE8-C1E15DE1206E}">
  <sheetPr codeName="Sheet3"/>
  <dimension ref="A1:E6"/>
  <sheetViews>
    <sheetView topLeftCell="A2" zoomScale="175" zoomScaleNormal="175" workbookViewId="0">
      <selection activeCell="C4" sqref="C4"/>
    </sheetView>
  </sheetViews>
  <sheetFormatPr defaultColWidth="9.140625" defaultRowHeight="14.25" x14ac:dyDescent="0.25"/>
  <cols>
    <col min="1" max="1" width="21.5703125" style="34" customWidth="1"/>
    <col min="2" max="3" width="14.28515625" style="34" customWidth="1"/>
    <col min="4" max="4" width="13.42578125" style="34" customWidth="1"/>
    <col min="5" max="5" width="12.5703125" style="34" customWidth="1"/>
    <col min="6" max="16384" width="9.140625" style="34"/>
  </cols>
  <sheetData>
    <row r="1" spans="1:5" ht="28.5" customHeight="1" thickBot="1" x14ac:dyDescent="0.3">
      <c r="A1" s="93" t="s">
        <v>33</v>
      </c>
      <c r="B1" s="94"/>
      <c r="C1" s="94"/>
      <c r="D1" s="94"/>
      <c r="E1" s="95"/>
    </row>
    <row r="2" spans="1:5" ht="37.5" customHeight="1" thickBot="1" x14ac:dyDescent="0.3">
      <c r="A2" s="42" t="s">
        <v>29</v>
      </c>
      <c r="B2" s="43" t="s">
        <v>4</v>
      </c>
      <c r="C2" s="43" t="s">
        <v>28</v>
      </c>
      <c r="D2" s="43" t="s">
        <v>27</v>
      </c>
      <c r="E2" s="44" t="s">
        <v>30</v>
      </c>
    </row>
    <row r="3" spans="1:5" ht="48.75" customHeight="1" x14ac:dyDescent="0.25">
      <c r="A3" s="37" t="s">
        <v>31</v>
      </c>
      <c r="B3" s="34">
        <v>420</v>
      </c>
      <c r="C3" s="34">
        <v>500</v>
      </c>
      <c r="D3" s="34">
        <v>220</v>
      </c>
      <c r="E3" s="40"/>
    </row>
    <row r="4" spans="1:5" ht="31.5" customHeight="1" x14ac:dyDescent="0.25">
      <c r="A4" s="36" t="s">
        <v>32</v>
      </c>
      <c r="B4" s="34">
        <v>200000</v>
      </c>
      <c r="C4" s="34">
        <v>200000</v>
      </c>
      <c r="D4" s="34">
        <v>200000</v>
      </c>
      <c r="E4" s="40"/>
    </row>
    <row r="5" spans="1:5" ht="28.5" x14ac:dyDescent="0.25">
      <c r="A5" s="37" t="s">
        <v>46</v>
      </c>
      <c r="B5" s="35">
        <f>B3/B4</f>
        <v>2.0999999999999999E-3</v>
      </c>
      <c r="C5" s="35">
        <f>C3/C4</f>
        <v>2.5000000000000001E-3</v>
      </c>
      <c r="D5" s="35">
        <f>D3/D4</f>
        <v>1.1000000000000001E-3</v>
      </c>
      <c r="E5" s="40"/>
    </row>
    <row r="6" spans="1:5" ht="29.25" thickBot="1" x14ac:dyDescent="0.3">
      <c r="A6" s="38" t="s">
        <v>47</v>
      </c>
      <c r="B6" s="39">
        <v>0.12</v>
      </c>
      <c r="C6" s="39">
        <v>0.12</v>
      </c>
      <c r="D6" s="39">
        <v>0.12</v>
      </c>
      <c r="E6" s="41"/>
    </row>
  </sheetData>
  <mergeCells count="1">
    <mergeCell ref="A1:E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8F6BD-75CF-49FA-BE9D-FDDC775A75B0}">
  <sheetPr codeName="Sheet4"/>
  <dimension ref="A1:E11"/>
  <sheetViews>
    <sheetView zoomScale="115" zoomScaleNormal="115" workbookViewId="0">
      <selection activeCell="E5" sqref="E5"/>
    </sheetView>
  </sheetViews>
  <sheetFormatPr defaultColWidth="9.140625" defaultRowHeight="14.25" x14ac:dyDescent="0.25"/>
  <cols>
    <col min="1" max="1" width="21.5703125" style="34" customWidth="1"/>
    <col min="2" max="3" width="14.28515625" style="34" customWidth="1"/>
    <col min="4" max="4" width="13.42578125" style="34" customWidth="1"/>
    <col min="5" max="5" width="12.5703125" style="34" customWidth="1"/>
    <col min="6" max="16384" width="9.140625" style="34"/>
  </cols>
  <sheetData>
    <row r="1" spans="1:5" ht="28.5" customHeight="1" thickBot="1" x14ac:dyDescent="0.3">
      <c r="A1" s="96" t="s">
        <v>42</v>
      </c>
      <c r="B1" s="97"/>
      <c r="C1" s="97"/>
      <c r="D1" s="97"/>
      <c r="E1" s="98"/>
    </row>
    <row r="2" spans="1:5" ht="37.5" customHeight="1" thickTop="1" thickBot="1" x14ac:dyDescent="0.3">
      <c r="A2" s="49" t="s">
        <v>29</v>
      </c>
      <c r="B2" s="46" t="s">
        <v>34</v>
      </c>
      <c r="C2" s="46" t="s">
        <v>35</v>
      </c>
      <c r="D2" s="46" t="s">
        <v>36</v>
      </c>
      <c r="E2" s="50" t="s">
        <v>30</v>
      </c>
    </row>
    <row r="3" spans="1:5" ht="37.5" customHeight="1" thickTop="1" x14ac:dyDescent="0.25">
      <c r="A3" s="51" t="s">
        <v>44</v>
      </c>
      <c r="B3" s="34">
        <v>200000</v>
      </c>
      <c r="C3" s="34">
        <v>200000</v>
      </c>
      <c r="D3" s="34">
        <v>200000</v>
      </c>
      <c r="E3" s="52"/>
    </row>
    <row r="4" spans="1:5" ht="48.75" customHeight="1" x14ac:dyDescent="0.25">
      <c r="A4" s="53" t="s">
        <v>37</v>
      </c>
      <c r="B4" s="34">
        <v>952</v>
      </c>
      <c r="C4" s="34">
        <v>1505</v>
      </c>
      <c r="D4" s="34">
        <v>1665</v>
      </c>
      <c r="E4" s="54"/>
    </row>
    <row r="5" spans="1:5" ht="31.5" customHeight="1" x14ac:dyDescent="0.25">
      <c r="A5" s="53" t="s">
        <v>38</v>
      </c>
      <c r="B5" s="34">
        <v>1050</v>
      </c>
      <c r="C5" s="34">
        <v>1650</v>
      </c>
      <c r="D5" s="34">
        <v>1860</v>
      </c>
      <c r="E5" s="54"/>
    </row>
    <row r="6" spans="1:5" ht="31.5" customHeight="1" x14ac:dyDescent="0.25">
      <c r="A6" s="55" t="s">
        <v>48</v>
      </c>
      <c r="B6" s="47">
        <v>4.1000000000000002E-2</v>
      </c>
      <c r="C6" s="47">
        <v>8.6999999999999994E-2</v>
      </c>
      <c r="D6" s="47">
        <v>6.9000000000000006E-2</v>
      </c>
      <c r="E6" s="56"/>
    </row>
    <row r="7" spans="1:5" ht="31.5" customHeight="1" x14ac:dyDescent="0.25">
      <c r="A7" s="53" t="s">
        <v>39</v>
      </c>
      <c r="B7" s="34">
        <v>7.1</v>
      </c>
      <c r="C7" s="34">
        <v>6.06</v>
      </c>
      <c r="D7" s="34">
        <v>7.3440000000000003</v>
      </c>
      <c r="E7" s="54"/>
    </row>
    <row r="8" spans="1:5" x14ac:dyDescent="0.25">
      <c r="A8" s="53" t="s">
        <v>40</v>
      </c>
      <c r="B8" s="45">
        <v>1.0041</v>
      </c>
      <c r="C8" s="45">
        <v>1.0325</v>
      </c>
      <c r="D8" s="45">
        <v>1.0618000000000001</v>
      </c>
      <c r="E8" s="54"/>
    </row>
    <row r="9" spans="1:5" ht="30.75" customHeight="1" thickBot="1" x14ac:dyDescent="0.3">
      <c r="A9" s="57" t="s">
        <v>41</v>
      </c>
      <c r="B9" s="58">
        <v>1.7500000000000002E-2</v>
      </c>
      <c r="C9" s="58">
        <v>6.2500000000000003E-3</v>
      </c>
      <c r="D9" s="58">
        <v>1.174E-2</v>
      </c>
      <c r="E9" s="59"/>
    </row>
    <row r="11" spans="1:5" ht="15" x14ac:dyDescent="0.25">
      <c r="A11"/>
    </row>
  </sheetData>
  <mergeCells count="1">
    <mergeCell ref="A1:E1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47D3F-C365-45E5-A802-07D48861D211}">
  <sheetPr codeName="Sheet5"/>
  <dimension ref="A1:G23"/>
  <sheetViews>
    <sheetView zoomScale="205" zoomScaleNormal="205" workbookViewId="0">
      <selection activeCell="B10" sqref="B10"/>
    </sheetView>
  </sheetViews>
  <sheetFormatPr defaultRowHeight="15" x14ac:dyDescent="0.25"/>
  <cols>
    <col min="1" max="1" width="19.28515625" customWidth="1"/>
    <col min="3" max="3" width="17.7109375" customWidth="1"/>
    <col min="6" max="6" width="9.7109375" customWidth="1"/>
  </cols>
  <sheetData>
    <row r="1" spans="1:7" ht="44.25" customHeight="1" x14ac:dyDescent="0.25">
      <c r="A1" s="34" t="s">
        <v>50</v>
      </c>
      <c r="B1" s="34" t="s">
        <v>63</v>
      </c>
      <c r="C1" s="1" t="s">
        <v>51</v>
      </c>
      <c r="D1" s="34" t="s">
        <v>62</v>
      </c>
      <c r="E1" s="1" t="s">
        <v>52</v>
      </c>
      <c r="F1" s="73" t="s">
        <v>12</v>
      </c>
      <c r="G1" s="1">
        <v>4</v>
      </c>
    </row>
    <row r="2" spans="1:7" x14ac:dyDescent="0.25">
      <c r="A2" s="74"/>
      <c r="B2" s="74"/>
      <c r="C2" s="74"/>
      <c r="D2" s="74"/>
      <c r="E2" s="75"/>
      <c r="F2" s="76"/>
      <c r="G2" s="76"/>
    </row>
    <row r="3" spans="1:7" x14ac:dyDescent="0.25">
      <c r="A3" s="72" t="s">
        <v>49</v>
      </c>
      <c r="B3" s="67"/>
      <c r="C3" s="72" t="s">
        <v>13</v>
      </c>
      <c r="D3" s="67"/>
      <c r="E3" s="6" t="s">
        <v>14</v>
      </c>
      <c r="F3" s="4"/>
      <c r="G3" s="4"/>
    </row>
    <row r="4" spans="1:7" x14ac:dyDescent="0.25">
      <c r="A4" s="78">
        <v>1</v>
      </c>
      <c r="B4" s="4"/>
      <c r="C4" s="64">
        <v>0</v>
      </c>
      <c r="D4" s="4"/>
      <c r="E4" s="64">
        <v>0</v>
      </c>
      <c r="F4" s="4"/>
      <c r="G4" s="4"/>
    </row>
    <row r="5" spans="1:7" x14ac:dyDescent="0.25">
      <c r="A5" s="79">
        <v>2</v>
      </c>
      <c r="B5" s="4"/>
      <c r="C5" s="65">
        <v>0</v>
      </c>
      <c r="D5" s="4"/>
      <c r="E5" s="65">
        <v>0</v>
      </c>
      <c r="F5" s="4"/>
      <c r="G5" s="4"/>
    </row>
    <row r="6" spans="1:7" x14ac:dyDescent="0.25">
      <c r="A6" s="79">
        <v>3</v>
      </c>
      <c r="B6" s="4"/>
      <c r="C6" s="65">
        <v>0</v>
      </c>
      <c r="D6" s="62"/>
      <c r="E6" s="65">
        <v>0</v>
      </c>
      <c r="F6" s="63"/>
      <c r="G6" s="4"/>
    </row>
    <row r="7" spans="1:7" x14ac:dyDescent="0.25">
      <c r="A7" s="80">
        <v>4</v>
      </c>
      <c r="B7" s="4"/>
      <c r="C7" s="66">
        <v>0</v>
      </c>
      <c r="D7" s="4"/>
      <c r="E7" s="66">
        <v>0</v>
      </c>
      <c r="F7" s="4"/>
      <c r="G7" s="4"/>
    </row>
    <row r="8" spans="1:7" x14ac:dyDescent="0.25">
      <c r="A8" s="4"/>
      <c r="B8" s="4"/>
      <c r="C8" s="4"/>
      <c r="D8" s="4"/>
      <c r="E8" s="4"/>
      <c r="F8" s="4"/>
    </row>
    <row r="10" spans="1:7" ht="42.75" x14ac:dyDescent="0.25">
      <c r="A10" s="34" t="s">
        <v>50</v>
      </c>
      <c r="B10" s="34" t="s">
        <v>63</v>
      </c>
      <c r="C10" s="1" t="s">
        <v>51</v>
      </c>
      <c r="D10" s="34" t="s">
        <v>62</v>
      </c>
      <c r="E10" s="1" t="s">
        <v>53</v>
      </c>
      <c r="F10" s="77" t="s">
        <v>64</v>
      </c>
      <c r="G10" s="77"/>
    </row>
    <row r="11" spans="1:7" x14ac:dyDescent="0.25">
      <c r="A11" s="4"/>
      <c r="B11" s="4"/>
      <c r="C11" s="4"/>
      <c r="D11" s="4"/>
      <c r="E11" s="67"/>
      <c r="F11" s="67"/>
      <c r="G11" s="4"/>
    </row>
    <row r="12" spans="1:7" x14ac:dyDescent="0.25">
      <c r="A12" s="6" t="s">
        <v>60</v>
      </c>
      <c r="B12" s="6" t="s">
        <v>13</v>
      </c>
      <c r="C12" s="64">
        <v>0</v>
      </c>
      <c r="D12" s="6" t="s">
        <v>14</v>
      </c>
      <c r="E12" s="64">
        <v>0</v>
      </c>
      <c r="F12" s="4"/>
      <c r="G12" s="4"/>
    </row>
    <row r="13" spans="1:7" x14ac:dyDescent="0.25">
      <c r="A13" s="6" t="s">
        <v>55</v>
      </c>
      <c r="B13" s="4"/>
      <c r="C13" s="64">
        <v>0</v>
      </c>
      <c r="F13" s="4"/>
      <c r="G13" s="4"/>
    </row>
    <row r="14" spans="1:7" x14ac:dyDescent="0.25">
      <c r="A14" s="6" t="s">
        <v>56</v>
      </c>
      <c r="B14" s="4"/>
      <c r="C14" s="65">
        <v>0</v>
      </c>
      <c r="D14" s="4"/>
      <c r="E14" s="4"/>
      <c r="F14" s="4"/>
      <c r="G14" s="4"/>
    </row>
    <row r="15" spans="1:7" x14ac:dyDescent="0.25">
      <c r="A15" s="4"/>
      <c r="B15" s="4"/>
      <c r="C15" s="4"/>
      <c r="D15" s="4"/>
      <c r="E15" s="4"/>
      <c r="F15" s="4"/>
      <c r="G15" s="71"/>
    </row>
    <row r="17" spans="1:7" x14ac:dyDescent="0.25">
      <c r="A17" s="68" t="s">
        <v>50</v>
      </c>
      <c r="B17" s="69" t="s">
        <v>51</v>
      </c>
      <c r="C17" s="69" t="s">
        <v>57</v>
      </c>
      <c r="D17" s="4"/>
      <c r="E17" s="67"/>
      <c r="F17" s="67"/>
      <c r="G17" s="4"/>
    </row>
    <row r="18" spans="1:7" x14ac:dyDescent="0.25">
      <c r="A18" s="4"/>
      <c r="B18" s="4"/>
      <c r="C18" s="4"/>
      <c r="D18" s="4"/>
      <c r="E18" s="67"/>
      <c r="F18" s="67"/>
      <c r="G18" s="4"/>
    </row>
    <row r="19" spans="1:7" x14ac:dyDescent="0.25">
      <c r="A19" s="6" t="s">
        <v>54</v>
      </c>
      <c r="B19" s="6" t="s">
        <v>13</v>
      </c>
      <c r="C19" s="64">
        <v>0</v>
      </c>
      <c r="D19" s="6" t="s">
        <v>14</v>
      </c>
      <c r="E19" s="64">
        <v>0</v>
      </c>
      <c r="F19" s="4"/>
      <c r="G19" s="4"/>
    </row>
    <row r="20" spans="1:7" x14ac:dyDescent="0.25">
      <c r="A20" s="6" t="s">
        <v>55</v>
      </c>
      <c r="B20" s="4"/>
      <c r="C20" s="64">
        <v>0</v>
      </c>
      <c r="F20" s="4"/>
      <c r="G20" s="4"/>
    </row>
    <row r="21" spans="1:7" x14ac:dyDescent="0.25">
      <c r="A21" s="6" t="s">
        <v>56</v>
      </c>
      <c r="B21" s="4"/>
      <c r="C21" s="65">
        <v>0</v>
      </c>
      <c r="D21" s="4"/>
      <c r="E21" s="4"/>
      <c r="F21" s="4"/>
      <c r="G21" s="4"/>
    </row>
    <row r="22" spans="1:7" x14ac:dyDescent="0.25">
      <c r="A22" s="70" t="s">
        <v>58</v>
      </c>
      <c r="C22" s="65">
        <v>0</v>
      </c>
      <c r="D22" s="99" t="s">
        <v>61</v>
      </c>
      <c r="E22" s="100"/>
      <c r="F22" s="100"/>
      <c r="G22" s="101"/>
    </row>
    <row r="23" spans="1:7" x14ac:dyDescent="0.25">
      <c r="A23" s="70" t="s">
        <v>59</v>
      </c>
      <c r="C23" s="65">
        <v>0</v>
      </c>
      <c r="D23" s="102"/>
      <c r="E23" s="103"/>
      <c r="F23" s="103"/>
      <c r="G23" s="104"/>
    </row>
  </sheetData>
  <mergeCells count="1">
    <mergeCell ref="D22:G23"/>
  </mergeCells>
  <dataValidations count="3">
    <dataValidation type="whole" allowBlank="1" showInputMessage="1" showErrorMessage="1" errorTitle="Error" error="El número de nodos debe estar comprendido entre 1 y 500" sqref="G1 A4:A7 G10" xr:uid="{32D64FBA-B40B-413A-8B29-90B6044FEBCD}">
      <formula1>1</formula1>
      <formula2>500</formula2>
    </dataValidation>
    <dataValidation type="list" allowBlank="1" showInputMessage="1" showErrorMessage="1" sqref="C1 B17 C10" xr:uid="{82BD09D8-0305-4931-AB32-B55F81757ABA}">
      <formula1>"Positivo, Negativo"</formula1>
    </dataValidation>
    <dataValidation type="list" allowBlank="1" showInputMessage="1" showErrorMessage="1" sqref="E1 C17 E10" xr:uid="{DC5F1A77-3B5A-4942-A5AD-9CF2F9DEEB24}">
      <formula1>"Poligonal, Circular, Trapecio Circular"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Ingreso de Datos</vt:lpstr>
      <vt:lpstr>Armaduras Pasivas</vt:lpstr>
      <vt:lpstr>Armaduras Activas</vt:lpstr>
      <vt:lpstr>AUX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Facundo Leguizamón</dc:creator>
  <cp:lastModifiedBy>Facundo L. Pfeffer</cp:lastModifiedBy>
  <dcterms:created xsi:type="dcterms:W3CDTF">2023-04-14T12:25:15Z</dcterms:created>
  <dcterms:modified xsi:type="dcterms:W3CDTF">2023-09-18T21:37:23Z</dcterms:modified>
</cp:coreProperties>
</file>