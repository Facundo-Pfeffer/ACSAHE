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Adscripción Moller\Programa\DISGHA-P\Archivos Excel\"/>
    </mc:Choice>
  </mc:AlternateContent>
  <xr:revisionPtr revIDLastSave="0" documentId="13_ncr:1_{3B3F0E3D-2DF4-4A84-9D8E-21C8F07DD124}" xr6:coauthVersionLast="47" xr6:coauthVersionMax="47" xr10:uidLastSave="{00000000-0000-0000-0000-000000000000}"/>
  <bookViews>
    <workbookView xWindow="-120" yWindow="-120" windowWidth="38640" windowHeight="21240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6" i="1" l="1"/>
  <c r="A135" i="1" s="1"/>
  <c r="A134" i="1" s="1"/>
  <c r="A133" i="1" s="1"/>
  <c r="A132" i="1" s="1"/>
  <c r="A131" i="1" s="1"/>
  <c r="A130" i="1" s="1"/>
  <c r="A129" i="1" s="1"/>
  <c r="A128" i="1" s="1"/>
  <c r="A127" i="1" s="1"/>
  <c r="A126" i="1" s="1"/>
  <c r="A125" i="1" s="1"/>
  <c r="A124" i="1" s="1"/>
  <c r="A123" i="1" s="1"/>
  <c r="A122" i="1" s="1"/>
  <c r="A121" i="1" s="1"/>
  <c r="A120" i="1" s="1"/>
  <c r="A119" i="1" s="1"/>
  <c r="A118" i="1" s="1"/>
  <c r="A117" i="1" s="1"/>
  <c r="A116" i="1" s="1"/>
  <c r="A115" i="1" s="1"/>
  <c r="A114" i="1" s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52" i="1" s="1"/>
  <c r="A51" i="1" s="1"/>
  <c r="A50" i="1" s="1"/>
  <c r="B5" i="3" l="1"/>
  <c r="D5" i="3"/>
  <c r="C5" i="3"/>
</calcChain>
</file>

<file path=xl/sharedStrings.xml><?xml version="1.0" encoding="utf-8"?>
<sst xmlns="http://schemas.openxmlformats.org/spreadsheetml/2006/main" count="124" uniqueCount="53">
  <si>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</si>
  <si>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</si>
  <si>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</si>
  <si>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</si>
  <si>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</si>
  <si>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</si>
  <si>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</si>
  <si>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</si>
  <si>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</si>
  <si>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</si>
  <si>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</si>
  <si>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</si>
  <si>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Contorno nº</t>
  </si>
  <si>
    <t>Área</t>
  </si>
  <si>
    <t xml:space="preserve">Positiva </t>
  </si>
  <si>
    <t>Cantidad de Nodos</t>
  </si>
  <si>
    <t>Nodo nº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</si>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</sst>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65" fontId="5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5" fillId="0" borderId="1" xfId="0" applyNumberFormat="1" applyFont="1" applyBorder="1"/>
    <xf numFmtId="167" fontId="5" fillId="2" borderId="1" xfId="0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0" fontId="5" fillId="3" borderId="0" xfId="1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9" fontId="5" fillId="3" borderId="11" xfId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9" fontId="5" fillId="2" borderId="12" xfId="1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 wrapText="1"/>
    </xf>
    <xf numFmtId="166" fontId="5" fillId="3" borderId="0" xfId="1" applyNumberFormat="1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 wrapText="1"/>
    </xf>
    <xf numFmtId="10" fontId="5" fillId="3" borderId="20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3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2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 wrapText="1"/>
    </xf>
    <xf numFmtId="10" fontId="5" fillId="2" borderId="29" xfId="0" applyNumberFormat="1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9" fontId="5" fillId="2" borderId="32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5" fillId="0" borderId="1" xfId="0" applyFont="1" applyBorder="1" applyAlignment="1"/>
    <xf numFmtId="0" fontId="5" fillId="0" borderId="5" xfId="0" applyFont="1" applyBorder="1" applyAlignment="1"/>
    <xf numFmtId="0" fontId="5" fillId="0" borderId="6" xfId="0" applyFont="1" applyBorder="1" applyAlignment="1"/>
    <xf numFmtId="0" fontId="5" fillId="2" borderId="1" xfId="0" applyFont="1" applyFill="1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ther%20computers/My%20Computer%20(1)/Adscripci&#243;n%20Moller/Programa/DISGHA-P/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ngreso de Datos"/>
      <sheetName val="DATOS"/>
      <sheetName val="AUX"/>
      <sheetName val="AUX1"/>
      <sheetName val="Diagrama de Interacción"/>
      <sheetName val="DISGHA Prueba - PRETENSADO EJEM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AO160"/>
  <sheetViews>
    <sheetView tabSelected="1" topLeftCell="A113" zoomScale="130" zoomScaleNormal="130" workbookViewId="0">
      <selection activeCell="D144" sqref="D144"/>
    </sheetView>
  </sheetViews>
  <sheetFormatPr defaultColWidth="0" defaultRowHeight="15" x14ac:dyDescent="0.25"/>
  <cols>
    <col min="1" max="1" width="9.140625" style="18" customWidth="1"/>
    <col min="2" max="2" width="12.5703125" style="18" customWidth="1"/>
    <col min="3" max="3" width="22.85546875" style="18" customWidth="1"/>
    <col min="4" max="4" width="15.42578125" style="18" customWidth="1"/>
    <col min="5" max="5" width="17.85546875" style="18" customWidth="1"/>
    <col min="6" max="6" width="11.42578125" style="18" customWidth="1"/>
    <col min="7" max="7" width="15.7109375" style="18" customWidth="1"/>
    <col min="8" max="8" width="0" style="18" hidden="1" customWidth="1"/>
    <col min="9" max="16384" width="9.140625" style="18" hidden="1"/>
  </cols>
  <sheetData>
    <row r="1" spans="1:41" x14ac:dyDescent="0.25">
      <c r="A1" s="70" t="s">
        <v>0</v>
      </c>
      <c r="B1" s="70"/>
      <c r="C1" s="70"/>
      <c r="D1" s="71"/>
      <c r="E1" s="71"/>
      <c r="F1" s="71"/>
      <c r="G1" s="5"/>
    </row>
    <row r="2" spans="1:41" ht="28.5" customHeight="1" x14ac:dyDescent="0.25">
      <c r="A2" s="6"/>
      <c r="B2" s="6"/>
      <c r="C2" s="7" t="s">
        <v>1</v>
      </c>
      <c r="D2" s="8"/>
      <c r="E2" s="9"/>
      <c r="F2" s="8"/>
      <c r="G2" s="9"/>
    </row>
    <row r="3" spans="1:41" x14ac:dyDescent="0.25">
      <c r="A3" s="10"/>
      <c r="B3" s="5"/>
      <c r="C3" s="5"/>
      <c r="D3" s="11"/>
      <c r="E3" s="12"/>
      <c r="F3" s="12"/>
      <c r="G3" s="12"/>
    </row>
    <row r="4" spans="1:41" x14ac:dyDescent="0.25">
      <c r="A4" s="72" t="s">
        <v>2</v>
      </c>
      <c r="B4" s="72"/>
      <c r="C4" s="13">
        <v>30</v>
      </c>
      <c r="D4" s="12"/>
      <c r="E4" s="12"/>
      <c r="F4" s="12"/>
      <c r="G4" s="12"/>
    </row>
    <row r="5" spans="1:41" x14ac:dyDescent="0.25">
      <c r="A5" s="7"/>
      <c r="B5" s="7"/>
      <c r="C5" s="7"/>
      <c r="D5" s="12"/>
      <c r="E5" s="12"/>
      <c r="F5" s="12"/>
      <c r="G5" s="12"/>
    </row>
    <row r="6" spans="1:41" x14ac:dyDescent="0.25">
      <c r="A6" s="72" t="s">
        <v>3</v>
      </c>
      <c r="B6" s="72"/>
      <c r="C6" s="1" t="s">
        <v>4</v>
      </c>
      <c r="D6" s="9"/>
      <c r="F6" s="5"/>
      <c r="G6" s="39"/>
    </row>
    <row r="7" spans="1:41" x14ac:dyDescent="0.25">
      <c r="A7" s="7"/>
      <c r="B7" s="7"/>
      <c r="C7" s="7"/>
      <c r="D7" s="7"/>
      <c r="E7" s="7"/>
      <c r="F7" s="7"/>
      <c r="G7" s="5"/>
    </row>
    <row r="8" spans="1:41" x14ac:dyDescent="0.25">
      <c r="A8" s="72" t="s">
        <v>5</v>
      </c>
      <c r="B8" s="72"/>
      <c r="C8" s="13" t="s">
        <v>47</v>
      </c>
      <c r="D8" s="7" t="s">
        <v>6</v>
      </c>
      <c r="E8" s="14">
        <v>5.21</v>
      </c>
      <c r="F8" s="5" t="s">
        <v>49</v>
      </c>
      <c r="G8" s="5"/>
    </row>
    <row r="9" spans="1:41" x14ac:dyDescent="0.25">
      <c r="A9" s="15"/>
      <c r="B9" s="15"/>
      <c r="C9" s="15"/>
      <c r="D9" s="15"/>
      <c r="E9" s="15"/>
      <c r="F9" s="15"/>
      <c r="G9" s="15"/>
    </row>
    <row r="10" spans="1:41" x14ac:dyDescent="0.25">
      <c r="A10" s="68" t="s">
        <v>7</v>
      </c>
      <c r="B10" s="68"/>
      <c r="C10" s="68"/>
      <c r="D10" s="16" t="s">
        <v>8</v>
      </c>
      <c r="E10" s="69" t="s">
        <v>9</v>
      </c>
      <c r="F10" s="69"/>
      <c r="G10" s="15"/>
    </row>
    <row r="11" spans="1:41" x14ac:dyDescent="0.25">
      <c r="A11" s="15"/>
      <c r="B11" s="15"/>
      <c r="C11" s="15"/>
      <c r="D11" s="15"/>
      <c r="E11" s="15"/>
      <c r="F11" s="15"/>
      <c r="G11" s="15"/>
    </row>
    <row r="12" spans="1:41" x14ac:dyDescent="0.25">
      <c r="A12" s="68" t="s">
        <v>10</v>
      </c>
      <c r="B12" s="68"/>
      <c r="C12" s="68"/>
      <c r="D12" s="68"/>
      <c r="E12" s="68"/>
      <c r="F12" s="15"/>
      <c r="G12" s="15"/>
    </row>
    <row r="13" spans="1:41" x14ac:dyDescent="0.25">
      <c r="A13" s="15"/>
      <c r="B13" s="15"/>
      <c r="C13" s="15"/>
      <c r="D13" s="15"/>
      <c r="E13" s="15"/>
      <c r="F13" s="15"/>
      <c r="G13" s="15"/>
    </row>
    <row r="14" spans="1:41" x14ac:dyDescent="0.25">
      <c r="A14" s="73" t="s">
        <v>11</v>
      </c>
      <c r="B14" s="74"/>
      <c r="C14" s="75"/>
      <c r="D14" s="55">
        <v>4</v>
      </c>
      <c r="E14" s="15"/>
      <c r="F14" s="15"/>
      <c r="G14" s="15"/>
    </row>
    <row r="15" spans="1:41" x14ac:dyDescent="0.25">
      <c r="A15" s="15"/>
      <c r="B15" s="15"/>
      <c r="C15" s="15"/>
      <c r="D15" s="15"/>
      <c r="E15" s="15"/>
      <c r="F15" s="15"/>
      <c r="G15" s="15"/>
    </row>
    <row r="16" spans="1:41" x14ac:dyDescent="0.25">
      <c r="A16" s="86" t="s">
        <v>12</v>
      </c>
      <c r="B16" s="89">
        <v>1</v>
      </c>
      <c r="C16" s="86" t="s">
        <v>13</v>
      </c>
      <c r="D16" s="55" t="s">
        <v>14</v>
      </c>
      <c r="E16" s="87" t="s">
        <v>15</v>
      </c>
      <c r="F16" s="88"/>
      <c r="G16" s="55">
        <v>4</v>
      </c>
      <c r="H16" s="55">
        <v>1</v>
      </c>
      <c r="I16" s="54" t="s">
        <v>13</v>
      </c>
      <c r="J16" s="55" t="s">
        <v>14</v>
      </c>
      <c r="K16" s="86" t="s">
        <v>15</v>
      </c>
      <c r="L16" s="86"/>
      <c r="M16" s="55">
        <v>4</v>
      </c>
      <c r="N16" s="15" t="s">
        <v>12</v>
      </c>
      <c r="O16" s="55">
        <v>1</v>
      </c>
      <c r="P16" s="54" t="s">
        <v>13</v>
      </c>
      <c r="Q16" s="55" t="s">
        <v>14</v>
      </c>
      <c r="R16" s="86" t="s">
        <v>15</v>
      </c>
      <c r="S16" s="86"/>
      <c r="T16" s="55">
        <v>4</v>
      </c>
      <c r="U16" s="15" t="s">
        <v>12</v>
      </c>
      <c r="V16" s="55">
        <v>1</v>
      </c>
      <c r="W16" s="54" t="s">
        <v>13</v>
      </c>
      <c r="X16" s="55" t="s">
        <v>14</v>
      </c>
      <c r="Y16" s="86" t="s">
        <v>15</v>
      </c>
      <c r="Z16" s="86"/>
      <c r="AA16" s="55">
        <v>4</v>
      </c>
      <c r="AB16" s="15" t="s">
        <v>12</v>
      </c>
      <c r="AC16" s="55">
        <v>1</v>
      </c>
      <c r="AD16" s="54" t="s">
        <v>13</v>
      </c>
      <c r="AE16" s="55" t="s">
        <v>14</v>
      </c>
      <c r="AF16" s="86" t="s">
        <v>15</v>
      </c>
      <c r="AG16" s="86"/>
      <c r="AH16" s="55">
        <v>4</v>
      </c>
      <c r="AI16" s="15" t="s">
        <v>12</v>
      </c>
      <c r="AJ16" s="55">
        <v>1</v>
      </c>
      <c r="AK16" s="54" t="s">
        <v>13</v>
      </c>
      <c r="AL16" s="55" t="s">
        <v>14</v>
      </c>
      <c r="AM16" s="86" t="s">
        <v>15</v>
      </c>
      <c r="AN16" s="86"/>
      <c r="AO16" s="55">
        <v>4</v>
      </c>
    </row>
    <row r="17" spans="1:39" x14ac:dyDescent="0.25">
      <c r="A17" s="15"/>
      <c r="B17" s="15"/>
      <c r="C17" s="15"/>
      <c r="D17" s="15"/>
      <c r="E17" s="15"/>
      <c r="F17" s="15"/>
      <c r="G17" s="15"/>
    </row>
    <row r="18" spans="1:39" x14ac:dyDescent="0.25">
      <c r="A18" s="54" t="s">
        <v>16</v>
      </c>
      <c r="B18" s="15"/>
      <c r="C18" s="54" t="s">
        <v>17</v>
      </c>
      <c r="D18" s="15"/>
      <c r="E18" s="54" t="s">
        <v>18</v>
      </c>
      <c r="F18" s="15"/>
      <c r="G18" s="15"/>
      <c r="I18" s="18" t="s">
        <v>17</v>
      </c>
      <c r="K18" s="18" t="s">
        <v>18</v>
      </c>
      <c r="N18" s="18" t="s">
        <v>16</v>
      </c>
      <c r="P18" s="18" t="s">
        <v>17</v>
      </c>
      <c r="R18" s="18" t="s">
        <v>18</v>
      </c>
      <c r="U18" s="18" t="s">
        <v>16</v>
      </c>
      <c r="W18" s="18" t="s">
        <v>17</v>
      </c>
      <c r="Y18" s="18" t="s">
        <v>18</v>
      </c>
      <c r="AB18" s="18" t="s">
        <v>16</v>
      </c>
      <c r="AD18" s="18" t="s">
        <v>17</v>
      </c>
      <c r="AF18" s="18" t="s">
        <v>18</v>
      </c>
      <c r="AI18" s="18" t="s">
        <v>16</v>
      </c>
      <c r="AK18" s="18" t="s">
        <v>17</v>
      </c>
      <c r="AM18" s="18" t="s">
        <v>18</v>
      </c>
    </row>
    <row r="19" spans="1:39" x14ac:dyDescent="0.25">
      <c r="A19" s="22">
        <v>1</v>
      </c>
      <c r="B19" s="15"/>
      <c r="C19" s="25">
        <v>0</v>
      </c>
      <c r="D19" s="15"/>
      <c r="E19" s="25">
        <v>0</v>
      </c>
      <c r="F19" s="15"/>
      <c r="G19" s="15"/>
      <c r="I19" s="18">
        <v>0</v>
      </c>
      <c r="K19" s="18">
        <v>0</v>
      </c>
      <c r="N19" s="18">
        <v>1</v>
      </c>
      <c r="P19" s="18">
        <v>0</v>
      </c>
      <c r="R19" s="18">
        <v>0</v>
      </c>
      <c r="U19" s="18">
        <v>1</v>
      </c>
      <c r="W19" s="18">
        <v>0</v>
      </c>
      <c r="Y19" s="18">
        <v>0</v>
      </c>
      <c r="AB19" s="18">
        <v>1</v>
      </c>
      <c r="AD19" s="18">
        <v>0</v>
      </c>
      <c r="AF19" s="18">
        <v>0</v>
      </c>
      <c r="AI19" s="18">
        <v>1</v>
      </c>
      <c r="AK19" s="18">
        <v>0</v>
      </c>
      <c r="AM19" s="18">
        <v>0</v>
      </c>
    </row>
    <row r="20" spans="1:39" x14ac:dyDescent="0.25">
      <c r="A20" s="24">
        <v>2</v>
      </c>
      <c r="B20" s="15"/>
      <c r="C20" s="27">
        <v>0</v>
      </c>
      <c r="D20" s="15"/>
      <c r="E20" s="27">
        <v>0</v>
      </c>
      <c r="F20" s="15"/>
      <c r="G20" s="15"/>
      <c r="I20" s="18">
        <v>0</v>
      </c>
      <c r="K20" s="18">
        <v>0</v>
      </c>
      <c r="N20" s="18">
        <v>2</v>
      </c>
      <c r="P20" s="18">
        <v>0</v>
      </c>
      <c r="R20" s="18">
        <v>0</v>
      </c>
      <c r="U20" s="18">
        <v>2</v>
      </c>
      <c r="W20" s="18">
        <v>0</v>
      </c>
      <c r="Y20" s="18">
        <v>0</v>
      </c>
      <c r="AB20" s="18">
        <v>2</v>
      </c>
      <c r="AD20" s="18">
        <v>0</v>
      </c>
      <c r="AF20" s="18">
        <v>0</v>
      </c>
      <c r="AI20" s="18">
        <v>2</v>
      </c>
      <c r="AK20" s="18">
        <v>0</v>
      </c>
      <c r="AM20" s="18">
        <v>0</v>
      </c>
    </row>
    <row r="21" spans="1:39" x14ac:dyDescent="0.25">
      <c r="A21" s="24">
        <v>3</v>
      </c>
      <c r="B21" s="15"/>
      <c r="C21" s="27">
        <v>0</v>
      </c>
      <c r="D21" s="28"/>
      <c r="E21" s="3">
        <v>0</v>
      </c>
      <c r="F21" s="29"/>
      <c r="G21" s="15"/>
      <c r="I21" s="18">
        <v>0</v>
      </c>
      <c r="K21" s="18">
        <v>0</v>
      </c>
      <c r="N21" s="18">
        <v>3</v>
      </c>
      <c r="P21" s="18">
        <v>0</v>
      </c>
      <c r="R21" s="18">
        <v>0</v>
      </c>
      <c r="U21" s="18">
        <v>3</v>
      </c>
      <c r="W21" s="18">
        <v>0</v>
      </c>
      <c r="Y21" s="18">
        <v>0</v>
      </c>
      <c r="AB21" s="18">
        <v>3</v>
      </c>
      <c r="AD21" s="18">
        <v>0</v>
      </c>
      <c r="AF21" s="18">
        <v>0</v>
      </c>
      <c r="AI21" s="18">
        <v>3</v>
      </c>
      <c r="AK21" s="18">
        <v>0</v>
      </c>
      <c r="AM21" s="18">
        <v>0</v>
      </c>
    </row>
    <row r="22" spans="1:39" x14ac:dyDescent="0.25">
      <c r="A22" s="23">
        <v>4</v>
      </c>
      <c r="B22" s="15"/>
      <c r="C22" s="26">
        <v>0</v>
      </c>
      <c r="D22" s="15"/>
      <c r="E22" s="26">
        <v>0</v>
      </c>
      <c r="F22" s="15"/>
      <c r="G22" s="15"/>
      <c r="I22" s="18">
        <v>0</v>
      </c>
      <c r="K22" s="18">
        <v>0</v>
      </c>
      <c r="N22" s="18">
        <v>4</v>
      </c>
      <c r="P22" s="18">
        <v>0</v>
      </c>
      <c r="R22" s="18">
        <v>0</v>
      </c>
      <c r="U22" s="18">
        <v>4</v>
      </c>
      <c r="W22" s="18">
        <v>0</v>
      </c>
      <c r="Y22" s="18">
        <v>0</v>
      </c>
      <c r="AB22" s="18">
        <v>4</v>
      </c>
      <c r="AD22" s="18">
        <v>0</v>
      </c>
      <c r="AF22" s="18">
        <v>0</v>
      </c>
      <c r="AI22" s="18">
        <v>4</v>
      </c>
      <c r="AK22" s="18">
        <v>0</v>
      </c>
      <c r="AM22" s="18">
        <v>0</v>
      </c>
    </row>
    <row r="23" spans="1:39" x14ac:dyDescent="0.25">
      <c r="A23" s="86" t="s">
        <v>12</v>
      </c>
      <c r="B23" s="89">
        <v>1</v>
      </c>
      <c r="C23" s="86" t="s">
        <v>13</v>
      </c>
      <c r="D23" s="55" t="s">
        <v>14</v>
      </c>
      <c r="E23" s="87" t="s">
        <v>15</v>
      </c>
      <c r="F23" s="88"/>
      <c r="G23" s="55">
        <v>4</v>
      </c>
    </row>
    <row r="24" spans="1:39" x14ac:dyDescent="0.25">
      <c r="A24" s="15"/>
      <c r="B24" s="15"/>
      <c r="C24" s="15"/>
      <c r="D24" s="15"/>
      <c r="E24" s="15"/>
      <c r="F24" s="15"/>
      <c r="G24" s="15"/>
    </row>
    <row r="25" spans="1:39" x14ac:dyDescent="0.25">
      <c r="A25" s="54" t="s">
        <v>16</v>
      </c>
      <c r="B25" s="15"/>
      <c r="C25" s="54" t="s">
        <v>17</v>
      </c>
      <c r="D25" s="15"/>
      <c r="E25" s="54" t="s">
        <v>18</v>
      </c>
      <c r="F25" s="15"/>
      <c r="G25" s="15"/>
    </row>
    <row r="26" spans="1:39" x14ac:dyDescent="0.25">
      <c r="A26" s="22">
        <v>1</v>
      </c>
      <c r="B26" s="15"/>
      <c r="C26" s="25">
        <v>0</v>
      </c>
      <c r="D26" s="15"/>
      <c r="E26" s="25">
        <v>0</v>
      </c>
      <c r="F26" s="15"/>
      <c r="G26" s="15"/>
    </row>
    <row r="27" spans="1:39" x14ac:dyDescent="0.25">
      <c r="A27" s="24">
        <v>2</v>
      </c>
      <c r="B27" s="15"/>
      <c r="C27" s="27">
        <v>0</v>
      </c>
      <c r="D27" s="15"/>
      <c r="E27" s="27">
        <v>0</v>
      </c>
      <c r="F27" s="15"/>
      <c r="G27" s="15"/>
    </row>
    <row r="28" spans="1:39" x14ac:dyDescent="0.25">
      <c r="A28" s="24">
        <v>3</v>
      </c>
      <c r="B28" s="15"/>
      <c r="C28" s="27">
        <v>0</v>
      </c>
      <c r="D28" s="28"/>
      <c r="E28" s="3">
        <v>0</v>
      </c>
      <c r="F28" s="29"/>
      <c r="G28" s="15"/>
    </row>
    <row r="29" spans="1:39" x14ac:dyDescent="0.25">
      <c r="A29" s="23">
        <v>4</v>
      </c>
      <c r="B29" s="15"/>
      <c r="C29" s="26">
        <v>0</v>
      </c>
      <c r="D29" s="15"/>
      <c r="E29" s="26">
        <v>0</v>
      </c>
      <c r="F29" s="15"/>
      <c r="G29" s="15"/>
    </row>
    <row r="30" spans="1:39" x14ac:dyDescent="0.25">
      <c r="A30" s="86" t="s">
        <v>12</v>
      </c>
      <c r="B30" s="89">
        <v>1</v>
      </c>
      <c r="C30" s="86" t="s">
        <v>13</v>
      </c>
      <c r="D30" s="55" t="s">
        <v>14</v>
      </c>
      <c r="E30" s="87" t="s">
        <v>15</v>
      </c>
      <c r="F30" s="88"/>
      <c r="G30" s="55">
        <v>4</v>
      </c>
    </row>
    <row r="31" spans="1:39" x14ac:dyDescent="0.25">
      <c r="A31" s="15"/>
      <c r="B31" s="15"/>
      <c r="C31" s="15"/>
      <c r="D31" s="15"/>
      <c r="E31" s="15"/>
      <c r="F31" s="15"/>
      <c r="G31" s="15"/>
    </row>
    <row r="32" spans="1:39" x14ac:dyDescent="0.25">
      <c r="A32" s="54" t="s">
        <v>16</v>
      </c>
      <c r="B32" s="15"/>
      <c r="C32" s="54" t="s">
        <v>17</v>
      </c>
      <c r="D32" s="15"/>
      <c r="E32" s="54" t="s">
        <v>18</v>
      </c>
      <c r="F32" s="15"/>
      <c r="G32" s="15"/>
    </row>
    <row r="33" spans="1:7" x14ac:dyDescent="0.25">
      <c r="A33" s="22">
        <v>1</v>
      </c>
      <c r="B33" s="15"/>
      <c r="C33" s="25">
        <v>0</v>
      </c>
      <c r="D33" s="15"/>
      <c r="E33" s="25">
        <v>0</v>
      </c>
      <c r="F33" s="15"/>
      <c r="G33" s="15"/>
    </row>
    <row r="34" spans="1:7" x14ac:dyDescent="0.25">
      <c r="A34" s="24">
        <v>2</v>
      </c>
      <c r="B34" s="15"/>
      <c r="C34" s="27">
        <v>0</v>
      </c>
      <c r="D34" s="15"/>
      <c r="E34" s="27">
        <v>0</v>
      </c>
      <c r="F34" s="15"/>
      <c r="G34" s="15"/>
    </row>
    <row r="35" spans="1:7" x14ac:dyDescent="0.25">
      <c r="A35" s="24">
        <v>3</v>
      </c>
      <c r="B35" s="15"/>
      <c r="C35" s="27">
        <v>0</v>
      </c>
      <c r="D35" s="28"/>
      <c r="E35" s="3">
        <v>0</v>
      </c>
      <c r="F35" s="29"/>
      <c r="G35" s="15"/>
    </row>
    <row r="36" spans="1:7" x14ac:dyDescent="0.25">
      <c r="A36" s="23">
        <v>4</v>
      </c>
      <c r="B36" s="15"/>
      <c r="C36" s="26">
        <v>0</v>
      </c>
      <c r="D36" s="15"/>
      <c r="E36" s="26">
        <v>0</v>
      </c>
      <c r="F36" s="15"/>
      <c r="G36" s="15"/>
    </row>
    <row r="37" spans="1:7" x14ac:dyDescent="0.25">
      <c r="A37" s="86" t="s">
        <v>12</v>
      </c>
      <c r="B37" s="89">
        <v>1</v>
      </c>
      <c r="C37" s="86" t="s">
        <v>13</v>
      </c>
      <c r="D37" s="55" t="s">
        <v>14</v>
      </c>
      <c r="E37" s="87" t="s">
        <v>15</v>
      </c>
      <c r="F37" s="88"/>
      <c r="G37" s="55">
        <v>4</v>
      </c>
    </row>
    <row r="38" spans="1:7" x14ac:dyDescent="0.25">
      <c r="A38" s="15"/>
      <c r="B38" s="15"/>
      <c r="C38" s="15"/>
      <c r="D38" s="15"/>
      <c r="E38" s="15"/>
      <c r="F38" s="15"/>
      <c r="G38" s="15"/>
    </row>
    <row r="39" spans="1:7" x14ac:dyDescent="0.25">
      <c r="A39" s="54" t="s">
        <v>16</v>
      </c>
      <c r="B39" s="15"/>
      <c r="C39" s="54" t="s">
        <v>17</v>
      </c>
      <c r="D39" s="15"/>
      <c r="E39" s="54" t="s">
        <v>18</v>
      </c>
      <c r="F39" s="15"/>
      <c r="G39" s="15"/>
    </row>
    <row r="40" spans="1:7" x14ac:dyDescent="0.25">
      <c r="A40" s="22">
        <v>1</v>
      </c>
      <c r="B40" s="15"/>
      <c r="C40" s="25">
        <v>0</v>
      </c>
      <c r="D40" s="15"/>
      <c r="E40" s="25">
        <v>0</v>
      </c>
      <c r="F40" s="15"/>
      <c r="G40" s="15"/>
    </row>
    <row r="41" spans="1:7" x14ac:dyDescent="0.25">
      <c r="A41" s="24">
        <v>2</v>
      </c>
      <c r="B41" s="15"/>
      <c r="C41" s="27">
        <v>0</v>
      </c>
      <c r="D41" s="15"/>
      <c r="E41" s="27">
        <v>0</v>
      </c>
      <c r="F41" s="15"/>
      <c r="G41" s="15"/>
    </row>
    <row r="42" spans="1:7" x14ac:dyDescent="0.25">
      <c r="A42" s="24">
        <v>3</v>
      </c>
      <c r="B42" s="15"/>
      <c r="C42" s="27">
        <v>0</v>
      </c>
      <c r="D42" s="28"/>
      <c r="E42" s="3">
        <v>0</v>
      </c>
      <c r="F42" s="29"/>
      <c r="G42" s="15"/>
    </row>
    <row r="43" spans="1:7" x14ac:dyDescent="0.25">
      <c r="A43" s="23">
        <v>4</v>
      </c>
      <c r="B43" s="15"/>
      <c r="C43" s="26">
        <v>0</v>
      </c>
      <c r="D43" s="15"/>
      <c r="E43" s="26">
        <v>0</v>
      </c>
      <c r="F43" s="15"/>
      <c r="G43" s="15"/>
    </row>
    <row r="45" spans="1:7" x14ac:dyDescent="0.25">
      <c r="A45" s="77" t="s">
        <v>19</v>
      </c>
      <c r="B45" s="78"/>
      <c r="C45" s="79"/>
      <c r="E45" s="15"/>
    </row>
    <row r="46" spans="1:7" x14ac:dyDescent="0.25">
      <c r="A46" s="15"/>
      <c r="B46" s="15"/>
      <c r="C46" s="15"/>
      <c r="D46" s="15"/>
      <c r="E46" s="15"/>
      <c r="F46" s="15"/>
      <c r="G46" s="15"/>
    </row>
    <row r="47" spans="1:7" x14ac:dyDescent="0.25">
      <c r="A47" s="73" t="s">
        <v>20</v>
      </c>
      <c r="B47" s="74"/>
      <c r="C47" s="75"/>
      <c r="D47" s="19">
        <v>88</v>
      </c>
      <c r="E47" s="15"/>
      <c r="F47" s="15"/>
      <c r="G47" s="15"/>
    </row>
    <row r="48" spans="1:7" x14ac:dyDescent="0.25">
      <c r="A48" s="15"/>
      <c r="B48" s="15"/>
      <c r="C48" s="15"/>
      <c r="D48" s="15"/>
      <c r="E48" s="15"/>
      <c r="F48" s="15"/>
      <c r="G48" s="15"/>
    </row>
    <row r="49" spans="1:7" x14ac:dyDescent="0.25">
      <c r="A49" s="16" t="s">
        <v>21</v>
      </c>
      <c r="B49" s="15"/>
      <c r="C49" s="16" t="s">
        <v>17</v>
      </c>
      <c r="D49" s="15"/>
      <c r="E49" s="16" t="s">
        <v>18</v>
      </c>
      <c r="F49" s="15"/>
      <c r="G49" s="16" t="s">
        <v>22</v>
      </c>
    </row>
    <row r="50" spans="1:7" x14ac:dyDescent="0.25">
      <c r="A50" s="37">
        <f t="shared" ref="A50:A113" si="0">A51-1</f>
        <v>1</v>
      </c>
      <c r="B50" s="15"/>
      <c r="C50" s="32">
        <v>120</v>
      </c>
      <c r="D50" s="15"/>
      <c r="E50" s="32">
        <v>12</v>
      </c>
      <c r="F50" s="15"/>
      <c r="G50" s="2">
        <v>12</v>
      </c>
    </row>
    <row r="51" spans="1:7" x14ac:dyDescent="0.25">
      <c r="A51" s="37">
        <f t="shared" si="0"/>
        <v>2</v>
      </c>
      <c r="B51" s="15"/>
      <c r="C51" s="32">
        <v>132.20000000000002</v>
      </c>
      <c r="D51" s="15"/>
      <c r="E51" s="32">
        <v>12</v>
      </c>
      <c r="F51" s="15"/>
      <c r="G51" s="2">
        <v>12</v>
      </c>
    </row>
    <row r="52" spans="1:7" x14ac:dyDescent="0.25">
      <c r="A52" s="37">
        <f t="shared" si="0"/>
        <v>3</v>
      </c>
      <c r="B52" s="15"/>
      <c r="C52" s="32">
        <v>144.19999999999999</v>
      </c>
      <c r="D52" s="15"/>
      <c r="E52" s="32">
        <v>12</v>
      </c>
      <c r="F52" s="15"/>
      <c r="G52" s="2">
        <v>12</v>
      </c>
    </row>
    <row r="53" spans="1:7" x14ac:dyDescent="0.25">
      <c r="A53" s="37">
        <f t="shared" si="0"/>
        <v>4</v>
      </c>
      <c r="B53" s="15"/>
      <c r="C53" s="32">
        <v>120</v>
      </c>
      <c r="D53" s="15"/>
      <c r="E53" s="32">
        <v>3</v>
      </c>
      <c r="F53" s="15"/>
      <c r="G53" s="2">
        <v>12</v>
      </c>
    </row>
    <row r="54" spans="1:7" x14ac:dyDescent="0.25">
      <c r="A54" s="37">
        <f t="shared" si="0"/>
        <v>5</v>
      </c>
      <c r="B54" s="15"/>
      <c r="C54" s="32">
        <v>132.20000000000002</v>
      </c>
      <c r="D54" s="15"/>
      <c r="E54" s="32">
        <v>3</v>
      </c>
      <c r="F54" s="15"/>
      <c r="G54" s="2">
        <v>12</v>
      </c>
    </row>
    <row r="55" spans="1:7" x14ac:dyDescent="0.25">
      <c r="A55" s="37">
        <f t="shared" si="0"/>
        <v>6</v>
      </c>
      <c r="B55" s="15"/>
      <c r="C55" s="32">
        <v>144.19999999999999</v>
      </c>
      <c r="D55" s="15"/>
      <c r="E55" s="32">
        <v>3</v>
      </c>
      <c r="F55" s="15"/>
      <c r="G55" s="2">
        <v>12</v>
      </c>
    </row>
    <row r="56" spans="1:7" x14ac:dyDescent="0.25">
      <c r="A56" s="37">
        <f t="shared" si="0"/>
        <v>7</v>
      </c>
      <c r="B56" s="15"/>
      <c r="C56" s="32">
        <v>156.20000000000002</v>
      </c>
      <c r="D56" s="15"/>
      <c r="E56" s="32">
        <v>3</v>
      </c>
      <c r="F56" s="15"/>
      <c r="G56" s="2">
        <v>12</v>
      </c>
    </row>
    <row r="57" spans="1:7" x14ac:dyDescent="0.25">
      <c r="A57" s="37">
        <f t="shared" si="0"/>
        <v>8</v>
      </c>
      <c r="B57" s="15"/>
      <c r="C57" s="32">
        <v>162.1</v>
      </c>
      <c r="D57" s="15"/>
      <c r="E57" s="32">
        <v>12</v>
      </c>
      <c r="F57" s="15"/>
      <c r="G57" s="2">
        <v>12</v>
      </c>
    </row>
    <row r="58" spans="1:7" x14ac:dyDescent="0.25">
      <c r="A58" s="37">
        <f t="shared" si="0"/>
        <v>9</v>
      </c>
      <c r="B58" s="15"/>
      <c r="C58" s="32">
        <v>168.2</v>
      </c>
      <c r="D58" s="15"/>
      <c r="E58" s="32">
        <v>3</v>
      </c>
      <c r="F58" s="15"/>
      <c r="G58" s="2">
        <v>12</v>
      </c>
    </row>
    <row r="59" spans="1:7" x14ac:dyDescent="0.25">
      <c r="A59" s="37">
        <f t="shared" si="0"/>
        <v>10</v>
      </c>
      <c r="B59" s="15"/>
      <c r="C59" s="32">
        <v>120</v>
      </c>
      <c r="D59" s="15"/>
      <c r="E59" s="32">
        <v>12</v>
      </c>
      <c r="F59" s="15"/>
      <c r="G59" s="2">
        <v>12</v>
      </c>
    </row>
    <row r="60" spans="1:7" x14ac:dyDescent="0.25">
      <c r="A60" s="37">
        <f t="shared" si="0"/>
        <v>11</v>
      </c>
      <c r="B60" s="15"/>
      <c r="C60" s="32">
        <v>107.80000000000001</v>
      </c>
      <c r="D60" s="15"/>
      <c r="E60" s="32">
        <v>12</v>
      </c>
      <c r="F60" s="15"/>
      <c r="G60" s="2">
        <v>12</v>
      </c>
    </row>
    <row r="61" spans="1:7" x14ac:dyDescent="0.25">
      <c r="A61" s="37">
        <f t="shared" si="0"/>
        <v>12</v>
      </c>
      <c r="B61" s="15"/>
      <c r="C61" s="32">
        <v>95.8</v>
      </c>
      <c r="D61" s="15"/>
      <c r="E61" s="32">
        <v>12</v>
      </c>
      <c r="F61" s="15"/>
      <c r="G61" s="2">
        <v>12</v>
      </c>
    </row>
    <row r="62" spans="1:7" x14ac:dyDescent="0.25">
      <c r="A62" s="37">
        <f t="shared" si="0"/>
        <v>13</v>
      </c>
      <c r="B62" s="15"/>
      <c r="C62" s="32">
        <v>120</v>
      </c>
      <c r="D62" s="15"/>
      <c r="E62" s="32">
        <v>3</v>
      </c>
      <c r="F62" s="15"/>
      <c r="G62" s="2">
        <v>12</v>
      </c>
    </row>
    <row r="63" spans="1:7" x14ac:dyDescent="0.25">
      <c r="A63" s="37">
        <f t="shared" si="0"/>
        <v>14</v>
      </c>
      <c r="B63" s="15"/>
      <c r="C63" s="32">
        <v>107.80000000000001</v>
      </c>
      <c r="D63" s="15"/>
      <c r="E63" s="32">
        <v>3</v>
      </c>
      <c r="F63" s="15"/>
      <c r="G63" s="2">
        <v>12</v>
      </c>
    </row>
    <row r="64" spans="1:7" x14ac:dyDescent="0.25">
      <c r="A64" s="37">
        <f t="shared" si="0"/>
        <v>15</v>
      </c>
      <c r="B64" s="15"/>
      <c r="C64" s="32">
        <v>95.8</v>
      </c>
      <c r="D64" s="15"/>
      <c r="E64" s="32">
        <v>3</v>
      </c>
      <c r="F64" s="15"/>
      <c r="G64" s="2">
        <v>12</v>
      </c>
    </row>
    <row r="65" spans="1:7" x14ac:dyDescent="0.25">
      <c r="A65" s="37">
        <f t="shared" si="0"/>
        <v>16</v>
      </c>
      <c r="B65" s="15"/>
      <c r="C65" s="32">
        <v>83.8</v>
      </c>
      <c r="D65" s="15"/>
      <c r="E65" s="32">
        <v>3</v>
      </c>
      <c r="F65" s="15"/>
      <c r="G65" s="2">
        <v>12</v>
      </c>
    </row>
    <row r="66" spans="1:7" x14ac:dyDescent="0.25">
      <c r="A66" s="37">
        <f t="shared" si="0"/>
        <v>17</v>
      </c>
      <c r="B66" s="15"/>
      <c r="C66" s="32">
        <v>77.900000000000006</v>
      </c>
      <c r="D66" s="15"/>
      <c r="E66" s="32">
        <v>12</v>
      </c>
      <c r="F66" s="15"/>
      <c r="G66" s="2">
        <v>12</v>
      </c>
    </row>
    <row r="67" spans="1:7" x14ac:dyDescent="0.25">
      <c r="A67" s="37">
        <f t="shared" si="0"/>
        <v>18</v>
      </c>
      <c r="B67" s="15"/>
      <c r="C67" s="32">
        <v>71.8</v>
      </c>
      <c r="D67" s="15"/>
      <c r="E67" s="32">
        <v>3</v>
      </c>
      <c r="F67" s="15"/>
      <c r="G67" s="2">
        <v>12</v>
      </c>
    </row>
    <row r="68" spans="1:7" x14ac:dyDescent="0.25">
      <c r="A68" s="37">
        <f t="shared" si="0"/>
        <v>19</v>
      </c>
      <c r="B68" s="15"/>
      <c r="C68" s="32">
        <v>40.6</v>
      </c>
      <c r="D68" s="15"/>
      <c r="E68" s="32">
        <v>108</v>
      </c>
      <c r="F68" s="15"/>
      <c r="G68" s="2">
        <v>12</v>
      </c>
    </row>
    <row r="69" spans="1:7" x14ac:dyDescent="0.25">
      <c r="A69" s="37">
        <f t="shared" si="0"/>
        <v>20</v>
      </c>
      <c r="B69" s="15"/>
      <c r="C69" s="32">
        <v>111.00000000000001</v>
      </c>
      <c r="D69" s="15"/>
      <c r="E69" s="32">
        <v>108</v>
      </c>
      <c r="F69" s="15"/>
      <c r="G69" s="2">
        <v>12</v>
      </c>
    </row>
    <row r="70" spans="1:7" x14ac:dyDescent="0.25">
      <c r="A70" s="37">
        <f t="shared" si="0"/>
        <v>21</v>
      </c>
      <c r="B70" s="15"/>
      <c r="C70" s="32">
        <v>99</v>
      </c>
      <c r="D70" s="15"/>
      <c r="E70" s="32">
        <v>108</v>
      </c>
      <c r="F70" s="15"/>
      <c r="G70" s="2">
        <v>12</v>
      </c>
    </row>
    <row r="71" spans="1:7" x14ac:dyDescent="0.25">
      <c r="A71" s="37">
        <f t="shared" si="0"/>
        <v>22</v>
      </c>
      <c r="B71" s="15"/>
      <c r="C71" s="32">
        <v>87</v>
      </c>
      <c r="D71" s="15"/>
      <c r="E71" s="32">
        <v>108</v>
      </c>
      <c r="F71" s="15"/>
      <c r="G71" s="2">
        <v>12</v>
      </c>
    </row>
    <row r="72" spans="1:7" x14ac:dyDescent="0.25">
      <c r="A72" s="37">
        <f t="shared" si="0"/>
        <v>23</v>
      </c>
      <c r="B72" s="15"/>
      <c r="C72" s="32">
        <v>75</v>
      </c>
      <c r="D72" s="15"/>
      <c r="E72" s="32">
        <v>108</v>
      </c>
      <c r="F72" s="15"/>
      <c r="G72" s="2">
        <v>12</v>
      </c>
    </row>
    <row r="73" spans="1:7" x14ac:dyDescent="0.25">
      <c r="A73" s="37">
        <f t="shared" si="0"/>
        <v>24</v>
      </c>
      <c r="B73" s="15"/>
      <c r="C73" s="32">
        <v>63</v>
      </c>
      <c r="D73" s="15"/>
      <c r="E73" s="32">
        <v>108</v>
      </c>
      <c r="F73" s="15"/>
      <c r="G73" s="2">
        <v>12</v>
      </c>
    </row>
    <row r="74" spans="1:7" x14ac:dyDescent="0.25">
      <c r="A74" s="37">
        <f t="shared" si="0"/>
        <v>25</v>
      </c>
      <c r="B74" s="15"/>
      <c r="C74" s="32">
        <v>51</v>
      </c>
      <c r="D74" s="15"/>
      <c r="E74" s="32">
        <v>108</v>
      </c>
      <c r="F74" s="15"/>
      <c r="G74" s="2">
        <v>12</v>
      </c>
    </row>
    <row r="75" spans="1:7" x14ac:dyDescent="0.25">
      <c r="A75" s="37">
        <f t="shared" si="0"/>
        <v>26</v>
      </c>
      <c r="B75" s="15"/>
      <c r="C75" s="32">
        <v>31</v>
      </c>
      <c r="D75" s="15"/>
      <c r="E75" s="32">
        <v>108</v>
      </c>
      <c r="F75" s="15"/>
      <c r="G75" s="2">
        <v>12</v>
      </c>
    </row>
    <row r="76" spans="1:7" x14ac:dyDescent="0.25">
      <c r="A76" s="37">
        <f t="shared" si="0"/>
        <v>27</v>
      </c>
      <c r="B76" s="15"/>
      <c r="C76" s="32">
        <v>15</v>
      </c>
      <c r="D76" s="15"/>
      <c r="E76" s="32">
        <v>108</v>
      </c>
      <c r="F76" s="15"/>
      <c r="G76" s="2">
        <v>12</v>
      </c>
    </row>
    <row r="77" spans="1:7" x14ac:dyDescent="0.25">
      <c r="A77" s="37">
        <f t="shared" si="0"/>
        <v>28</v>
      </c>
      <c r="B77" s="15"/>
      <c r="C77" s="32">
        <v>3</v>
      </c>
      <c r="D77" s="15"/>
      <c r="E77" s="32">
        <v>108</v>
      </c>
      <c r="F77" s="15"/>
      <c r="G77" s="2">
        <v>12</v>
      </c>
    </row>
    <row r="78" spans="1:7" x14ac:dyDescent="0.25">
      <c r="A78" s="37">
        <f t="shared" si="0"/>
        <v>29</v>
      </c>
      <c r="B78" s="15"/>
      <c r="C78" s="32">
        <v>111.00000000000001</v>
      </c>
      <c r="D78" s="15"/>
      <c r="E78" s="32">
        <v>117</v>
      </c>
      <c r="F78" s="15"/>
      <c r="G78" s="2">
        <v>12</v>
      </c>
    </row>
    <row r="79" spans="1:7" x14ac:dyDescent="0.25">
      <c r="A79" s="37">
        <f t="shared" si="0"/>
        <v>30</v>
      </c>
      <c r="B79" s="15"/>
      <c r="C79" s="32">
        <v>99</v>
      </c>
      <c r="D79" s="15"/>
      <c r="E79" s="32">
        <v>117</v>
      </c>
      <c r="F79" s="15"/>
      <c r="G79" s="2">
        <v>12</v>
      </c>
    </row>
    <row r="80" spans="1:7" x14ac:dyDescent="0.25">
      <c r="A80" s="37">
        <f t="shared" si="0"/>
        <v>31</v>
      </c>
      <c r="B80" s="15"/>
      <c r="C80" s="32">
        <v>87</v>
      </c>
      <c r="D80" s="15"/>
      <c r="E80" s="32">
        <v>117</v>
      </c>
      <c r="F80" s="15"/>
      <c r="G80" s="2">
        <v>12</v>
      </c>
    </row>
    <row r="81" spans="1:7" x14ac:dyDescent="0.25">
      <c r="A81" s="37">
        <f t="shared" si="0"/>
        <v>32</v>
      </c>
      <c r="B81" s="15"/>
      <c r="C81" s="32">
        <v>75</v>
      </c>
      <c r="D81" s="15"/>
      <c r="E81" s="32">
        <v>117</v>
      </c>
      <c r="F81" s="15"/>
      <c r="G81" s="2">
        <v>12</v>
      </c>
    </row>
    <row r="82" spans="1:7" x14ac:dyDescent="0.25">
      <c r="A82" s="37">
        <f t="shared" si="0"/>
        <v>33</v>
      </c>
      <c r="B82" s="15"/>
      <c r="C82" s="32">
        <v>63</v>
      </c>
      <c r="D82" s="15"/>
      <c r="E82" s="32">
        <v>117</v>
      </c>
      <c r="F82" s="15"/>
      <c r="G82" s="2">
        <v>12</v>
      </c>
    </row>
    <row r="83" spans="1:7" x14ac:dyDescent="0.25">
      <c r="A83" s="37">
        <f t="shared" si="0"/>
        <v>34</v>
      </c>
      <c r="B83" s="15"/>
      <c r="C83" s="32">
        <v>51</v>
      </c>
      <c r="D83" s="15"/>
      <c r="E83" s="32">
        <v>117</v>
      </c>
      <c r="F83" s="15"/>
      <c r="G83" s="2">
        <v>12</v>
      </c>
    </row>
    <row r="84" spans="1:7" x14ac:dyDescent="0.25">
      <c r="A84" s="37">
        <f t="shared" si="0"/>
        <v>35</v>
      </c>
      <c r="B84" s="15"/>
      <c r="C84" s="32">
        <v>39</v>
      </c>
      <c r="D84" s="15"/>
      <c r="E84" s="32">
        <v>117</v>
      </c>
      <c r="F84" s="15"/>
      <c r="G84" s="2">
        <v>12</v>
      </c>
    </row>
    <row r="85" spans="1:7" x14ac:dyDescent="0.25">
      <c r="A85" s="37">
        <f t="shared" si="0"/>
        <v>36</v>
      </c>
      <c r="B85" s="15"/>
      <c r="C85" s="32">
        <v>27</v>
      </c>
      <c r="D85" s="15"/>
      <c r="E85" s="32">
        <v>117</v>
      </c>
      <c r="F85" s="15"/>
      <c r="G85" s="2">
        <v>12</v>
      </c>
    </row>
    <row r="86" spans="1:7" x14ac:dyDescent="0.25">
      <c r="A86" s="37">
        <f t="shared" si="0"/>
        <v>37</v>
      </c>
      <c r="B86" s="15"/>
      <c r="C86" s="32">
        <v>15</v>
      </c>
      <c r="D86" s="15"/>
      <c r="E86" s="32">
        <v>117</v>
      </c>
      <c r="F86" s="15"/>
      <c r="G86" s="2">
        <v>12</v>
      </c>
    </row>
    <row r="87" spans="1:7" x14ac:dyDescent="0.25">
      <c r="A87" s="37">
        <f t="shared" si="0"/>
        <v>38</v>
      </c>
      <c r="B87" s="15"/>
      <c r="C87" s="32">
        <v>3</v>
      </c>
      <c r="D87" s="15"/>
      <c r="E87" s="32">
        <v>117</v>
      </c>
      <c r="F87" s="15"/>
      <c r="G87" s="2">
        <v>12</v>
      </c>
    </row>
    <row r="88" spans="1:7" x14ac:dyDescent="0.25">
      <c r="A88" s="37">
        <f t="shared" si="0"/>
        <v>39</v>
      </c>
      <c r="B88" s="15"/>
      <c r="C88" s="32">
        <v>120</v>
      </c>
      <c r="D88" s="15"/>
      <c r="E88" s="32">
        <v>108</v>
      </c>
      <c r="F88" s="15"/>
      <c r="G88" s="2">
        <v>12</v>
      </c>
    </row>
    <row r="89" spans="1:7" x14ac:dyDescent="0.25">
      <c r="A89" s="37">
        <f t="shared" si="0"/>
        <v>40</v>
      </c>
      <c r="B89" s="15"/>
      <c r="C89" s="32">
        <v>199.4</v>
      </c>
      <c r="D89" s="15"/>
      <c r="E89" s="32">
        <v>108</v>
      </c>
      <c r="F89" s="15"/>
      <c r="G89" s="2">
        <v>12</v>
      </c>
    </row>
    <row r="90" spans="1:7" x14ac:dyDescent="0.25">
      <c r="A90" s="37">
        <f t="shared" si="0"/>
        <v>41</v>
      </c>
      <c r="B90" s="15"/>
      <c r="C90" s="32">
        <v>129</v>
      </c>
      <c r="D90" s="15"/>
      <c r="E90" s="32">
        <v>108</v>
      </c>
      <c r="F90" s="15"/>
      <c r="G90" s="2">
        <v>12</v>
      </c>
    </row>
    <row r="91" spans="1:7" x14ac:dyDescent="0.25">
      <c r="A91" s="37">
        <f t="shared" si="0"/>
        <v>42</v>
      </c>
      <c r="B91" s="15"/>
      <c r="C91" s="32">
        <v>141</v>
      </c>
      <c r="D91" s="15"/>
      <c r="E91" s="32">
        <v>108</v>
      </c>
      <c r="F91" s="15"/>
      <c r="G91" s="2">
        <v>12</v>
      </c>
    </row>
    <row r="92" spans="1:7" x14ac:dyDescent="0.25">
      <c r="A92" s="37">
        <f t="shared" si="0"/>
        <v>43</v>
      </c>
      <c r="B92" s="15"/>
      <c r="C92" s="32">
        <v>153</v>
      </c>
      <c r="D92" s="15"/>
      <c r="E92" s="32">
        <v>108</v>
      </c>
      <c r="F92" s="15"/>
      <c r="G92" s="2">
        <v>12</v>
      </c>
    </row>
    <row r="93" spans="1:7" x14ac:dyDescent="0.25">
      <c r="A93" s="37">
        <f t="shared" si="0"/>
        <v>44</v>
      </c>
      <c r="B93" s="15"/>
      <c r="C93" s="32">
        <v>165</v>
      </c>
      <c r="D93" s="15"/>
      <c r="E93" s="32">
        <v>108</v>
      </c>
      <c r="F93" s="15"/>
      <c r="G93" s="2">
        <v>12</v>
      </c>
    </row>
    <row r="94" spans="1:7" x14ac:dyDescent="0.25">
      <c r="A94" s="37">
        <f t="shared" si="0"/>
        <v>45</v>
      </c>
      <c r="B94" s="15"/>
      <c r="C94" s="32">
        <v>177</v>
      </c>
      <c r="D94" s="15"/>
      <c r="E94" s="32">
        <v>108</v>
      </c>
      <c r="F94" s="15"/>
      <c r="G94" s="2">
        <v>12</v>
      </c>
    </row>
    <row r="95" spans="1:7" x14ac:dyDescent="0.25">
      <c r="A95" s="37">
        <f t="shared" si="0"/>
        <v>46</v>
      </c>
      <c r="B95" s="15"/>
      <c r="C95" s="32">
        <v>189</v>
      </c>
      <c r="D95" s="15"/>
      <c r="E95" s="32">
        <v>108</v>
      </c>
      <c r="F95" s="15"/>
      <c r="G95" s="2">
        <v>12</v>
      </c>
    </row>
    <row r="96" spans="1:7" x14ac:dyDescent="0.25">
      <c r="A96" s="37">
        <f t="shared" si="0"/>
        <v>47</v>
      </c>
      <c r="B96" s="15"/>
      <c r="C96" s="32">
        <v>209</v>
      </c>
      <c r="D96" s="15"/>
      <c r="E96" s="32">
        <v>108</v>
      </c>
      <c r="F96" s="15"/>
      <c r="G96" s="2">
        <v>12</v>
      </c>
    </row>
    <row r="97" spans="1:7" x14ac:dyDescent="0.25">
      <c r="A97" s="37">
        <f t="shared" si="0"/>
        <v>48</v>
      </c>
      <c r="B97" s="15"/>
      <c r="C97" s="32">
        <v>225</v>
      </c>
      <c r="D97" s="15"/>
      <c r="E97" s="32">
        <v>108</v>
      </c>
      <c r="F97" s="15"/>
      <c r="G97" s="2">
        <v>12</v>
      </c>
    </row>
    <row r="98" spans="1:7" x14ac:dyDescent="0.25">
      <c r="A98" s="37">
        <f t="shared" si="0"/>
        <v>49</v>
      </c>
      <c r="B98" s="15"/>
      <c r="C98" s="32">
        <v>237</v>
      </c>
      <c r="D98" s="15"/>
      <c r="E98" s="32">
        <v>108</v>
      </c>
      <c r="F98" s="15"/>
      <c r="G98" s="2">
        <v>12</v>
      </c>
    </row>
    <row r="99" spans="1:7" x14ac:dyDescent="0.25">
      <c r="A99" s="37">
        <f t="shared" si="0"/>
        <v>50</v>
      </c>
      <c r="B99" s="15"/>
      <c r="C99" s="32">
        <v>120</v>
      </c>
      <c r="D99" s="15"/>
      <c r="E99" s="32">
        <v>117</v>
      </c>
      <c r="F99" s="15"/>
      <c r="G99" s="2">
        <v>12</v>
      </c>
    </row>
    <row r="100" spans="1:7" x14ac:dyDescent="0.25">
      <c r="A100" s="37">
        <f t="shared" si="0"/>
        <v>51</v>
      </c>
      <c r="B100" s="15"/>
      <c r="C100" s="32">
        <v>129</v>
      </c>
      <c r="D100" s="15"/>
      <c r="E100" s="32">
        <v>117</v>
      </c>
      <c r="F100" s="15"/>
      <c r="G100" s="2">
        <v>12</v>
      </c>
    </row>
    <row r="101" spans="1:7" x14ac:dyDescent="0.25">
      <c r="A101" s="37">
        <f t="shared" si="0"/>
        <v>52</v>
      </c>
      <c r="B101" s="15"/>
      <c r="C101" s="32">
        <v>141</v>
      </c>
      <c r="D101" s="15"/>
      <c r="E101" s="32">
        <v>117</v>
      </c>
      <c r="F101" s="15"/>
      <c r="G101" s="2">
        <v>12</v>
      </c>
    </row>
    <row r="102" spans="1:7" x14ac:dyDescent="0.25">
      <c r="A102" s="37">
        <f t="shared" si="0"/>
        <v>53</v>
      </c>
      <c r="B102" s="15"/>
      <c r="C102" s="32">
        <v>153</v>
      </c>
      <c r="D102" s="15"/>
      <c r="E102" s="32">
        <v>117</v>
      </c>
      <c r="F102" s="15"/>
      <c r="G102" s="2">
        <v>12</v>
      </c>
    </row>
    <row r="103" spans="1:7" x14ac:dyDescent="0.25">
      <c r="A103" s="37">
        <f t="shared" si="0"/>
        <v>54</v>
      </c>
      <c r="B103" s="15"/>
      <c r="C103" s="32">
        <v>165</v>
      </c>
      <c r="D103" s="15"/>
      <c r="E103" s="32">
        <v>117</v>
      </c>
      <c r="F103" s="15"/>
      <c r="G103" s="2">
        <v>12</v>
      </c>
    </row>
    <row r="104" spans="1:7" x14ac:dyDescent="0.25">
      <c r="A104" s="37">
        <f t="shared" si="0"/>
        <v>55</v>
      </c>
      <c r="B104" s="15"/>
      <c r="C104" s="32">
        <v>177</v>
      </c>
      <c r="D104" s="15"/>
      <c r="E104" s="32">
        <v>117</v>
      </c>
      <c r="F104" s="15"/>
      <c r="G104" s="2">
        <v>12</v>
      </c>
    </row>
    <row r="105" spans="1:7" x14ac:dyDescent="0.25">
      <c r="A105" s="37">
        <f t="shared" si="0"/>
        <v>56</v>
      </c>
      <c r="B105" s="15"/>
      <c r="C105" s="32">
        <v>189</v>
      </c>
      <c r="D105" s="15"/>
      <c r="E105" s="32">
        <v>117</v>
      </c>
      <c r="F105" s="15"/>
      <c r="G105" s="2">
        <v>12</v>
      </c>
    </row>
    <row r="106" spans="1:7" x14ac:dyDescent="0.25">
      <c r="A106" s="37">
        <f t="shared" si="0"/>
        <v>57</v>
      </c>
      <c r="B106" s="15"/>
      <c r="C106" s="32">
        <v>200.99999999999997</v>
      </c>
      <c r="D106" s="15"/>
      <c r="E106" s="32">
        <v>117</v>
      </c>
      <c r="F106" s="15"/>
      <c r="G106" s="2">
        <v>12</v>
      </c>
    </row>
    <row r="107" spans="1:7" x14ac:dyDescent="0.25">
      <c r="A107" s="37">
        <f t="shared" si="0"/>
        <v>58</v>
      </c>
      <c r="B107" s="15"/>
      <c r="C107" s="32">
        <v>213</v>
      </c>
      <c r="D107" s="15"/>
      <c r="E107" s="32">
        <v>117</v>
      </c>
      <c r="F107" s="15"/>
      <c r="G107" s="2">
        <v>12</v>
      </c>
    </row>
    <row r="108" spans="1:7" x14ac:dyDescent="0.25">
      <c r="A108" s="37">
        <f t="shared" si="0"/>
        <v>59</v>
      </c>
      <c r="B108" s="15"/>
      <c r="C108" s="32">
        <v>225</v>
      </c>
      <c r="D108" s="15"/>
      <c r="E108" s="32">
        <v>117</v>
      </c>
      <c r="F108" s="15"/>
      <c r="G108" s="2">
        <v>12</v>
      </c>
    </row>
    <row r="109" spans="1:7" x14ac:dyDescent="0.25">
      <c r="A109" s="37">
        <f t="shared" si="0"/>
        <v>60</v>
      </c>
      <c r="B109" s="15"/>
      <c r="C109" s="32">
        <v>237</v>
      </c>
      <c r="D109" s="15"/>
      <c r="E109" s="32">
        <v>117</v>
      </c>
      <c r="F109" s="15"/>
      <c r="G109" s="2">
        <v>12</v>
      </c>
    </row>
    <row r="110" spans="1:7" x14ac:dyDescent="0.25">
      <c r="A110" s="37">
        <f t="shared" si="0"/>
        <v>61</v>
      </c>
      <c r="B110" s="15"/>
      <c r="C110" s="32">
        <v>43.9</v>
      </c>
      <c r="D110" s="15"/>
      <c r="E110" s="32">
        <v>99.5</v>
      </c>
      <c r="F110" s="15"/>
      <c r="G110" s="2">
        <v>12</v>
      </c>
    </row>
    <row r="111" spans="1:7" x14ac:dyDescent="0.25">
      <c r="A111" s="37">
        <f t="shared" si="0"/>
        <v>62</v>
      </c>
      <c r="B111" s="15"/>
      <c r="C111" s="32">
        <v>47.599999999999994</v>
      </c>
      <c r="D111" s="15"/>
      <c r="E111" s="32">
        <v>90.100000000000009</v>
      </c>
      <c r="F111" s="15"/>
      <c r="G111" s="2">
        <v>12</v>
      </c>
    </row>
    <row r="112" spans="1:7" x14ac:dyDescent="0.25">
      <c r="A112" s="37">
        <f t="shared" si="0"/>
        <v>63</v>
      </c>
      <c r="B112" s="15"/>
      <c r="C112" s="32">
        <v>53</v>
      </c>
      <c r="D112" s="15"/>
      <c r="E112" s="32">
        <v>76.2</v>
      </c>
      <c r="F112" s="15"/>
      <c r="G112" s="2">
        <v>12</v>
      </c>
    </row>
    <row r="113" spans="1:7" x14ac:dyDescent="0.25">
      <c r="A113" s="37">
        <f t="shared" si="0"/>
        <v>64</v>
      </c>
      <c r="B113" s="15"/>
      <c r="C113" s="32">
        <v>58.4</v>
      </c>
      <c r="D113" s="15"/>
      <c r="E113" s="32">
        <v>62.2</v>
      </c>
      <c r="F113" s="15"/>
      <c r="G113" s="2">
        <v>12</v>
      </c>
    </row>
    <row r="114" spans="1:7" x14ac:dyDescent="0.25">
      <c r="A114" s="37">
        <f t="shared" ref="A114:A135" si="1">A115-1</f>
        <v>65</v>
      </c>
      <c r="B114" s="15"/>
      <c r="C114" s="32">
        <v>63.9</v>
      </c>
      <c r="D114" s="15"/>
      <c r="E114" s="32">
        <v>48.199999999999996</v>
      </c>
      <c r="F114" s="15"/>
      <c r="G114" s="2">
        <v>12</v>
      </c>
    </row>
    <row r="115" spans="1:7" x14ac:dyDescent="0.25">
      <c r="A115" s="37">
        <f t="shared" si="1"/>
        <v>66</v>
      </c>
      <c r="B115" s="15"/>
      <c r="C115" s="32">
        <v>69.3</v>
      </c>
      <c r="D115" s="15"/>
      <c r="E115" s="32">
        <v>34.200000000000003</v>
      </c>
      <c r="F115" s="15"/>
      <c r="G115" s="2">
        <v>12</v>
      </c>
    </row>
    <row r="116" spans="1:7" x14ac:dyDescent="0.25">
      <c r="A116" s="37">
        <f t="shared" si="1"/>
        <v>67</v>
      </c>
      <c r="B116" s="15"/>
      <c r="C116" s="32">
        <v>74.7</v>
      </c>
      <c r="D116" s="15"/>
      <c r="E116" s="32">
        <v>20.200000000000003</v>
      </c>
      <c r="F116" s="15"/>
      <c r="G116" s="2">
        <v>12</v>
      </c>
    </row>
    <row r="117" spans="1:7" x14ac:dyDescent="0.25">
      <c r="A117" s="37">
        <f t="shared" si="1"/>
        <v>68</v>
      </c>
      <c r="B117" s="15"/>
      <c r="C117" s="32">
        <v>35.5</v>
      </c>
      <c r="D117" s="15"/>
      <c r="E117" s="32">
        <v>96.2</v>
      </c>
      <c r="F117" s="15"/>
      <c r="G117" s="2">
        <v>12</v>
      </c>
    </row>
    <row r="118" spans="1:7" x14ac:dyDescent="0.25">
      <c r="A118" s="37">
        <f t="shared" si="1"/>
        <v>69</v>
      </c>
      <c r="B118" s="15"/>
      <c r="C118" s="32">
        <v>39.200000000000003</v>
      </c>
      <c r="D118" s="15"/>
      <c r="E118" s="32">
        <v>86.9</v>
      </c>
      <c r="F118" s="15"/>
      <c r="G118" s="2">
        <v>12</v>
      </c>
    </row>
    <row r="119" spans="1:7" x14ac:dyDescent="0.25">
      <c r="A119" s="37">
        <f t="shared" si="1"/>
        <v>70</v>
      </c>
      <c r="B119" s="15"/>
      <c r="C119" s="32">
        <v>44.6</v>
      </c>
      <c r="D119" s="15"/>
      <c r="E119" s="32">
        <v>72.899999999999991</v>
      </c>
      <c r="F119" s="15"/>
      <c r="G119" s="2">
        <v>12</v>
      </c>
    </row>
    <row r="120" spans="1:7" x14ac:dyDescent="0.25">
      <c r="A120" s="37">
        <f t="shared" si="1"/>
        <v>71</v>
      </c>
      <c r="B120" s="15"/>
      <c r="C120" s="32">
        <v>50</v>
      </c>
      <c r="D120" s="15"/>
      <c r="E120" s="32">
        <v>58.9</v>
      </c>
      <c r="F120" s="15"/>
      <c r="G120" s="2">
        <v>12</v>
      </c>
    </row>
    <row r="121" spans="1:7" x14ac:dyDescent="0.25">
      <c r="A121" s="37">
        <f t="shared" si="1"/>
        <v>72</v>
      </c>
      <c r="B121" s="15"/>
      <c r="C121" s="32">
        <v>55.500000000000007</v>
      </c>
      <c r="D121" s="15"/>
      <c r="E121" s="32">
        <v>44.9</v>
      </c>
      <c r="F121" s="15"/>
      <c r="G121" s="2">
        <v>12</v>
      </c>
    </row>
    <row r="122" spans="1:7" x14ac:dyDescent="0.25">
      <c r="A122" s="37">
        <f t="shared" si="1"/>
        <v>73</v>
      </c>
      <c r="B122" s="15"/>
      <c r="C122" s="32">
        <v>60.9</v>
      </c>
      <c r="D122" s="15"/>
      <c r="E122" s="32">
        <v>31</v>
      </c>
      <c r="F122" s="15"/>
      <c r="G122" s="2">
        <v>12</v>
      </c>
    </row>
    <row r="123" spans="1:7" x14ac:dyDescent="0.25">
      <c r="A123" s="37">
        <f t="shared" si="1"/>
        <v>74</v>
      </c>
      <c r="B123" s="15"/>
      <c r="C123" s="32">
        <v>66.400000000000006</v>
      </c>
      <c r="D123" s="15"/>
      <c r="E123" s="32">
        <v>17</v>
      </c>
      <c r="F123" s="15"/>
      <c r="G123" s="2">
        <v>12</v>
      </c>
    </row>
    <row r="124" spans="1:7" x14ac:dyDescent="0.25">
      <c r="A124" s="37">
        <f t="shared" si="1"/>
        <v>75</v>
      </c>
      <c r="B124" s="15"/>
      <c r="C124" s="32">
        <v>196.1</v>
      </c>
      <c r="D124" s="15"/>
      <c r="E124" s="32">
        <v>99.5</v>
      </c>
      <c r="F124" s="15"/>
      <c r="G124" s="2">
        <v>12</v>
      </c>
    </row>
    <row r="125" spans="1:7" x14ac:dyDescent="0.25">
      <c r="A125" s="37">
        <f t="shared" si="1"/>
        <v>76</v>
      </c>
      <c r="B125" s="15"/>
      <c r="C125" s="32">
        <v>192.4</v>
      </c>
      <c r="D125" s="15"/>
      <c r="E125" s="32">
        <v>90.100000000000009</v>
      </c>
      <c r="F125" s="15"/>
      <c r="G125" s="2">
        <v>12</v>
      </c>
    </row>
    <row r="126" spans="1:7" x14ac:dyDescent="0.25">
      <c r="A126" s="37">
        <f t="shared" si="1"/>
        <v>77</v>
      </c>
      <c r="B126" s="15"/>
      <c r="C126" s="32">
        <v>187</v>
      </c>
      <c r="D126" s="15"/>
      <c r="E126" s="32">
        <v>76.2</v>
      </c>
      <c r="F126" s="15"/>
      <c r="G126" s="2">
        <v>12</v>
      </c>
    </row>
    <row r="127" spans="1:7" x14ac:dyDescent="0.25">
      <c r="A127" s="37">
        <f t="shared" si="1"/>
        <v>78</v>
      </c>
      <c r="B127" s="15"/>
      <c r="C127" s="32">
        <v>181.6</v>
      </c>
      <c r="D127" s="15"/>
      <c r="E127" s="32">
        <v>62.2</v>
      </c>
      <c r="F127" s="15"/>
      <c r="G127" s="2">
        <v>12</v>
      </c>
    </row>
    <row r="128" spans="1:7" x14ac:dyDescent="0.25">
      <c r="A128" s="37">
        <f t="shared" si="1"/>
        <v>79</v>
      </c>
      <c r="B128" s="15"/>
      <c r="C128" s="32">
        <v>176.1</v>
      </c>
      <c r="D128" s="15"/>
      <c r="E128" s="32">
        <v>48.199999999999996</v>
      </c>
      <c r="F128" s="15"/>
      <c r="G128" s="2">
        <v>12</v>
      </c>
    </row>
    <row r="129" spans="1:7" x14ac:dyDescent="0.25">
      <c r="A129" s="37">
        <f t="shared" si="1"/>
        <v>80</v>
      </c>
      <c r="B129" s="15"/>
      <c r="C129" s="32">
        <v>170.70000000000002</v>
      </c>
      <c r="D129" s="15"/>
      <c r="E129" s="32">
        <v>34.200000000000003</v>
      </c>
      <c r="F129" s="15"/>
      <c r="G129" s="2">
        <v>12</v>
      </c>
    </row>
    <row r="130" spans="1:7" x14ac:dyDescent="0.25">
      <c r="A130" s="37">
        <f t="shared" si="1"/>
        <v>81</v>
      </c>
      <c r="B130" s="15"/>
      <c r="C130" s="32">
        <v>165.3</v>
      </c>
      <c r="D130" s="15"/>
      <c r="E130" s="32">
        <v>20.200000000000003</v>
      </c>
      <c r="F130" s="15"/>
      <c r="G130" s="2">
        <v>12</v>
      </c>
    </row>
    <row r="131" spans="1:7" x14ac:dyDescent="0.25">
      <c r="A131" s="37">
        <f t="shared" si="1"/>
        <v>82</v>
      </c>
      <c r="B131" s="15"/>
      <c r="C131" s="32">
        <v>204.5</v>
      </c>
      <c r="D131" s="15"/>
      <c r="E131" s="32">
        <v>96.2</v>
      </c>
      <c r="F131" s="15"/>
      <c r="G131" s="2">
        <v>12</v>
      </c>
    </row>
    <row r="132" spans="1:7" x14ac:dyDescent="0.25">
      <c r="A132" s="37">
        <f t="shared" si="1"/>
        <v>83</v>
      </c>
      <c r="B132" s="15"/>
      <c r="C132" s="32">
        <v>200.8</v>
      </c>
      <c r="D132" s="15"/>
      <c r="E132" s="32">
        <v>86.9</v>
      </c>
      <c r="F132" s="15"/>
      <c r="G132" s="2">
        <v>12</v>
      </c>
    </row>
    <row r="133" spans="1:7" x14ac:dyDescent="0.25">
      <c r="A133" s="37">
        <f t="shared" si="1"/>
        <v>84</v>
      </c>
      <c r="B133" s="15"/>
      <c r="C133" s="32">
        <v>195.4</v>
      </c>
      <c r="D133" s="15"/>
      <c r="E133" s="32">
        <v>72.899999999999991</v>
      </c>
      <c r="F133" s="15"/>
      <c r="G133" s="2">
        <v>12</v>
      </c>
    </row>
    <row r="134" spans="1:7" x14ac:dyDescent="0.25">
      <c r="A134" s="37">
        <f t="shared" si="1"/>
        <v>85</v>
      </c>
      <c r="B134" s="15"/>
      <c r="C134" s="31">
        <v>190</v>
      </c>
      <c r="D134" s="15"/>
      <c r="E134" s="32">
        <v>58.9</v>
      </c>
      <c r="F134" s="15"/>
      <c r="G134" s="2">
        <v>12</v>
      </c>
    </row>
    <row r="135" spans="1:7" x14ac:dyDescent="0.25">
      <c r="A135" s="37">
        <f t="shared" si="1"/>
        <v>86</v>
      </c>
      <c r="B135" s="15"/>
      <c r="C135" s="32">
        <v>184.5</v>
      </c>
      <c r="D135" s="15"/>
      <c r="E135" s="32">
        <v>44.9</v>
      </c>
      <c r="F135" s="15"/>
      <c r="G135" s="2">
        <v>12</v>
      </c>
    </row>
    <row r="136" spans="1:7" x14ac:dyDescent="0.25">
      <c r="A136" s="37">
        <f>A137-1</f>
        <v>87</v>
      </c>
      <c r="B136" s="15"/>
      <c r="C136" s="32">
        <v>179.1</v>
      </c>
      <c r="D136" s="15"/>
      <c r="E136" s="32">
        <v>31</v>
      </c>
      <c r="F136" s="15"/>
      <c r="G136" s="2">
        <v>12</v>
      </c>
    </row>
    <row r="137" spans="1:7" x14ac:dyDescent="0.25">
      <c r="A137" s="37">
        <v>88</v>
      </c>
      <c r="B137" s="15"/>
      <c r="C137" s="32">
        <v>173.6</v>
      </c>
      <c r="D137" s="15"/>
      <c r="E137" s="32">
        <v>17</v>
      </c>
      <c r="F137" s="15"/>
      <c r="G137" s="2">
        <v>12</v>
      </c>
    </row>
    <row r="138" spans="1:7" x14ac:dyDescent="0.25">
      <c r="A138" s="15"/>
      <c r="B138" s="15"/>
      <c r="C138" s="15"/>
      <c r="D138" s="15"/>
      <c r="E138" s="15"/>
      <c r="F138" s="15"/>
      <c r="G138" s="15"/>
    </row>
    <row r="139" spans="1:7" x14ac:dyDescent="0.25">
      <c r="A139" s="77" t="s">
        <v>23</v>
      </c>
      <c r="B139" s="78"/>
      <c r="C139" s="79"/>
      <c r="E139" s="15"/>
    </row>
    <row r="140" spans="1:7" x14ac:dyDescent="0.25">
      <c r="A140" s="15"/>
      <c r="B140" s="15"/>
      <c r="C140" s="15"/>
      <c r="D140" s="15"/>
      <c r="E140" s="15"/>
      <c r="F140" s="15"/>
      <c r="G140" s="15"/>
    </row>
    <row r="141" spans="1:7" x14ac:dyDescent="0.25">
      <c r="A141" s="73" t="s">
        <v>20</v>
      </c>
      <c r="B141" s="74"/>
      <c r="C141" s="75"/>
      <c r="D141" s="19">
        <v>1</v>
      </c>
      <c r="E141" s="15"/>
      <c r="F141" s="15"/>
      <c r="G141" s="15"/>
    </row>
    <row r="142" spans="1:7" x14ac:dyDescent="0.25">
      <c r="A142" s="15"/>
      <c r="B142" s="15"/>
      <c r="C142" s="15"/>
      <c r="D142" s="15"/>
      <c r="E142" s="15"/>
      <c r="F142" s="15"/>
      <c r="G142" s="15"/>
    </row>
    <row r="143" spans="1:7" x14ac:dyDescent="0.25">
      <c r="A143" s="16" t="s">
        <v>21</v>
      </c>
      <c r="B143" s="15"/>
      <c r="C143" s="16" t="s">
        <v>17</v>
      </c>
      <c r="D143" s="15"/>
      <c r="E143" s="16" t="s">
        <v>18</v>
      </c>
      <c r="F143" s="15"/>
      <c r="G143" s="33" t="s">
        <v>24</v>
      </c>
    </row>
    <row r="144" spans="1:7" x14ac:dyDescent="0.25">
      <c r="A144" s="35">
        <v>1</v>
      </c>
      <c r="B144" s="15"/>
      <c r="C144" s="31">
        <v>25</v>
      </c>
      <c r="D144" s="15"/>
      <c r="E144" s="31">
        <v>25</v>
      </c>
      <c r="F144" s="15"/>
      <c r="G144" s="24">
        <v>0</v>
      </c>
    </row>
    <row r="145" spans="1:7" x14ac:dyDescent="0.25">
      <c r="A145" s="38">
        <v>3</v>
      </c>
      <c r="B145" s="29"/>
      <c r="C145" s="32">
        <v>46.5</v>
      </c>
      <c r="D145" s="15"/>
      <c r="E145" s="32">
        <v>3.5</v>
      </c>
      <c r="F145" s="28"/>
      <c r="G145" s="2">
        <v>0</v>
      </c>
    </row>
    <row r="146" spans="1:7" x14ac:dyDescent="0.25">
      <c r="A146" s="38">
        <v>4</v>
      </c>
      <c r="B146" s="29"/>
      <c r="C146" s="32">
        <v>46.5</v>
      </c>
      <c r="D146" s="15"/>
      <c r="E146" s="32">
        <v>31.5</v>
      </c>
      <c r="F146" s="15"/>
      <c r="G146" s="24">
        <v>0</v>
      </c>
    </row>
    <row r="147" spans="1:7" x14ac:dyDescent="0.25">
      <c r="A147" s="38">
        <v>5</v>
      </c>
      <c r="B147" s="29"/>
      <c r="C147" s="32">
        <v>25</v>
      </c>
      <c r="D147" s="15"/>
      <c r="E147" s="32">
        <v>31.5</v>
      </c>
      <c r="F147" s="28"/>
      <c r="G147" s="2">
        <v>0</v>
      </c>
    </row>
    <row r="148" spans="1:7" x14ac:dyDescent="0.25">
      <c r="A148" s="38">
        <v>6</v>
      </c>
      <c r="B148" s="29"/>
      <c r="C148" s="32">
        <v>3.5</v>
      </c>
      <c r="D148" s="28"/>
      <c r="E148" s="4">
        <v>31.5</v>
      </c>
      <c r="F148" s="29"/>
      <c r="G148" s="24">
        <v>0</v>
      </c>
    </row>
    <row r="149" spans="1:7" x14ac:dyDescent="0.25">
      <c r="A149" s="37">
        <v>7</v>
      </c>
      <c r="B149" s="15"/>
      <c r="C149" s="32">
        <v>3.5</v>
      </c>
      <c r="D149" s="15"/>
      <c r="E149" s="32">
        <v>17.5</v>
      </c>
      <c r="F149" s="15"/>
      <c r="G149" s="24">
        <v>0</v>
      </c>
    </row>
    <row r="150" spans="1:7" x14ac:dyDescent="0.25">
      <c r="A150" s="36">
        <v>8</v>
      </c>
      <c r="B150" s="15"/>
      <c r="C150" s="30">
        <v>46.5</v>
      </c>
      <c r="D150" s="15"/>
      <c r="E150" s="30">
        <v>17.5</v>
      </c>
      <c r="F150" s="15"/>
      <c r="G150" s="24">
        <v>0</v>
      </c>
    </row>
    <row r="151" spans="1:7" x14ac:dyDescent="0.25">
      <c r="A151" s="15"/>
      <c r="B151" s="15"/>
      <c r="C151" s="15"/>
      <c r="D151" s="15"/>
      <c r="E151" s="15"/>
      <c r="F151" s="15"/>
      <c r="G151" s="34"/>
    </row>
    <row r="152" spans="1:7" x14ac:dyDescent="0.25">
      <c r="A152" s="77" t="s">
        <v>25</v>
      </c>
      <c r="B152" s="78"/>
      <c r="C152" s="78"/>
      <c r="D152" s="78"/>
      <c r="E152" s="79"/>
      <c r="F152" s="15"/>
      <c r="G152" s="15"/>
    </row>
    <row r="153" spans="1:7" x14ac:dyDescent="0.25">
      <c r="A153" s="15"/>
      <c r="B153" s="15"/>
      <c r="C153" s="15"/>
      <c r="D153" s="15"/>
      <c r="E153" s="15"/>
      <c r="F153" s="15"/>
      <c r="G153" s="15"/>
    </row>
    <row r="154" spans="1:7" x14ac:dyDescent="0.25">
      <c r="A154" s="76" t="s">
        <v>26</v>
      </c>
      <c r="B154" s="76"/>
      <c r="C154" s="17">
        <v>2</v>
      </c>
      <c r="D154" s="15" t="s">
        <v>27</v>
      </c>
      <c r="E154" s="15"/>
      <c r="F154" s="15"/>
      <c r="G154" s="15"/>
    </row>
    <row r="155" spans="1:7" x14ac:dyDescent="0.25">
      <c r="A155" s="15"/>
      <c r="B155" s="15"/>
      <c r="C155" s="20"/>
      <c r="D155" s="15"/>
      <c r="E155" s="15"/>
      <c r="F155" s="15"/>
      <c r="G155" s="15"/>
    </row>
    <row r="156" spans="1:7" x14ac:dyDescent="0.25">
      <c r="A156" s="76" t="s">
        <v>28</v>
      </c>
      <c r="B156" s="76"/>
      <c r="C156" s="17">
        <v>2</v>
      </c>
      <c r="D156" s="15" t="s">
        <v>27</v>
      </c>
      <c r="E156" s="15"/>
      <c r="F156" s="15"/>
      <c r="G156" s="15"/>
    </row>
    <row r="157" spans="1:7" x14ac:dyDescent="0.25">
      <c r="A157" s="15"/>
      <c r="B157" s="15"/>
      <c r="C157" s="15"/>
      <c r="D157" s="15"/>
      <c r="E157" s="15"/>
      <c r="F157" s="15"/>
      <c r="G157" s="15"/>
    </row>
    <row r="158" spans="1:7" x14ac:dyDescent="0.25">
      <c r="A158" s="77" t="s">
        <v>29</v>
      </c>
      <c r="B158" s="78"/>
      <c r="C158" s="78"/>
      <c r="D158" s="78"/>
      <c r="E158" s="79"/>
      <c r="F158" s="15"/>
      <c r="G158" s="15"/>
    </row>
    <row r="159" spans="1:7" x14ac:dyDescent="0.25">
      <c r="A159" s="15"/>
      <c r="B159" s="15"/>
      <c r="C159" s="15"/>
      <c r="D159" s="15"/>
      <c r="E159" s="15"/>
      <c r="F159" s="15"/>
      <c r="G159" s="15"/>
    </row>
    <row r="160" spans="1:7" x14ac:dyDescent="0.25">
      <c r="A160" s="73" t="s">
        <v>30</v>
      </c>
      <c r="B160" s="74"/>
      <c r="C160" s="74"/>
      <c r="D160" s="75"/>
      <c r="E160" s="21">
        <v>0</v>
      </c>
      <c r="F160" s="15"/>
      <c r="G160" s="15"/>
    </row>
  </sheetData>
  <dataConsolidate/>
  <mergeCells count="18">
    <mergeCell ref="A160:D160"/>
    <mergeCell ref="A12:E12"/>
    <mergeCell ref="A14:C14"/>
    <mergeCell ref="A45:C45"/>
    <mergeCell ref="A47:C47"/>
    <mergeCell ref="A139:C139"/>
    <mergeCell ref="A141:C141"/>
    <mergeCell ref="A152:E152"/>
    <mergeCell ref="A154:B154"/>
    <mergeCell ref="A156:B156"/>
    <mergeCell ref="A158:E158"/>
    <mergeCell ref="A10:C10"/>
    <mergeCell ref="E10:F10"/>
    <mergeCell ref="A1:C1"/>
    <mergeCell ref="D1:F1"/>
    <mergeCell ref="A4:B4"/>
    <mergeCell ref="A6:B6"/>
    <mergeCell ref="A8:B8"/>
  </mergeCells>
  <dataValidations count="7">
    <dataValidation type="decimal" allowBlank="1" showInputMessage="1" showErrorMessage="1" errorTitle="ERROR" error="El ángulo de inclinación del plano de carga debe estar comprendido entre -90º y 90º" sqref="E160" xr:uid="{187B3F15-E228-4DA4-9FD6-390CC5550EB2}">
      <formula1>-90</formula1>
      <formula2>90</formula2>
    </dataValidation>
    <dataValidation type="whole" allowBlank="1" showInputMessage="1" showErrorMessage="1" errorTitle="Error" error="El número de contornos convexos debe estar comprendido entre 1 y 10" sqref="B30 B23 B37 B16" xr:uid="{B48A1021-4B06-485B-973B-79711A7BBE3B}">
      <formula1>1</formula1>
      <formula2>10</formula2>
    </dataValidation>
    <dataValidation type="whole" allowBlank="1" showInputMessage="1" showErrorMessage="1" errorTitle="Error" error="El número de nodos debe estar comprendido entre 1 y 500" sqref="A33:A36 G30 G23 A40:A44 G37 A26:A29 G16 A19:A22" xr:uid="{D9CCFBD1-EEF6-4E28-B093-6CBFDCC35ACE}">
      <formula1>1</formula1>
      <formula2>500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47 D141 A50:A137 A144:A150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75" zoomScaleNormal="175" workbookViewId="0">
      <selection activeCell="E6" sqref="A1:E6"/>
    </sheetView>
  </sheetViews>
  <sheetFormatPr defaultColWidth="9.140625" defaultRowHeight="14.25" x14ac:dyDescent="0.25"/>
  <cols>
    <col min="1" max="1" width="21.5703125" style="40" customWidth="1"/>
    <col min="2" max="3" width="14.28515625" style="40" customWidth="1"/>
    <col min="4" max="4" width="13.42578125" style="40" customWidth="1"/>
    <col min="5" max="5" width="12.5703125" style="40" customWidth="1"/>
    <col min="6" max="16384" width="9.140625" style="40"/>
  </cols>
  <sheetData>
    <row r="1" spans="1:5" ht="28.5" customHeight="1" thickBot="1" x14ac:dyDescent="0.3">
      <c r="A1" s="80" t="s">
        <v>37</v>
      </c>
      <c r="B1" s="81"/>
      <c r="C1" s="81"/>
      <c r="D1" s="81"/>
      <c r="E1" s="82"/>
    </row>
    <row r="2" spans="1:5" ht="37.5" customHeight="1" thickBot="1" x14ac:dyDescent="0.3">
      <c r="A2" s="48" t="s">
        <v>33</v>
      </c>
      <c r="B2" s="49" t="s">
        <v>4</v>
      </c>
      <c r="C2" s="49" t="s">
        <v>32</v>
      </c>
      <c r="D2" s="49" t="s">
        <v>31</v>
      </c>
      <c r="E2" s="50" t="s">
        <v>34</v>
      </c>
    </row>
    <row r="3" spans="1:5" ht="48.75" customHeight="1" x14ac:dyDescent="0.25">
      <c r="A3" s="43" t="s">
        <v>35</v>
      </c>
      <c r="B3" s="40">
        <v>420</v>
      </c>
      <c r="C3" s="40">
        <v>500</v>
      </c>
      <c r="D3" s="40">
        <v>220</v>
      </c>
      <c r="E3" s="46"/>
    </row>
    <row r="4" spans="1:5" ht="31.5" customHeight="1" x14ac:dyDescent="0.25">
      <c r="A4" s="42" t="s">
        <v>36</v>
      </c>
      <c r="B4" s="40">
        <v>200000</v>
      </c>
      <c r="C4" s="40">
        <v>200000</v>
      </c>
      <c r="D4" s="40">
        <v>200000</v>
      </c>
      <c r="E4" s="46"/>
    </row>
    <row r="5" spans="1:5" ht="28.5" x14ac:dyDescent="0.25">
      <c r="A5" s="43" t="s">
        <v>50</v>
      </c>
      <c r="B5" s="41">
        <f>B3/B4</f>
        <v>2.0999999999999999E-3</v>
      </c>
      <c r="C5" s="41">
        <f>C3/C4</f>
        <v>2.5000000000000001E-3</v>
      </c>
      <c r="D5" s="41">
        <f>D3/D4</f>
        <v>1.1000000000000001E-3</v>
      </c>
      <c r="E5" s="46"/>
    </row>
    <row r="6" spans="1:5" ht="29.25" thickBot="1" x14ac:dyDescent="0.3">
      <c r="A6" s="44" t="s">
        <v>51</v>
      </c>
      <c r="B6" s="45">
        <v>0.12</v>
      </c>
      <c r="C6" s="45">
        <v>0.12</v>
      </c>
      <c r="D6" s="45">
        <v>0.12</v>
      </c>
      <c r="E6" s="47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E9" sqref="A1:E9"/>
    </sheetView>
  </sheetViews>
  <sheetFormatPr defaultColWidth="9.140625" defaultRowHeight="14.25" x14ac:dyDescent="0.25"/>
  <cols>
    <col min="1" max="1" width="21.5703125" style="40" customWidth="1"/>
    <col min="2" max="3" width="14.28515625" style="40" customWidth="1"/>
    <col min="4" max="4" width="13.42578125" style="40" customWidth="1"/>
    <col min="5" max="5" width="12.5703125" style="40" customWidth="1"/>
    <col min="6" max="16384" width="9.140625" style="40"/>
  </cols>
  <sheetData>
    <row r="1" spans="1:5" ht="28.5" customHeight="1" thickBot="1" x14ac:dyDescent="0.3">
      <c r="A1" s="83" t="s">
        <v>46</v>
      </c>
      <c r="B1" s="84"/>
      <c r="C1" s="84"/>
      <c r="D1" s="84"/>
      <c r="E1" s="85"/>
    </row>
    <row r="2" spans="1:5" ht="37.5" customHeight="1" thickTop="1" thickBot="1" x14ac:dyDescent="0.3">
      <c r="A2" s="56" t="s">
        <v>33</v>
      </c>
      <c r="B2" s="52" t="s">
        <v>38</v>
      </c>
      <c r="C2" s="52" t="s">
        <v>39</v>
      </c>
      <c r="D2" s="52" t="s">
        <v>40</v>
      </c>
      <c r="E2" s="57" t="s">
        <v>34</v>
      </c>
    </row>
    <row r="3" spans="1:5" ht="37.5" customHeight="1" thickTop="1" x14ac:dyDescent="0.25">
      <c r="A3" s="58" t="s">
        <v>48</v>
      </c>
      <c r="B3" s="59">
        <v>200000</v>
      </c>
      <c r="C3" s="59">
        <v>200000</v>
      </c>
      <c r="D3" s="59">
        <v>200000</v>
      </c>
      <c r="E3" s="60"/>
    </row>
    <row r="4" spans="1:5" ht="48.75" customHeight="1" x14ac:dyDescent="0.25">
      <c r="A4" s="61" t="s">
        <v>41</v>
      </c>
      <c r="B4" s="59">
        <v>952</v>
      </c>
      <c r="C4" s="59">
        <v>1505</v>
      </c>
      <c r="D4" s="59">
        <v>1665</v>
      </c>
      <c r="E4" s="62"/>
    </row>
    <row r="5" spans="1:5" ht="31.5" customHeight="1" x14ac:dyDescent="0.25">
      <c r="A5" s="61" t="s">
        <v>42</v>
      </c>
      <c r="B5" s="59">
        <v>1050</v>
      </c>
      <c r="C5" s="59">
        <v>1650</v>
      </c>
      <c r="D5" s="59">
        <v>1860</v>
      </c>
      <c r="E5" s="62"/>
    </row>
    <row r="6" spans="1:5" ht="31.5" customHeight="1" x14ac:dyDescent="0.25">
      <c r="A6" s="63" t="s">
        <v>52</v>
      </c>
      <c r="B6" s="53">
        <v>4.1000000000000002E-2</v>
      </c>
      <c r="C6" s="53">
        <v>8.6999999999999994E-2</v>
      </c>
      <c r="D6" s="53">
        <v>6.9000000000000006E-2</v>
      </c>
      <c r="E6" s="64"/>
    </row>
    <row r="7" spans="1:5" ht="31.5" customHeight="1" x14ac:dyDescent="0.25">
      <c r="A7" s="61" t="s">
        <v>43</v>
      </c>
      <c r="B7" s="59">
        <v>7.1</v>
      </c>
      <c r="C7" s="59">
        <v>6.06</v>
      </c>
      <c r="D7" s="59">
        <v>7.3440000000000003</v>
      </c>
      <c r="E7" s="62"/>
    </row>
    <row r="8" spans="1:5" x14ac:dyDescent="0.25">
      <c r="A8" s="61" t="s">
        <v>44</v>
      </c>
      <c r="B8" s="51">
        <v>1.0041</v>
      </c>
      <c r="C8" s="51">
        <v>1.0325</v>
      </c>
      <c r="D8" s="51">
        <v>1.0618000000000001</v>
      </c>
      <c r="E8" s="62"/>
    </row>
    <row r="9" spans="1:5" ht="30.75" customHeight="1" thickBot="1" x14ac:dyDescent="0.3">
      <c r="A9" s="65" t="s">
        <v>45</v>
      </c>
      <c r="B9" s="66">
        <v>1.7500000000000002E-2</v>
      </c>
      <c r="C9" s="66">
        <v>6.2500000000000003E-3</v>
      </c>
      <c r="D9" s="66">
        <v>1.174E-2</v>
      </c>
      <c r="E9" s="67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7"/>
  <sheetViews>
    <sheetView zoomScale="205" zoomScaleNormal="205" workbookViewId="0">
      <selection activeCell="B27" sqref="B27"/>
    </sheetView>
  </sheetViews>
  <sheetFormatPr defaultRowHeight="15" x14ac:dyDescent="0.25"/>
  <cols>
    <col min="3" max="3" width="15.28515625" customWidth="1"/>
  </cols>
  <sheetData>
    <row r="1" spans="1:7" x14ac:dyDescent="0.25">
      <c r="A1" s="86" t="s">
        <v>12</v>
      </c>
      <c r="B1" s="89">
        <v>1</v>
      </c>
      <c r="C1" s="86" t="s">
        <v>13</v>
      </c>
      <c r="D1" s="55" t="s">
        <v>14</v>
      </c>
      <c r="E1" s="87" t="s">
        <v>15</v>
      </c>
      <c r="F1" s="88"/>
      <c r="G1" s="55">
        <v>4</v>
      </c>
    </row>
    <row r="2" spans="1:7" x14ac:dyDescent="0.25">
      <c r="A2" s="15"/>
      <c r="B2" s="15"/>
      <c r="C2" s="15"/>
      <c r="D2" s="15"/>
      <c r="E2" s="15"/>
      <c r="F2" s="15"/>
      <c r="G2" s="15"/>
    </row>
    <row r="3" spans="1:7" x14ac:dyDescent="0.25">
      <c r="A3" s="54" t="s">
        <v>16</v>
      </c>
      <c r="B3" s="15"/>
      <c r="C3" s="54" t="s">
        <v>17</v>
      </c>
      <c r="D3" s="15"/>
      <c r="E3" s="86" t="s">
        <v>18</v>
      </c>
      <c r="F3" s="86"/>
      <c r="G3" s="15"/>
    </row>
    <row r="4" spans="1:7" x14ac:dyDescent="0.25">
      <c r="A4" s="22">
        <v>1</v>
      </c>
      <c r="B4" s="15"/>
      <c r="C4" s="25">
        <v>0</v>
      </c>
      <c r="D4" s="15"/>
      <c r="E4" s="25">
        <v>0</v>
      </c>
      <c r="F4" s="15"/>
      <c r="G4" s="15"/>
    </row>
    <row r="5" spans="1:7" x14ac:dyDescent="0.25">
      <c r="A5" s="24">
        <v>2</v>
      </c>
      <c r="B5" s="15"/>
      <c r="C5" s="27">
        <v>0</v>
      </c>
      <c r="D5" s="15"/>
      <c r="E5" s="27">
        <v>0</v>
      </c>
      <c r="F5" s="15"/>
      <c r="G5" s="15"/>
    </row>
    <row r="6" spans="1:7" x14ac:dyDescent="0.25">
      <c r="A6" s="24">
        <v>3</v>
      </c>
      <c r="B6" s="15"/>
      <c r="C6" s="27">
        <v>0</v>
      </c>
      <c r="D6" s="28"/>
      <c r="E6" s="3">
        <v>0</v>
      </c>
      <c r="F6" s="29"/>
      <c r="G6" s="15"/>
    </row>
    <row r="7" spans="1:7" x14ac:dyDescent="0.25">
      <c r="A7" s="23">
        <v>4</v>
      </c>
      <c r="B7" s="15"/>
      <c r="C7" s="26">
        <v>0</v>
      </c>
      <c r="D7" s="15"/>
      <c r="E7" s="26">
        <v>0</v>
      </c>
      <c r="F7" s="15"/>
      <c r="G7" s="15"/>
    </row>
  </sheetData>
  <dataValidations count="2">
    <dataValidation type="whole" allowBlank="1" showInputMessage="1" showErrorMessage="1" errorTitle="Error" error="El número de nodos debe estar comprendido entre 1 y 500" sqref="G1 A4:A7" xr:uid="{32D64FBA-B40B-413A-8B29-90B6044FEBCD}">
      <formula1>1</formula1>
      <formula2>500</formula2>
    </dataValidation>
    <dataValidation type="whole" allowBlank="1" showInputMessage="1" showErrorMessage="1" errorTitle="Error" error="El número de contornos convexos debe estar comprendido entre 1 y 10" sqref="B1" xr:uid="{D663C55B-6807-4105-89B7-5B8CA380A05D}">
      <formula1>1</formula1>
      <formula2>10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Leguizamón</cp:lastModifiedBy>
  <dcterms:created xsi:type="dcterms:W3CDTF">2023-04-14T12:25:15Z</dcterms:created>
  <dcterms:modified xsi:type="dcterms:W3CDTF">2023-07-22T00:30:49Z</dcterms:modified>
</cp:coreProperties>
</file>