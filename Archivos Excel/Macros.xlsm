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Adscripción Moller\Programa\DISGHA-P\Archivos Excel\"/>
    </mc:Choice>
  </mc:AlternateContent>
  <xr:revisionPtr revIDLastSave="0" documentId="13_ncr:1_{86B503B1-0F2D-48BE-B3C8-FC26D935A8BB}" xr6:coauthVersionLast="47" xr6:coauthVersionMax="47" xr10:uidLastSave="{00000000-0000-0000-0000-000000000000}"/>
  <bookViews>
    <workbookView xWindow="-120" yWindow="-120" windowWidth="29040" windowHeight="15840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9" i="1" l="1"/>
  <c r="A128" i="1" s="1"/>
  <c r="A127" i="1" s="1"/>
  <c r="A126" i="1" s="1"/>
  <c r="A125" i="1" s="1"/>
  <c r="A124" i="1" s="1"/>
  <c r="A123" i="1" s="1"/>
  <c r="A122" i="1" s="1"/>
  <c r="A121" i="1" s="1"/>
  <c r="A120" i="1" s="1"/>
  <c r="A119" i="1" s="1"/>
  <c r="A118" i="1" s="1"/>
  <c r="A117" i="1" s="1"/>
  <c r="A116" i="1" s="1"/>
  <c r="A115" i="1" s="1"/>
  <c r="A114" i="1" s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52" i="1" s="1"/>
  <c r="A51" i="1" s="1"/>
  <c r="A50" i="1" s="1"/>
  <c r="A49" i="1" s="1"/>
  <c r="A48" i="1" s="1"/>
  <c r="A47" i="1" s="1"/>
  <c r="A46" i="1" s="1"/>
  <c r="A45" i="1" s="1"/>
  <c r="A44" i="1" s="1"/>
  <c r="A43" i="1" s="1"/>
  <c r="B5" i="3" l="1"/>
  <c r="D5" i="3"/>
  <c r="C5" i="3"/>
</calcChain>
</file>

<file path=xl/sharedStrings.xml><?xml version="1.0" encoding="utf-8"?>
<sst xmlns="http://schemas.openxmlformats.org/spreadsheetml/2006/main" count="84" uniqueCount="54">
  <si>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</si>
  <si>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</si>
  <si>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</si>
  <si>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</si>
  <si>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</si>
  <si>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</si>
  <si>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</si>
  <si>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</si>
  <si>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</si>
  <si>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</si>
  <si>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</si>
  <si>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</si>
  <si>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Área</t>
  </si>
  <si>
    <t xml:space="preserve">Positiva </t>
  </si>
  <si>
    <t>Cantidad de Nodos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</si>
  <si>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</si>
  <si>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</si>
  <si>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</si>
  <si>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</si>
  <si>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</si>
  <si>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</si>
  <si>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</si>
  <si>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</si>
  <si>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</si>
  <si>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</si>
  <si>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</si>
  <si>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</si>
  <si>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</si>
  <si>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</si>
  <si>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</si>
  <si>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</si>
  <si>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</si>
  <si>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</si>
  <si>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</si>
  <si>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</si>
  <si>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</si>
  <si>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</si>
  <si>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</si>
  <si>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</si>
  <si>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</si>
  <si>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</si>
  <si>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</si>
  <si>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</si>
  <si>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</si>
  <si>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</si>
  <si>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</si>
  <si>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</si>
  <si>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</si>
  <si>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</si>
  <si>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</si>
  <si>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</si>
  <si>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Contorno Nº</t>
  </si>
  <si>
    <t>Nodo Nº</t>
  </si>
  <si>
    <t>Positiva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</si>
</sst>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0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/>
    <xf numFmtId="0" fontId="4" fillId="0" borderId="6" xfId="0" applyFont="1" applyBorder="1"/>
    <xf numFmtId="166" fontId="4" fillId="2" borderId="2" xfId="0" applyNumberFormat="1" applyFont="1" applyFill="1" applyBorder="1" applyAlignment="1">
      <alignment horizontal="center"/>
    </xf>
    <xf numFmtId="166" fontId="4" fillId="2" borderId="3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9" fontId="4" fillId="3" borderId="11" xfId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9" fontId="4" fillId="2" borderId="12" xfId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 wrapText="1"/>
    </xf>
    <xf numFmtId="10" fontId="4" fillId="3" borderId="20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 wrapText="1"/>
    </xf>
    <xf numFmtId="10" fontId="4" fillId="2" borderId="29" xfId="0" applyNumberFormat="1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9" fontId="4" fillId="2" borderId="32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165" fontId="4" fillId="2" borderId="3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9" fillId="0" borderId="34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3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153"/>
  <sheetViews>
    <sheetView tabSelected="1" zoomScale="110" zoomScaleNormal="110" workbookViewId="0">
      <selection activeCell="F6" sqref="F6"/>
    </sheetView>
  </sheetViews>
  <sheetFormatPr defaultColWidth="0" defaultRowHeight="14.5" x14ac:dyDescent="0.35"/>
  <cols>
    <col min="1" max="1" width="12.1796875" style="17" customWidth="1"/>
    <col min="2" max="2" width="12.54296875" style="17" customWidth="1"/>
    <col min="3" max="3" width="22.81640625" style="17" customWidth="1"/>
    <col min="4" max="4" width="15.453125" style="17" customWidth="1"/>
    <col min="5" max="5" width="17.81640625" style="17" customWidth="1"/>
    <col min="6" max="6" width="11.453125" style="17" customWidth="1"/>
    <col min="7" max="7" width="15.7265625" style="17" customWidth="1"/>
    <col min="8" max="8" width="0" style="17" hidden="1" customWidth="1"/>
    <col min="9" max="16384" width="9.1796875" style="17" hidden="1"/>
  </cols>
  <sheetData>
    <row r="1" spans="1:7" x14ac:dyDescent="0.35">
      <c r="A1" s="84" t="s">
        <v>0</v>
      </c>
      <c r="B1" s="84"/>
      <c r="C1" s="84"/>
      <c r="D1" s="85"/>
      <c r="E1" s="85"/>
      <c r="F1" s="85"/>
      <c r="G1" s="4"/>
    </row>
    <row r="2" spans="1:7" ht="28.5" customHeight="1" x14ac:dyDescent="0.35">
      <c r="A2" s="5"/>
      <c r="B2" s="5"/>
      <c r="C2" s="6" t="s">
        <v>1</v>
      </c>
      <c r="D2" s="7"/>
      <c r="E2" s="8"/>
      <c r="F2" s="7"/>
      <c r="G2" s="8"/>
    </row>
    <row r="3" spans="1:7" x14ac:dyDescent="0.35">
      <c r="A3" s="9"/>
      <c r="B3" s="4"/>
      <c r="C3" s="4"/>
      <c r="D3" s="10"/>
      <c r="E3" s="11"/>
      <c r="F3" s="11"/>
      <c r="G3" s="11"/>
    </row>
    <row r="4" spans="1:7" x14ac:dyDescent="0.35">
      <c r="A4" s="86" t="s">
        <v>2</v>
      </c>
      <c r="B4" s="86"/>
      <c r="C4" s="12">
        <v>35</v>
      </c>
      <c r="D4" s="11"/>
      <c r="E4" s="11"/>
      <c r="F4" s="11"/>
      <c r="G4" s="11"/>
    </row>
    <row r="5" spans="1:7" x14ac:dyDescent="0.35">
      <c r="A5" s="6"/>
      <c r="B5" s="6"/>
      <c r="C5" s="6"/>
      <c r="D5" s="11"/>
      <c r="E5" s="11"/>
      <c r="F5" s="11"/>
      <c r="G5" s="11"/>
    </row>
    <row r="6" spans="1:7" x14ac:dyDescent="0.35">
      <c r="A6" s="86" t="s">
        <v>3</v>
      </c>
      <c r="B6" s="86"/>
      <c r="C6" s="1" t="s">
        <v>4</v>
      </c>
      <c r="D6" s="8"/>
      <c r="F6" s="4"/>
      <c r="G6" s="33"/>
    </row>
    <row r="7" spans="1:7" x14ac:dyDescent="0.35">
      <c r="A7" s="6"/>
      <c r="B7" s="6"/>
      <c r="C7" s="6"/>
      <c r="D7" s="6"/>
      <c r="E7" s="6"/>
      <c r="F7" s="6"/>
      <c r="G7" s="4"/>
    </row>
    <row r="8" spans="1:7" x14ac:dyDescent="0.35">
      <c r="A8" s="86" t="s">
        <v>5</v>
      </c>
      <c r="B8" s="86"/>
      <c r="C8" s="12" t="s">
        <v>45</v>
      </c>
      <c r="D8" s="6" t="s">
        <v>6</v>
      </c>
      <c r="E8" s="13">
        <v>5.21</v>
      </c>
      <c r="F8" s="4" t="s">
        <v>47</v>
      </c>
      <c r="G8" s="4"/>
    </row>
    <row r="9" spans="1:7" x14ac:dyDescent="0.35">
      <c r="A9" s="14"/>
      <c r="B9" s="14"/>
      <c r="C9" s="14"/>
      <c r="D9" s="14"/>
      <c r="E9" s="14"/>
      <c r="F9" s="14"/>
      <c r="G9" s="14"/>
    </row>
    <row r="10" spans="1:7" x14ac:dyDescent="0.35">
      <c r="A10" s="82" t="s">
        <v>7</v>
      </c>
      <c r="B10" s="82"/>
      <c r="C10" s="82"/>
      <c r="D10" s="15" t="s">
        <v>8</v>
      </c>
      <c r="E10" s="83" t="s">
        <v>9</v>
      </c>
      <c r="F10" s="83"/>
      <c r="G10" s="14"/>
    </row>
    <row r="11" spans="1:7" x14ac:dyDescent="0.35">
      <c r="A11" s="14"/>
      <c r="B11" s="14"/>
      <c r="C11" s="14"/>
      <c r="D11" s="14"/>
      <c r="E11" s="14"/>
      <c r="F11" s="14"/>
      <c r="G11" s="14"/>
    </row>
    <row r="12" spans="1:7" x14ac:dyDescent="0.35">
      <c r="A12" s="82" t="s">
        <v>10</v>
      </c>
      <c r="B12" s="82"/>
      <c r="C12" s="82"/>
      <c r="D12" s="82"/>
      <c r="E12" s="82"/>
      <c r="F12" s="14"/>
      <c r="G12" s="14"/>
    </row>
    <row r="13" spans="1:7" x14ac:dyDescent="0.35">
      <c r="A13" s="14"/>
      <c r="B13" s="14"/>
      <c r="C13" s="14"/>
      <c r="D13" s="14"/>
      <c r="E13" s="14"/>
      <c r="F13" s="14"/>
      <c r="G13" s="14"/>
    </row>
    <row r="14" spans="1:7" x14ac:dyDescent="0.35">
      <c r="A14" s="87" t="s">
        <v>11</v>
      </c>
      <c r="B14" s="88"/>
      <c r="C14" s="89"/>
      <c r="D14" s="48">
        <v>3</v>
      </c>
      <c r="E14" s="14"/>
      <c r="F14" s="14"/>
      <c r="G14" s="14"/>
    </row>
    <row r="15" spans="1:7" x14ac:dyDescent="0.35">
      <c r="A15" s="61"/>
      <c r="B15" s="14"/>
      <c r="C15" s="62"/>
      <c r="D15" s="14"/>
      <c r="E15" s="14"/>
      <c r="F15" s="14"/>
      <c r="G15" s="14"/>
    </row>
    <row r="16" spans="1:7" x14ac:dyDescent="0.35">
      <c r="A16" s="63" t="s">
        <v>51</v>
      </c>
      <c r="B16" s="77">
        <v>1</v>
      </c>
      <c r="C16" s="63" t="s">
        <v>12</v>
      </c>
      <c r="D16" s="73" t="s">
        <v>53</v>
      </c>
      <c r="E16" s="63" t="s">
        <v>14</v>
      </c>
      <c r="F16" s="63"/>
      <c r="G16" s="74">
        <v>4</v>
      </c>
    </row>
    <row r="17" spans="1:7" x14ac:dyDescent="0.35">
      <c r="A17" s="4"/>
      <c r="B17" s="4"/>
      <c r="C17" s="4"/>
      <c r="D17" s="4"/>
      <c r="E17" s="75"/>
      <c r="F17" s="75"/>
      <c r="G17" s="4"/>
    </row>
    <row r="18" spans="1:7" x14ac:dyDescent="0.35">
      <c r="A18" s="63" t="s">
        <v>52</v>
      </c>
      <c r="B18" s="4"/>
      <c r="C18" s="63" t="s">
        <v>15</v>
      </c>
      <c r="D18" s="4"/>
      <c r="E18" s="64" t="s">
        <v>16</v>
      </c>
      <c r="F18" s="4"/>
      <c r="G18" s="4"/>
    </row>
    <row r="19" spans="1:7" x14ac:dyDescent="0.35">
      <c r="A19" s="67">
        <v>1</v>
      </c>
      <c r="B19" s="4"/>
      <c r="C19" s="68">
        <v>0</v>
      </c>
      <c r="D19" s="4"/>
      <c r="E19" s="68">
        <v>0</v>
      </c>
      <c r="F19" s="4"/>
      <c r="G19" s="4"/>
    </row>
    <row r="20" spans="1:7" x14ac:dyDescent="0.35">
      <c r="A20" s="69">
        <v>2</v>
      </c>
      <c r="B20" s="4"/>
      <c r="C20" s="70">
        <v>0</v>
      </c>
      <c r="D20" s="4"/>
      <c r="E20" s="70">
        <v>0</v>
      </c>
      <c r="F20" s="4"/>
      <c r="G20" s="4"/>
    </row>
    <row r="21" spans="1:7" x14ac:dyDescent="0.35">
      <c r="A21" s="69">
        <v>3</v>
      </c>
      <c r="B21" s="4"/>
      <c r="C21" s="70">
        <v>0</v>
      </c>
      <c r="D21" s="65"/>
      <c r="E21" s="70">
        <v>0</v>
      </c>
      <c r="F21" s="66"/>
      <c r="G21" s="4"/>
    </row>
    <row r="22" spans="1:7" x14ac:dyDescent="0.35">
      <c r="A22" s="69">
        <v>4</v>
      </c>
      <c r="B22" s="4"/>
      <c r="C22" s="70">
        <v>0</v>
      </c>
      <c r="D22" s="65"/>
      <c r="E22" s="70">
        <v>0</v>
      </c>
      <c r="F22" s="66"/>
      <c r="G22" s="4"/>
    </row>
    <row r="23" spans="1:7" x14ac:dyDescent="0.35">
      <c r="A23" s="78" t="s">
        <v>51</v>
      </c>
      <c r="B23" s="79">
        <v>2</v>
      </c>
      <c r="C23" s="78" t="s">
        <v>12</v>
      </c>
      <c r="D23" s="80" t="s">
        <v>13</v>
      </c>
      <c r="E23" s="78" t="s">
        <v>14</v>
      </c>
      <c r="F23" s="78"/>
      <c r="G23" s="81">
        <v>4</v>
      </c>
    </row>
    <row r="24" spans="1:7" x14ac:dyDescent="0.35">
      <c r="A24" s="4"/>
      <c r="B24" s="4"/>
      <c r="C24" s="4"/>
      <c r="D24" s="4"/>
      <c r="E24" s="75"/>
      <c r="F24" s="75"/>
      <c r="G24" s="4"/>
    </row>
    <row r="25" spans="1:7" x14ac:dyDescent="0.35">
      <c r="A25" s="76" t="s">
        <v>52</v>
      </c>
      <c r="B25" s="4"/>
      <c r="C25" s="76" t="s">
        <v>15</v>
      </c>
      <c r="D25" s="4"/>
      <c r="E25" s="76" t="s">
        <v>16</v>
      </c>
      <c r="F25" s="4"/>
      <c r="G25" s="4"/>
    </row>
    <row r="26" spans="1:7" x14ac:dyDescent="0.35">
      <c r="A26" s="67">
        <v>1</v>
      </c>
      <c r="B26" s="4"/>
      <c r="C26" s="68">
        <v>0</v>
      </c>
      <c r="D26" s="4"/>
      <c r="E26" s="68">
        <v>0</v>
      </c>
      <c r="F26" s="4"/>
      <c r="G26" s="4"/>
    </row>
    <row r="27" spans="1:7" x14ac:dyDescent="0.35">
      <c r="A27" s="69">
        <v>2</v>
      </c>
      <c r="B27" s="4"/>
      <c r="C27" s="70">
        <v>0</v>
      </c>
      <c r="D27" s="4"/>
      <c r="E27" s="70">
        <v>0</v>
      </c>
      <c r="F27" s="4"/>
      <c r="G27" s="4"/>
    </row>
    <row r="28" spans="1:7" x14ac:dyDescent="0.35">
      <c r="A28" s="69">
        <v>3</v>
      </c>
      <c r="B28" s="4"/>
      <c r="C28" s="70">
        <v>0</v>
      </c>
      <c r="D28" s="65"/>
      <c r="E28" s="70">
        <v>0</v>
      </c>
      <c r="F28" s="66"/>
      <c r="G28" s="4"/>
    </row>
    <row r="29" spans="1:7" x14ac:dyDescent="0.35">
      <c r="A29" s="71">
        <v>4</v>
      </c>
      <c r="B29" s="4"/>
      <c r="C29" s="72">
        <v>0</v>
      </c>
      <c r="D29" s="4"/>
      <c r="E29" s="72">
        <v>0</v>
      </c>
      <c r="F29" s="4"/>
      <c r="G29" s="4"/>
    </row>
    <row r="30" spans="1:7" x14ac:dyDescent="0.35">
      <c r="A30" s="78" t="s">
        <v>51</v>
      </c>
      <c r="B30" s="79">
        <v>3</v>
      </c>
      <c r="C30" s="78" t="s">
        <v>12</v>
      </c>
      <c r="D30" s="80" t="s">
        <v>13</v>
      </c>
      <c r="E30" s="78" t="s">
        <v>14</v>
      </c>
      <c r="F30" s="78"/>
      <c r="G30" s="81">
        <v>4</v>
      </c>
    </row>
    <row r="31" spans="1:7" x14ac:dyDescent="0.35">
      <c r="A31" s="4"/>
      <c r="B31" s="4"/>
      <c r="C31" s="4"/>
      <c r="D31" s="4"/>
      <c r="E31" s="75"/>
      <c r="F31" s="75"/>
      <c r="G31" s="4"/>
    </row>
    <row r="32" spans="1:7" x14ac:dyDescent="0.35">
      <c r="A32" s="76" t="s">
        <v>52</v>
      </c>
      <c r="B32" s="4"/>
      <c r="C32" s="76" t="s">
        <v>15</v>
      </c>
      <c r="D32" s="4"/>
      <c r="E32" s="76" t="s">
        <v>16</v>
      </c>
      <c r="F32" s="4"/>
      <c r="G32" s="4"/>
    </row>
    <row r="33" spans="1:7" x14ac:dyDescent="0.35">
      <c r="A33" s="67">
        <v>1</v>
      </c>
      <c r="B33" s="4"/>
      <c r="C33" s="68">
        <v>0</v>
      </c>
      <c r="D33" s="4"/>
      <c r="E33" s="68">
        <v>0</v>
      </c>
      <c r="F33" s="4"/>
      <c r="G33" s="4"/>
    </row>
    <row r="34" spans="1:7" x14ac:dyDescent="0.35">
      <c r="A34" s="69">
        <v>2</v>
      </c>
      <c r="B34" s="4"/>
      <c r="C34" s="70">
        <v>0</v>
      </c>
      <c r="D34" s="4"/>
      <c r="E34" s="70">
        <v>0</v>
      </c>
      <c r="F34" s="4"/>
      <c r="G34" s="4"/>
    </row>
    <row r="35" spans="1:7" x14ac:dyDescent="0.35">
      <c r="A35" s="69">
        <v>3</v>
      </c>
      <c r="B35" s="4"/>
      <c r="C35" s="70">
        <v>0</v>
      </c>
      <c r="D35" s="65"/>
      <c r="E35" s="70">
        <v>0</v>
      </c>
      <c r="F35" s="66"/>
      <c r="G35" s="4"/>
    </row>
    <row r="36" spans="1:7" x14ac:dyDescent="0.35">
      <c r="A36" s="71">
        <v>4</v>
      </c>
      <c r="B36" s="4"/>
      <c r="C36" s="72">
        <v>0</v>
      </c>
      <c r="D36" s="4"/>
      <c r="E36" s="72">
        <v>0</v>
      </c>
      <c r="F36" s="4"/>
      <c r="G36" s="4"/>
    </row>
    <row r="37" spans="1:7" x14ac:dyDescent="0.35">
      <c r="A37" s="4"/>
      <c r="B37" s="4"/>
      <c r="C37" s="4"/>
      <c r="D37" s="4"/>
      <c r="E37" s="4"/>
      <c r="F37" s="4"/>
      <c r="G37" s="4"/>
    </row>
    <row r="38" spans="1:7" x14ac:dyDescent="0.35">
      <c r="A38" s="90" t="s">
        <v>17</v>
      </c>
      <c r="B38" s="91"/>
      <c r="C38" s="92"/>
      <c r="E38" s="14"/>
    </row>
    <row r="39" spans="1:7" x14ac:dyDescent="0.35">
      <c r="A39" s="14"/>
      <c r="B39" s="14"/>
      <c r="C39" s="14"/>
      <c r="D39" s="14"/>
      <c r="E39" s="14"/>
      <c r="F39" s="14"/>
      <c r="G39" s="14"/>
    </row>
    <row r="40" spans="1:7" x14ac:dyDescent="0.35">
      <c r="A40" s="87" t="s">
        <v>18</v>
      </c>
      <c r="B40" s="88"/>
      <c r="C40" s="89"/>
      <c r="D40" s="18">
        <v>88</v>
      </c>
      <c r="E40" s="14"/>
      <c r="F40" s="14"/>
      <c r="G40" s="14"/>
    </row>
    <row r="41" spans="1:7" x14ac:dyDescent="0.35">
      <c r="A41" s="14"/>
      <c r="B41" s="14"/>
      <c r="C41" s="14"/>
      <c r="D41" s="14"/>
      <c r="E41" s="14"/>
      <c r="F41" s="14"/>
      <c r="G41" s="14"/>
    </row>
    <row r="42" spans="1:7" x14ac:dyDescent="0.35">
      <c r="A42" s="15" t="s">
        <v>19</v>
      </c>
      <c r="B42" s="14"/>
      <c r="C42" s="15" t="s">
        <v>15</v>
      </c>
      <c r="D42" s="14"/>
      <c r="E42" s="15" t="s">
        <v>16</v>
      </c>
      <c r="F42" s="14"/>
      <c r="G42" s="15" t="s">
        <v>20</v>
      </c>
    </row>
    <row r="43" spans="1:7" x14ac:dyDescent="0.35">
      <c r="A43" s="31">
        <f t="shared" ref="A43:A106" si="0">A44-1</f>
        <v>1</v>
      </c>
      <c r="B43" s="14"/>
      <c r="C43" s="26">
        <v>120</v>
      </c>
      <c r="D43" s="14"/>
      <c r="E43" s="26">
        <v>12</v>
      </c>
      <c r="F43" s="14"/>
      <c r="G43" s="2">
        <v>12</v>
      </c>
    </row>
    <row r="44" spans="1:7" x14ac:dyDescent="0.35">
      <c r="A44" s="31">
        <f t="shared" si="0"/>
        <v>2</v>
      </c>
      <c r="B44" s="14"/>
      <c r="C44" s="26">
        <v>132.20000000000002</v>
      </c>
      <c r="D44" s="14"/>
      <c r="E44" s="26">
        <v>12</v>
      </c>
      <c r="F44" s="14"/>
      <c r="G44" s="2">
        <v>12</v>
      </c>
    </row>
    <row r="45" spans="1:7" x14ac:dyDescent="0.35">
      <c r="A45" s="31">
        <f t="shared" si="0"/>
        <v>3</v>
      </c>
      <c r="B45" s="14"/>
      <c r="C45" s="26">
        <v>144.19999999999999</v>
      </c>
      <c r="D45" s="14"/>
      <c r="E45" s="26">
        <v>12</v>
      </c>
      <c r="F45" s="14"/>
      <c r="G45" s="2">
        <v>12</v>
      </c>
    </row>
    <row r="46" spans="1:7" x14ac:dyDescent="0.35">
      <c r="A46" s="31">
        <f t="shared" si="0"/>
        <v>4</v>
      </c>
      <c r="B46" s="14"/>
      <c r="C46" s="26">
        <v>120</v>
      </c>
      <c r="D46" s="14"/>
      <c r="E46" s="26">
        <v>3</v>
      </c>
      <c r="F46" s="14"/>
      <c r="G46" s="2">
        <v>12</v>
      </c>
    </row>
    <row r="47" spans="1:7" x14ac:dyDescent="0.35">
      <c r="A47" s="31">
        <f t="shared" si="0"/>
        <v>5</v>
      </c>
      <c r="B47" s="14"/>
      <c r="C47" s="26">
        <v>132.20000000000002</v>
      </c>
      <c r="D47" s="14"/>
      <c r="E47" s="26">
        <v>3</v>
      </c>
      <c r="F47" s="14"/>
      <c r="G47" s="2">
        <v>12</v>
      </c>
    </row>
    <row r="48" spans="1:7" x14ac:dyDescent="0.35">
      <c r="A48" s="31">
        <f t="shared" si="0"/>
        <v>6</v>
      </c>
      <c r="B48" s="14"/>
      <c r="C48" s="26">
        <v>144.19999999999999</v>
      </c>
      <c r="D48" s="14"/>
      <c r="E48" s="26">
        <v>3</v>
      </c>
      <c r="F48" s="14"/>
      <c r="G48" s="2">
        <v>12</v>
      </c>
    </row>
    <row r="49" spans="1:7" x14ac:dyDescent="0.35">
      <c r="A49" s="31">
        <f t="shared" si="0"/>
        <v>7</v>
      </c>
      <c r="B49" s="14"/>
      <c r="C49" s="26">
        <v>156.20000000000002</v>
      </c>
      <c r="D49" s="14"/>
      <c r="E49" s="26">
        <v>3</v>
      </c>
      <c r="F49" s="14"/>
      <c r="G49" s="2">
        <v>12</v>
      </c>
    </row>
    <row r="50" spans="1:7" x14ac:dyDescent="0.35">
      <c r="A50" s="31">
        <f t="shared" si="0"/>
        <v>8</v>
      </c>
      <c r="B50" s="14"/>
      <c r="C50" s="26">
        <v>162.1</v>
      </c>
      <c r="D50" s="14"/>
      <c r="E50" s="26">
        <v>12</v>
      </c>
      <c r="F50" s="14"/>
      <c r="G50" s="2">
        <v>12</v>
      </c>
    </row>
    <row r="51" spans="1:7" x14ac:dyDescent="0.35">
      <c r="A51" s="31">
        <f t="shared" si="0"/>
        <v>9</v>
      </c>
      <c r="B51" s="14"/>
      <c r="C51" s="26">
        <v>168.2</v>
      </c>
      <c r="D51" s="14"/>
      <c r="E51" s="26">
        <v>3</v>
      </c>
      <c r="F51" s="14"/>
      <c r="G51" s="2">
        <v>12</v>
      </c>
    </row>
    <row r="52" spans="1:7" x14ac:dyDescent="0.35">
      <c r="A52" s="31">
        <f t="shared" si="0"/>
        <v>10</v>
      </c>
      <c r="B52" s="14"/>
      <c r="C52" s="26">
        <v>120</v>
      </c>
      <c r="D52" s="14"/>
      <c r="E52" s="26">
        <v>12</v>
      </c>
      <c r="F52" s="14"/>
      <c r="G52" s="2">
        <v>12</v>
      </c>
    </row>
    <row r="53" spans="1:7" x14ac:dyDescent="0.35">
      <c r="A53" s="31">
        <f t="shared" si="0"/>
        <v>11</v>
      </c>
      <c r="B53" s="14"/>
      <c r="C53" s="26">
        <v>107.80000000000001</v>
      </c>
      <c r="D53" s="14"/>
      <c r="E53" s="26">
        <v>12</v>
      </c>
      <c r="F53" s="14"/>
      <c r="G53" s="2">
        <v>12</v>
      </c>
    </row>
    <row r="54" spans="1:7" x14ac:dyDescent="0.35">
      <c r="A54" s="31">
        <f t="shared" si="0"/>
        <v>12</v>
      </c>
      <c r="B54" s="14"/>
      <c r="C54" s="26">
        <v>95.8</v>
      </c>
      <c r="D54" s="14"/>
      <c r="E54" s="26">
        <v>12</v>
      </c>
      <c r="F54" s="14"/>
      <c r="G54" s="2">
        <v>12</v>
      </c>
    </row>
    <row r="55" spans="1:7" x14ac:dyDescent="0.35">
      <c r="A55" s="31">
        <f t="shared" si="0"/>
        <v>13</v>
      </c>
      <c r="B55" s="14"/>
      <c r="C55" s="26">
        <v>120</v>
      </c>
      <c r="D55" s="14"/>
      <c r="E55" s="26">
        <v>3</v>
      </c>
      <c r="F55" s="14"/>
      <c r="G55" s="2">
        <v>12</v>
      </c>
    </row>
    <row r="56" spans="1:7" x14ac:dyDescent="0.35">
      <c r="A56" s="31">
        <f t="shared" si="0"/>
        <v>14</v>
      </c>
      <c r="B56" s="14"/>
      <c r="C56" s="26">
        <v>107.80000000000001</v>
      </c>
      <c r="D56" s="14"/>
      <c r="E56" s="26">
        <v>3</v>
      </c>
      <c r="F56" s="14"/>
      <c r="G56" s="2">
        <v>12</v>
      </c>
    </row>
    <row r="57" spans="1:7" x14ac:dyDescent="0.35">
      <c r="A57" s="31">
        <f t="shared" si="0"/>
        <v>15</v>
      </c>
      <c r="B57" s="14"/>
      <c r="C57" s="26">
        <v>95.8</v>
      </c>
      <c r="D57" s="14"/>
      <c r="E57" s="26">
        <v>3</v>
      </c>
      <c r="F57" s="14"/>
      <c r="G57" s="2">
        <v>12</v>
      </c>
    </row>
    <row r="58" spans="1:7" x14ac:dyDescent="0.35">
      <c r="A58" s="31">
        <f t="shared" si="0"/>
        <v>16</v>
      </c>
      <c r="B58" s="14"/>
      <c r="C58" s="26">
        <v>83.8</v>
      </c>
      <c r="D58" s="14"/>
      <c r="E58" s="26">
        <v>3</v>
      </c>
      <c r="F58" s="14"/>
      <c r="G58" s="2">
        <v>12</v>
      </c>
    </row>
    <row r="59" spans="1:7" x14ac:dyDescent="0.35">
      <c r="A59" s="31">
        <f t="shared" si="0"/>
        <v>17</v>
      </c>
      <c r="B59" s="14"/>
      <c r="C59" s="26">
        <v>77.900000000000006</v>
      </c>
      <c r="D59" s="14"/>
      <c r="E59" s="26">
        <v>12</v>
      </c>
      <c r="F59" s="14"/>
      <c r="G59" s="2">
        <v>12</v>
      </c>
    </row>
    <row r="60" spans="1:7" x14ac:dyDescent="0.35">
      <c r="A60" s="31">
        <f t="shared" si="0"/>
        <v>18</v>
      </c>
      <c r="B60" s="14"/>
      <c r="C60" s="26">
        <v>71.8</v>
      </c>
      <c r="D60" s="14"/>
      <c r="E60" s="26">
        <v>3</v>
      </c>
      <c r="F60" s="14"/>
      <c r="G60" s="2">
        <v>12</v>
      </c>
    </row>
    <row r="61" spans="1:7" x14ac:dyDescent="0.35">
      <c r="A61" s="31">
        <f t="shared" si="0"/>
        <v>19</v>
      </c>
      <c r="B61" s="14"/>
      <c r="C61" s="26">
        <v>40.6</v>
      </c>
      <c r="D61" s="14"/>
      <c r="E61" s="26">
        <v>108</v>
      </c>
      <c r="F61" s="14"/>
      <c r="G61" s="2">
        <v>12</v>
      </c>
    </row>
    <row r="62" spans="1:7" x14ac:dyDescent="0.35">
      <c r="A62" s="31">
        <f t="shared" si="0"/>
        <v>20</v>
      </c>
      <c r="B62" s="14"/>
      <c r="C62" s="26">
        <v>111.00000000000001</v>
      </c>
      <c r="D62" s="14"/>
      <c r="E62" s="26">
        <v>108</v>
      </c>
      <c r="F62" s="14"/>
      <c r="G62" s="2">
        <v>12</v>
      </c>
    </row>
    <row r="63" spans="1:7" x14ac:dyDescent="0.35">
      <c r="A63" s="31">
        <f t="shared" si="0"/>
        <v>21</v>
      </c>
      <c r="B63" s="14"/>
      <c r="C63" s="26">
        <v>99</v>
      </c>
      <c r="D63" s="14"/>
      <c r="E63" s="26">
        <v>108</v>
      </c>
      <c r="F63" s="14"/>
      <c r="G63" s="2">
        <v>12</v>
      </c>
    </row>
    <row r="64" spans="1:7" x14ac:dyDescent="0.35">
      <c r="A64" s="31">
        <f t="shared" si="0"/>
        <v>22</v>
      </c>
      <c r="B64" s="14"/>
      <c r="C64" s="26">
        <v>87</v>
      </c>
      <c r="D64" s="14"/>
      <c r="E64" s="26">
        <v>108</v>
      </c>
      <c r="F64" s="14"/>
      <c r="G64" s="2">
        <v>12</v>
      </c>
    </row>
    <row r="65" spans="1:7" x14ac:dyDescent="0.35">
      <c r="A65" s="31">
        <f t="shared" si="0"/>
        <v>23</v>
      </c>
      <c r="B65" s="14"/>
      <c r="C65" s="26">
        <v>75</v>
      </c>
      <c r="D65" s="14"/>
      <c r="E65" s="26">
        <v>108</v>
      </c>
      <c r="F65" s="14"/>
      <c r="G65" s="2">
        <v>12</v>
      </c>
    </row>
    <row r="66" spans="1:7" x14ac:dyDescent="0.35">
      <c r="A66" s="31">
        <f t="shared" si="0"/>
        <v>24</v>
      </c>
      <c r="B66" s="14"/>
      <c r="C66" s="26">
        <v>63</v>
      </c>
      <c r="D66" s="14"/>
      <c r="E66" s="26">
        <v>108</v>
      </c>
      <c r="F66" s="14"/>
      <c r="G66" s="2">
        <v>12</v>
      </c>
    </row>
    <row r="67" spans="1:7" x14ac:dyDescent="0.35">
      <c r="A67" s="31">
        <f t="shared" si="0"/>
        <v>25</v>
      </c>
      <c r="B67" s="14"/>
      <c r="C67" s="26">
        <v>51</v>
      </c>
      <c r="D67" s="14"/>
      <c r="E67" s="26">
        <v>108</v>
      </c>
      <c r="F67" s="14"/>
      <c r="G67" s="2">
        <v>12</v>
      </c>
    </row>
    <row r="68" spans="1:7" x14ac:dyDescent="0.35">
      <c r="A68" s="31">
        <f t="shared" si="0"/>
        <v>26</v>
      </c>
      <c r="B68" s="14"/>
      <c r="C68" s="26">
        <v>31</v>
      </c>
      <c r="D68" s="14"/>
      <c r="E68" s="26">
        <v>108</v>
      </c>
      <c r="F68" s="14"/>
      <c r="G68" s="2">
        <v>12</v>
      </c>
    </row>
    <row r="69" spans="1:7" x14ac:dyDescent="0.35">
      <c r="A69" s="31">
        <f t="shared" si="0"/>
        <v>27</v>
      </c>
      <c r="B69" s="14"/>
      <c r="C69" s="26">
        <v>15</v>
      </c>
      <c r="D69" s="14"/>
      <c r="E69" s="26">
        <v>108</v>
      </c>
      <c r="F69" s="14"/>
      <c r="G69" s="2">
        <v>12</v>
      </c>
    </row>
    <row r="70" spans="1:7" x14ac:dyDescent="0.35">
      <c r="A70" s="31">
        <f t="shared" si="0"/>
        <v>28</v>
      </c>
      <c r="B70" s="14"/>
      <c r="C70" s="26">
        <v>3</v>
      </c>
      <c r="D70" s="14"/>
      <c r="E70" s="26">
        <v>108</v>
      </c>
      <c r="F70" s="14"/>
      <c r="G70" s="2">
        <v>12</v>
      </c>
    </row>
    <row r="71" spans="1:7" x14ac:dyDescent="0.35">
      <c r="A71" s="31">
        <f t="shared" si="0"/>
        <v>29</v>
      </c>
      <c r="B71" s="14"/>
      <c r="C71" s="26">
        <v>111.00000000000001</v>
      </c>
      <c r="D71" s="14"/>
      <c r="E71" s="26">
        <v>117</v>
      </c>
      <c r="F71" s="14"/>
      <c r="G71" s="2">
        <v>12</v>
      </c>
    </row>
    <row r="72" spans="1:7" x14ac:dyDescent="0.35">
      <c r="A72" s="31">
        <f t="shared" si="0"/>
        <v>30</v>
      </c>
      <c r="B72" s="14"/>
      <c r="C72" s="26">
        <v>99</v>
      </c>
      <c r="D72" s="14"/>
      <c r="E72" s="26">
        <v>117</v>
      </c>
      <c r="F72" s="14"/>
      <c r="G72" s="2">
        <v>12</v>
      </c>
    </row>
    <row r="73" spans="1:7" x14ac:dyDescent="0.35">
      <c r="A73" s="31">
        <f t="shared" si="0"/>
        <v>31</v>
      </c>
      <c r="B73" s="14"/>
      <c r="C73" s="26">
        <v>87</v>
      </c>
      <c r="D73" s="14"/>
      <c r="E73" s="26">
        <v>117</v>
      </c>
      <c r="F73" s="14"/>
      <c r="G73" s="2">
        <v>12</v>
      </c>
    </row>
    <row r="74" spans="1:7" x14ac:dyDescent="0.35">
      <c r="A74" s="31">
        <f t="shared" si="0"/>
        <v>32</v>
      </c>
      <c r="B74" s="14"/>
      <c r="C74" s="26">
        <v>75</v>
      </c>
      <c r="D74" s="14"/>
      <c r="E74" s="26">
        <v>117</v>
      </c>
      <c r="F74" s="14"/>
      <c r="G74" s="2">
        <v>12</v>
      </c>
    </row>
    <row r="75" spans="1:7" x14ac:dyDescent="0.35">
      <c r="A75" s="31">
        <f t="shared" si="0"/>
        <v>33</v>
      </c>
      <c r="B75" s="14"/>
      <c r="C75" s="26">
        <v>63</v>
      </c>
      <c r="D75" s="14"/>
      <c r="E75" s="26">
        <v>117</v>
      </c>
      <c r="F75" s="14"/>
      <c r="G75" s="2">
        <v>12</v>
      </c>
    </row>
    <row r="76" spans="1:7" x14ac:dyDescent="0.35">
      <c r="A76" s="31">
        <f t="shared" si="0"/>
        <v>34</v>
      </c>
      <c r="B76" s="14"/>
      <c r="C76" s="26">
        <v>51</v>
      </c>
      <c r="D76" s="14"/>
      <c r="E76" s="26">
        <v>117</v>
      </c>
      <c r="F76" s="14"/>
      <c r="G76" s="2">
        <v>12</v>
      </c>
    </row>
    <row r="77" spans="1:7" x14ac:dyDescent="0.35">
      <c r="A77" s="31">
        <f t="shared" si="0"/>
        <v>35</v>
      </c>
      <c r="B77" s="14"/>
      <c r="C77" s="26">
        <v>39</v>
      </c>
      <c r="D77" s="14"/>
      <c r="E77" s="26">
        <v>117</v>
      </c>
      <c r="F77" s="14"/>
      <c r="G77" s="2">
        <v>12</v>
      </c>
    </row>
    <row r="78" spans="1:7" x14ac:dyDescent="0.35">
      <c r="A78" s="31">
        <f t="shared" si="0"/>
        <v>36</v>
      </c>
      <c r="B78" s="14"/>
      <c r="C78" s="26">
        <v>27</v>
      </c>
      <c r="D78" s="14"/>
      <c r="E78" s="26">
        <v>117</v>
      </c>
      <c r="F78" s="14"/>
      <c r="G78" s="2">
        <v>12</v>
      </c>
    </row>
    <row r="79" spans="1:7" x14ac:dyDescent="0.35">
      <c r="A79" s="31">
        <f t="shared" si="0"/>
        <v>37</v>
      </c>
      <c r="B79" s="14"/>
      <c r="C79" s="26">
        <v>15</v>
      </c>
      <c r="D79" s="14"/>
      <c r="E79" s="26">
        <v>117</v>
      </c>
      <c r="F79" s="14"/>
      <c r="G79" s="2">
        <v>12</v>
      </c>
    </row>
    <row r="80" spans="1:7" x14ac:dyDescent="0.35">
      <c r="A80" s="31">
        <f t="shared" si="0"/>
        <v>38</v>
      </c>
      <c r="B80" s="14"/>
      <c r="C80" s="26">
        <v>3</v>
      </c>
      <c r="D80" s="14"/>
      <c r="E80" s="26">
        <v>117</v>
      </c>
      <c r="F80" s="14"/>
      <c r="G80" s="2">
        <v>12</v>
      </c>
    </row>
    <row r="81" spans="1:7" x14ac:dyDescent="0.35">
      <c r="A81" s="31">
        <f t="shared" si="0"/>
        <v>39</v>
      </c>
      <c r="B81" s="14"/>
      <c r="C81" s="26">
        <v>120</v>
      </c>
      <c r="D81" s="14"/>
      <c r="E81" s="26">
        <v>108</v>
      </c>
      <c r="F81" s="14"/>
      <c r="G81" s="2">
        <v>12</v>
      </c>
    </row>
    <row r="82" spans="1:7" x14ac:dyDescent="0.35">
      <c r="A82" s="31">
        <f t="shared" si="0"/>
        <v>40</v>
      </c>
      <c r="B82" s="14"/>
      <c r="C82" s="26">
        <v>199.4</v>
      </c>
      <c r="D82" s="14"/>
      <c r="E82" s="26">
        <v>108</v>
      </c>
      <c r="F82" s="14"/>
      <c r="G82" s="2">
        <v>12</v>
      </c>
    </row>
    <row r="83" spans="1:7" x14ac:dyDescent="0.35">
      <c r="A83" s="31">
        <f t="shared" si="0"/>
        <v>41</v>
      </c>
      <c r="B83" s="14"/>
      <c r="C83" s="26">
        <v>129</v>
      </c>
      <c r="D83" s="14"/>
      <c r="E83" s="26">
        <v>108</v>
      </c>
      <c r="F83" s="14"/>
      <c r="G83" s="2">
        <v>12</v>
      </c>
    </row>
    <row r="84" spans="1:7" x14ac:dyDescent="0.35">
      <c r="A84" s="31">
        <f t="shared" si="0"/>
        <v>42</v>
      </c>
      <c r="B84" s="14"/>
      <c r="C84" s="26">
        <v>141</v>
      </c>
      <c r="D84" s="14"/>
      <c r="E84" s="26">
        <v>108</v>
      </c>
      <c r="F84" s="14"/>
      <c r="G84" s="2">
        <v>12</v>
      </c>
    </row>
    <row r="85" spans="1:7" x14ac:dyDescent="0.35">
      <c r="A85" s="31">
        <f t="shared" si="0"/>
        <v>43</v>
      </c>
      <c r="B85" s="14"/>
      <c r="C85" s="26">
        <v>153</v>
      </c>
      <c r="D85" s="14"/>
      <c r="E85" s="26">
        <v>108</v>
      </c>
      <c r="F85" s="14"/>
      <c r="G85" s="2">
        <v>12</v>
      </c>
    </row>
    <row r="86" spans="1:7" x14ac:dyDescent="0.35">
      <c r="A86" s="31">
        <f t="shared" si="0"/>
        <v>44</v>
      </c>
      <c r="B86" s="14"/>
      <c r="C86" s="26">
        <v>165</v>
      </c>
      <c r="D86" s="14"/>
      <c r="E86" s="26">
        <v>108</v>
      </c>
      <c r="F86" s="14"/>
      <c r="G86" s="2">
        <v>12</v>
      </c>
    </row>
    <row r="87" spans="1:7" x14ac:dyDescent="0.35">
      <c r="A87" s="31">
        <f t="shared" si="0"/>
        <v>45</v>
      </c>
      <c r="B87" s="14"/>
      <c r="C87" s="26">
        <v>177</v>
      </c>
      <c r="D87" s="14"/>
      <c r="E87" s="26">
        <v>108</v>
      </c>
      <c r="F87" s="14"/>
      <c r="G87" s="2">
        <v>12</v>
      </c>
    </row>
    <row r="88" spans="1:7" x14ac:dyDescent="0.35">
      <c r="A88" s="31">
        <f t="shared" si="0"/>
        <v>46</v>
      </c>
      <c r="B88" s="14"/>
      <c r="C88" s="26">
        <v>189</v>
      </c>
      <c r="D88" s="14"/>
      <c r="E88" s="26">
        <v>108</v>
      </c>
      <c r="F88" s="14"/>
      <c r="G88" s="2">
        <v>12</v>
      </c>
    </row>
    <row r="89" spans="1:7" x14ac:dyDescent="0.35">
      <c r="A89" s="31">
        <f t="shared" si="0"/>
        <v>47</v>
      </c>
      <c r="B89" s="14"/>
      <c r="C89" s="26">
        <v>209</v>
      </c>
      <c r="D89" s="14"/>
      <c r="E89" s="26">
        <v>108</v>
      </c>
      <c r="F89" s="14"/>
      <c r="G89" s="2">
        <v>12</v>
      </c>
    </row>
    <row r="90" spans="1:7" x14ac:dyDescent="0.35">
      <c r="A90" s="31">
        <f t="shared" si="0"/>
        <v>48</v>
      </c>
      <c r="B90" s="14"/>
      <c r="C90" s="26">
        <v>225</v>
      </c>
      <c r="D90" s="14"/>
      <c r="E90" s="26">
        <v>108</v>
      </c>
      <c r="F90" s="14"/>
      <c r="G90" s="2">
        <v>12</v>
      </c>
    </row>
    <row r="91" spans="1:7" x14ac:dyDescent="0.35">
      <c r="A91" s="31">
        <f t="shared" si="0"/>
        <v>49</v>
      </c>
      <c r="B91" s="14"/>
      <c r="C91" s="26">
        <v>237</v>
      </c>
      <c r="D91" s="14"/>
      <c r="E91" s="26">
        <v>108</v>
      </c>
      <c r="F91" s="14"/>
      <c r="G91" s="2">
        <v>12</v>
      </c>
    </row>
    <row r="92" spans="1:7" x14ac:dyDescent="0.35">
      <c r="A92" s="31">
        <f t="shared" si="0"/>
        <v>50</v>
      </c>
      <c r="B92" s="14"/>
      <c r="C92" s="26">
        <v>120</v>
      </c>
      <c r="D92" s="14"/>
      <c r="E92" s="26">
        <v>117</v>
      </c>
      <c r="F92" s="14"/>
      <c r="G92" s="2">
        <v>12</v>
      </c>
    </row>
    <row r="93" spans="1:7" x14ac:dyDescent="0.35">
      <c r="A93" s="31">
        <f t="shared" si="0"/>
        <v>51</v>
      </c>
      <c r="B93" s="14"/>
      <c r="C93" s="26">
        <v>129</v>
      </c>
      <c r="D93" s="14"/>
      <c r="E93" s="26">
        <v>117</v>
      </c>
      <c r="F93" s="14"/>
      <c r="G93" s="2">
        <v>12</v>
      </c>
    </row>
    <row r="94" spans="1:7" x14ac:dyDescent="0.35">
      <c r="A94" s="31">
        <f t="shared" si="0"/>
        <v>52</v>
      </c>
      <c r="B94" s="14"/>
      <c r="C94" s="26">
        <v>141</v>
      </c>
      <c r="D94" s="14"/>
      <c r="E94" s="26">
        <v>117</v>
      </c>
      <c r="F94" s="14"/>
      <c r="G94" s="2">
        <v>12</v>
      </c>
    </row>
    <row r="95" spans="1:7" x14ac:dyDescent="0.35">
      <c r="A95" s="31">
        <f t="shared" si="0"/>
        <v>53</v>
      </c>
      <c r="B95" s="14"/>
      <c r="C95" s="26">
        <v>153</v>
      </c>
      <c r="D95" s="14"/>
      <c r="E95" s="26">
        <v>117</v>
      </c>
      <c r="F95" s="14"/>
      <c r="G95" s="2">
        <v>12</v>
      </c>
    </row>
    <row r="96" spans="1:7" x14ac:dyDescent="0.35">
      <c r="A96" s="31">
        <f t="shared" si="0"/>
        <v>54</v>
      </c>
      <c r="B96" s="14"/>
      <c r="C96" s="26">
        <v>165</v>
      </c>
      <c r="D96" s="14"/>
      <c r="E96" s="26">
        <v>117</v>
      </c>
      <c r="F96" s="14"/>
      <c r="G96" s="2">
        <v>12</v>
      </c>
    </row>
    <row r="97" spans="1:7" x14ac:dyDescent="0.35">
      <c r="A97" s="31">
        <f t="shared" si="0"/>
        <v>55</v>
      </c>
      <c r="B97" s="14"/>
      <c r="C97" s="26">
        <v>177</v>
      </c>
      <c r="D97" s="14"/>
      <c r="E97" s="26">
        <v>117</v>
      </c>
      <c r="F97" s="14"/>
      <c r="G97" s="2">
        <v>12</v>
      </c>
    </row>
    <row r="98" spans="1:7" x14ac:dyDescent="0.35">
      <c r="A98" s="31">
        <f t="shared" si="0"/>
        <v>56</v>
      </c>
      <c r="B98" s="14"/>
      <c r="C98" s="26">
        <v>189</v>
      </c>
      <c r="D98" s="14"/>
      <c r="E98" s="26">
        <v>117</v>
      </c>
      <c r="F98" s="14"/>
      <c r="G98" s="2">
        <v>12</v>
      </c>
    </row>
    <row r="99" spans="1:7" x14ac:dyDescent="0.35">
      <c r="A99" s="31">
        <f t="shared" si="0"/>
        <v>57</v>
      </c>
      <c r="B99" s="14"/>
      <c r="C99" s="26">
        <v>200.99999999999997</v>
      </c>
      <c r="D99" s="14"/>
      <c r="E99" s="26">
        <v>117</v>
      </c>
      <c r="F99" s="14"/>
      <c r="G99" s="2">
        <v>12</v>
      </c>
    </row>
    <row r="100" spans="1:7" x14ac:dyDescent="0.35">
      <c r="A100" s="31">
        <f t="shared" si="0"/>
        <v>58</v>
      </c>
      <c r="B100" s="14"/>
      <c r="C100" s="26">
        <v>213</v>
      </c>
      <c r="D100" s="14"/>
      <c r="E100" s="26">
        <v>117</v>
      </c>
      <c r="F100" s="14"/>
      <c r="G100" s="2">
        <v>12</v>
      </c>
    </row>
    <row r="101" spans="1:7" x14ac:dyDescent="0.35">
      <c r="A101" s="31">
        <f t="shared" si="0"/>
        <v>59</v>
      </c>
      <c r="B101" s="14"/>
      <c r="C101" s="26">
        <v>225</v>
      </c>
      <c r="D101" s="14"/>
      <c r="E101" s="26">
        <v>117</v>
      </c>
      <c r="F101" s="14"/>
      <c r="G101" s="2">
        <v>12</v>
      </c>
    </row>
    <row r="102" spans="1:7" x14ac:dyDescent="0.35">
      <c r="A102" s="31">
        <f t="shared" si="0"/>
        <v>60</v>
      </c>
      <c r="B102" s="14"/>
      <c r="C102" s="26">
        <v>237</v>
      </c>
      <c r="D102" s="14"/>
      <c r="E102" s="26">
        <v>117</v>
      </c>
      <c r="F102" s="14"/>
      <c r="G102" s="2">
        <v>12</v>
      </c>
    </row>
    <row r="103" spans="1:7" x14ac:dyDescent="0.35">
      <c r="A103" s="31">
        <f t="shared" si="0"/>
        <v>61</v>
      </c>
      <c r="B103" s="14"/>
      <c r="C103" s="26">
        <v>43.9</v>
      </c>
      <c r="D103" s="14"/>
      <c r="E103" s="26">
        <v>99.5</v>
      </c>
      <c r="F103" s="14"/>
      <c r="G103" s="2">
        <v>12</v>
      </c>
    </row>
    <row r="104" spans="1:7" x14ac:dyDescent="0.35">
      <c r="A104" s="31">
        <f t="shared" si="0"/>
        <v>62</v>
      </c>
      <c r="B104" s="14"/>
      <c r="C104" s="26">
        <v>47.599999999999994</v>
      </c>
      <c r="D104" s="14"/>
      <c r="E104" s="26">
        <v>90.100000000000009</v>
      </c>
      <c r="F104" s="14"/>
      <c r="G104" s="2">
        <v>12</v>
      </c>
    </row>
    <row r="105" spans="1:7" x14ac:dyDescent="0.35">
      <c r="A105" s="31">
        <f t="shared" si="0"/>
        <v>63</v>
      </c>
      <c r="B105" s="14"/>
      <c r="C105" s="26">
        <v>53</v>
      </c>
      <c r="D105" s="14"/>
      <c r="E105" s="26">
        <v>76.2</v>
      </c>
      <c r="F105" s="14"/>
      <c r="G105" s="2">
        <v>12</v>
      </c>
    </row>
    <row r="106" spans="1:7" x14ac:dyDescent="0.35">
      <c r="A106" s="31">
        <f t="shared" si="0"/>
        <v>64</v>
      </c>
      <c r="B106" s="14"/>
      <c r="C106" s="26">
        <v>58.4</v>
      </c>
      <c r="D106" s="14"/>
      <c r="E106" s="26">
        <v>62.2</v>
      </c>
      <c r="F106" s="14"/>
      <c r="G106" s="2">
        <v>12</v>
      </c>
    </row>
    <row r="107" spans="1:7" x14ac:dyDescent="0.35">
      <c r="A107" s="31">
        <f t="shared" ref="A107:A128" si="1">A108-1</f>
        <v>65</v>
      </c>
      <c r="B107" s="14"/>
      <c r="C107" s="26">
        <v>63.9</v>
      </c>
      <c r="D107" s="14"/>
      <c r="E107" s="26">
        <v>48.199999999999996</v>
      </c>
      <c r="F107" s="14"/>
      <c r="G107" s="2">
        <v>12</v>
      </c>
    </row>
    <row r="108" spans="1:7" x14ac:dyDescent="0.35">
      <c r="A108" s="31">
        <f t="shared" si="1"/>
        <v>66</v>
      </c>
      <c r="B108" s="14"/>
      <c r="C108" s="26">
        <v>69.3</v>
      </c>
      <c r="D108" s="14"/>
      <c r="E108" s="26">
        <v>34.200000000000003</v>
      </c>
      <c r="F108" s="14"/>
      <c r="G108" s="2">
        <v>12</v>
      </c>
    </row>
    <row r="109" spans="1:7" x14ac:dyDescent="0.35">
      <c r="A109" s="31">
        <f t="shared" si="1"/>
        <v>67</v>
      </c>
      <c r="B109" s="14"/>
      <c r="C109" s="26">
        <v>74.7</v>
      </c>
      <c r="D109" s="14"/>
      <c r="E109" s="26">
        <v>20.200000000000003</v>
      </c>
      <c r="F109" s="14"/>
      <c r="G109" s="2">
        <v>12</v>
      </c>
    </row>
    <row r="110" spans="1:7" x14ac:dyDescent="0.35">
      <c r="A110" s="31">
        <f t="shared" si="1"/>
        <v>68</v>
      </c>
      <c r="B110" s="14"/>
      <c r="C110" s="26">
        <v>35.5</v>
      </c>
      <c r="D110" s="14"/>
      <c r="E110" s="26">
        <v>96.2</v>
      </c>
      <c r="F110" s="14"/>
      <c r="G110" s="2">
        <v>12</v>
      </c>
    </row>
    <row r="111" spans="1:7" x14ac:dyDescent="0.35">
      <c r="A111" s="31">
        <f t="shared" si="1"/>
        <v>69</v>
      </c>
      <c r="B111" s="14"/>
      <c r="C111" s="26">
        <v>39.200000000000003</v>
      </c>
      <c r="D111" s="14"/>
      <c r="E111" s="26">
        <v>86.9</v>
      </c>
      <c r="F111" s="14"/>
      <c r="G111" s="2">
        <v>12</v>
      </c>
    </row>
    <row r="112" spans="1:7" x14ac:dyDescent="0.35">
      <c r="A112" s="31">
        <f t="shared" si="1"/>
        <v>70</v>
      </c>
      <c r="B112" s="14"/>
      <c r="C112" s="26">
        <v>44.6</v>
      </c>
      <c r="D112" s="14"/>
      <c r="E112" s="26">
        <v>72.899999999999991</v>
      </c>
      <c r="F112" s="14"/>
      <c r="G112" s="2">
        <v>12</v>
      </c>
    </row>
    <row r="113" spans="1:7" x14ac:dyDescent="0.35">
      <c r="A113" s="31">
        <f t="shared" si="1"/>
        <v>71</v>
      </c>
      <c r="B113" s="14"/>
      <c r="C113" s="26">
        <v>50</v>
      </c>
      <c r="D113" s="14"/>
      <c r="E113" s="26">
        <v>58.9</v>
      </c>
      <c r="F113" s="14"/>
      <c r="G113" s="2">
        <v>12</v>
      </c>
    </row>
    <row r="114" spans="1:7" x14ac:dyDescent="0.35">
      <c r="A114" s="31">
        <f t="shared" si="1"/>
        <v>72</v>
      </c>
      <c r="B114" s="14"/>
      <c r="C114" s="26">
        <v>55.500000000000007</v>
      </c>
      <c r="D114" s="14"/>
      <c r="E114" s="26">
        <v>44.9</v>
      </c>
      <c r="F114" s="14"/>
      <c r="G114" s="2">
        <v>12</v>
      </c>
    </row>
    <row r="115" spans="1:7" x14ac:dyDescent="0.35">
      <c r="A115" s="31">
        <f t="shared" si="1"/>
        <v>73</v>
      </c>
      <c r="B115" s="14"/>
      <c r="C115" s="26">
        <v>60.9</v>
      </c>
      <c r="D115" s="14"/>
      <c r="E115" s="26">
        <v>31</v>
      </c>
      <c r="F115" s="14"/>
      <c r="G115" s="2">
        <v>12</v>
      </c>
    </row>
    <row r="116" spans="1:7" x14ac:dyDescent="0.35">
      <c r="A116" s="31">
        <f t="shared" si="1"/>
        <v>74</v>
      </c>
      <c r="B116" s="14"/>
      <c r="C116" s="26">
        <v>66.400000000000006</v>
      </c>
      <c r="D116" s="14"/>
      <c r="E116" s="26">
        <v>17</v>
      </c>
      <c r="F116" s="14"/>
      <c r="G116" s="2">
        <v>12</v>
      </c>
    </row>
    <row r="117" spans="1:7" x14ac:dyDescent="0.35">
      <c r="A117" s="31">
        <f t="shared" si="1"/>
        <v>75</v>
      </c>
      <c r="B117" s="14"/>
      <c r="C117" s="26">
        <v>196.1</v>
      </c>
      <c r="D117" s="14"/>
      <c r="E117" s="26">
        <v>99.5</v>
      </c>
      <c r="F117" s="14"/>
      <c r="G117" s="2">
        <v>12</v>
      </c>
    </row>
    <row r="118" spans="1:7" x14ac:dyDescent="0.35">
      <c r="A118" s="31">
        <f t="shared" si="1"/>
        <v>76</v>
      </c>
      <c r="B118" s="14"/>
      <c r="C118" s="26">
        <v>192.4</v>
      </c>
      <c r="D118" s="14"/>
      <c r="E118" s="26">
        <v>90.100000000000009</v>
      </c>
      <c r="F118" s="14"/>
      <c r="G118" s="2">
        <v>12</v>
      </c>
    </row>
    <row r="119" spans="1:7" x14ac:dyDescent="0.35">
      <c r="A119" s="31">
        <f t="shared" si="1"/>
        <v>77</v>
      </c>
      <c r="B119" s="14"/>
      <c r="C119" s="26">
        <v>187</v>
      </c>
      <c r="D119" s="14"/>
      <c r="E119" s="26">
        <v>76.2</v>
      </c>
      <c r="F119" s="14"/>
      <c r="G119" s="2">
        <v>12</v>
      </c>
    </row>
    <row r="120" spans="1:7" x14ac:dyDescent="0.35">
      <c r="A120" s="31">
        <f t="shared" si="1"/>
        <v>78</v>
      </c>
      <c r="B120" s="14"/>
      <c r="C120" s="26">
        <v>181.6</v>
      </c>
      <c r="D120" s="14"/>
      <c r="E120" s="26">
        <v>62.2</v>
      </c>
      <c r="F120" s="14"/>
      <c r="G120" s="2">
        <v>12</v>
      </c>
    </row>
    <row r="121" spans="1:7" x14ac:dyDescent="0.35">
      <c r="A121" s="31">
        <f t="shared" si="1"/>
        <v>79</v>
      </c>
      <c r="B121" s="14"/>
      <c r="C121" s="26">
        <v>176.1</v>
      </c>
      <c r="D121" s="14"/>
      <c r="E121" s="26">
        <v>48.199999999999996</v>
      </c>
      <c r="F121" s="14"/>
      <c r="G121" s="2">
        <v>12</v>
      </c>
    </row>
    <row r="122" spans="1:7" x14ac:dyDescent="0.35">
      <c r="A122" s="31">
        <f t="shared" si="1"/>
        <v>80</v>
      </c>
      <c r="B122" s="14"/>
      <c r="C122" s="26">
        <v>170.70000000000002</v>
      </c>
      <c r="D122" s="14"/>
      <c r="E122" s="26">
        <v>34.200000000000003</v>
      </c>
      <c r="F122" s="14"/>
      <c r="G122" s="2">
        <v>12</v>
      </c>
    </row>
    <row r="123" spans="1:7" x14ac:dyDescent="0.35">
      <c r="A123" s="31">
        <f t="shared" si="1"/>
        <v>81</v>
      </c>
      <c r="B123" s="14"/>
      <c r="C123" s="26">
        <v>165.3</v>
      </c>
      <c r="D123" s="14"/>
      <c r="E123" s="26">
        <v>20.200000000000003</v>
      </c>
      <c r="F123" s="14"/>
      <c r="G123" s="2">
        <v>12</v>
      </c>
    </row>
    <row r="124" spans="1:7" x14ac:dyDescent="0.35">
      <c r="A124" s="31">
        <f t="shared" si="1"/>
        <v>82</v>
      </c>
      <c r="B124" s="14"/>
      <c r="C124" s="26">
        <v>204.5</v>
      </c>
      <c r="D124" s="14"/>
      <c r="E124" s="26">
        <v>96.2</v>
      </c>
      <c r="F124" s="14"/>
      <c r="G124" s="2">
        <v>12</v>
      </c>
    </row>
    <row r="125" spans="1:7" x14ac:dyDescent="0.35">
      <c r="A125" s="31">
        <f t="shared" si="1"/>
        <v>83</v>
      </c>
      <c r="B125" s="14"/>
      <c r="C125" s="26">
        <v>200.8</v>
      </c>
      <c r="D125" s="14"/>
      <c r="E125" s="26">
        <v>86.9</v>
      </c>
      <c r="F125" s="14"/>
      <c r="G125" s="2">
        <v>12</v>
      </c>
    </row>
    <row r="126" spans="1:7" x14ac:dyDescent="0.35">
      <c r="A126" s="31">
        <f t="shared" si="1"/>
        <v>84</v>
      </c>
      <c r="B126" s="14"/>
      <c r="C126" s="26">
        <v>195.4</v>
      </c>
      <c r="D126" s="14"/>
      <c r="E126" s="26">
        <v>72.899999999999991</v>
      </c>
      <c r="F126" s="14"/>
      <c r="G126" s="2">
        <v>12</v>
      </c>
    </row>
    <row r="127" spans="1:7" x14ac:dyDescent="0.35">
      <c r="A127" s="31">
        <f t="shared" si="1"/>
        <v>85</v>
      </c>
      <c r="B127" s="14"/>
      <c r="C127" s="25">
        <v>190</v>
      </c>
      <c r="D127" s="14"/>
      <c r="E127" s="26">
        <v>58.9</v>
      </c>
      <c r="F127" s="14"/>
      <c r="G127" s="2">
        <v>12</v>
      </c>
    </row>
    <row r="128" spans="1:7" x14ac:dyDescent="0.35">
      <c r="A128" s="31">
        <f t="shared" si="1"/>
        <v>86</v>
      </c>
      <c r="B128" s="14"/>
      <c r="C128" s="26">
        <v>184.5</v>
      </c>
      <c r="D128" s="14"/>
      <c r="E128" s="26">
        <v>44.9</v>
      </c>
      <c r="F128" s="14"/>
      <c r="G128" s="2">
        <v>12</v>
      </c>
    </row>
    <row r="129" spans="1:7" x14ac:dyDescent="0.35">
      <c r="A129" s="31">
        <f>A130-1</f>
        <v>87</v>
      </c>
      <c r="B129" s="14"/>
      <c r="C129" s="26">
        <v>179.1</v>
      </c>
      <c r="D129" s="14"/>
      <c r="E129" s="26">
        <v>31</v>
      </c>
      <c r="F129" s="14"/>
      <c r="G129" s="2">
        <v>12</v>
      </c>
    </row>
    <row r="130" spans="1:7" x14ac:dyDescent="0.35">
      <c r="A130" s="31">
        <v>88</v>
      </c>
      <c r="B130" s="14"/>
      <c r="C130" s="26">
        <v>173.6</v>
      </c>
      <c r="D130" s="14"/>
      <c r="E130" s="26">
        <v>17</v>
      </c>
      <c r="F130" s="14"/>
      <c r="G130" s="2">
        <v>12</v>
      </c>
    </row>
    <row r="131" spans="1:7" x14ac:dyDescent="0.35">
      <c r="A131" s="14"/>
      <c r="B131" s="14"/>
      <c r="C131" s="14"/>
      <c r="D131" s="14"/>
      <c r="E131" s="14"/>
      <c r="F131" s="14"/>
      <c r="G131" s="14"/>
    </row>
    <row r="132" spans="1:7" x14ac:dyDescent="0.35">
      <c r="A132" s="90" t="s">
        <v>21</v>
      </c>
      <c r="B132" s="91"/>
      <c r="C132" s="92"/>
      <c r="E132" s="14"/>
    </row>
    <row r="133" spans="1:7" x14ac:dyDescent="0.35">
      <c r="A133" s="14"/>
      <c r="B133" s="14"/>
      <c r="C133" s="14"/>
      <c r="D133" s="14"/>
      <c r="E133" s="14"/>
      <c r="F133" s="14"/>
      <c r="G133" s="14"/>
    </row>
    <row r="134" spans="1:7" x14ac:dyDescent="0.35">
      <c r="A134" s="87" t="s">
        <v>18</v>
      </c>
      <c r="B134" s="88"/>
      <c r="C134" s="89"/>
      <c r="D134" s="18">
        <v>1</v>
      </c>
      <c r="E134" s="14"/>
      <c r="F134" s="14"/>
      <c r="G134" s="14"/>
    </row>
    <row r="135" spans="1:7" x14ac:dyDescent="0.35">
      <c r="A135" s="14"/>
      <c r="B135" s="14"/>
      <c r="C135" s="14"/>
      <c r="D135" s="14"/>
      <c r="E135" s="14"/>
      <c r="F135" s="14"/>
      <c r="G135" s="14"/>
    </row>
    <row r="136" spans="1:7" x14ac:dyDescent="0.35">
      <c r="A136" s="15" t="s">
        <v>19</v>
      </c>
      <c r="B136" s="14"/>
      <c r="C136" s="15" t="s">
        <v>15</v>
      </c>
      <c r="D136" s="14"/>
      <c r="E136" s="15" t="s">
        <v>16</v>
      </c>
      <c r="F136" s="14"/>
      <c r="G136" s="27" t="s">
        <v>22</v>
      </c>
    </row>
    <row r="137" spans="1:7" x14ac:dyDescent="0.35">
      <c r="A137" s="29">
        <v>1</v>
      </c>
      <c r="B137" s="14"/>
      <c r="C137" s="25">
        <v>25</v>
      </c>
      <c r="D137" s="14"/>
      <c r="E137" s="25">
        <v>25</v>
      </c>
      <c r="F137" s="14"/>
      <c r="G137" s="21">
        <v>0</v>
      </c>
    </row>
    <row r="138" spans="1:7" x14ac:dyDescent="0.35">
      <c r="A138" s="32">
        <v>3</v>
      </c>
      <c r="B138" s="23"/>
      <c r="C138" s="26">
        <v>46.5</v>
      </c>
      <c r="D138" s="14"/>
      <c r="E138" s="26">
        <v>3.5</v>
      </c>
      <c r="F138" s="22"/>
      <c r="G138" s="2">
        <v>0</v>
      </c>
    </row>
    <row r="139" spans="1:7" x14ac:dyDescent="0.35">
      <c r="A139" s="32">
        <v>4</v>
      </c>
      <c r="B139" s="23"/>
      <c r="C139" s="26">
        <v>46.5</v>
      </c>
      <c r="D139" s="14"/>
      <c r="E139" s="26">
        <v>31.5</v>
      </c>
      <c r="F139" s="14"/>
      <c r="G139" s="21">
        <v>0</v>
      </c>
    </row>
    <row r="140" spans="1:7" x14ac:dyDescent="0.35">
      <c r="A140" s="32">
        <v>5</v>
      </c>
      <c r="B140" s="23"/>
      <c r="C140" s="26">
        <v>25</v>
      </c>
      <c r="D140" s="14"/>
      <c r="E140" s="26">
        <v>31.5</v>
      </c>
      <c r="F140" s="22"/>
      <c r="G140" s="2">
        <v>0</v>
      </c>
    </row>
    <row r="141" spans="1:7" x14ac:dyDescent="0.35">
      <c r="A141" s="32">
        <v>6</v>
      </c>
      <c r="B141" s="23"/>
      <c r="C141" s="26">
        <v>3.5</v>
      </c>
      <c r="D141" s="22"/>
      <c r="E141" s="3">
        <v>31.5</v>
      </c>
      <c r="F141" s="23"/>
      <c r="G141" s="21">
        <v>0</v>
      </c>
    </row>
    <row r="142" spans="1:7" x14ac:dyDescent="0.35">
      <c r="A142" s="31">
        <v>7</v>
      </c>
      <c r="B142" s="14"/>
      <c r="C142" s="26">
        <v>3.5</v>
      </c>
      <c r="D142" s="14"/>
      <c r="E142" s="26">
        <v>17.5</v>
      </c>
      <c r="F142" s="14"/>
      <c r="G142" s="21">
        <v>0</v>
      </c>
    </row>
    <row r="143" spans="1:7" x14ac:dyDescent="0.35">
      <c r="A143" s="30">
        <v>8</v>
      </c>
      <c r="B143" s="14"/>
      <c r="C143" s="24">
        <v>46.5</v>
      </c>
      <c r="D143" s="14"/>
      <c r="E143" s="24">
        <v>17.5</v>
      </c>
      <c r="F143" s="14"/>
      <c r="G143" s="21">
        <v>0</v>
      </c>
    </row>
    <row r="144" spans="1:7" x14ac:dyDescent="0.35">
      <c r="A144" s="14"/>
      <c r="B144" s="14"/>
      <c r="C144" s="14"/>
      <c r="D144" s="14"/>
      <c r="E144" s="14"/>
      <c r="F144" s="14"/>
      <c r="G144" s="28"/>
    </row>
    <row r="145" spans="1:7" x14ac:dyDescent="0.35">
      <c r="A145" s="90" t="s">
        <v>23</v>
      </c>
      <c r="B145" s="91"/>
      <c r="C145" s="91"/>
      <c r="D145" s="91"/>
      <c r="E145" s="92"/>
      <c r="F145" s="14"/>
      <c r="G145" s="14"/>
    </row>
    <row r="146" spans="1:7" x14ac:dyDescent="0.35">
      <c r="A146" s="14"/>
      <c r="B146" s="14"/>
      <c r="C146" s="14"/>
      <c r="D146" s="14"/>
      <c r="E146" s="14"/>
      <c r="F146" s="14"/>
      <c r="G146" s="14"/>
    </row>
    <row r="147" spans="1:7" x14ac:dyDescent="0.35">
      <c r="A147" s="93" t="s">
        <v>24</v>
      </c>
      <c r="B147" s="93"/>
      <c r="C147" s="16">
        <v>2</v>
      </c>
      <c r="D147" s="14" t="s">
        <v>25</v>
      </c>
      <c r="E147" s="14"/>
      <c r="F147" s="14"/>
      <c r="G147" s="14"/>
    </row>
    <row r="148" spans="1:7" x14ac:dyDescent="0.35">
      <c r="A148" s="14"/>
      <c r="B148" s="14"/>
      <c r="C148" s="19"/>
      <c r="D148" s="14"/>
      <c r="E148" s="14"/>
      <c r="F148" s="14"/>
      <c r="G148" s="14"/>
    </row>
    <row r="149" spans="1:7" x14ac:dyDescent="0.35">
      <c r="A149" s="93" t="s">
        <v>26</v>
      </c>
      <c r="B149" s="93"/>
      <c r="C149" s="16">
        <v>2</v>
      </c>
      <c r="D149" s="14" t="s">
        <v>25</v>
      </c>
      <c r="E149" s="14"/>
      <c r="F149" s="14"/>
      <c r="G149" s="14"/>
    </row>
    <row r="150" spans="1:7" x14ac:dyDescent="0.35">
      <c r="A150" s="14"/>
      <c r="B150" s="14"/>
      <c r="C150" s="14"/>
      <c r="D150" s="14"/>
      <c r="E150" s="14"/>
      <c r="F150" s="14"/>
      <c r="G150" s="14"/>
    </row>
    <row r="151" spans="1:7" x14ac:dyDescent="0.35">
      <c r="A151" s="90" t="s">
        <v>27</v>
      </c>
      <c r="B151" s="91"/>
      <c r="C151" s="91"/>
      <c r="D151" s="91"/>
      <c r="E151" s="92"/>
      <c r="F151" s="14"/>
      <c r="G151" s="14"/>
    </row>
    <row r="152" spans="1:7" x14ac:dyDescent="0.35">
      <c r="A152" s="14"/>
      <c r="B152" s="14"/>
      <c r="C152" s="14"/>
      <c r="D152" s="14"/>
      <c r="E152" s="14"/>
      <c r="F152" s="14"/>
      <c r="G152" s="14"/>
    </row>
    <row r="153" spans="1:7" x14ac:dyDescent="0.35">
      <c r="A153" s="87" t="s">
        <v>28</v>
      </c>
      <c r="B153" s="88"/>
      <c r="C153" s="88"/>
      <c r="D153" s="89"/>
      <c r="E153" s="20">
        <v>0</v>
      </c>
      <c r="F153" s="14"/>
      <c r="G153" s="14"/>
    </row>
  </sheetData>
  <dataConsolidate/>
  <mergeCells count="18">
    <mergeCell ref="A153:D153"/>
    <mergeCell ref="A12:E12"/>
    <mergeCell ref="A14:C14"/>
    <mergeCell ref="A38:C38"/>
    <mergeCell ref="A40:C40"/>
    <mergeCell ref="A132:C132"/>
    <mergeCell ref="A134:C134"/>
    <mergeCell ref="A145:E145"/>
    <mergeCell ref="A147:B147"/>
    <mergeCell ref="A149:B149"/>
    <mergeCell ref="A151:E151"/>
    <mergeCell ref="A10:C10"/>
    <mergeCell ref="E10:F10"/>
    <mergeCell ref="A1:C1"/>
    <mergeCell ref="D1:F1"/>
    <mergeCell ref="A4:B4"/>
    <mergeCell ref="A6:B6"/>
    <mergeCell ref="A8:B8"/>
  </mergeCells>
  <dataValidations count="8">
    <dataValidation type="decimal" allowBlank="1" showInputMessage="1" showErrorMessage="1" errorTitle="ERROR" error="El ángulo de inclinación del plano de carga debe estar comprendido entre -90º y 90º" sqref="E153" xr:uid="{187B3F15-E228-4DA4-9FD6-390CC5550EB2}">
      <formula1>-90</formula1>
      <formula2>90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40 D134 A43:A130 A137:A143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  <dataValidation type="list" allowBlank="1" showInputMessage="1" showErrorMessage="1" sqref="D16 D23 D30" xr:uid="{B5AA43EE-21FB-4421-AFF7-0D3BC4561FC2}">
      <formula1>"Positiva, Negativa"</formula1>
    </dataValidation>
    <dataValidation type="whole" allowBlank="1" showInputMessage="1" showErrorMessage="1" errorTitle="Error" error="El número de contornos convexos debe estar comprendido entre 1 y 10" sqref="B16 B23 B30" xr:uid="{B62C476E-299D-4DE5-B0EA-F11851BDF675}">
      <formula1>1</formula1>
      <formula2>10</formula2>
    </dataValidation>
    <dataValidation type="whole" allowBlank="1" showInputMessage="1" showErrorMessage="1" errorTitle="Error" error="El número de nodos debe estar comprendido entre 1 y 500" sqref="G16 A19:A22 G23 A26:A29 A33:A37 G30" xr:uid="{722D61C5-8ABB-4294-A318-66E82CAB3550}">
      <formula1>1</formula1>
      <formula2>500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topLeftCell="A2" zoomScale="175" zoomScaleNormal="175" workbookViewId="0">
      <selection activeCell="C4" sqref="C4"/>
    </sheetView>
  </sheetViews>
  <sheetFormatPr defaultColWidth="9.1796875" defaultRowHeight="14" x14ac:dyDescent="0.35"/>
  <cols>
    <col min="1" max="1" width="21.54296875" style="34" customWidth="1"/>
    <col min="2" max="3" width="14.26953125" style="34" customWidth="1"/>
    <col min="4" max="4" width="13.453125" style="34" customWidth="1"/>
    <col min="5" max="5" width="12.54296875" style="34" customWidth="1"/>
    <col min="6" max="16384" width="9.1796875" style="34"/>
  </cols>
  <sheetData>
    <row r="1" spans="1:5" ht="28.5" customHeight="1" thickBot="1" x14ac:dyDescent="0.4">
      <c r="A1" s="94" t="s">
        <v>35</v>
      </c>
      <c r="B1" s="95"/>
      <c r="C1" s="95"/>
      <c r="D1" s="95"/>
      <c r="E1" s="96"/>
    </row>
    <row r="2" spans="1:5" ht="37.5" customHeight="1" thickBot="1" x14ac:dyDescent="0.4">
      <c r="A2" s="42" t="s">
        <v>31</v>
      </c>
      <c r="B2" s="43" t="s">
        <v>4</v>
      </c>
      <c r="C2" s="43" t="s">
        <v>30</v>
      </c>
      <c r="D2" s="43" t="s">
        <v>29</v>
      </c>
      <c r="E2" s="44" t="s">
        <v>32</v>
      </c>
    </row>
    <row r="3" spans="1:5" ht="48.75" customHeight="1" x14ac:dyDescent="0.35">
      <c r="A3" s="37" t="s">
        <v>33</v>
      </c>
      <c r="B3" s="34">
        <v>420</v>
      </c>
      <c r="C3" s="34">
        <v>500</v>
      </c>
      <c r="D3" s="34">
        <v>220</v>
      </c>
      <c r="E3" s="40"/>
    </row>
    <row r="4" spans="1:5" ht="31.5" customHeight="1" x14ac:dyDescent="0.35">
      <c r="A4" s="36" t="s">
        <v>34</v>
      </c>
      <c r="B4" s="34">
        <v>200000</v>
      </c>
      <c r="C4" s="34">
        <v>200000</v>
      </c>
      <c r="D4" s="34">
        <v>200000</v>
      </c>
      <c r="E4" s="40"/>
    </row>
    <row r="5" spans="1:5" ht="28" x14ac:dyDescent="0.35">
      <c r="A5" s="37" t="s">
        <v>48</v>
      </c>
      <c r="B5" s="35">
        <f>B3/B4</f>
        <v>2.0999999999999999E-3</v>
      </c>
      <c r="C5" s="35">
        <f>C3/C4</f>
        <v>2.5000000000000001E-3</v>
      </c>
      <c r="D5" s="35">
        <f>D3/D4</f>
        <v>1.1000000000000001E-3</v>
      </c>
      <c r="E5" s="40"/>
    </row>
    <row r="6" spans="1:5" ht="28.5" thickBot="1" x14ac:dyDescent="0.4">
      <c r="A6" s="38" t="s">
        <v>49</v>
      </c>
      <c r="B6" s="39">
        <v>0.12</v>
      </c>
      <c r="C6" s="39">
        <v>0.12</v>
      </c>
      <c r="D6" s="39">
        <v>0.12</v>
      </c>
      <c r="E6" s="41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E5" sqref="E5"/>
    </sheetView>
  </sheetViews>
  <sheetFormatPr defaultColWidth="9.1796875" defaultRowHeight="14" x14ac:dyDescent="0.35"/>
  <cols>
    <col min="1" max="1" width="21.54296875" style="34" customWidth="1"/>
    <col min="2" max="3" width="14.26953125" style="34" customWidth="1"/>
    <col min="4" max="4" width="13.453125" style="34" customWidth="1"/>
    <col min="5" max="5" width="12.54296875" style="34" customWidth="1"/>
    <col min="6" max="16384" width="9.1796875" style="34"/>
  </cols>
  <sheetData>
    <row r="1" spans="1:5" ht="28.5" customHeight="1" thickBot="1" x14ac:dyDescent="0.4">
      <c r="A1" s="97" t="s">
        <v>44</v>
      </c>
      <c r="B1" s="98"/>
      <c r="C1" s="98"/>
      <c r="D1" s="98"/>
      <c r="E1" s="99"/>
    </row>
    <row r="2" spans="1:5" ht="37.5" customHeight="1" thickTop="1" thickBot="1" x14ac:dyDescent="0.4">
      <c r="A2" s="49" t="s">
        <v>31</v>
      </c>
      <c r="B2" s="46" t="s">
        <v>36</v>
      </c>
      <c r="C2" s="46" t="s">
        <v>37</v>
      </c>
      <c r="D2" s="46" t="s">
        <v>38</v>
      </c>
      <c r="E2" s="50" t="s">
        <v>32</v>
      </c>
    </row>
    <row r="3" spans="1:5" ht="37.5" customHeight="1" thickTop="1" x14ac:dyDescent="0.35">
      <c r="A3" s="51" t="s">
        <v>46</v>
      </c>
      <c r="B3" s="52">
        <v>200000</v>
      </c>
      <c r="C3" s="52">
        <v>200000</v>
      </c>
      <c r="D3" s="52">
        <v>200000</v>
      </c>
      <c r="E3" s="53"/>
    </row>
    <row r="4" spans="1:5" ht="48.75" customHeight="1" x14ac:dyDescent="0.35">
      <c r="A4" s="54" t="s">
        <v>39</v>
      </c>
      <c r="B4" s="52">
        <v>952</v>
      </c>
      <c r="C4" s="52">
        <v>1505</v>
      </c>
      <c r="D4" s="52">
        <v>1665</v>
      </c>
      <c r="E4" s="55"/>
    </row>
    <row r="5" spans="1:5" ht="31.5" customHeight="1" x14ac:dyDescent="0.35">
      <c r="A5" s="54" t="s">
        <v>40</v>
      </c>
      <c r="B5" s="52">
        <v>1050</v>
      </c>
      <c r="C5" s="52">
        <v>1650</v>
      </c>
      <c r="D5" s="52">
        <v>1860</v>
      </c>
      <c r="E5" s="55"/>
    </row>
    <row r="6" spans="1:5" ht="31.5" customHeight="1" x14ac:dyDescent="0.35">
      <c r="A6" s="56" t="s">
        <v>50</v>
      </c>
      <c r="B6" s="47">
        <v>4.1000000000000002E-2</v>
      </c>
      <c r="C6" s="47">
        <v>8.6999999999999994E-2</v>
      </c>
      <c r="D6" s="47">
        <v>6.9000000000000006E-2</v>
      </c>
      <c r="E6" s="57"/>
    </row>
    <row r="7" spans="1:5" ht="31.5" customHeight="1" x14ac:dyDescent="0.35">
      <c r="A7" s="54" t="s">
        <v>41</v>
      </c>
      <c r="B7" s="52">
        <v>7.1</v>
      </c>
      <c r="C7" s="52">
        <v>6.06</v>
      </c>
      <c r="D7" s="52">
        <v>7.3440000000000003</v>
      </c>
      <c r="E7" s="55"/>
    </row>
    <row r="8" spans="1:5" x14ac:dyDescent="0.35">
      <c r="A8" s="54" t="s">
        <v>42</v>
      </c>
      <c r="B8" s="45">
        <v>1.0041</v>
      </c>
      <c r="C8" s="45">
        <v>1.0325</v>
      </c>
      <c r="D8" s="45">
        <v>1.0618000000000001</v>
      </c>
      <c r="E8" s="55"/>
    </row>
    <row r="9" spans="1:5" ht="30.75" customHeight="1" thickBot="1" x14ac:dyDescent="0.4">
      <c r="A9" s="58" t="s">
        <v>43</v>
      </c>
      <c r="B9" s="59">
        <v>1.7500000000000002E-2</v>
      </c>
      <c r="C9" s="59">
        <v>6.2500000000000003E-3</v>
      </c>
      <c r="D9" s="59">
        <v>1.174E-2</v>
      </c>
      <c r="E9" s="60"/>
    </row>
    <row r="11" spans="1:5" ht="14.5" x14ac:dyDescent="0.3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7"/>
  <sheetViews>
    <sheetView zoomScale="205" zoomScaleNormal="205" workbookViewId="0">
      <selection activeCell="F13" sqref="F13"/>
    </sheetView>
  </sheetViews>
  <sheetFormatPr defaultRowHeight="14.5" x14ac:dyDescent="0.35"/>
  <cols>
    <col min="1" max="1" width="14.26953125" customWidth="1"/>
    <col min="3" max="3" width="15.26953125" customWidth="1"/>
  </cols>
  <sheetData>
    <row r="1" spans="1:7" x14ac:dyDescent="0.35">
      <c r="A1" s="78" t="s">
        <v>51</v>
      </c>
      <c r="B1" s="79">
        <v>1</v>
      </c>
      <c r="C1" s="78" t="s">
        <v>12</v>
      </c>
      <c r="D1" s="80" t="s">
        <v>13</v>
      </c>
      <c r="E1" s="78" t="s">
        <v>14</v>
      </c>
      <c r="F1" s="78"/>
      <c r="G1" s="81">
        <v>4</v>
      </c>
    </row>
    <row r="2" spans="1:7" x14ac:dyDescent="0.35">
      <c r="A2" s="4"/>
      <c r="B2" s="4"/>
      <c r="C2" s="4"/>
      <c r="D2" s="4"/>
      <c r="E2" s="75"/>
      <c r="F2" s="75"/>
      <c r="G2" s="4"/>
    </row>
    <row r="3" spans="1:7" x14ac:dyDescent="0.35">
      <c r="A3" s="63" t="s">
        <v>52</v>
      </c>
      <c r="B3" s="4"/>
      <c r="C3" s="63" t="s">
        <v>15</v>
      </c>
      <c r="D3" s="4"/>
      <c r="E3" s="63" t="s">
        <v>16</v>
      </c>
      <c r="F3" s="4"/>
      <c r="G3" s="4"/>
    </row>
    <row r="4" spans="1:7" x14ac:dyDescent="0.35">
      <c r="A4" s="67">
        <v>1</v>
      </c>
      <c r="B4" s="4"/>
      <c r="C4" s="68">
        <v>0</v>
      </c>
      <c r="D4" s="4"/>
      <c r="E4" s="68">
        <v>0</v>
      </c>
      <c r="F4" s="4"/>
      <c r="G4" s="4"/>
    </row>
    <row r="5" spans="1:7" x14ac:dyDescent="0.35">
      <c r="A5" s="69">
        <v>2</v>
      </c>
      <c r="B5" s="4"/>
      <c r="C5" s="70">
        <v>0</v>
      </c>
      <c r="D5" s="4"/>
      <c r="E5" s="70">
        <v>0</v>
      </c>
      <c r="F5" s="4"/>
      <c r="G5" s="4"/>
    </row>
    <row r="6" spans="1:7" x14ac:dyDescent="0.35">
      <c r="A6" s="69">
        <v>3</v>
      </c>
      <c r="B6" s="4"/>
      <c r="C6" s="70">
        <v>0</v>
      </c>
      <c r="D6" s="65"/>
      <c r="E6" s="70">
        <v>0</v>
      </c>
      <c r="F6" s="66"/>
      <c r="G6" s="4"/>
    </row>
    <row r="7" spans="1:7" x14ac:dyDescent="0.35">
      <c r="A7" s="71">
        <v>4</v>
      </c>
      <c r="B7" s="4"/>
      <c r="C7" s="72">
        <v>0</v>
      </c>
      <c r="D7" s="4"/>
      <c r="E7" s="72">
        <v>0</v>
      </c>
      <c r="F7" s="4"/>
      <c r="G7" s="4"/>
    </row>
  </sheetData>
  <dataValidations disablePrompts="1" count="3">
    <dataValidation type="whole" allowBlank="1" showInputMessage="1" showErrorMessage="1" errorTitle="Error" error="El número de nodos debe estar comprendido entre 1 y 500" sqref="G1 A4:A7" xr:uid="{32D64FBA-B40B-413A-8B29-90B6044FEBCD}">
      <formula1>1</formula1>
      <formula2>500</formula2>
    </dataValidation>
    <dataValidation type="whole" allowBlank="1" showInputMessage="1" showErrorMessage="1" errorTitle="Error" error="El número de contornos convexos debe estar comprendido entre 1 y 10" sqref="B1" xr:uid="{D663C55B-6807-4105-89B7-5B8CA380A05D}">
      <formula1>1</formula1>
      <formula2>10</formula2>
    </dataValidation>
    <dataValidation type="list" allowBlank="1" showInputMessage="1" showErrorMessage="1" sqref="D1" xr:uid="{82BD09D8-0305-4931-AB32-B55F81757ABA}">
      <formula1>"Positiva, Negativa"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Leguizamón</cp:lastModifiedBy>
  <dcterms:created xsi:type="dcterms:W3CDTF">2023-04-14T12:25:15Z</dcterms:created>
  <dcterms:modified xsi:type="dcterms:W3CDTF">2023-08-07T23:47:48Z</dcterms:modified>
</cp:coreProperties>
</file>