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C Facundo L Pfeffer - Drive Backup\Ingeniería Civil\03 - Investigaciones\01 - Automatización de Diagramas de Interacción\01 - Archivos\ACSAHE\Archivos Excel\"/>
    </mc:Choice>
  </mc:AlternateContent>
  <xr:revisionPtr revIDLastSave="0" documentId="13_ncr:1_{EABAA622-024A-4C37-8558-230FB086991C}" xr6:coauthVersionLast="47" xr6:coauthVersionMax="47" xr10:uidLastSave="{00000000-0000-0000-0000-000000000000}"/>
  <bookViews>
    <workbookView xWindow="-120" yWindow="-120" windowWidth="38640" windowHeight="21120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D5" i="3"/>
  <c r="C5" i="3"/>
</calcChain>
</file>

<file path=xl/sharedStrings.xml><?xml version="1.0" encoding="utf-8"?>
<sst xmlns="http://schemas.openxmlformats.org/spreadsheetml/2006/main" count="98" uniqueCount="67">
  <si>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</si>
  <si>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</si>
  <si>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</si>
  <si>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</si>
  <si>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</si>
  <si>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</si>
  <si>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</si>
  <si>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</si>
  <si>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</si>
  <si>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</si>
  <si>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</si>
  <si>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</si>
  <si>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Cantidad de Nodos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</si>
  <si>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</si>
  <si>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</si>
  <si>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</si>
  <si>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</si>
  <si>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</si>
  <si>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</si>
  <si>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</si>
  <si>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</si>
  <si>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</si>
  <si>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</si>
  <si>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</si>
  <si>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</si>
  <si>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</si>
  <si>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</si>
  <si>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</si>
  <si>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</si>
  <si>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</si>
  <si>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</si>
  <si>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</si>
  <si>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</si>
  <si>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</si>
  <si>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</si>
  <si>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</si>
  <si>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</si>
  <si>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</si>
  <si>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</si>
  <si>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</si>
  <si>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</si>
  <si>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</si>
  <si>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</si>
  <si>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</si>
  <si>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</si>
  <si>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</si>
  <si>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</si>
  <si>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</si>
  <si>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</si>
  <si>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Nodo Nº</t>
  </si>
  <si>
    <t>Contorno</t>
  </si>
  <si>
    <t>Positivo</t>
  </si>
  <si>
    <t>Poligonal</t>
  </si>
  <si>
    <t>Circular</t>
  </si>
  <si>
    <t>Nodo Centroº</t>
  </si>
  <si>
    <t>Radio Interno [cm]</t>
  </si>
  <si>
    <t>Radio Externo [cm]</t>
  </si>
  <si>
    <t>Trapecio Circular</t>
  </si>
  <si>
    <t>Ángulo Inicial [°]</t>
  </si>
  <si>
    <t>Ángulo Final [°]</t>
  </si>
  <si>
    <t>Nodo Centro</t>
  </si>
  <si>
    <t>Los ángulos se definen con respecto al eje x en sentido antihorario</t>
  </si>
  <si>
    <t>Tipo</t>
  </si>
  <si>
    <t>Signo</t>
  </si>
  <si>
    <t xml:space="preserve">
</t>
  </si>
  <si>
    <t>Normal</t>
  </si>
  <si>
    <t>Contorno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</si>
</sst>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/>
    <xf numFmtId="0" fontId="4" fillId="0" borderId="6" xfId="0" applyFont="1" applyBorder="1"/>
    <xf numFmtId="166" fontId="4" fillId="2" borderId="2" xfId="0" applyNumberFormat="1" applyFont="1" applyFill="1" applyBorder="1" applyAlignment="1">
      <alignment horizontal="center"/>
    </xf>
    <xf numFmtId="166" fontId="4" fillId="2" borderId="3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9" fontId="4" fillId="3" borderId="11" xfId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9" fontId="4" fillId="2" borderId="12" xfId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 wrapText="1"/>
    </xf>
    <xf numFmtId="10" fontId="4" fillId="3" borderId="20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 wrapText="1"/>
    </xf>
    <xf numFmtId="10" fontId="4" fillId="2" borderId="29" xfId="0" applyNumberFormat="1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9" fontId="4" fillId="2" borderId="32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65" fontId="4" fillId="2" borderId="3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4" xfId="0" applyFont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vertical="center"/>
    </xf>
    <xf numFmtId="0" fontId="4" fillId="3" borderId="4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9" fillId="3" borderId="0" xfId="0" applyFont="1" applyFill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5" fontId="4" fillId="2" borderId="3" xfId="0" applyNumberFormat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3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0" fontId="4" fillId="0" borderId="33" xfId="0" applyFont="1" applyBorder="1"/>
    <xf numFmtId="0" fontId="0" fillId="2" borderId="39" xfId="0" applyFill="1" applyBorder="1" applyAlignment="1">
      <alignment horizontal="center"/>
    </xf>
    <xf numFmtId="0" fontId="4" fillId="0" borderId="1" xfId="0" applyFont="1" applyBorder="1"/>
    <xf numFmtId="0" fontId="0" fillId="0" borderId="1" xfId="0" applyBorder="1"/>
    <xf numFmtId="166" fontId="4" fillId="2" borderId="2" xfId="0" applyNumberFormat="1" applyFont="1" applyFill="1" applyBorder="1" applyAlignment="1">
      <alignment horizontal="center"/>
    </xf>
    <xf numFmtId="166" fontId="4" fillId="2" borderId="3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6" fontId="4" fillId="2" borderId="4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59"/>
  <sheetViews>
    <sheetView tabSelected="1" topLeftCell="A13" zoomScale="110" zoomScaleNormal="110" workbookViewId="0">
      <selection activeCell="B33" sqref="B33"/>
    </sheetView>
  </sheetViews>
  <sheetFormatPr defaultColWidth="0" defaultRowHeight="15" x14ac:dyDescent="0.25"/>
  <cols>
    <col min="1" max="1" width="18.85546875" style="17" customWidth="1"/>
    <col min="2" max="2" width="12.5703125" style="17" customWidth="1"/>
    <col min="3" max="3" width="22.85546875" style="17" customWidth="1"/>
    <col min="4" max="4" width="15.42578125" style="17" customWidth="1"/>
    <col min="5" max="5" width="17.85546875" style="17" customWidth="1"/>
    <col min="6" max="6" width="11.42578125" style="17" customWidth="1"/>
    <col min="7" max="7" width="15.7109375" style="17" customWidth="1"/>
    <col min="8" max="8" width="0" style="17" hidden="1" customWidth="1"/>
    <col min="9" max="16384" width="9.140625" style="17" hidden="1"/>
  </cols>
  <sheetData>
    <row r="1" spans="1:7" x14ac:dyDescent="0.25">
      <c r="A1" s="94" t="s">
        <v>0</v>
      </c>
      <c r="B1" s="94"/>
      <c r="C1" s="94"/>
      <c r="D1" s="95"/>
      <c r="E1" s="95"/>
      <c r="F1" s="95"/>
      <c r="G1" s="4"/>
    </row>
    <row r="2" spans="1:7" ht="28.5" customHeight="1" x14ac:dyDescent="0.25">
      <c r="A2" s="5"/>
      <c r="B2" s="5"/>
      <c r="C2" s="6" t="s">
        <v>1</v>
      </c>
      <c r="D2" s="7"/>
      <c r="E2" s="8"/>
      <c r="F2" s="7"/>
      <c r="G2" s="8"/>
    </row>
    <row r="3" spans="1:7" x14ac:dyDescent="0.25">
      <c r="A3" s="9"/>
      <c r="B3" s="4"/>
      <c r="C3" s="4"/>
      <c r="D3" s="10"/>
      <c r="E3" s="11"/>
      <c r="F3" s="11"/>
      <c r="G3" s="11"/>
    </row>
    <row r="4" spans="1:7" x14ac:dyDescent="0.25">
      <c r="A4" s="96" t="s">
        <v>2</v>
      </c>
      <c r="B4" s="96"/>
      <c r="C4" s="12">
        <v>25</v>
      </c>
      <c r="D4" s="11"/>
      <c r="E4" s="11"/>
      <c r="F4" s="11"/>
      <c r="G4" s="11"/>
    </row>
    <row r="5" spans="1:7" x14ac:dyDescent="0.25">
      <c r="A5" s="6"/>
      <c r="B5" s="6"/>
      <c r="C5" s="6"/>
      <c r="D5" s="11"/>
      <c r="E5" s="11"/>
      <c r="F5" s="11"/>
      <c r="G5" s="11"/>
    </row>
    <row r="6" spans="1:7" x14ac:dyDescent="0.25">
      <c r="A6" s="96" t="s">
        <v>3</v>
      </c>
      <c r="B6" s="96"/>
      <c r="C6" s="1" t="s">
        <v>4</v>
      </c>
      <c r="D6" s="8"/>
      <c r="F6" s="4"/>
      <c r="G6" s="33"/>
    </row>
    <row r="7" spans="1:7" x14ac:dyDescent="0.25">
      <c r="A7" s="6"/>
      <c r="B7" s="6"/>
      <c r="C7" s="6"/>
      <c r="D7" s="6"/>
      <c r="E7" s="6"/>
      <c r="F7" s="6"/>
      <c r="G7" s="4"/>
    </row>
    <row r="8" spans="1:7" x14ac:dyDescent="0.25">
      <c r="A8" s="96" t="s">
        <v>5</v>
      </c>
      <c r="B8" s="96"/>
      <c r="C8" s="12" t="s">
        <v>43</v>
      </c>
      <c r="D8" s="6" t="s">
        <v>6</v>
      </c>
      <c r="E8" s="13">
        <v>5.21</v>
      </c>
      <c r="F8" s="4" t="s">
        <v>45</v>
      </c>
      <c r="G8" s="4"/>
    </row>
    <row r="9" spans="1:7" x14ac:dyDescent="0.25">
      <c r="A9" s="14"/>
      <c r="B9" s="14"/>
      <c r="C9" s="14"/>
      <c r="D9" s="14"/>
      <c r="E9" s="14"/>
      <c r="F9" s="14"/>
      <c r="G9" s="14"/>
    </row>
    <row r="10" spans="1:7" x14ac:dyDescent="0.25">
      <c r="A10" s="88" t="s">
        <v>7</v>
      </c>
      <c r="B10" s="88"/>
      <c r="C10" s="88"/>
      <c r="D10" s="15" t="s">
        <v>8</v>
      </c>
      <c r="E10" s="93" t="s">
        <v>9</v>
      </c>
      <c r="F10" s="93"/>
      <c r="G10" s="14"/>
    </row>
    <row r="11" spans="1:7" x14ac:dyDescent="0.25">
      <c r="A11" s="14"/>
      <c r="B11" s="14"/>
      <c r="C11" s="14"/>
      <c r="D11" s="14"/>
      <c r="E11" s="14"/>
      <c r="F11" s="14"/>
      <c r="G11" s="14"/>
    </row>
    <row r="12" spans="1:7" x14ac:dyDescent="0.25">
      <c r="A12" s="88" t="s">
        <v>10</v>
      </c>
      <c r="B12" s="88"/>
      <c r="C12" s="88"/>
      <c r="D12" s="88"/>
      <c r="E12" s="88"/>
      <c r="F12" s="14"/>
      <c r="G12" s="14"/>
    </row>
    <row r="13" spans="1:7" x14ac:dyDescent="0.25">
      <c r="A13" s="14"/>
      <c r="B13" s="14"/>
      <c r="C13" s="14"/>
      <c r="D13" s="14"/>
      <c r="E13" s="14"/>
      <c r="F13" s="14"/>
      <c r="G13" s="14"/>
    </row>
    <row r="14" spans="1:7" x14ac:dyDescent="0.25">
      <c r="A14" s="85" t="s">
        <v>11</v>
      </c>
      <c r="B14" s="86"/>
      <c r="C14" s="87"/>
      <c r="D14" s="48">
        <v>1</v>
      </c>
      <c r="E14" s="14"/>
      <c r="F14" s="14"/>
      <c r="G14" s="14"/>
    </row>
    <row r="15" spans="1:7" x14ac:dyDescent="0.25">
      <c r="A15" s="60"/>
      <c r="B15" s="14"/>
      <c r="C15" s="61"/>
      <c r="D15" s="14"/>
      <c r="E15" s="14"/>
      <c r="F15" s="14"/>
      <c r="G15" s="14"/>
    </row>
    <row r="16" spans="1:7" ht="28.5" x14ac:dyDescent="0.25">
      <c r="A16" s="34" t="s">
        <v>66</v>
      </c>
      <c r="B16" s="34" t="s">
        <v>63</v>
      </c>
      <c r="C16" s="1" t="s">
        <v>51</v>
      </c>
      <c r="D16" s="34" t="s">
        <v>62</v>
      </c>
      <c r="E16" s="1" t="s">
        <v>52</v>
      </c>
      <c r="F16" s="73" t="s">
        <v>12</v>
      </c>
      <c r="G16" s="1">
        <v>4</v>
      </c>
    </row>
    <row r="17" spans="1:7" x14ac:dyDescent="0.25">
      <c r="A17" s="74"/>
      <c r="B17" s="74"/>
      <c r="C17" s="74"/>
      <c r="D17" s="74"/>
      <c r="E17" s="75"/>
      <c r="F17" s="76"/>
      <c r="G17" s="76"/>
    </row>
    <row r="18" spans="1:7" x14ac:dyDescent="0.25">
      <c r="A18" s="72" t="s">
        <v>49</v>
      </c>
      <c r="B18" s="67"/>
      <c r="C18" s="72" t="s">
        <v>13</v>
      </c>
      <c r="D18" s="67"/>
      <c r="E18" s="6" t="s">
        <v>14</v>
      </c>
      <c r="F18" s="4"/>
      <c r="G18" s="4"/>
    </row>
    <row r="19" spans="1:7" x14ac:dyDescent="0.25">
      <c r="A19" s="78">
        <v>1</v>
      </c>
      <c r="B19" s="4"/>
      <c r="C19" s="81">
        <v>0</v>
      </c>
      <c r="D19" s="14"/>
      <c r="E19" s="81">
        <v>0</v>
      </c>
      <c r="F19" s="4"/>
      <c r="G19" s="4"/>
    </row>
    <row r="20" spans="1:7" x14ac:dyDescent="0.25">
      <c r="A20" s="79">
        <v>2</v>
      </c>
      <c r="B20" s="4"/>
      <c r="C20" s="82">
        <v>0</v>
      </c>
      <c r="D20" s="14"/>
      <c r="E20" s="82">
        <v>70</v>
      </c>
      <c r="F20" s="4"/>
      <c r="G20" s="4"/>
    </row>
    <row r="21" spans="1:7" x14ac:dyDescent="0.25">
      <c r="A21" s="79">
        <v>3</v>
      </c>
      <c r="B21" s="4"/>
      <c r="C21" s="82">
        <v>23</v>
      </c>
      <c r="D21" s="22"/>
      <c r="E21" s="83">
        <v>70</v>
      </c>
      <c r="F21" s="63"/>
      <c r="G21" s="4"/>
    </row>
    <row r="22" spans="1:7" x14ac:dyDescent="0.25">
      <c r="A22" s="80">
        <v>4</v>
      </c>
      <c r="B22" s="4"/>
      <c r="C22" s="84">
        <v>23</v>
      </c>
      <c r="D22" s="14"/>
      <c r="E22" s="84">
        <v>0</v>
      </c>
      <c r="F22" s="4"/>
      <c r="G22" s="4"/>
    </row>
    <row r="24" spans="1:7" x14ac:dyDescent="0.25">
      <c r="A24" s="88" t="s">
        <v>15</v>
      </c>
      <c r="B24" s="88"/>
      <c r="C24" s="88"/>
    </row>
    <row r="25" spans="1:7" x14ac:dyDescent="0.25">
      <c r="A25" s="4"/>
      <c r="B25" s="4"/>
      <c r="C25" s="4"/>
      <c r="D25" s="4"/>
      <c r="E25" s="4"/>
      <c r="F25" s="4"/>
      <c r="G25"/>
    </row>
    <row r="26" spans="1:7" x14ac:dyDescent="0.25">
      <c r="A26" s="85" t="s">
        <v>16</v>
      </c>
      <c r="B26" s="86"/>
      <c r="C26" s="87"/>
      <c r="D26" s="18">
        <v>3</v>
      </c>
      <c r="E26" s="14"/>
      <c r="F26" s="14"/>
      <c r="G26" s="14"/>
    </row>
    <row r="27" spans="1:7" x14ac:dyDescent="0.25">
      <c r="A27" s="14"/>
      <c r="B27" s="14"/>
      <c r="C27" s="14"/>
      <c r="D27" s="14"/>
      <c r="E27" s="14"/>
      <c r="F27" s="14"/>
      <c r="G27" s="14"/>
    </row>
    <row r="28" spans="1:7" x14ac:dyDescent="0.25">
      <c r="A28" s="15" t="s">
        <v>17</v>
      </c>
      <c r="B28" s="14"/>
      <c r="C28" s="15" t="s">
        <v>13</v>
      </c>
      <c r="D28" s="14"/>
      <c r="E28" s="15" t="s">
        <v>14</v>
      </c>
      <c r="F28" s="14"/>
      <c r="G28" s="15" t="s">
        <v>18</v>
      </c>
    </row>
    <row r="29" spans="1:7" x14ac:dyDescent="0.25">
      <c r="A29" s="116">
        <v>1</v>
      </c>
      <c r="B29" s="111"/>
      <c r="C29" s="114">
        <v>3.5000000000000004</v>
      </c>
      <c r="D29" s="111"/>
      <c r="E29" s="114">
        <v>3.5000000000000004</v>
      </c>
      <c r="F29" s="111"/>
      <c r="G29" s="119">
        <v>16</v>
      </c>
    </row>
    <row r="30" spans="1:7" x14ac:dyDescent="0.25">
      <c r="A30" s="118">
        <v>2</v>
      </c>
      <c r="B30" s="111"/>
      <c r="C30" s="115">
        <v>7.5</v>
      </c>
      <c r="D30" s="111"/>
      <c r="E30" s="115">
        <v>3.5000000000000004</v>
      </c>
      <c r="F30" s="111"/>
      <c r="G30" s="119">
        <v>16</v>
      </c>
    </row>
    <row r="31" spans="1:7" x14ac:dyDescent="0.25">
      <c r="A31" s="118">
        <v>3</v>
      </c>
      <c r="B31" s="111"/>
      <c r="C31" s="115">
        <v>15.5</v>
      </c>
      <c r="D31" s="111"/>
      <c r="E31" s="115">
        <v>3.5000000000000004</v>
      </c>
      <c r="F31" s="111"/>
      <c r="G31" s="119">
        <v>16</v>
      </c>
    </row>
    <row r="32" spans="1:7" x14ac:dyDescent="0.25">
      <c r="A32" s="117">
        <v>4</v>
      </c>
      <c r="B32" s="111"/>
      <c r="C32" s="113">
        <v>19.5</v>
      </c>
      <c r="D32" s="111"/>
      <c r="E32" s="113">
        <v>3.5000000000000004</v>
      </c>
      <c r="F32" s="111"/>
      <c r="G32" s="119">
        <v>16</v>
      </c>
    </row>
    <row r="33" spans="1:7" x14ac:dyDescent="0.25">
      <c r="A33" s="116">
        <v>5</v>
      </c>
      <c r="B33" s="111"/>
      <c r="C33" s="114">
        <v>3.5000000000000004</v>
      </c>
      <c r="D33" s="111"/>
      <c r="E33" s="114">
        <v>66.5</v>
      </c>
      <c r="F33" s="111"/>
      <c r="G33" s="119">
        <v>8</v>
      </c>
    </row>
    <row r="34" spans="1:7" x14ac:dyDescent="0.25">
      <c r="A34" s="117">
        <v>6</v>
      </c>
      <c r="B34" s="111"/>
      <c r="C34" s="113">
        <v>19.5</v>
      </c>
      <c r="D34" s="111"/>
      <c r="E34" s="113">
        <v>66.5</v>
      </c>
      <c r="F34" s="111"/>
      <c r="G34" s="119">
        <v>8</v>
      </c>
    </row>
    <row r="35" spans="1:7" s="112" customFormat="1" x14ac:dyDescent="0.25">
      <c r="A35" s="110"/>
      <c r="B35" s="109"/>
      <c r="C35" s="120"/>
      <c r="D35" s="111"/>
      <c r="E35" s="113"/>
      <c r="F35" s="111"/>
      <c r="G35" s="119"/>
    </row>
    <row r="36" spans="1:7" x14ac:dyDescent="0.25">
      <c r="A36" s="89" t="s">
        <v>19</v>
      </c>
      <c r="B36" s="90"/>
      <c r="C36" s="91"/>
      <c r="E36" s="14"/>
    </row>
    <row r="37" spans="1:7" x14ac:dyDescent="0.25">
      <c r="A37" s="14"/>
      <c r="B37" s="14"/>
      <c r="C37" s="14"/>
      <c r="D37" s="14"/>
      <c r="E37" s="14"/>
      <c r="F37" s="14"/>
      <c r="G37" s="14"/>
    </row>
    <row r="38" spans="1:7" x14ac:dyDescent="0.25">
      <c r="A38" s="85" t="s">
        <v>16</v>
      </c>
      <c r="B38" s="86"/>
      <c r="C38" s="87"/>
      <c r="D38" s="18">
        <v>1</v>
      </c>
      <c r="E38" s="14"/>
      <c r="F38" s="14"/>
      <c r="G38" s="14"/>
    </row>
    <row r="39" spans="1:7" x14ac:dyDescent="0.25">
      <c r="A39" s="14"/>
      <c r="B39" s="14"/>
      <c r="C39" s="14"/>
      <c r="D39" s="14"/>
      <c r="E39" s="14"/>
      <c r="F39" s="14"/>
      <c r="G39" s="14"/>
    </row>
    <row r="40" spans="1:7" x14ac:dyDescent="0.25">
      <c r="A40" s="15" t="s">
        <v>17</v>
      </c>
      <c r="B40" s="14"/>
      <c r="C40" s="15" t="s">
        <v>13</v>
      </c>
      <c r="D40" s="14"/>
      <c r="E40" s="15" t="s">
        <v>14</v>
      </c>
      <c r="F40" s="14"/>
      <c r="G40" s="27" t="s">
        <v>20</v>
      </c>
    </row>
    <row r="41" spans="1:7" x14ac:dyDescent="0.25">
      <c r="A41" s="29">
        <v>1</v>
      </c>
      <c r="B41" s="14"/>
      <c r="C41" s="25">
        <v>25</v>
      </c>
      <c r="D41" s="14"/>
      <c r="E41" s="25">
        <v>25</v>
      </c>
      <c r="F41" s="14"/>
      <c r="G41" s="21">
        <v>0</v>
      </c>
    </row>
    <row r="42" spans="1:7" x14ac:dyDescent="0.25">
      <c r="A42" s="32">
        <v>3</v>
      </c>
      <c r="B42" s="23"/>
      <c r="C42" s="26">
        <v>46.5</v>
      </c>
      <c r="D42" s="14"/>
      <c r="E42" s="26">
        <v>3.5</v>
      </c>
      <c r="F42" s="22"/>
      <c r="G42" s="2">
        <v>0</v>
      </c>
    </row>
    <row r="43" spans="1:7" x14ac:dyDescent="0.25">
      <c r="A43" s="32">
        <v>4</v>
      </c>
      <c r="B43" s="23"/>
      <c r="C43" s="26">
        <v>46.5</v>
      </c>
      <c r="D43" s="14"/>
      <c r="E43" s="26">
        <v>31.5</v>
      </c>
      <c r="F43" s="14"/>
      <c r="G43" s="21">
        <v>0</v>
      </c>
    </row>
    <row r="44" spans="1:7" x14ac:dyDescent="0.25">
      <c r="A44" s="32">
        <v>5</v>
      </c>
      <c r="B44" s="23"/>
      <c r="C44" s="26">
        <v>25</v>
      </c>
      <c r="D44" s="14"/>
      <c r="E44" s="26">
        <v>31.5</v>
      </c>
      <c r="F44" s="22"/>
      <c r="G44" s="2">
        <v>0</v>
      </c>
    </row>
    <row r="45" spans="1:7" x14ac:dyDescent="0.25">
      <c r="A45" s="32">
        <v>6</v>
      </c>
      <c r="B45" s="23"/>
      <c r="C45" s="26">
        <v>3.5</v>
      </c>
      <c r="D45" s="22"/>
      <c r="E45" s="3">
        <v>31.5</v>
      </c>
      <c r="F45" s="23"/>
      <c r="G45" s="21">
        <v>0</v>
      </c>
    </row>
    <row r="46" spans="1:7" x14ac:dyDescent="0.25">
      <c r="A46" s="31">
        <v>7</v>
      </c>
      <c r="B46" s="14"/>
      <c r="C46" s="26">
        <v>3.5</v>
      </c>
      <c r="D46" s="14"/>
      <c r="E46" s="26">
        <v>17.5</v>
      </c>
      <c r="F46" s="14"/>
      <c r="G46" s="21">
        <v>0</v>
      </c>
    </row>
    <row r="47" spans="1:7" x14ac:dyDescent="0.25">
      <c r="A47" s="30">
        <v>8</v>
      </c>
      <c r="B47" s="14"/>
      <c r="C47" s="24">
        <v>46.5</v>
      </c>
      <c r="D47" s="14"/>
      <c r="E47" s="24">
        <v>17.5</v>
      </c>
      <c r="F47" s="14"/>
      <c r="G47" s="21">
        <v>0</v>
      </c>
    </row>
    <row r="48" spans="1:7" x14ac:dyDescent="0.25">
      <c r="A48" s="14"/>
      <c r="B48" s="14"/>
      <c r="C48" s="14"/>
      <c r="D48" s="14"/>
      <c r="E48" s="14"/>
      <c r="F48" s="14"/>
      <c r="G48" s="28"/>
    </row>
    <row r="49" spans="1:7" x14ac:dyDescent="0.25">
      <c r="A49" s="89" t="s">
        <v>21</v>
      </c>
      <c r="B49" s="90"/>
      <c r="C49" s="90"/>
      <c r="D49" s="90"/>
      <c r="E49" s="91"/>
      <c r="F49" s="14"/>
      <c r="G49" s="14"/>
    </row>
    <row r="50" spans="1:7" x14ac:dyDescent="0.25">
      <c r="A50" s="14"/>
      <c r="B50" s="14"/>
      <c r="C50" s="14"/>
      <c r="D50" s="14"/>
      <c r="E50" s="14"/>
      <c r="F50" s="14"/>
      <c r="G50" s="14"/>
    </row>
    <row r="51" spans="1:7" x14ac:dyDescent="0.25">
      <c r="A51" s="85" t="s">
        <v>62</v>
      </c>
      <c r="B51" s="87"/>
      <c r="C51" s="16" t="s">
        <v>65</v>
      </c>
      <c r="D51" s="14"/>
      <c r="E51" s="14"/>
      <c r="F51" s="14"/>
      <c r="G51" s="14"/>
    </row>
    <row r="52" spans="1:7" x14ac:dyDescent="0.25">
      <c r="A52" s="14"/>
      <c r="B52" s="14"/>
      <c r="C52" s="14"/>
      <c r="D52" s="14"/>
      <c r="E52" s="14"/>
      <c r="F52" s="14"/>
      <c r="G52" s="14"/>
    </row>
    <row r="53" spans="1:7" x14ac:dyDescent="0.25">
      <c r="A53" s="92" t="s">
        <v>22</v>
      </c>
      <c r="B53" s="92"/>
      <c r="C53" s="16">
        <v>2</v>
      </c>
      <c r="D53" s="14" t="s">
        <v>23</v>
      </c>
      <c r="E53" s="14"/>
      <c r="F53" s="14"/>
      <c r="G53" s="14"/>
    </row>
    <row r="54" spans="1:7" x14ac:dyDescent="0.25">
      <c r="A54" s="14"/>
      <c r="B54" s="14"/>
      <c r="C54" s="19"/>
      <c r="D54" s="14"/>
      <c r="E54" s="14"/>
      <c r="F54" s="14"/>
      <c r="G54" s="14"/>
    </row>
    <row r="55" spans="1:7" x14ac:dyDescent="0.25">
      <c r="A55" s="92" t="s">
        <v>24</v>
      </c>
      <c r="B55" s="92"/>
      <c r="C55" s="16">
        <v>2</v>
      </c>
      <c r="D55" s="14" t="s">
        <v>23</v>
      </c>
      <c r="E55" s="14"/>
      <c r="F55" s="14"/>
      <c r="G55" s="14"/>
    </row>
    <row r="56" spans="1:7" x14ac:dyDescent="0.25">
      <c r="A56" s="14"/>
      <c r="B56" s="14"/>
      <c r="C56" s="14"/>
      <c r="D56" s="14"/>
      <c r="E56" s="14"/>
      <c r="F56" s="14"/>
      <c r="G56" s="14"/>
    </row>
    <row r="57" spans="1:7" x14ac:dyDescent="0.25">
      <c r="A57" s="89" t="s">
        <v>25</v>
      </c>
      <c r="B57" s="90"/>
      <c r="C57" s="90"/>
      <c r="D57" s="90"/>
      <c r="E57" s="91"/>
      <c r="F57" s="14"/>
      <c r="G57" s="14"/>
    </row>
    <row r="58" spans="1:7" x14ac:dyDescent="0.25">
      <c r="A58" s="14"/>
      <c r="B58" s="14"/>
      <c r="C58" s="14"/>
      <c r="D58" s="14"/>
      <c r="E58" s="14"/>
      <c r="F58" s="14"/>
      <c r="G58" s="14"/>
    </row>
    <row r="59" spans="1:7" x14ac:dyDescent="0.25">
      <c r="A59" s="85" t="s">
        <v>26</v>
      </c>
      <c r="B59" s="86"/>
      <c r="C59" s="86"/>
      <c r="D59" s="87"/>
      <c r="E59" s="20">
        <v>0</v>
      </c>
      <c r="F59" s="14"/>
      <c r="G59" s="14"/>
    </row>
  </sheetData>
  <dataConsolidate/>
  <mergeCells count="19">
    <mergeCell ref="A10:C10"/>
    <mergeCell ref="E10:F10"/>
    <mergeCell ref="A1:C1"/>
    <mergeCell ref="D1:F1"/>
    <mergeCell ref="A4:B4"/>
    <mergeCell ref="A6:B6"/>
    <mergeCell ref="A8:B8"/>
    <mergeCell ref="A59:D59"/>
    <mergeCell ref="A12:E12"/>
    <mergeCell ref="A14:C14"/>
    <mergeCell ref="A26:C26"/>
    <mergeCell ref="A36:C36"/>
    <mergeCell ref="A38:C38"/>
    <mergeCell ref="A49:E49"/>
    <mergeCell ref="A53:B53"/>
    <mergeCell ref="A55:B55"/>
    <mergeCell ref="A57:E57"/>
    <mergeCell ref="A51:B51"/>
    <mergeCell ref="A24:C24"/>
  </mergeCells>
  <dataValidations count="9">
    <dataValidation type="decimal" allowBlank="1" showInputMessage="1" showErrorMessage="1" errorTitle="ERROR" error="El ángulo de inclinación del plano de carga debe estar comprendido entre -90º y 90º" sqref="E59" xr:uid="{187B3F15-E228-4DA4-9FD6-390CC5550EB2}">
      <formula1>-90</formula1>
      <formula2>90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26 D38 A41:A47 A29:A33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  <dataValidation type="whole" allowBlank="1" showInputMessage="1" showErrorMessage="1" errorTitle="Error" error="El número de nodos debe estar comprendido entre 1 y 500" sqref="G16 A19:A22" xr:uid="{722D61C5-8ABB-4294-A318-66E82CAB3550}">
      <formula1>1</formula1>
      <formula2>500</formula2>
    </dataValidation>
    <dataValidation type="list" allowBlank="1" showInputMessage="1" showErrorMessage="1" sqref="E16" xr:uid="{A31FCCE3-0608-4897-A325-22D022EB98CE}">
      <formula1>"Poligonal, Circular, Trapecio Circular"</formula1>
    </dataValidation>
    <dataValidation type="list" allowBlank="1" showInputMessage="1" showErrorMessage="1" sqref="C16" xr:uid="{823361AA-B9E8-4237-90B9-173679E81204}">
      <formula1>"Positivo, Negativo"</formula1>
    </dataValidation>
    <dataValidation type="list" allowBlank="1" showInputMessage="1" showErrorMessage="1" sqref="C51" xr:uid="{5451235B-8A0F-43B8-A711-3FBE11729E52}">
      <formula1>"Menos Refinada, Poco Refinada, Normal, Fina, Extra Fina"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topLeftCell="A2" zoomScale="175" zoomScaleNormal="175" workbookViewId="0">
      <selection activeCell="C4" sqref="C4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97" t="s">
        <v>33</v>
      </c>
      <c r="B1" s="98"/>
      <c r="C1" s="98"/>
      <c r="D1" s="98"/>
      <c r="E1" s="99"/>
    </row>
    <row r="2" spans="1:5" ht="37.5" customHeight="1" thickBot="1" x14ac:dyDescent="0.3">
      <c r="A2" s="42" t="s">
        <v>29</v>
      </c>
      <c r="B2" s="43" t="s">
        <v>4</v>
      </c>
      <c r="C2" s="43" t="s">
        <v>28</v>
      </c>
      <c r="D2" s="43" t="s">
        <v>27</v>
      </c>
      <c r="E2" s="44" t="s">
        <v>30</v>
      </c>
    </row>
    <row r="3" spans="1:5" ht="48.75" customHeight="1" x14ac:dyDescent="0.25">
      <c r="A3" s="37" t="s">
        <v>31</v>
      </c>
      <c r="B3" s="34">
        <v>420</v>
      </c>
      <c r="C3" s="34">
        <v>500</v>
      </c>
      <c r="D3" s="34">
        <v>220</v>
      </c>
      <c r="E3" s="40"/>
    </row>
    <row r="4" spans="1:5" ht="31.5" customHeight="1" x14ac:dyDescent="0.25">
      <c r="A4" s="36" t="s">
        <v>32</v>
      </c>
      <c r="B4" s="34">
        <v>200000</v>
      </c>
      <c r="C4" s="34">
        <v>200000</v>
      </c>
      <c r="D4" s="34">
        <v>200000</v>
      </c>
      <c r="E4" s="40"/>
    </row>
    <row r="5" spans="1:5" ht="28.5" x14ac:dyDescent="0.25">
      <c r="A5" s="37" t="s">
        <v>46</v>
      </c>
      <c r="B5" s="35">
        <f>B3/B4</f>
        <v>2.0999999999999999E-3</v>
      </c>
      <c r="C5" s="35">
        <f>C3/C4</f>
        <v>2.5000000000000001E-3</v>
      </c>
      <c r="D5" s="35">
        <f>D3/D4</f>
        <v>1.1000000000000001E-3</v>
      </c>
      <c r="E5" s="40"/>
    </row>
    <row r="6" spans="1:5" ht="29.25" thickBot="1" x14ac:dyDescent="0.3">
      <c r="A6" s="38" t="s">
        <v>47</v>
      </c>
      <c r="B6" s="39">
        <v>0.12</v>
      </c>
      <c r="C6" s="39">
        <v>0.12</v>
      </c>
      <c r="D6" s="39">
        <v>0.12</v>
      </c>
      <c r="E6" s="41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E5" sqref="E5"/>
    </sheetView>
  </sheetViews>
  <sheetFormatPr defaultColWidth="9.140625" defaultRowHeight="14.25" x14ac:dyDescent="0.25"/>
  <cols>
    <col min="1" max="1" width="21.5703125" style="34" customWidth="1"/>
    <col min="2" max="3" width="14.28515625" style="34" customWidth="1"/>
    <col min="4" max="4" width="13.42578125" style="34" customWidth="1"/>
    <col min="5" max="5" width="12.5703125" style="34" customWidth="1"/>
    <col min="6" max="16384" width="9.140625" style="34"/>
  </cols>
  <sheetData>
    <row r="1" spans="1:5" ht="28.5" customHeight="1" thickBot="1" x14ac:dyDescent="0.3">
      <c r="A1" s="100" t="s">
        <v>42</v>
      </c>
      <c r="B1" s="101"/>
      <c r="C1" s="101"/>
      <c r="D1" s="101"/>
      <c r="E1" s="102"/>
    </row>
    <row r="2" spans="1:5" ht="37.5" customHeight="1" thickTop="1" thickBot="1" x14ac:dyDescent="0.3">
      <c r="A2" s="49" t="s">
        <v>29</v>
      </c>
      <c r="B2" s="46" t="s">
        <v>34</v>
      </c>
      <c r="C2" s="46" t="s">
        <v>35</v>
      </c>
      <c r="D2" s="46" t="s">
        <v>36</v>
      </c>
      <c r="E2" s="50" t="s">
        <v>30</v>
      </c>
    </row>
    <row r="3" spans="1:5" ht="37.5" customHeight="1" thickTop="1" x14ac:dyDescent="0.25">
      <c r="A3" s="51" t="s">
        <v>44</v>
      </c>
      <c r="B3" s="34">
        <v>200000</v>
      </c>
      <c r="C3" s="34">
        <v>200000</v>
      </c>
      <c r="D3" s="34">
        <v>200000</v>
      </c>
      <c r="E3" s="52"/>
    </row>
    <row r="4" spans="1:5" ht="48.75" customHeight="1" x14ac:dyDescent="0.25">
      <c r="A4" s="53" t="s">
        <v>37</v>
      </c>
      <c r="B4" s="34">
        <v>952</v>
      </c>
      <c r="C4" s="34">
        <v>1505</v>
      </c>
      <c r="D4" s="34">
        <v>1665</v>
      </c>
      <c r="E4" s="54"/>
    </row>
    <row r="5" spans="1:5" ht="31.5" customHeight="1" x14ac:dyDescent="0.25">
      <c r="A5" s="53" t="s">
        <v>38</v>
      </c>
      <c r="B5" s="34">
        <v>1050</v>
      </c>
      <c r="C5" s="34">
        <v>1650</v>
      </c>
      <c r="D5" s="34">
        <v>1860</v>
      </c>
      <c r="E5" s="54"/>
    </row>
    <row r="6" spans="1:5" ht="31.5" customHeight="1" x14ac:dyDescent="0.25">
      <c r="A6" s="55" t="s">
        <v>48</v>
      </c>
      <c r="B6" s="47">
        <v>4.1000000000000002E-2</v>
      </c>
      <c r="C6" s="47">
        <v>8.6999999999999994E-2</v>
      </c>
      <c r="D6" s="47">
        <v>6.9000000000000006E-2</v>
      </c>
      <c r="E6" s="56"/>
    </row>
    <row r="7" spans="1:5" ht="31.5" customHeight="1" x14ac:dyDescent="0.25">
      <c r="A7" s="53" t="s">
        <v>39</v>
      </c>
      <c r="B7" s="34">
        <v>7.1</v>
      </c>
      <c r="C7" s="34">
        <v>6.06</v>
      </c>
      <c r="D7" s="34">
        <v>7.3440000000000003</v>
      </c>
      <c r="E7" s="54"/>
    </row>
    <row r="8" spans="1:5" x14ac:dyDescent="0.25">
      <c r="A8" s="53" t="s">
        <v>40</v>
      </c>
      <c r="B8" s="45">
        <v>1.0041</v>
      </c>
      <c r="C8" s="45">
        <v>1.0325</v>
      </c>
      <c r="D8" s="45">
        <v>1.0618000000000001</v>
      </c>
      <c r="E8" s="54"/>
    </row>
    <row r="9" spans="1:5" ht="30.75" customHeight="1" thickBot="1" x14ac:dyDescent="0.3">
      <c r="A9" s="57" t="s">
        <v>41</v>
      </c>
      <c r="B9" s="58">
        <v>1.7500000000000002E-2</v>
      </c>
      <c r="C9" s="58">
        <v>6.2500000000000003E-3</v>
      </c>
      <c r="D9" s="58">
        <v>1.174E-2</v>
      </c>
      <c r="E9" s="59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23"/>
  <sheetViews>
    <sheetView zoomScale="175" zoomScaleNormal="175" workbookViewId="0">
      <selection sqref="A1:G7"/>
    </sheetView>
  </sheetViews>
  <sheetFormatPr defaultRowHeight="15" x14ac:dyDescent="0.25"/>
  <cols>
    <col min="1" max="1" width="19.28515625" customWidth="1"/>
    <col min="3" max="3" width="17.7109375" customWidth="1"/>
    <col min="6" max="6" width="9.7109375" customWidth="1"/>
  </cols>
  <sheetData>
    <row r="1" spans="1:7" ht="44.25" customHeight="1" x14ac:dyDescent="0.25">
      <c r="A1" s="34" t="s">
        <v>50</v>
      </c>
      <c r="B1" s="34" t="s">
        <v>63</v>
      </c>
      <c r="C1" s="1" t="s">
        <v>51</v>
      </c>
      <c r="D1" s="34" t="s">
        <v>62</v>
      </c>
      <c r="E1" s="1" t="s">
        <v>52</v>
      </c>
      <c r="F1" s="73" t="s">
        <v>12</v>
      </c>
      <c r="G1" s="1">
        <v>4</v>
      </c>
    </row>
    <row r="2" spans="1:7" x14ac:dyDescent="0.25">
      <c r="A2" s="74"/>
      <c r="B2" s="74"/>
      <c r="C2" s="74"/>
      <c r="D2" s="74"/>
      <c r="E2" s="75"/>
      <c r="F2" s="76"/>
      <c r="G2" s="76"/>
    </row>
    <row r="3" spans="1:7" x14ac:dyDescent="0.25">
      <c r="A3" s="72" t="s">
        <v>49</v>
      </c>
      <c r="B3" s="67"/>
      <c r="C3" s="72" t="s">
        <v>13</v>
      </c>
      <c r="D3" s="67"/>
      <c r="E3" s="6" t="s">
        <v>14</v>
      </c>
      <c r="F3" s="4"/>
      <c r="G3" s="4"/>
    </row>
    <row r="4" spans="1:7" x14ac:dyDescent="0.25">
      <c r="A4" s="78">
        <v>1</v>
      </c>
      <c r="B4" s="4"/>
      <c r="C4" s="64">
        <v>0</v>
      </c>
      <c r="D4" s="4"/>
      <c r="E4" s="64">
        <v>0</v>
      </c>
      <c r="F4" s="4"/>
      <c r="G4" s="4"/>
    </row>
    <row r="5" spans="1:7" x14ac:dyDescent="0.25">
      <c r="A5" s="79">
        <v>2</v>
      </c>
      <c r="B5" s="4"/>
      <c r="C5" s="65">
        <v>0</v>
      </c>
      <c r="D5" s="4"/>
      <c r="E5" s="65">
        <v>0</v>
      </c>
      <c r="F5" s="4"/>
      <c r="G5" s="4"/>
    </row>
    <row r="6" spans="1:7" x14ac:dyDescent="0.25">
      <c r="A6" s="79">
        <v>3</v>
      </c>
      <c r="B6" s="4"/>
      <c r="C6" s="65">
        <v>0</v>
      </c>
      <c r="D6" s="62"/>
      <c r="E6" s="65">
        <v>0</v>
      </c>
      <c r="F6" s="63"/>
      <c r="G6" s="4"/>
    </row>
    <row r="7" spans="1:7" x14ac:dyDescent="0.25">
      <c r="A7" s="80">
        <v>4</v>
      </c>
      <c r="B7" s="4"/>
      <c r="C7" s="66">
        <v>0</v>
      </c>
      <c r="D7" s="4"/>
      <c r="E7" s="66">
        <v>0</v>
      </c>
      <c r="F7" s="4"/>
      <c r="G7" s="4"/>
    </row>
    <row r="8" spans="1:7" x14ac:dyDescent="0.25">
      <c r="A8" s="4"/>
      <c r="B8" s="4"/>
      <c r="C8" s="4"/>
      <c r="D8" s="4"/>
      <c r="E8" s="4"/>
      <c r="F8" s="4"/>
    </row>
    <row r="10" spans="1:7" ht="42.75" x14ac:dyDescent="0.25">
      <c r="A10" s="34" t="s">
        <v>50</v>
      </c>
      <c r="B10" s="34" t="s">
        <v>63</v>
      </c>
      <c r="C10" s="1" t="s">
        <v>51</v>
      </c>
      <c r="D10" s="34" t="s">
        <v>62</v>
      </c>
      <c r="E10" s="1" t="s">
        <v>53</v>
      </c>
      <c r="F10" s="77" t="s">
        <v>64</v>
      </c>
      <c r="G10" s="77"/>
    </row>
    <row r="11" spans="1:7" x14ac:dyDescent="0.25">
      <c r="A11" s="4"/>
      <c r="B11" s="4"/>
      <c r="C11" s="4"/>
      <c r="D11" s="4"/>
      <c r="E11" s="67"/>
      <c r="F11" s="67"/>
      <c r="G11" s="4"/>
    </row>
    <row r="12" spans="1:7" x14ac:dyDescent="0.25">
      <c r="A12" s="6" t="s">
        <v>60</v>
      </c>
      <c r="B12" s="6" t="s">
        <v>13</v>
      </c>
      <c r="C12" s="64">
        <v>0</v>
      </c>
      <c r="D12" s="6" t="s">
        <v>14</v>
      </c>
      <c r="E12" s="64">
        <v>0</v>
      </c>
      <c r="F12" s="4"/>
      <c r="G12" s="4"/>
    </row>
    <row r="13" spans="1:7" x14ac:dyDescent="0.25">
      <c r="A13" s="6" t="s">
        <v>55</v>
      </c>
      <c r="B13" s="4"/>
      <c r="C13" s="64">
        <v>0</v>
      </c>
      <c r="F13" s="4"/>
      <c r="G13" s="4"/>
    </row>
    <row r="14" spans="1:7" x14ac:dyDescent="0.25">
      <c r="A14" s="6" t="s">
        <v>56</v>
      </c>
      <c r="B14" s="4"/>
      <c r="C14" s="65">
        <v>0</v>
      </c>
      <c r="D14" s="4"/>
      <c r="E14" s="4"/>
      <c r="F14" s="4"/>
      <c r="G14" s="4"/>
    </row>
    <row r="15" spans="1:7" x14ac:dyDescent="0.25">
      <c r="A15" s="4"/>
      <c r="B15" s="4"/>
      <c r="C15" s="4"/>
      <c r="D15" s="4"/>
      <c r="E15" s="4"/>
      <c r="F15" s="4"/>
      <c r="G15" s="71"/>
    </row>
    <row r="17" spans="1:7" x14ac:dyDescent="0.25">
      <c r="A17" s="68" t="s">
        <v>50</v>
      </c>
      <c r="B17" s="69" t="s">
        <v>51</v>
      </c>
      <c r="C17" s="69" t="s">
        <v>57</v>
      </c>
      <c r="D17" s="4"/>
      <c r="E17" s="67"/>
      <c r="F17" s="67"/>
      <c r="G17" s="4"/>
    </row>
    <row r="18" spans="1:7" x14ac:dyDescent="0.25">
      <c r="A18" s="4"/>
      <c r="B18" s="4"/>
      <c r="C18" s="4"/>
      <c r="D18" s="4"/>
      <c r="E18" s="67"/>
      <c r="F18" s="67"/>
      <c r="G18" s="4"/>
    </row>
    <row r="19" spans="1:7" x14ac:dyDescent="0.25">
      <c r="A19" s="6" t="s">
        <v>54</v>
      </c>
      <c r="B19" s="6" t="s">
        <v>13</v>
      </c>
      <c r="C19" s="64">
        <v>0</v>
      </c>
      <c r="D19" s="6" t="s">
        <v>14</v>
      </c>
      <c r="E19" s="64">
        <v>0</v>
      </c>
      <c r="F19" s="4"/>
      <c r="G19" s="4"/>
    </row>
    <row r="20" spans="1:7" x14ac:dyDescent="0.25">
      <c r="A20" s="6" t="s">
        <v>55</v>
      </c>
      <c r="B20" s="4"/>
      <c r="C20" s="64">
        <v>0</v>
      </c>
      <c r="F20" s="4"/>
      <c r="G20" s="4"/>
    </row>
    <row r="21" spans="1:7" x14ac:dyDescent="0.25">
      <c r="A21" s="6" t="s">
        <v>56</v>
      </c>
      <c r="B21" s="4"/>
      <c r="C21" s="65">
        <v>0</v>
      </c>
      <c r="D21" s="4"/>
      <c r="E21" s="4"/>
      <c r="F21" s="4"/>
      <c r="G21" s="4"/>
    </row>
    <row r="22" spans="1:7" x14ac:dyDescent="0.25">
      <c r="A22" s="70" t="s">
        <v>58</v>
      </c>
      <c r="C22" s="65">
        <v>0</v>
      </c>
      <c r="D22" s="103" t="s">
        <v>61</v>
      </c>
      <c r="E22" s="104"/>
      <c r="F22" s="104"/>
      <c r="G22" s="105"/>
    </row>
    <row r="23" spans="1:7" x14ac:dyDescent="0.25">
      <c r="A23" s="70" t="s">
        <v>59</v>
      </c>
      <c r="C23" s="65">
        <v>0</v>
      </c>
      <c r="D23" s="106"/>
      <c r="E23" s="107"/>
      <c r="F23" s="107"/>
      <c r="G23" s="108"/>
    </row>
  </sheetData>
  <mergeCells count="1">
    <mergeCell ref="D22:G23"/>
  </mergeCells>
  <dataValidations count="3">
    <dataValidation type="whole" allowBlank="1" showInputMessage="1" showErrorMessage="1" errorTitle="Error" error="El número de nodos debe estar comprendido entre 1 y 500" sqref="G1 A4:A7 G10" xr:uid="{32D64FBA-B40B-413A-8B29-90B6044FEBCD}">
      <formula1>1</formula1>
      <formula2>500</formula2>
    </dataValidation>
    <dataValidation type="list" allowBlank="1" showInputMessage="1" showErrorMessage="1" sqref="C1 B17 C10" xr:uid="{82BD09D8-0305-4931-AB32-B55F81757ABA}">
      <formula1>"Positivo, Negativo"</formula1>
    </dataValidation>
    <dataValidation type="list" allowBlank="1" showInputMessage="1" showErrorMessage="1" sqref="E1 C17 E10" xr:uid="{DC5F1A77-3B5A-4942-A5AD-9CF2F9DEEB24}">
      <formula1>"Poligonal, Circular, Trapecio Circular"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L. Pfeffer</cp:lastModifiedBy>
  <dcterms:created xsi:type="dcterms:W3CDTF">2023-04-14T12:25:15Z</dcterms:created>
  <dcterms:modified xsi:type="dcterms:W3CDTF">2023-09-22T14:00:33Z</dcterms:modified>
</cp:coreProperties>
</file>