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G:\Other computers\My Computer (1)\Adscripción Moller\Programa\DISGHA-P\"/>
    </mc:Choice>
  </mc:AlternateContent>
  <xr:revisionPtr revIDLastSave="0" documentId="13_ncr:1_{2477DFA2-197F-4685-B42C-6B624F83BF32}" xr6:coauthVersionLast="47" xr6:coauthVersionMax="47" xr10:uidLastSave="{00000000-0000-0000-0000-000000000000}"/>
  <bookViews>
    <workbookView xWindow="-120" yWindow="-120" windowWidth="38640" windowHeight="21240" tabRatio="563" activeTab="1" xr2:uid="{00000000-000D-0000-FFFF-FFFF00000000}"/>
  </bookViews>
  <sheets>
    <sheet name="Instrucciones" sheetId="1" r:id="rId1"/>
    <sheet name="Ingreso de Datos" sheetId="2" r:id="rId2"/>
    <sheet name="DATOS" sheetId="3" r:id="rId3"/>
    <sheet name="AUX" sheetId="6" state="hidden" r:id="rId4"/>
    <sheet name="AUX1" sheetId="7" state="hidden" r:id="rId5"/>
    <sheet name="Diagrama de Interacción" sheetId="4" r:id="rId6"/>
  </sheets>
  <definedNames>
    <definedName name="INTERACCIÓN" localSheetId="5">'Diagrama de Interacción'!#REF!</definedName>
    <definedName name="_xlnm.Print_Area" localSheetId="5">'Diagrama de Interacción'!$A$1:$G$50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33" i="2" l="1"/>
  <c r="A34" i="2"/>
  <c r="A35" i="2"/>
  <c r="A36" i="2" s="1"/>
  <c r="A37" i="2" s="1"/>
  <c r="A38" i="2" s="1"/>
  <c r="A39" i="2" s="1"/>
  <c r="A32" i="2"/>
  <c r="C24" i="3"/>
  <c r="B24" i="3"/>
  <c r="A24" i="3"/>
  <c r="C23" i="3"/>
  <c r="B23" i="3"/>
  <c r="A23" i="3"/>
  <c r="C22" i="3"/>
  <c r="B22" i="3"/>
  <c r="A22" i="3"/>
  <c r="C21" i="3"/>
  <c r="B21" i="3"/>
  <c r="A21" i="3"/>
  <c r="C20" i="3"/>
  <c r="B20" i="3"/>
  <c r="A20" i="3"/>
  <c r="C19" i="3"/>
  <c r="B19" i="3"/>
  <c r="A19" i="3"/>
  <c r="C18" i="3"/>
  <c r="B18" i="3"/>
  <c r="A18" i="3"/>
  <c r="C17" i="3"/>
  <c r="B17" i="3"/>
  <c r="A17" i="3"/>
  <c r="C16" i="3"/>
  <c r="B16" i="3"/>
  <c r="A16" i="3"/>
  <c r="C15" i="3"/>
  <c r="B15" i="3"/>
  <c r="A15" i="3"/>
  <c r="C14" i="3"/>
  <c r="B14" i="3"/>
  <c r="A14" i="3"/>
  <c r="C13" i="3"/>
  <c r="B13" i="3"/>
  <c r="A13" i="3"/>
  <c r="C12" i="3"/>
  <c r="B12" i="3"/>
  <c r="A12" i="3"/>
  <c r="C11" i="3"/>
  <c r="B11" i="3"/>
  <c r="A11" i="3"/>
  <c r="C10" i="3"/>
  <c r="B10" i="3"/>
  <c r="A10" i="3"/>
  <c r="C9" i="3"/>
  <c r="B9" i="3"/>
  <c r="A9" i="3"/>
  <c r="C8" i="3"/>
  <c r="B8" i="3"/>
  <c r="A8" i="3"/>
  <c r="C7" i="3"/>
  <c r="B7" i="3"/>
  <c r="A7" i="3"/>
  <c r="C6" i="3"/>
  <c r="B6" i="3"/>
  <c r="A6" i="3"/>
  <c r="C5" i="3"/>
  <c r="B5" i="3"/>
  <c r="A5" i="3"/>
  <c r="C39" i="3"/>
  <c r="B39" i="3"/>
  <c r="A39" i="3"/>
  <c r="C38" i="3"/>
  <c r="B38" i="3"/>
  <c r="A38" i="3"/>
  <c r="C37" i="3"/>
  <c r="B37" i="3"/>
  <c r="A37" i="3"/>
  <c r="C36" i="3"/>
  <c r="B36" i="3"/>
  <c r="A36" i="3"/>
  <c r="C35" i="3"/>
  <c r="B35" i="3"/>
  <c r="A35" i="3"/>
  <c r="C34" i="3"/>
  <c r="B34" i="3"/>
  <c r="A34" i="3"/>
  <c r="C33" i="3"/>
  <c r="B33" i="3"/>
  <c r="A33" i="3"/>
  <c r="C32" i="3"/>
  <c r="B32" i="3"/>
  <c r="A32" i="3"/>
  <c r="C31" i="3"/>
  <c r="B31" i="3"/>
  <c r="A31" i="3"/>
  <c r="C30" i="3"/>
  <c r="B30" i="3"/>
  <c r="A30" i="3"/>
  <c r="C29" i="3"/>
  <c r="B29" i="3"/>
  <c r="A29" i="3"/>
  <c r="C28" i="3"/>
  <c r="B28" i="3"/>
  <c r="A28" i="3"/>
  <c r="C27" i="3"/>
  <c r="B27" i="3"/>
  <c r="A27" i="3"/>
  <c r="C26" i="3"/>
  <c r="B26" i="3"/>
  <c r="A26" i="3"/>
  <c r="C25" i="3"/>
  <c r="B25" i="3"/>
  <c r="A25" i="3"/>
  <c r="C49" i="3"/>
  <c r="B49" i="3"/>
  <c r="A49" i="3"/>
  <c r="C48" i="3"/>
  <c r="B48" i="3"/>
  <c r="A48" i="3"/>
  <c r="C47" i="3"/>
  <c r="B47" i="3"/>
  <c r="A47" i="3"/>
  <c r="C46" i="3"/>
  <c r="B46" i="3"/>
  <c r="A46" i="3"/>
  <c r="C45" i="3"/>
  <c r="B45" i="3"/>
  <c r="A45" i="3"/>
  <c r="C44" i="3"/>
  <c r="B44" i="3"/>
  <c r="A44" i="3"/>
  <c r="C43" i="3"/>
  <c r="B43" i="3"/>
  <c r="A43" i="3"/>
  <c r="C42" i="3"/>
  <c r="B42" i="3"/>
  <c r="A42" i="3"/>
  <c r="C41" i="3"/>
  <c r="B41" i="3"/>
  <c r="A41" i="3"/>
  <c r="C40" i="3"/>
  <c r="B40" i="3"/>
  <c r="A40" i="3"/>
  <c r="C54" i="3"/>
  <c r="B54" i="3"/>
  <c r="A54" i="3"/>
  <c r="C53" i="3"/>
  <c r="B53" i="3"/>
  <c r="A53" i="3"/>
  <c r="C52" i="3"/>
  <c r="B52" i="3"/>
  <c r="A52" i="3"/>
  <c r="C51" i="3"/>
  <c r="B51" i="3"/>
  <c r="A51" i="3"/>
  <c r="C50" i="3"/>
  <c r="B50" i="3"/>
  <c r="A50" i="3"/>
  <c r="C84" i="3"/>
  <c r="B84" i="3"/>
  <c r="A84" i="3"/>
  <c r="C83" i="3"/>
  <c r="B83" i="3"/>
  <c r="A83" i="3"/>
  <c r="C82" i="3"/>
  <c r="B82" i="3"/>
  <c r="A82" i="3"/>
  <c r="C81" i="3"/>
  <c r="B81" i="3"/>
  <c r="A81" i="3"/>
  <c r="C80" i="3"/>
  <c r="B80" i="3"/>
  <c r="A80" i="3"/>
  <c r="C79" i="3"/>
  <c r="B79" i="3"/>
  <c r="A79" i="3"/>
  <c r="C78" i="3"/>
  <c r="B78" i="3"/>
  <c r="A78" i="3"/>
  <c r="C77" i="3"/>
  <c r="B77" i="3"/>
  <c r="A77" i="3"/>
  <c r="C76" i="3"/>
  <c r="B76" i="3"/>
  <c r="A76" i="3"/>
  <c r="C75" i="3"/>
  <c r="B75" i="3"/>
  <c r="A75" i="3"/>
  <c r="C74" i="3"/>
  <c r="B74" i="3"/>
  <c r="A74" i="3"/>
  <c r="C73" i="3"/>
  <c r="B73" i="3"/>
  <c r="A73" i="3"/>
  <c r="C72" i="3"/>
  <c r="B72" i="3"/>
  <c r="A72" i="3"/>
  <c r="C71" i="3"/>
  <c r="B71" i="3"/>
  <c r="A71" i="3"/>
  <c r="C70" i="3"/>
  <c r="B70" i="3"/>
  <c r="A70" i="3"/>
  <c r="C69" i="3"/>
  <c r="B69" i="3"/>
  <c r="A69" i="3"/>
  <c r="C68" i="3"/>
  <c r="B68" i="3"/>
  <c r="A68" i="3"/>
  <c r="C67" i="3"/>
  <c r="B67" i="3"/>
  <c r="A67" i="3"/>
  <c r="C66" i="3"/>
  <c r="B66" i="3"/>
  <c r="A66" i="3"/>
  <c r="C65" i="3"/>
  <c r="B65" i="3"/>
  <c r="A65" i="3"/>
  <c r="C64" i="3"/>
  <c r="B64" i="3"/>
  <c r="A64" i="3"/>
  <c r="C63" i="3"/>
  <c r="B63" i="3"/>
  <c r="A63" i="3"/>
  <c r="C62" i="3"/>
  <c r="B62" i="3"/>
  <c r="A62" i="3"/>
  <c r="C61" i="3"/>
  <c r="B61" i="3"/>
  <c r="A61" i="3"/>
  <c r="C60" i="3"/>
  <c r="B60" i="3"/>
  <c r="A60" i="3"/>
  <c r="C59" i="3"/>
  <c r="B59" i="3"/>
  <c r="A59" i="3"/>
  <c r="C58" i="3"/>
  <c r="B58" i="3"/>
  <c r="A58" i="3"/>
  <c r="C57" i="3"/>
  <c r="B57" i="3"/>
  <c r="A57" i="3"/>
  <c r="C56" i="3"/>
  <c r="B56" i="3"/>
  <c r="A56" i="3"/>
  <c r="C55" i="3"/>
  <c r="B55" i="3"/>
  <c r="A55" i="3"/>
  <c r="C89" i="3"/>
  <c r="B89" i="3"/>
  <c r="A89" i="3"/>
  <c r="C88" i="3"/>
  <c r="B88" i="3"/>
  <c r="A88" i="3"/>
  <c r="C87" i="3"/>
  <c r="B87" i="3"/>
  <c r="A87" i="3"/>
  <c r="C86" i="3"/>
  <c r="B86" i="3"/>
  <c r="A86" i="3"/>
  <c r="C85" i="3"/>
  <c r="B85" i="3"/>
  <c r="A85" i="3"/>
  <c r="C99" i="3"/>
  <c r="B99" i="3"/>
  <c r="A99" i="3"/>
  <c r="C98" i="3"/>
  <c r="B98" i="3"/>
  <c r="A98" i="3"/>
  <c r="C97" i="3"/>
  <c r="B97" i="3"/>
  <c r="A97" i="3"/>
  <c r="C96" i="3"/>
  <c r="B96" i="3"/>
  <c r="A96" i="3"/>
  <c r="C95" i="3"/>
  <c r="B95" i="3"/>
  <c r="A95" i="3"/>
  <c r="C94" i="3"/>
  <c r="B94" i="3"/>
  <c r="A94" i="3"/>
  <c r="C93" i="3"/>
  <c r="B93" i="3"/>
  <c r="A93" i="3"/>
  <c r="C92" i="3"/>
  <c r="B92" i="3"/>
  <c r="A92" i="3"/>
  <c r="C91" i="3"/>
  <c r="B91" i="3"/>
  <c r="A91" i="3"/>
  <c r="C90" i="3"/>
  <c r="B90" i="3"/>
  <c r="A90" i="3"/>
  <c r="C114" i="3"/>
  <c r="B114" i="3"/>
  <c r="A114" i="3"/>
  <c r="C113" i="3"/>
  <c r="B113" i="3"/>
  <c r="A113" i="3"/>
  <c r="C112" i="3"/>
  <c r="B112" i="3"/>
  <c r="A112" i="3"/>
  <c r="C111" i="3"/>
  <c r="B111" i="3"/>
  <c r="A111" i="3"/>
  <c r="C110" i="3"/>
  <c r="B110" i="3"/>
  <c r="A110" i="3"/>
  <c r="C109" i="3"/>
  <c r="B109" i="3"/>
  <c r="A109" i="3"/>
  <c r="C108" i="3"/>
  <c r="B108" i="3"/>
  <c r="A108" i="3"/>
  <c r="C107" i="3"/>
  <c r="B107" i="3"/>
  <c r="A107" i="3"/>
  <c r="C106" i="3"/>
  <c r="B106" i="3"/>
  <c r="A106" i="3"/>
  <c r="C105" i="3"/>
  <c r="B105" i="3"/>
  <c r="A105" i="3"/>
  <c r="C104" i="3"/>
  <c r="B104" i="3"/>
  <c r="A104" i="3"/>
  <c r="C103" i="3"/>
  <c r="B103" i="3"/>
  <c r="A103" i="3"/>
  <c r="C102" i="3"/>
  <c r="B102" i="3"/>
  <c r="A102" i="3"/>
  <c r="C101" i="3"/>
  <c r="B101" i="3"/>
  <c r="A101" i="3"/>
  <c r="C100" i="3"/>
  <c r="B100" i="3"/>
  <c r="A100" i="3"/>
  <c r="C119" i="3"/>
  <c r="B119" i="3"/>
  <c r="A119" i="3"/>
  <c r="C118" i="3"/>
  <c r="B118" i="3"/>
  <c r="A118" i="3"/>
  <c r="C117" i="3"/>
  <c r="B117" i="3"/>
  <c r="A117" i="3"/>
  <c r="C116" i="3"/>
  <c r="B116" i="3"/>
  <c r="A116" i="3"/>
  <c r="C115" i="3"/>
  <c r="B115" i="3"/>
  <c r="A115" i="3"/>
  <c r="C134" i="3"/>
  <c r="B134" i="3"/>
  <c r="A134" i="3"/>
  <c r="C133" i="3"/>
  <c r="B133" i="3"/>
  <c r="A133" i="3"/>
  <c r="C132" i="3"/>
  <c r="B132" i="3"/>
  <c r="A132" i="3"/>
  <c r="C131" i="3"/>
  <c r="B131" i="3"/>
  <c r="A131" i="3"/>
  <c r="C130" i="3"/>
  <c r="B130" i="3"/>
  <c r="A130" i="3"/>
  <c r="C129" i="3"/>
  <c r="B129" i="3"/>
  <c r="A129" i="3"/>
  <c r="C128" i="3"/>
  <c r="B128" i="3"/>
  <c r="A128" i="3"/>
  <c r="C127" i="3"/>
  <c r="B127" i="3"/>
  <c r="A127" i="3"/>
  <c r="C126" i="3"/>
  <c r="B126" i="3"/>
  <c r="A126" i="3"/>
  <c r="C125" i="3"/>
  <c r="B125" i="3"/>
  <c r="A125" i="3"/>
  <c r="C124" i="3"/>
  <c r="B124" i="3"/>
  <c r="A124" i="3"/>
  <c r="C123" i="3"/>
  <c r="B123" i="3"/>
  <c r="A123" i="3"/>
  <c r="C122" i="3"/>
  <c r="B122" i="3"/>
  <c r="A122" i="3"/>
  <c r="C121" i="3"/>
  <c r="B121" i="3"/>
  <c r="A121" i="3"/>
  <c r="C120" i="3"/>
  <c r="B120" i="3"/>
  <c r="A120" i="3"/>
  <c r="C139" i="3"/>
  <c r="B139" i="3"/>
  <c r="A139" i="3"/>
  <c r="C138" i="3"/>
  <c r="B138" i="3"/>
  <c r="A138" i="3"/>
  <c r="C137" i="3"/>
  <c r="B137" i="3"/>
  <c r="A137" i="3"/>
  <c r="C136" i="3"/>
  <c r="B136" i="3"/>
  <c r="A136" i="3"/>
  <c r="C135" i="3"/>
  <c r="B135" i="3"/>
  <c r="A135" i="3"/>
  <c r="C144" i="3"/>
  <c r="B144" i="3"/>
  <c r="A144" i="3"/>
  <c r="C143" i="3"/>
  <c r="B143" i="3"/>
  <c r="A143" i="3"/>
  <c r="C142" i="3"/>
  <c r="B142" i="3"/>
  <c r="A142" i="3"/>
  <c r="C141" i="3"/>
  <c r="B141" i="3"/>
  <c r="A141" i="3"/>
  <c r="C140" i="3"/>
  <c r="B140" i="3"/>
  <c r="A140" i="3"/>
  <c r="C149" i="3" l="1"/>
  <c r="B149" i="3"/>
  <c r="A149" i="3"/>
  <c r="C148" i="3"/>
  <c r="B148" i="3"/>
  <c r="A148" i="3"/>
  <c r="C147" i="3"/>
  <c r="B147" i="3"/>
  <c r="A147" i="3"/>
  <c r="C146" i="3"/>
  <c r="B146" i="3"/>
  <c r="A146" i="3"/>
  <c r="C145" i="3"/>
  <c r="B145" i="3"/>
  <c r="A145" i="3"/>
  <c r="A2" i="3"/>
  <c r="A3" i="3" l="1"/>
  <c r="D159" i="3" l="1"/>
  <c r="B161" i="3" l="1"/>
  <c r="C160" i="3"/>
  <c r="B160" i="3"/>
  <c r="D152" i="3"/>
  <c r="D153" i="3"/>
  <c r="D154" i="3"/>
  <c r="D155" i="3"/>
  <c r="D156" i="3"/>
  <c r="D157" i="3"/>
  <c r="D158" i="3"/>
  <c r="C152" i="3"/>
  <c r="C153" i="3"/>
  <c r="C154" i="3"/>
  <c r="C155" i="3"/>
  <c r="C156" i="3"/>
  <c r="C157" i="3"/>
  <c r="C158" i="3"/>
  <c r="C159" i="3"/>
  <c r="B152" i="3"/>
  <c r="B153" i="3"/>
  <c r="B154" i="3"/>
  <c r="B155" i="3"/>
  <c r="B156" i="3"/>
  <c r="B157" i="3"/>
  <c r="B158" i="3"/>
  <c r="B159" i="3"/>
  <c r="B151" i="3"/>
  <c r="C151" i="3"/>
  <c r="D151" i="3"/>
  <c r="A159" i="3"/>
  <c r="A152" i="3"/>
  <c r="A153" i="3"/>
  <c r="A154" i="3"/>
  <c r="A155" i="3"/>
  <c r="A156" i="3"/>
  <c r="A157" i="3"/>
  <c r="A158" i="3"/>
  <c r="A151" i="3"/>
  <c r="A150" i="3"/>
  <c r="A1" i="3"/>
  <c r="A4" i="3"/>
  <c r="G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TERACCIÓN" type="6" refreshedVersion="4" background="1" saveData="1">
    <textPr codePage="850" sourceFile="C:\VF 2010\Console2\Console2\Debug\INTERACCIÓN.prn" delimited="0" thousands=" ">
      <textFields count="2">
        <textField/>
        <textField position="13"/>
      </textFields>
    </textPr>
  </connection>
</connections>
</file>

<file path=xl/sharedStrings.xml><?xml version="1.0" encoding="utf-8"?>
<sst xmlns="http://schemas.openxmlformats.org/spreadsheetml/2006/main" count="98" uniqueCount="79">
  <si>
    <t>Diagrama de interacción  con inclinación del plano de carga λ =</t>
  </si>
  <si>
    <t>ΦMnλ [KNm]</t>
  </si>
  <si>
    <t>ΦPn    [KN]</t>
  </si>
  <si>
    <t>Verificar puntos</t>
  </si>
  <si>
    <t>(ΦMnλ es el momento compuesto en dirección perpendicular al plano de carga λ, se obtiene de la siguiente manera ΦMnλ = √(ΦMnx²+ΦMny²) y se considera positivo cuando ΦMnx es positivo)</t>
  </si>
  <si>
    <t>MATERIALES</t>
  </si>
  <si>
    <t>Hormigón Calidad  H -</t>
  </si>
  <si>
    <t>Zunchos en espiral</t>
  </si>
  <si>
    <t>Positiva</t>
  </si>
  <si>
    <t>Negativa</t>
  </si>
  <si>
    <t>Acero Tipo</t>
  </si>
  <si>
    <t>ADN 420</t>
  </si>
  <si>
    <t>ARMADURAS TRANSVERSALES</t>
  </si>
  <si>
    <t xml:space="preserve"> mediante</t>
  </si>
  <si>
    <t>GEOMETRÍA DE LA SECCIÓN DE HORMIGÓN</t>
  </si>
  <si>
    <t>Cantidad de contornos convexos</t>
  </si>
  <si>
    <t>Contorno nº</t>
  </si>
  <si>
    <t>Área</t>
  </si>
  <si>
    <t>Cantidad de Nodos</t>
  </si>
  <si>
    <t>Nodo nº</t>
  </si>
  <si>
    <t>X</t>
  </si>
  <si>
    <t>Y</t>
  </si>
  <si>
    <t>Cantidad de barras</t>
  </si>
  <si>
    <t>Barra nº</t>
  </si>
  <si>
    <t>Diámetro</t>
  </si>
  <si>
    <t>LEER</t>
  </si>
  <si>
    <t>INTRODUCCIÓN</t>
  </si>
  <si>
    <t>(Una vez ejecutado el programa y finalizado el proceso, ingresar en el menú "DATOS" de excel e ingresar en el menú de obtención de datos externos "Desde texto", buscar el directorio correspondiente e importar los datos del archivo "INTERACCIÓN.PRN" con la opción de "ANCHO FIJO", para graficar finalmente el diagrama deben colocarse los datos en las columnas i y j de esta hoja)</t>
  </si>
  <si>
    <t>→</t>
  </si>
  <si>
    <t xml:space="preserve">      Las ecuaciones constitutivas de los materiales, así como también los factores de reducción de resistencia utilizados en el programa son los correspondientes al reglamento CIRSOC 201-2005</t>
  </si>
  <si>
    <t xml:space="preserve">Positiva </t>
  </si>
  <si>
    <t>INGRESO DE DATOS</t>
  </si>
  <si>
    <t>EJECUCIÓN DEL PROGRAMA</t>
  </si>
  <si>
    <t>RESULTADOS</t>
  </si>
  <si>
    <t>Estribos</t>
  </si>
  <si>
    <t>Muλ   [KNm]</t>
  </si>
  <si>
    <t>Pu          [KN]</t>
  </si>
  <si>
    <t>UNIVERSIDAD NACIONAL DE ROSARIO</t>
  </si>
  <si>
    <t>FACULTAD DE CS. EXACTAS, INGENIERÍA Y AGRIMENSURA</t>
  </si>
  <si>
    <t>ESCUELA DE INGENIERÍA CIVIL</t>
  </si>
  <si>
    <t>HORMIGÓN ARMADO</t>
  </si>
  <si>
    <t xml:space="preserve">DIMENSIONAMIENTO DE SECCIONES DE HORMIGÓN </t>
  </si>
  <si>
    <t xml:space="preserve">ARMADO DE FORMA GENÉRICA SOLICITADAS A FLEXIÓN </t>
  </si>
  <si>
    <t>COMPUESTA OBLICUA</t>
  </si>
  <si>
    <r>
      <rPr>
        <b/>
        <sz val="11"/>
        <color theme="1"/>
        <rFont val="Arial"/>
        <family val="2"/>
      </rPr>
      <t>Adscripto</t>
    </r>
    <r>
      <rPr>
        <sz val="11"/>
        <color theme="1"/>
        <rFont val="Arial"/>
        <family val="2"/>
      </rPr>
      <t>: Ing. Mauro Poliotti</t>
    </r>
  </si>
  <si>
    <r>
      <rPr>
        <b/>
        <sz val="11"/>
        <color theme="1"/>
        <rFont val="Arial"/>
        <family val="2"/>
      </rPr>
      <t>Dirección de la adscripción</t>
    </r>
    <r>
      <rPr>
        <sz val="11"/>
        <color theme="1"/>
        <rFont val="Arial"/>
        <family val="2"/>
      </rPr>
      <t>: Dr. Ing. Oscar Möller</t>
    </r>
  </si>
  <si>
    <t>AÑO 2013</t>
  </si>
  <si>
    <t xml:space="preserve">      DISGHA es un programa de cálculo numérico que permite al usuario construir el diagrama de interacción de resistencia de diseño M-P para secciones de hormigón armado de forma y armadura genérica, para cualquier plano de carga, permitiendo verificar  estados de flexión oblicua compuesta.  </t>
  </si>
  <si>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Arial"/>
        <family val="2"/>
      </rPr>
      <t xml:space="preserve">Ingreso de Datos </t>
    </r>
    <r>
      <rPr>
        <sz val="11"/>
        <color theme="1"/>
        <rFont val="Arial"/>
        <family val="2"/>
      </rPr>
      <t>en la cual se deberá completar todas aquellas celdas que se encuentren sombreadas en gris.</t>
    </r>
  </si>
  <si>
    <t xml:space="preserve">       En primer lugar se deberán ingresar las características de los materiales y el tipo de armadura transversal, es decir si posee estribos o zunchos en espiral.</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</si>
  <si>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</si>
  <si>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</si>
  <si>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metros, y respetando un orden el cual puede ser en sentido anti horario u horario.</t>
  </si>
  <si>
    <t xml:space="preserve">       Luego se debe proceder con los datos de las armaduras, para lo cual se debe ingresar la cantidad de barras, y para cada una de ellas, el número de la barra, las coordenadas X e Y , y el diámetro, el cual debe ser un diámetro comercial.</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</si>
  <si>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</si>
  <si>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</si>
  <si>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</si>
  <si>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</si>
  <si>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</si>
  <si>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</si>
  <si>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</si>
  <si>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</si>
  <si>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</si>
  <si>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</si>
  <si>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 xml:space="preserve">Los datos de la geometría de la sección deben expresarse en METROS. Los nodos deben ingresarse en orden ya sea en sentido horario o anti horario y NO debe repetirse ningún nodo. Si se requiere mayor cantidad de nodos se deberá insertar la cantidad de filas necesarias a continuación del último nodo ingresado en el contorno correspondiente. Luego se deberá abrir la pestaña DATOS e insertar la misma cantidad de filas debajo de los datos del último nodo ingresado. Finalmente se deberá arrastrar las funciones de dichas celdas en todas las filas insertadas. </t>
  </si>
  <si>
    <t>Para ingresar una mayor cantidad de barras se deberá insertar la cantidad de filas necesarias a continuación de la última barra ingresada. Luego, se deberá abrir la pestaña DATOS e insertar la misma cantidad de filas debajo de los datos correspondientes a la última barra ingresada. Finalmente se deberán arrastrar las funciones de dichas celdas en todas las filas insertadas. En caso de querer utilizar una menor cantidad de barras,se deben eliminar las filas en esta pestaña y luego eliminar las filas correspondientes en la pestaña DATOS.</t>
  </si>
  <si>
    <t>ADN 500</t>
  </si>
  <si>
    <t>AL 220</t>
  </si>
  <si>
    <t xml:space="preserve">ARMADURAS PRETENSADAS </t>
  </si>
  <si>
    <t>DISCRETIZACIÓN DE LA SECCIÓN</t>
  </si>
  <si>
    <t>ΔX =</t>
  </si>
  <si>
    <t>m</t>
  </si>
  <si>
    <t>ΔY =</t>
  </si>
  <si>
    <t>Trenzas C1900</t>
  </si>
  <si>
    <t>Acero Pretensado Tipo</t>
  </si>
  <si>
    <t>Def. de rotura</t>
  </si>
  <si>
    <t xml:space="preserve">ARMADURAS </t>
  </si>
  <si>
    <t>INCLINACIÓN DEL PLANO DE CARGA</t>
  </si>
  <si>
    <r>
      <t xml:space="preserve">Graficar el diagrama de interacción para </t>
    </r>
    <r>
      <rPr>
        <sz val="11"/>
        <color theme="1"/>
        <rFont val="Calibri"/>
        <family val="2"/>
      </rPr>
      <t>λ</t>
    </r>
    <r>
      <rPr>
        <sz val="11"/>
        <color theme="1"/>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</si>
</sst>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º.0"/>
  </numFmts>
  <fonts count="15" x14ac:knownFonts="1">
    <font>
      <sz val="11"/>
      <color theme="1"/>
      <name val="Calibri"/>
      <family val="2"/>
      <scheme val="minor"/>
    </font>
    <font>
      <b/>
      <sz val="11"/>
      <color theme="1"/>
      <name val="Arial"/>
      <family val="2"/>
    </font>
    <font>
      <sz val="11"/>
      <color theme="1"/>
      <name val="Arial"/>
      <family val="2"/>
    </font>
    <font>
      <sz val="14"/>
      <color theme="1"/>
      <name val="Arial"/>
      <family val="2"/>
    </font>
    <font>
      <b/>
      <u/>
      <sz val="11"/>
      <color theme="1"/>
      <name val="Arial"/>
      <family val="2"/>
    </font>
    <font>
      <i/>
      <sz val="11"/>
      <color theme="1"/>
      <name val="Arial"/>
      <family val="2"/>
    </font>
    <font>
      <i/>
      <sz val="10"/>
      <color theme="1"/>
      <name val="Arial"/>
      <family val="2"/>
    </font>
    <font>
      <sz val="11"/>
      <color theme="1"/>
      <name val="Calibri"/>
      <family val="2"/>
    </font>
    <font>
      <sz val="7"/>
      <color theme="1"/>
      <name val="Calibri"/>
      <family val="2"/>
      <scheme val="minor"/>
    </font>
    <font>
      <b/>
      <i/>
      <sz val="11"/>
      <color rgb="FFFF0000"/>
      <name val="Arial"/>
      <family val="2"/>
    </font>
    <font>
      <u/>
      <sz val="11"/>
      <color theme="1"/>
      <name val="Arial"/>
      <family val="2"/>
    </font>
    <font>
      <b/>
      <sz val="11"/>
      <color theme="1"/>
      <name val="Calibri"/>
      <family val="2"/>
    </font>
    <font>
      <b/>
      <sz val="11"/>
      <color rgb="FF000000"/>
      <name val="Calibri"/>
      <family val="2"/>
    </font>
    <font>
      <sz val="11"/>
      <color rgb="FF000000"/>
      <name val="Calibri"/>
      <family val="2"/>
    </font>
    <font>
      <b/>
      <sz val="22"/>
      <color theme="1"/>
      <name val="Arial Black"/>
      <family val="2"/>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8">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s>
  <cellStyleXfs count="1">
    <xf numFmtId="0" fontId="0" fillId="0" borderId="0"/>
  </cellStyleXfs>
  <cellXfs count="55">
    <xf numFmtId="0" fontId="0" fillId="0" borderId="0" xfId="0"/>
    <xf numFmtId="0" fontId="0" fillId="0" borderId="2" xfId="0" applyBorder="1"/>
    <xf numFmtId="0" fontId="2" fillId="0" borderId="0" xfId="0" applyFont="1"/>
    <xf numFmtId="0" fontId="0" fillId="0" borderId="1" xfId="0" applyBorder="1"/>
    <xf numFmtId="0" fontId="0" fillId="0" borderId="3" xfId="0" applyBorder="1"/>
    <xf numFmtId="164" fontId="8" fillId="0" borderId="0" xfId="0" applyNumberFormat="1" applyFont="1"/>
    <xf numFmtId="0" fontId="9" fillId="0" borderId="0" xfId="0" applyFont="1" applyAlignment="1">
      <alignment vertical="center"/>
    </xf>
    <xf numFmtId="0" fontId="2" fillId="0" borderId="6" xfId="0" applyFont="1" applyBorder="1"/>
    <xf numFmtId="0" fontId="2" fillId="0" borderId="7" xfId="0" applyFont="1" applyBorder="1"/>
    <xf numFmtId="0" fontId="2" fillId="2" borderId="7" xfId="0" applyFont="1" applyFill="1" applyBorder="1" applyAlignment="1">
      <alignment horizontal="center"/>
    </xf>
    <xf numFmtId="164" fontId="2" fillId="2" borderId="0" xfId="0" applyNumberFormat="1" applyFont="1" applyFill="1" applyAlignment="1">
      <alignment horizontal="center"/>
    </xf>
    <xf numFmtId="0" fontId="11" fillId="0" borderId="0" xfId="0" applyFont="1" applyAlignment="1">
      <alignment horizontal="left"/>
    </xf>
    <xf numFmtId="0" fontId="2" fillId="0" borderId="7" xfId="0" applyFont="1" applyBorder="1" applyAlignment="1">
      <alignment horizontal="center"/>
    </xf>
    <xf numFmtId="0" fontId="2" fillId="0" borderId="0" xfId="0" applyFont="1" applyAlignment="1">
      <alignment horizontal="center"/>
    </xf>
    <xf numFmtId="0" fontId="2" fillId="2" borderId="0" xfId="0" applyFont="1" applyFill="1" applyAlignment="1">
      <alignment horizontal="center"/>
    </xf>
    <xf numFmtId="0" fontId="5" fillId="0" borderId="0" xfId="0" applyFont="1" applyAlignment="1">
      <alignment vertical="top"/>
    </xf>
    <xf numFmtId="0" fontId="2" fillId="0" borderId="0" xfId="0" applyFont="1" applyAlignment="1">
      <alignment wrapText="1"/>
    </xf>
    <xf numFmtId="0" fontId="2" fillId="0" borderId="0" xfId="0" applyFont="1" applyAlignment="1">
      <alignment horizontal="left" wrapText="1"/>
    </xf>
    <xf numFmtId="0" fontId="2" fillId="2" borderId="0" xfId="0" applyFont="1" applyFill="1"/>
    <xf numFmtId="0" fontId="0" fillId="2" borderId="0" xfId="0" applyFill="1"/>
    <xf numFmtId="11" fontId="0" fillId="0" borderId="2" xfId="0" applyNumberFormat="1" applyBorder="1" applyProtection="1">
      <protection locked="0"/>
    </xf>
    <xf numFmtId="0" fontId="0" fillId="0" borderId="2" xfId="0" applyBorder="1" applyProtection="1">
      <protection locked="0"/>
    </xf>
    <xf numFmtId="164" fontId="0" fillId="2" borderId="4" xfId="0" applyNumberFormat="1" applyFill="1" applyBorder="1" applyProtection="1">
      <protection locked="0"/>
    </xf>
    <xf numFmtId="0" fontId="0" fillId="0" borderId="0" xfId="0" applyProtection="1">
      <protection locked="0"/>
    </xf>
    <xf numFmtId="0" fontId="0" fillId="0" borderId="0" xfId="0" applyAlignment="1">
      <alignment vertical="center" wrapText="1"/>
    </xf>
    <xf numFmtId="0" fontId="1" fillId="0" borderId="0" xfId="0" applyFont="1" applyAlignment="1">
      <alignment horizontal="center" wrapText="1"/>
    </xf>
    <xf numFmtId="0" fontId="0" fillId="2" borderId="0" xfId="0" applyFill="1" applyAlignment="1">
      <alignment horizontal="center"/>
    </xf>
    <xf numFmtId="165" fontId="2" fillId="2" borderId="0" xfId="0" applyNumberFormat="1" applyFont="1" applyFill="1" applyAlignment="1">
      <alignment horizontal="center"/>
    </xf>
    <xf numFmtId="0" fontId="5" fillId="0" borderId="0" xfId="0" applyFont="1" applyAlignment="1">
      <alignment horizontal="justify" vertical="top"/>
    </xf>
    <xf numFmtId="2" fontId="2" fillId="0" borderId="0" xfId="0" applyNumberFormat="1" applyFont="1" applyAlignment="1">
      <alignment horizontal="justify"/>
    </xf>
    <xf numFmtId="0" fontId="2" fillId="0" borderId="0" xfId="0" applyFont="1" applyAlignment="1">
      <alignment horizontal="justify" vertical="top"/>
    </xf>
    <xf numFmtId="0" fontId="2" fillId="0" borderId="0" xfId="0" applyFont="1" applyAlignment="1">
      <alignment horizontal="justify"/>
    </xf>
    <xf numFmtId="0" fontId="1" fillId="0" borderId="0" xfId="0" applyFont="1" applyAlignment="1">
      <alignment horizontal="left"/>
    </xf>
    <xf numFmtId="0" fontId="1" fillId="0" borderId="0" xfId="0" applyFont="1" applyAlignment="1">
      <alignment horizontal="center" wrapText="1"/>
    </xf>
    <xf numFmtId="0" fontId="1" fillId="0" borderId="0" xfId="0" applyFont="1" applyAlignment="1">
      <alignment horizontal="center" vertical="center" wrapText="1"/>
    </xf>
    <xf numFmtId="49" fontId="2" fillId="0" borderId="0" xfId="0" applyNumberFormat="1" applyFont="1" applyAlignment="1">
      <alignment horizontal="justify" vertical="top"/>
    </xf>
    <xf numFmtId="0" fontId="10" fillId="0" borderId="0" xfId="0" applyFont="1" applyAlignment="1">
      <alignment horizontal="left"/>
    </xf>
    <xf numFmtId="0" fontId="2" fillId="0" borderId="0" xfId="0" applyFont="1" applyAlignment="1">
      <alignment horizontal="center" wrapText="1"/>
    </xf>
    <xf numFmtId="0" fontId="14" fillId="0" borderId="0" xfId="0" applyFont="1" applyAlignment="1">
      <alignment horizontal="center" vertical="center" wrapText="1"/>
    </xf>
    <xf numFmtId="0" fontId="5" fillId="0" borderId="0" xfId="0" applyFont="1" applyAlignment="1">
      <alignment horizontal="justify" vertical="top"/>
    </xf>
    <xf numFmtId="0" fontId="4" fillId="0" borderId="7" xfId="0" applyFont="1" applyBorder="1" applyAlignment="1">
      <alignment horizontal="left"/>
    </xf>
    <xf numFmtId="0" fontId="4" fillId="0" borderId="0" xfId="0" applyFont="1" applyAlignment="1">
      <alignment horizontal="left"/>
    </xf>
    <xf numFmtId="0" fontId="2" fillId="0" borderId="7" xfId="0" applyFont="1" applyBorder="1" applyAlignment="1">
      <alignment horizontal="center"/>
    </xf>
    <xf numFmtId="0" fontId="2" fillId="0" borderId="0" xfId="0" applyFont="1" applyAlignment="1">
      <alignment horizontal="center"/>
    </xf>
    <xf numFmtId="0" fontId="4" fillId="0" borderId="5" xfId="0" applyFont="1" applyBorder="1" applyAlignment="1">
      <alignment horizontal="left"/>
    </xf>
    <xf numFmtId="0" fontId="4" fillId="0" borderId="6" xfId="0" applyFont="1" applyBorder="1" applyAlignment="1">
      <alignment horizontal="left"/>
    </xf>
    <xf numFmtId="0" fontId="2" fillId="2" borderId="0" xfId="0" applyFont="1" applyFill="1" applyAlignment="1">
      <alignment horizontal="center"/>
    </xf>
    <xf numFmtId="0" fontId="2" fillId="0" borderId="0" xfId="0" applyFont="1" applyAlignment="1">
      <alignment horizontal="left"/>
    </xf>
    <xf numFmtId="0" fontId="5" fillId="0" borderId="0" xfId="0" applyFont="1" applyAlignment="1">
      <alignment horizontal="justify" vertical="center" wrapText="1"/>
    </xf>
    <xf numFmtId="0" fontId="4" fillId="0" borderId="0" xfId="0" applyFont="1" applyAlignment="1">
      <alignment horizontal="center" vertical="center"/>
    </xf>
    <xf numFmtId="0" fontId="2"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165" fontId="3" fillId="3" borderId="0" xfId="0" applyNumberFormat="1" applyFont="1" applyFill="1" applyAlignment="1">
      <alignment horizontal="center" vertical="center"/>
    </xf>
    <xf numFmtId="0" fontId="6" fillId="0" borderId="0" xfId="0" applyFont="1" applyAlignment="1">
      <alignment horizontal="justify"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03883443141035"/>
          <c:y val="2.2664219130191336E-2"/>
          <c:w val="0.79705358194678089"/>
          <c:h val="0.90998029854690754"/>
        </c:manualLayout>
      </c:layout>
      <c:scatterChart>
        <c:scatterStyle val="lineMarker"/>
        <c:varyColors val="0"/>
        <c:ser>
          <c:idx val="0"/>
          <c:order val="0"/>
          <c:spPr>
            <a:ln w="28575">
              <a:noFill/>
            </a:ln>
          </c:spPr>
          <c:xVal>
            <c:numRef>
              <c:f>'Diagrama de Interacción'!$J$3:$J$1048576</c:f>
              <c:numCache>
                <c:formatCode>0.00E+00</c:formatCode>
                <c:ptCount val="1048574"/>
              </c:numCache>
            </c:numRef>
          </c:xVal>
          <c:yVal>
            <c:numRef>
              <c:f>'Diagrama de Interacción'!$I$3:$I$1048576</c:f>
              <c:numCache>
                <c:formatCode>0.00E+00</c:formatCode>
                <c:ptCount val="1048574"/>
              </c:numCache>
            </c:numRef>
          </c:yVal>
          <c:smooth val="0"/>
          <c:extLst>
            <c:ext xmlns:c16="http://schemas.microsoft.com/office/drawing/2014/chart" uri="{C3380CC4-5D6E-409C-BE32-E72D297353CC}">
              <c16:uniqueId val="{00000000-1182-41CD-8F00-4F8BB0FA72D7}"/>
            </c:ext>
          </c:extLst>
        </c:ser>
        <c:ser>
          <c:idx val="1"/>
          <c:order val="1"/>
          <c:spPr>
            <a:ln w="28575">
              <a:noFill/>
            </a:ln>
          </c:spPr>
          <c:xVal>
            <c:numRef>
              <c:f>'Diagrama de Interacción'!$D$33:$D$1048576</c:f>
              <c:numCache>
                <c:formatCode>0.000</c:formatCode>
                <c:ptCount val="1048544"/>
              </c:numCache>
            </c:numRef>
          </c:xVal>
          <c:yVal>
            <c:numRef>
              <c:f>'Diagrama de Interacción'!$C$33:$C$1048576</c:f>
              <c:numCache>
                <c:formatCode>0.000</c:formatCode>
                <c:ptCount val="1048544"/>
              </c:numCache>
            </c:numRef>
          </c:yVal>
          <c:smooth val="0"/>
          <c:extLst>
            <c:ext xmlns:c16="http://schemas.microsoft.com/office/drawing/2014/chart" uri="{C3380CC4-5D6E-409C-BE32-E72D297353CC}">
              <c16:uniqueId val="{00000001-1182-41CD-8F00-4F8BB0FA72D7}"/>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41</xdr:row>
      <xdr:rowOff>76200</xdr:rowOff>
    </xdr:from>
    <xdr:to>
      <xdr:col>2</xdr:col>
      <xdr:colOff>752540</xdr:colOff>
      <xdr:row>52</xdr:row>
      <xdr:rowOff>28575</xdr:rowOff>
    </xdr:to>
    <xdr:pic>
      <xdr:nvPicPr>
        <xdr:cNvPr id="4" name="3 Imagen" descr="C:\Users\Mauro\AppData\Local\Temp\x10sctmp1.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1" y="990600"/>
          <a:ext cx="2219389"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41</xdr:row>
      <xdr:rowOff>85726</xdr:rowOff>
    </xdr:from>
    <xdr:to>
      <xdr:col>6</xdr:col>
      <xdr:colOff>695323</xdr:colOff>
      <xdr:row>52</xdr:row>
      <xdr:rowOff>104776</xdr:rowOff>
    </xdr:to>
    <xdr:pic>
      <xdr:nvPicPr>
        <xdr:cNvPr id="5" name="4 Imagen" descr="C:\Users\Mauro\AppData\Local\Temp\x10sctmp2.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26996" y="1000126"/>
          <a:ext cx="2540327"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73</xdr:row>
      <xdr:rowOff>47626</xdr:rowOff>
    </xdr:from>
    <xdr:to>
      <xdr:col>6</xdr:col>
      <xdr:colOff>542925</xdr:colOff>
      <xdr:row>96</xdr:row>
      <xdr:rowOff>161925</xdr:rowOff>
    </xdr:to>
    <xdr:pic>
      <xdr:nvPicPr>
        <xdr:cNvPr id="6" name="5 Imagen" descr="C:\Users\Mauro\AppData\Local\Temp\x10sctmp3.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6800851"/>
          <a:ext cx="4905375" cy="4286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177</xdr:row>
          <xdr:rowOff>50800</xdr:rowOff>
        </xdr:from>
        <xdr:to>
          <xdr:col>4</xdr:col>
          <xdr:colOff>146050</xdr:colOff>
          <xdr:row>179</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114</xdr:row>
      <xdr:rowOff>66677</xdr:rowOff>
    </xdr:from>
    <xdr:to>
      <xdr:col>6</xdr:col>
      <xdr:colOff>685450</xdr:colOff>
      <xdr:row>132</xdr:row>
      <xdr:rowOff>154800</xdr:rowOff>
    </xdr:to>
    <xdr:pic>
      <xdr:nvPicPr>
        <xdr:cNvPr id="7" name="6 Imagen" descr="C:\Users\Mauro\AppData\Local\Temp\x10sctmp.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14620877"/>
          <a:ext cx="5238400" cy="3345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31750</xdr:rowOff>
        </xdr:from>
        <xdr:to>
          <xdr:col>4</xdr:col>
          <xdr:colOff>107950</xdr:colOff>
          <xdr:row>4</xdr:row>
          <xdr:rowOff>69850</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408646" y="176580"/>
          <a:ext cx="557200" cy="6152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241300</xdr:colOff>
          <xdr:row>0</xdr:row>
          <xdr:rowOff>76200</xdr:rowOff>
        </xdr:from>
        <xdr:to>
          <xdr:col>1</xdr:col>
          <xdr:colOff>457200</xdr:colOff>
          <xdr:row>5</xdr:row>
          <xdr:rowOff>76200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222250</xdr:colOff>
          <xdr:row>11</xdr:row>
          <xdr:rowOff>88900</xdr:rowOff>
        </xdr:from>
        <xdr:to>
          <xdr:col>6</xdr:col>
          <xdr:colOff>660400</xdr:colOff>
          <xdr:row>12</xdr:row>
          <xdr:rowOff>146050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Insertar Contornos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4" name="3 Gráfico">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5" name="4 CuadroTexto">
          <a:extLst>
            <a:ext uri="{FF2B5EF4-FFF2-40B4-BE49-F238E27FC236}">
              <a16:creationId xmlns:a16="http://schemas.microsoft.com/office/drawing/2014/main" id="{00000000-0008-0000-0500-000005000000}"/>
            </a:ext>
          </a:extLst>
        </xdr:cNvPr>
        <xdr:cNvSpPr txBox="1"/>
      </xdr:nvSpPr>
      <xdr:spPr>
        <a:xfrm rot="16200000">
          <a:off x="-361950" y="27432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6" name="5 CuadroTexto">
          <a:extLst>
            <a:ext uri="{FF2B5EF4-FFF2-40B4-BE49-F238E27FC236}">
              <a16:creationId xmlns:a16="http://schemas.microsoft.com/office/drawing/2014/main" id="{00000000-0008-0000-0500-000006000000}"/>
            </a:ext>
          </a:extLst>
        </xdr:cNvPr>
        <xdr:cNvSpPr txBox="1"/>
      </xdr:nvSpPr>
      <xdr:spPr>
        <a:xfrm>
          <a:off x="24193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180"/>
  <sheetViews>
    <sheetView showGridLines="0" topLeftCell="A172" zoomScaleNormal="100" workbookViewId="0"/>
  </sheetViews>
  <sheetFormatPr defaultColWidth="11.453125" defaultRowHeight="14" x14ac:dyDescent="0.3"/>
  <cols>
    <col min="1" max="16384" width="11.453125" style="18"/>
  </cols>
  <sheetData>
    <row r="1" spans="1:7" x14ac:dyDescent="0.3">
      <c r="A1" s="17"/>
      <c r="B1" s="17"/>
      <c r="C1" s="17"/>
      <c r="D1" s="16"/>
      <c r="E1" s="16"/>
      <c r="F1" s="2"/>
      <c r="G1" s="2"/>
    </row>
    <row r="2" spans="1:7" x14ac:dyDescent="0.3">
      <c r="A2" s="17"/>
      <c r="B2" s="17"/>
      <c r="C2" s="17"/>
      <c r="D2" s="16"/>
      <c r="E2" s="16"/>
      <c r="F2" s="2"/>
      <c r="G2" s="2"/>
    </row>
    <row r="3" spans="1:7" x14ac:dyDescent="0.3">
      <c r="A3" s="17"/>
      <c r="B3" s="17"/>
      <c r="C3" s="17"/>
      <c r="D3" s="16"/>
      <c r="E3" s="16"/>
      <c r="F3" s="2"/>
      <c r="G3" s="2"/>
    </row>
    <row r="4" spans="1:7" x14ac:dyDescent="0.3">
      <c r="A4" s="17"/>
      <c r="B4" s="17"/>
      <c r="C4" s="17"/>
      <c r="D4" s="16"/>
      <c r="E4" s="16"/>
      <c r="F4" s="2"/>
      <c r="G4" s="2"/>
    </row>
    <row r="5" spans="1:7" x14ac:dyDescent="0.3">
      <c r="A5" s="17"/>
      <c r="B5" s="17"/>
      <c r="C5" s="17"/>
      <c r="D5" s="16"/>
      <c r="E5" s="16"/>
      <c r="F5" s="2"/>
      <c r="G5" s="2"/>
    </row>
    <row r="6" spans="1:7" x14ac:dyDescent="0.3">
      <c r="A6" s="17"/>
      <c r="B6" s="17"/>
      <c r="C6" s="17"/>
      <c r="D6" s="16"/>
      <c r="E6" s="16"/>
      <c r="F6" s="2"/>
      <c r="G6" s="2"/>
    </row>
    <row r="7" spans="1:7" x14ac:dyDescent="0.3">
      <c r="A7" s="17"/>
      <c r="B7" s="17"/>
      <c r="C7" s="17"/>
      <c r="D7" s="16"/>
      <c r="E7" s="16"/>
      <c r="F7" s="2"/>
      <c r="G7" s="2"/>
    </row>
    <row r="8" spans="1:7" x14ac:dyDescent="0.3">
      <c r="A8" s="33" t="s">
        <v>37</v>
      </c>
      <c r="B8" s="33"/>
      <c r="C8" s="33"/>
      <c r="D8" s="33"/>
      <c r="E8" s="33"/>
      <c r="F8" s="33"/>
      <c r="G8" s="33"/>
    </row>
    <row r="9" spans="1:7" ht="6.75" customHeight="1" x14ac:dyDescent="0.3">
      <c r="A9" s="17"/>
      <c r="B9" s="17"/>
      <c r="C9" s="17"/>
      <c r="D9" s="16"/>
      <c r="E9" s="16"/>
      <c r="F9" s="24"/>
      <c r="G9" s="24"/>
    </row>
    <row r="10" spans="1:7" ht="14.25" customHeight="1" x14ac:dyDescent="0.3">
      <c r="A10" s="34" t="s">
        <v>38</v>
      </c>
      <c r="B10" s="34"/>
      <c r="C10" s="34"/>
      <c r="D10" s="34"/>
      <c r="E10" s="34"/>
      <c r="F10" s="34"/>
      <c r="G10" s="34"/>
    </row>
    <row r="11" spans="1:7" ht="7.5" customHeight="1" x14ac:dyDescent="0.3">
      <c r="A11" s="17"/>
      <c r="B11" s="17"/>
      <c r="C11" s="17"/>
      <c r="D11" s="16"/>
      <c r="E11" s="16"/>
      <c r="F11" s="24"/>
      <c r="G11" s="24"/>
    </row>
    <row r="12" spans="1:7" ht="14.25" customHeight="1" x14ac:dyDescent="0.3">
      <c r="A12" s="17"/>
      <c r="B12" s="33" t="s">
        <v>39</v>
      </c>
      <c r="C12" s="33"/>
      <c r="D12" s="33"/>
      <c r="E12" s="33"/>
      <c r="F12" s="33"/>
      <c r="G12" s="24"/>
    </row>
    <row r="13" spans="1:7" x14ac:dyDescent="0.3">
      <c r="A13" s="17"/>
      <c r="B13" s="17"/>
      <c r="C13" s="17"/>
      <c r="D13" s="16"/>
      <c r="E13" s="16"/>
      <c r="F13" s="2"/>
      <c r="G13" s="2"/>
    </row>
    <row r="14" spans="1:7" x14ac:dyDescent="0.3">
      <c r="A14" s="17"/>
      <c r="B14" s="17"/>
      <c r="C14" s="17"/>
      <c r="D14" s="16"/>
      <c r="E14" s="16"/>
      <c r="F14" s="2"/>
      <c r="G14" s="2"/>
    </row>
    <row r="15" spans="1:7" x14ac:dyDescent="0.3">
      <c r="A15" s="17"/>
      <c r="B15" s="17"/>
      <c r="C15" s="17"/>
      <c r="D15" s="16"/>
      <c r="E15" s="16"/>
      <c r="F15" s="2"/>
      <c r="G15" s="2"/>
    </row>
    <row r="16" spans="1:7" x14ac:dyDescent="0.3">
      <c r="A16" s="17"/>
      <c r="B16" s="17"/>
      <c r="C16" s="17"/>
      <c r="D16" s="16"/>
      <c r="E16" s="16"/>
      <c r="F16" s="2"/>
      <c r="G16" s="2"/>
    </row>
    <row r="17" spans="1:7" x14ac:dyDescent="0.3">
      <c r="A17" s="38" t="s">
        <v>40</v>
      </c>
      <c r="B17" s="38"/>
      <c r="C17" s="38"/>
      <c r="D17" s="38"/>
      <c r="E17" s="38"/>
      <c r="F17" s="38"/>
      <c r="G17" s="38"/>
    </row>
    <row r="18" spans="1:7" x14ac:dyDescent="0.3">
      <c r="A18" s="38"/>
      <c r="B18" s="38"/>
      <c r="C18" s="38"/>
      <c r="D18" s="38"/>
      <c r="E18" s="38"/>
      <c r="F18" s="38"/>
      <c r="G18" s="38"/>
    </row>
    <row r="19" spans="1:7" x14ac:dyDescent="0.3">
      <c r="A19" s="38"/>
      <c r="B19" s="38"/>
      <c r="C19" s="38"/>
      <c r="D19" s="38"/>
      <c r="E19" s="38"/>
      <c r="F19" s="38"/>
      <c r="G19" s="38"/>
    </row>
    <row r="20" spans="1:7" x14ac:dyDescent="0.3">
      <c r="A20" s="17"/>
      <c r="B20" s="17"/>
      <c r="C20" s="17"/>
      <c r="D20" s="16"/>
      <c r="E20" s="16"/>
      <c r="F20" s="2"/>
      <c r="G20" s="2"/>
    </row>
    <row r="21" spans="1:7" x14ac:dyDescent="0.3">
      <c r="A21" s="17"/>
      <c r="B21" s="17"/>
      <c r="C21" s="17"/>
      <c r="D21" s="16"/>
      <c r="E21" s="16"/>
      <c r="F21" s="2"/>
      <c r="G21" s="2"/>
    </row>
    <row r="22" spans="1:7" x14ac:dyDescent="0.3">
      <c r="A22" s="17"/>
      <c r="B22" s="33" t="s">
        <v>41</v>
      </c>
      <c r="C22" s="33"/>
      <c r="D22" s="33"/>
      <c r="E22" s="33"/>
      <c r="F22" s="33"/>
      <c r="G22" s="2"/>
    </row>
    <row r="23" spans="1:7" x14ac:dyDescent="0.3">
      <c r="A23" s="33" t="s">
        <v>42</v>
      </c>
      <c r="B23" s="33"/>
      <c r="C23" s="33"/>
      <c r="D23" s="33"/>
      <c r="E23" s="33"/>
      <c r="F23" s="33"/>
      <c r="G23" s="33"/>
    </row>
    <row r="24" spans="1:7" x14ac:dyDescent="0.3">
      <c r="A24" s="17"/>
      <c r="B24" s="17"/>
      <c r="C24" s="33" t="s">
        <v>43</v>
      </c>
      <c r="D24" s="33"/>
      <c r="E24" s="33"/>
      <c r="F24" s="2"/>
      <c r="G24" s="2"/>
    </row>
    <row r="25" spans="1:7" x14ac:dyDescent="0.3">
      <c r="A25" s="17"/>
      <c r="B25" s="17"/>
      <c r="C25" s="17"/>
      <c r="D25" s="16"/>
      <c r="E25" s="16"/>
      <c r="F25" s="2"/>
      <c r="G25" s="2"/>
    </row>
    <row r="26" spans="1:7" x14ac:dyDescent="0.3">
      <c r="A26" s="17"/>
      <c r="B26" s="17"/>
      <c r="C26" s="17"/>
      <c r="D26" s="16"/>
      <c r="E26" s="16"/>
      <c r="F26" s="2"/>
      <c r="G26" s="2"/>
    </row>
    <row r="27" spans="1:7" x14ac:dyDescent="0.3">
      <c r="A27" s="17"/>
      <c r="B27" s="17"/>
      <c r="C27" s="17"/>
      <c r="D27" s="16"/>
      <c r="E27" s="16"/>
      <c r="F27" s="2"/>
      <c r="G27" s="2"/>
    </row>
    <row r="28" spans="1:7" x14ac:dyDescent="0.3">
      <c r="A28" s="17"/>
      <c r="B28" s="17"/>
      <c r="C28" s="17"/>
      <c r="D28" s="16"/>
      <c r="E28" s="16"/>
      <c r="F28" s="2"/>
      <c r="G28" s="2"/>
    </row>
    <row r="29" spans="1:7" x14ac:dyDescent="0.3">
      <c r="A29" s="17"/>
      <c r="B29" s="17"/>
      <c r="C29" s="17"/>
      <c r="D29" s="16"/>
      <c r="E29" s="16"/>
      <c r="F29" s="2"/>
      <c r="G29" s="2"/>
    </row>
    <row r="30" spans="1:7" x14ac:dyDescent="0.3">
      <c r="A30" s="17"/>
      <c r="B30" s="37" t="s">
        <v>44</v>
      </c>
      <c r="C30" s="37"/>
      <c r="D30" s="37"/>
      <c r="E30" s="37"/>
      <c r="F30" s="37"/>
      <c r="G30" s="2"/>
    </row>
    <row r="31" spans="1:7" x14ac:dyDescent="0.3">
      <c r="A31" s="17"/>
      <c r="B31" s="17"/>
      <c r="C31" s="17"/>
      <c r="D31" s="16"/>
      <c r="E31" s="16"/>
      <c r="F31" s="2"/>
      <c r="G31" s="2"/>
    </row>
    <row r="32" spans="1:7" x14ac:dyDescent="0.3">
      <c r="A32" s="17"/>
      <c r="B32" s="37" t="s">
        <v>45</v>
      </c>
      <c r="C32" s="37"/>
      <c r="D32" s="37"/>
      <c r="E32" s="37"/>
      <c r="F32" s="37"/>
      <c r="G32" s="2"/>
    </row>
    <row r="33" spans="1:9" x14ac:dyDescent="0.3">
      <c r="A33" s="17"/>
      <c r="B33" s="17"/>
      <c r="C33" s="17"/>
      <c r="D33" s="16"/>
      <c r="E33" s="16"/>
      <c r="F33" s="2"/>
      <c r="G33" s="2"/>
    </row>
    <row r="34" spans="1:9" x14ac:dyDescent="0.3">
      <c r="A34" s="17"/>
      <c r="B34" s="17"/>
      <c r="C34" s="33" t="s">
        <v>46</v>
      </c>
      <c r="D34" s="33"/>
      <c r="E34" s="33"/>
      <c r="F34" s="2"/>
      <c r="G34" s="2"/>
    </row>
    <row r="35" spans="1:9" x14ac:dyDescent="0.3">
      <c r="A35" s="17"/>
      <c r="B35" s="17"/>
      <c r="C35" s="25"/>
      <c r="D35" s="25"/>
      <c r="E35" s="25"/>
      <c r="F35" s="2"/>
      <c r="G35" s="2"/>
    </row>
    <row r="36" spans="1:9" ht="14.25" customHeight="1" x14ac:dyDescent="0.3">
      <c r="A36" s="17"/>
      <c r="B36" s="17"/>
      <c r="C36" s="17"/>
      <c r="D36" s="16"/>
      <c r="E36" s="16"/>
      <c r="F36" s="2"/>
      <c r="G36" s="2"/>
    </row>
    <row r="37" spans="1:9" x14ac:dyDescent="0.3">
      <c r="A37" s="32" t="s">
        <v>26</v>
      </c>
      <c r="B37" s="36"/>
      <c r="C37" s="2"/>
      <c r="D37" s="2"/>
      <c r="E37" s="2"/>
      <c r="F37" s="2"/>
      <c r="G37" s="2"/>
    </row>
    <row r="38" spans="1:9" x14ac:dyDescent="0.3">
      <c r="A38" s="30" t="s">
        <v>47</v>
      </c>
      <c r="B38" s="30"/>
      <c r="C38" s="30"/>
      <c r="D38" s="30"/>
      <c r="E38" s="30"/>
      <c r="F38" s="30"/>
      <c r="G38" s="30"/>
    </row>
    <row r="39" spans="1:9" x14ac:dyDescent="0.3">
      <c r="A39" s="30"/>
      <c r="B39" s="30"/>
      <c r="C39" s="30"/>
      <c r="D39" s="30"/>
      <c r="E39" s="30"/>
      <c r="F39" s="30"/>
      <c r="G39" s="30"/>
    </row>
    <row r="40" spans="1:9" x14ac:dyDescent="0.3">
      <c r="A40" s="30"/>
      <c r="B40" s="30"/>
      <c r="C40" s="30"/>
      <c r="D40" s="30"/>
      <c r="E40" s="30"/>
      <c r="F40" s="30"/>
      <c r="G40" s="30"/>
    </row>
    <row r="41" spans="1:9" x14ac:dyDescent="0.3">
      <c r="A41" s="30"/>
      <c r="B41" s="30"/>
      <c r="C41" s="30"/>
      <c r="D41" s="30"/>
      <c r="E41" s="30"/>
      <c r="F41" s="30"/>
      <c r="G41" s="30"/>
    </row>
    <row r="42" spans="1:9" ht="14.5" x14ac:dyDescent="0.35">
      <c r="A42" s="2"/>
      <c r="B42" s="2"/>
      <c r="C42" s="2"/>
      <c r="D42" s="2"/>
      <c r="E42" s="2"/>
      <c r="F42" s="2"/>
      <c r="G42" s="2"/>
      <c r="I42" s="19"/>
    </row>
    <row r="43" spans="1:9" x14ac:dyDescent="0.3">
      <c r="A43" s="2"/>
      <c r="B43" s="2"/>
      <c r="C43" s="2"/>
      <c r="D43" s="2"/>
      <c r="E43" s="2"/>
      <c r="F43" s="2"/>
      <c r="G43" s="2"/>
    </row>
    <row r="44" spans="1:9" x14ac:dyDescent="0.3">
      <c r="A44" s="2"/>
      <c r="B44" s="2"/>
      <c r="C44" s="2"/>
      <c r="D44" s="2"/>
      <c r="E44" s="2"/>
      <c r="F44" s="2"/>
      <c r="G44" s="2"/>
    </row>
    <row r="45" spans="1:9" x14ac:dyDescent="0.3">
      <c r="A45" s="2"/>
      <c r="B45" s="2"/>
      <c r="C45" s="2"/>
      <c r="D45" s="2"/>
      <c r="E45" s="2"/>
      <c r="F45" s="2"/>
      <c r="G45" s="2"/>
    </row>
    <row r="46" spans="1:9" x14ac:dyDescent="0.3">
      <c r="A46" s="2"/>
      <c r="B46" s="2"/>
      <c r="C46" s="2"/>
      <c r="D46" s="2"/>
      <c r="E46" s="2"/>
      <c r="F46" s="2"/>
      <c r="G46" s="2"/>
    </row>
    <row r="47" spans="1:9" ht="14.5" x14ac:dyDescent="0.35">
      <c r="A47" s="2"/>
      <c r="B47" s="2"/>
      <c r="C47" s="2"/>
      <c r="D47" s="11" t="s">
        <v>28</v>
      </c>
      <c r="E47" s="2"/>
      <c r="F47" s="2"/>
      <c r="G47" s="2"/>
    </row>
    <row r="48" spans="1:9" ht="14.5" x14ac:dyDescent="0.35">
      <c r="A48" s="2"/>
      <c r="B48" s="2"/>
      <c r="C48" s="2"/>
      <c r="D48" s="2"/>
      <c r="E48" s="2"/>
      <c r="F48"/>
      <c r="G48" s="2"/>
    </row>
    <row r="49" spans="1:7" x14ac:dyDescent="0.3">
      <c r="A49" s="2"/>
      <c r="B49" s="2"/>
      <c r="C49" s="2"/>
      <c r="D49" s="2"/>
      <c r="E49" s="2"/>
      <c r="F49" s="2"/>
      <c r="G49" s="2"/>
    </row>
    <row r="50" spans="1:7" ht="14.5" x14ac:dyDescent="0.35">
      <c r="A50" s="2"/>
      <c r="B50" s="2"/>
      <c r="C50" s="2"/>
      <c r="D50"/>
      <c r="E50" s="2"/>
      <c r="F50" s="2"/>
      <c r="G50" s="2"/>
    </row>
    <row r="51" spans="1:7" ht="14.5" x14ac:dyDescent="0.35">
      <c r="A51" s="2"/>
      <c r="B51" s="2"/>
      <c r="C51" s="2"/>
      <c r="D51"/>
      <c r="E51"/>
      <c r="F51" s="2"/>
      <c r="G51" s="2"/>
    </row>
    <row r="52" spans="1:7" x14ac:dyDescent="0.3">
      <c r="A52" s="2"/>
      <c r="B52" s="2"/>
      <c r="C52" s="2"/>
      <c r="D52" s="2"/>
      <c r="E52" s="2"/>
      <c r="F52" s="2"/>
      <c r="G52" s="2"/>
    </row>
    <row r="53" spans="1:7" x14ac:dyDescent="0.3">
      <c r="A53" s="2"/>
      <c r="B53" s="2"/>
      <c r="C53" s="2"/>
      <c r="D53" s="2"/>
      <c r="E53" s="2"/>
      <c r="F53" s="2"/>
      <c r="G53" s="2"/>
    </row>
    <row r="54" spans="1:7" x14ac:dyDescent="0.3">
      <c r="A54" s="2"/>
      <c r="B54" s="2"/>
      <c r="C54" s="2"/>
      <c r="D54" s="2"/>
      <c r="E54" s="2"/>
      <c r="F54" s="2"/>
      <c r="G54" s="2"/>
    </row>
    <row r="55" spans="1:7" x14ac:dyDescent="0.3">
      <c r="A55" s="30" t="s">
        <v>29</v>
      </c>
      <c r="B55" s="30"/>
      <c r="C55" s="30"/>
      <c r="D55" s="30"/>
      <c r="E55" s="30"/>
      <c r="F55" s="30"/>
      <c r="G55" s="30"/>
    </row>
    <row r="56" spans="1:7" x14ac:dyDescent="0.3">
      <c r="A56" s="30"/>
      <c r="B56" s="30"/>
      <c r="C56" s="30"/>
      <c r="D56" s="30"/>
      <c r="E56" s="30"/>
      <c r="F56" s="30"/>
      <c r="G56" s="30"/>
    </row>
    <row r="57" spans="1:7" x14ac:dyDescent="0.3">
      <c r="A57" s="30"/>
      <c r="B57" s="30"/>
      <c r="C57" s="30"/>
      <c r="D57" s="30"/>
      <c r="E57" s="30"/>
      <c r="F57" s="30"/>
      <c r="G57" s="30"/>
    </row>
    <row r="58" spans="1:7" x14ac:dyDescent="0.3">
      <c r="A58" s="2"/>
      <c r="B58" s="2"/>
      <c r="C58" s="2"/>
      <c r="D58" s="2"/>
      <c r="E58" s="2"/>
      <c r="F58" s="2"/>
      <c r="G58" s="2"/>
    </row>
    <row r="59" spans="1:7" x14ac:dyDescent="0.3">
      <c r="A59" s="32" t="s">
        <v>31</v>
      </c>
      <c r="B59" s="36"/>
      <c r="C59" s="2"/>
      <c r="D59" s="2"/>
      <c r="E59" s="2"/>
      <c r="F59" s="2"/>
      <c r="G59" s="2"/>
    </row>
    <row r="60" spans="1:7" x14ac:dyDescent="0.3">
      <c r="A60" s="31" t="s">
        <v>48</v>
      </c>
      <c r="B60" s="31"/>
      <c r="C60" s="31"/>
      <c r="D60" s="31"/>
      <c r="E60" s="31"/>
      <c r="F60" s="31"/>
      <c r="G60" s="31"/>
    </row>
    <row r="61" spans="1:7" x14ac:dyDescent="0.3">
      <c r="A61" s="31"/>
      <c r="B61" s="31"/>
      <c r="C61" s="31"/>
      <c r="D61" s="31"/>
      <c r="E61" s="31"/>
      <c r="F61" s="31"/>
      <c r="G61" s="31"/>
    </row>
    <row r="62" spans="1:7" x14ac:dyDescent="0.3">
      <c r="A62" s="31"/>
      <c r="B62" s="31"/>
      <c r="C62" s="31"/>
      <c r="D62" s="31"/>
      <c r="E62" s="31"/>
      <c r="F62" s="31"/>
      <c r="G62" s="31"/>
    </row>
    <row r="63" spans="1:7" x14ac:dyDescent="0.3">
      <c r="A63" s="31"/>
      <c r="B63" s="31"/>
      <c r="C63" s="31"/>
      <c r="D63" s="31"/>
      <c r="E63" s="31"/>
      <c r="F63" s="31"/>
      <c r="G63" s="31"/>
    </row>
    <row r="64" spans="1:7" x14ac:dyDescent="0.3">
      <c r="A64" s="30" t="s">
        <v>49</v>
      </c>
      <c r="B64" s="30"/>
      <c r="C64" s="30"/>
      <c r="D64" s="30"/>
      <c r="E64" s="30"/>
      <c r="F64" s="30"/>
      <c r="G64" s="30"/>
    </row>
    <row r="65" spans="1:7" x14ac:dyDescent="0.3">
      <c r="A65" s="30"/>
      <c r="B65" s="30"/>
      <c r="C65" s="30"/>
      <c r="D65" s="30"/>
      <c r="E65" s="30"/>
      <c r="F65" s="30"/>
      <c r="G65" s="30"/>
    </row>
    <row r="66" spans="1:7" x14ac:dyDescent="0.3">
      <c r="A66" s="31" t="s">
        <v>50</v>
      </c>
      <c r="B66" s="31"/>
      <c r="C66" s="31"/>
      <c r="D66" s="31"/>
      <c r="E66" s="31"/>
      <c r="F66" s="31"/>
      <c r="G66" s="31"/>
    </row>
    <row r="67" spans="1:7" x14ac:dyDescent="0.3">
      <c r="A67" s="31"/>
      <c r="B67" s="31"/>
      <c r="C67" s="31"/>
      <c r="D67" s="31"/>
      <c r="E67" s="31"/>
      <c r="F67" s="31"/>
      <c r="G67" s="31"/>
    </row>
    <row r="68" spans="1:7" x14ac:dyDescent="0.3">
      <c r="A68" s="31"/>
      <c r="B68" s="31"/>
      <c r="C68" s="31"/>
      <c r="D68" s="31"/>
      <c r="E68" s="31"/>
      <c r="F68" s="31"/>
      <c r="G68" s="31"/>
    </row>
    <row r="69" spans="1:7" x14ac:dyDescent="0.3">
      <c r="A69" s="31"/>
      <c r="B69" s="31"/>
      <c r="C69" s="31"/>
      <c r="D69" s="31"/>
      <c r="E69" s="31"/>
      <c r="F69" s="31"/>
      <c r="G69" s="31"/>
    </row>
    <row r="70" spans="1:7" x14ac:dyDescent="0.3">
      <c r="A70" s="31"/>
      <c r="B70" s="31"/>
      <c r="C70" s="31"/>
      <c r="D70" s="31"/>
      <c r="E70" s="31"/>
      <c r="F70" s="31"/>
      <c r="G70" s="31"/>
    </row>
    <row r="71" spans="1:7" x14ac:dyDescent="0.3">
      <c r="A71" s="31"/>
      <c r="B71" s="31"/>
      <c r="C71" s="31"/>
      <c r="D71" s="31"/>
      <c r="E71" s="31"/>
      <c r="F71" s="31"/>
      <c r="G71" s="31"/>
    </row>
    <row r="72" spans="1:7" x14ac:dyDescent="0.3">
      <c r="A72" s="31" t="s">
        <v>51</v>
      </c>
      <c r="B72" s="31"/>
      <c r="C72" s="31"/>
      <c r="D72" s="31"/>
      <c r="E72" s="31"/>
      <c r="F72" s="31"/>
      <c r="G72" s="31"/>
    </row>
    <row r="73" spans="1:7" x14ac:dyDescent="0.3">
      <c r="A73" s="31"/>
      <c r="B73" s="31"/>
      <c r="C73" s="31"/>
      <c r="D73" s="31"/>
      <c r="E73" s="31"/>
      <c r="F73" s="31"/>
      <c r="G73" s="31"/>
    </row>
    <row r="74" spans="1:7" x14ac:dyDescent="0.3">
      <c r="A74" s="2"/>
      <c r="B74" s="2"/>
      <c r="C74" s="2"/>
      <c r="D74" s="2"/>
      <c r="E74" s="2"/>
      <c r="F74" s="2"/>
      <c r="G74" s="2"/>
    </row>
    <row r="75" spans="1:7" x14ac:dyDescent="0.3">
      <c r="A75" s="2"/>
      <c r="B75" s="2"/>
      <c r="C75" s="2"/>
      <c r="D75" s="2"/>
      <c r="E75" s="2"/>
      <c r="F75" s="2"/>
      <c r="G75" s="2"/>
    </row>
    <row r="76" spans="1:7" x14ac:dyDescent="0.3">
      <c r="A76" s="2"/>
      <c r="B76" s="2"/>
      <c r="C76" s="2"/>
      <c r="D76" s="2"/>
      <c r="E76" s="2"/>
      <c r="F76" s="2"/>
      <c r="G76" s="2"/>
    </row>
    <row r="77" spans="1:7" ht="14.5" x14ac:dyDescent="0.35">
      <c r="A77" s="2"/>
      <c r="B77"/>
      <c r="C77" s="2"/>
      <c r="D77" s="2"/>
      <c r="E77" s="2"/>
      <c r="F77" s="2"/>
      <c r="G77" s="2"/>
    </row>
    <row r="78" spans="1:7" x14ac:dyDescent="0.3">
      <c r="A78" s="2"/>
      <c r="B78" s="2"/>
      <c r="C78" s="2"/>
      <c r="D78" s="2"/>
      <c r="E78" s="2"/>
      <c r="F78" s="2"/>
      <c r="G78" s="2"/>
    </row>
    <row r="79" spans="1:7" x14ac:dyDescent="0.3">
      <c r="A79" s="2"/>
      <c r="B79" s="2"/>
      <c r="C79" s="2"/>
      <c r="D79" s="2"/>
      <c r="E79" s="2"/>
      <c r="F79" s="2"/>
      <c r="G79" s="2"/>
    </row>
    <row r="80" spans="1:7" x14ac:dyDescent="0.3">
      <c r="A80" s="2"/>
      <c r="B80" s="2"/>
      <c r="C80" s="2"/>
      <c r="D80" s="2"/>
      <c r="E80" s="2"/>
      <c r="F80" s="2"/>
      <c r="G80" s="2"/>
    </row>
    <row r="81" spans="1:7" x14ac:dyDescent="0.3">
      <c r="A81" s="2"/>
      <c r="B81" s="2"/>
      <c r="C81" s="2"/>
      <c r="D81" s="2"/>
      <c r="E81" s="2"/>
      <c r="F81" s="2"/>
      <c r="G81" s="2"/>
    </row>
    <row r="82" spans="1:7" x14ac:dyDescent="0.3">
      <c r="A82" s="2"/>
      <c r="B82" s="2"/>
      <c r="C82" s="2"/>
      <c r="D82" s="2"/>
      <c r="E82" s="2"/>
      <c r="F82" s="2"/>
      <c r="G82" s="2"/>
    </row>
    <row r="83" spans="1:7" x14ac:dyDescent="0.3">
      <c r="A83" s="2"/>
      <c r="B83" s="2"/>
      <c r="C83" s="2"/>
      <c r="D83" s="2"/>
      <c r="E83" s="2"/>
      <c r="F83" s="2"/>
      <c r="G83" s="2"/>
    </row>
    <row r="84" spans="1:7" x14ac:dyDescent="0.3">
      <c r="A84" s="2"/>
      <c r="B84" s="2"/>
      <c r="C84" s="2"/>
      <c r="D84" s="2"/>
      <c r="E84" s="2"/>
      <c r="F84" s="2"/>
      <c r="G84" s="2"/>
    </row>
    <row r="85" spans="1:7" x14ac:dyDescent="0.3">
      <c r="A85" s="2"/>
      <c r="B85" s="2"/>
      <c r="C85" s="2"/>
      <c r="D85" s="2"/>
      <c r="E85" s="2"/>
      <c r="F85" s="2"/>
      <c r="G85" s="2"/>
    </row>
    <row r="86" spans="1:7" x14ac:dyDescent="0.3">
      <c r="A86" s="2"/>
      <c r="B86" s="2"/>
      <c r="C86" s="2"/>
      <c r="D86" s="2"/>
      <c r="E86" s="2"/>
      <c r="F86" s="2"/>
      <c r="G86" s="2"/>
    </row>
    <row r="87" spans="1:7" x14ac:dyDescent="0.3">
      <c r="A87" s="2"/>
      <c r="B87" s="2"/>
      <c r="C87" s="2"/>
      <c r="D87" s="2"/>
      <c r="E87" s="2"/>
      <c r="F87" s="2"/>
      <c r="G87" s="2"/>
    </row>
    <row r="88" spans="1:7" x14ac:dyDescent="0.3">
      <c r="A88" s="2"/>
      <c r="B88" s="2"/>
      <c r="C88" s="2"/>
      <c r="D88" s="2"/>
      <c r="E88" s="2"/>
      <c r="F88" s="2"/>
      <c r="G88" s="2"/>
    </row>
    <row r="89" spans="1:7" x14ac:dyDescent="0.3">
      <c r="A89" s="2"/>
      <c r="B89" s="2"/>
      <c r="C89" s="2"/>
      <c r="D89" s="2"/>
      <c r="E89" s="2"/>
      <c r="F89" s="2"/>
      <c r="G89" s="2"/>
    </row>
    <row r="90" spans="1:7" x14ac:dyDescent="0.3">
      <c r="A90" s="2"/>
      <c r="B90" s="2"/>
      <c r="C90" s="2"/>
      <c r="D90" s="2"/>
      <c r="E90" s="2"/>
      <c r="F90" s="2"/>
      <c r="G90" s="2"/>
    </row>
    <row r="91" spans="1:7" x14ac:dyDescent="0.3">
      <c r="A91" s="2"/>
      <c r="B91" s="2"/>
      <c r="C91" s="2"/>
      <c r="D91" s="2"/>
      <c r="E91" s="2"/>
      <c r="F91" s="2"/>
      <c r="G91" s="2"/>
    </row>
    <row r="92" spans="1:7" x14ac:dyDescent="0.3">
      <c r="A92" s="2"/>
      <c r="B92" s="2"/>
      <c r="C92" s="2"/>
      <c r="D92" s="2"/>
      <c r="E92" s="2"/>
      <c r="F92" s="2"/>
      <c r="G92" s="2"/>
    </row>
    <row r="93" spans="1:7" x14ac:dyDescent="0.3">
      <c r="A93" s="2"/>
      <c r="B93" s="2"/>
      <c r="C93" s="2"/>
      <c r="D93" s="2"/>
      <c r="E93" s="2"/>
      <c r="F93" s="2"/>
      <c r="G93" s="2"/>
    </row>
    <row r="94" spans="1:7" x14ac:dyDescent="0.3">
      <c r="A94" s="2"/>
      <c r="B94" s="2"/>
      <c r="C94" s="2"/>
      <c r="D94" s="2"/>
      <c r="E94" s="2"/>
      <c r="F94" s="2"/>
      <c r="G94" s="2"/>
    </row>
    <row r="95" spans="1:7" x14ac:dyDescent="0.3">
      <c r="A95" s="2"/>
      <c r="B95" s="2"/>
      <c r="C95" s="2"/>
      <c r="D95" s="2"/>
      <c r="E95" s="2"/>
      <c r="F95" s="2"/>
      <c r="G95" s="2"/>
    </row>
    <row r="96" spans="1:7" x14ac:dyDescent="0.3">
      <c r="A96" s="2"/>
      <c r="B96" s="2"/>
      <c r="C96" s="2"/>
      <c r="D96" s="2"/>
      <c r="E96" s="2"/>
      <c r="F96" s="2"/>
      <c r="G96" s="2"/>
    </row>
    <row r="97" spans="1:7" x14ac:dyDescent="0.3">
      <c r="A97" s="2"/>
      <c r="B97" s="2"/>
      <c r="C97" s="2"/>
      <c r="D97" s="2"/>
      <c r="E97" s="2"/>
      <c r="F97" s="2"/>
      <c r="G97" s="2"/>
    </row>
    <row r="98" spans="1:7" x14ac:dyDescent="0.3">
      <c r="A98" s="2"/>
      <c r="B98" s="2"/>
      <c r="C98" s="2"/>
      <c r="D98" s="2"/>
      <c r="E98" s="2"/>
      <c r="F98" s="2"/>
      <c r="G98" s="2"/>
    </row>
    <row r="99" spans="1:7" x14ac:dyDescent="0.3">
      <c r="A99" s="29" t="s">
        <v>52</v>
      </c>
      <c r="B99" s="29"/>
      <c r="C99" s="29"/>
      <c r="D99" s="29"/>
      <c r="E99" s="29"/>
      <c r="F99" s="29"/>
      <c r="G99" s="29"/>
    </row>
    <row r="100" spans="1:7" x14ac:dyDescent="0.3">
      <c r="A100" s="29"/>
      <c r="B100" s="29"/>
      <c r="C100" s="29"/>
      <c r="D100" s="29"/>
      <c r="E100" s="29"/>
      <c r="F100" s="29"/>
      <c r="G100" s="29"/>
    </row>
    <row r="101" spans="1:7" x14ac:dyDescent="0.3">
      <c r="A101" s="29"/>
      <c r="B101" s="29"/>
      <c r="C101" s="29"/>
      <c r="D101" s="29"/>
      <c r="E101" s="29"/>
      <c r="F101" s="29"/>
      <c r="G101" s="29"/>
    </row>
    <row r="102" spans="1:7" x14ac:dyDescent="0.3">
      <c r="A102" s="29"/>
      <c r="B102" s="29"/>
      <c r="C102" s="29"/>
      <c r="D102" s="29"/>
      <c r="E102" s="29"/>
      <c r="F102" s="29"/>
      <c r="G102" s="29"/>
    </row>
    <row r="103" spans="1:7" x14ac:dyDescent="0.3">
      <c r="A103" s="30" t="s">
        <v>53</v>
      </c>
      <c r="B103" s="30"/>
      <c r="C103" s="30"/>
      <c r="D103" s="30"/>
      <c r="E103" s="30"/>
      <c r="F103" s="30"/>
      <c r="G103" s="30"/>
    </row>
    <row r="104" spans="1:7" x14ac:dyDescent="0.3">
      <c r="A104" s="30"/>
      <c r="B104" s="30"/>
      <c r="C104" s="30"/>
      <c r="D104" s="30"/>
      <c r="E104" s="30"/>
      <c r="F104" s="30"/>
      <c r="G104" s="30"/>
    </row>
    <row r="105" spans="1:7" x14ac:dyDescent="0.3">
      <c r="A105" s="30"/>
      <c r="B105" s="30"/>
      <c r="C105" s="30"/>
      <c r="D105" s="30"/>
      <c r="E105" s="30"/>
      <c r="F105" s="30"/>
      <c r="G105" s="30"/>
    </row>
    <row r="106" spans="1:7" x14ac:dyDescent="0.3">
      <c r="A106" s="31" t="s">
        <v>54</v>
      </c>
      <c r="B106" s="31"/>
      <c r="C106" s="31"/>
      <c r="D106" s="31"/>
      <c r="E106" s="31"/>
      <c r="F106" s="31"/>
      <c r="G106" s="31"/>
    </row>
    <row r="107" spans="1:7" x14ac:dyDescent="0.3">
      <c r="A107" s="31"/>
      <c r="B107" s="31"/>
      <c r="C107" s="31"/>
      <c r="D107" s="31"/>
      <c r="E107" s="31"/>
      <c r="F107" s="31"/>
      <c r="G107" s="31"/>
    </row>
    <row r="108" spans="1:7" x14ac:dyDescent="0.3">
      <c r="A108" s="31"/>
      <c r="B108" s="31"/>
      <c r="C108" s="31"/>
      <c r="D108" s="31"/>
      <c r="E108" s="31"/>
      <c r="F108" s="31"/>
      <c r="G108" s="31"/>
    </row>
    <row r="109" spans="1:7" x14ac:dyDescent="0.3">
      <c r="A109" s="31" t="s">
        <v>55</v>
      </c>
      <c r="B109" s="31"/>
      <c r="C109" s="31"/>
      <c r="D109" s="31"/>
      <c r="E109" s="31"/>
      <c r="F109" s="31"/>
      <c r="G109" s="31"/>
    </row>
    <row r="110" spans="1:7" x14ac:dyDescent="0.3">
      <c r="A110" s="31"/>
      <c r="B110" s="31"/>
      <c r="C110" s="31"/>
      <c r="D110" s="31"/>
      <c r="E110" s="31"/>
      <c r="F110" s="31"/>
      <c r="G110" s="31"/>
    </row>
    <row r="111" spans="1:7" x14ac:dyDescent="0.3">
      <c r="A111" s="31"/>
      <c r="B111" s="31"/>
      <c r="C111" s="31"/>
      <c r="D111" s="31"/>
      <c r="E111" s="31"/>
      <c r="F111" s="31"/>
      <c r="G111" s="31"/>
    </row>
    <row r="112" spans="1:7" x14ac:dyDescent="0.3">
      <c r="A112" s="31"/>
      <c r="B112" s="31"/>
      <c r="C112" s="31"/>
      <c r="D112" s="31"/>
      <c r="E112" s="31"/>
      <c r="F112" s="31"/>
      <c r="G112" s="31"/>
    </row>
    <row r="113" spans="1:7" x14ac:dyDescent="0.3">
      <c r="A113" s="31"/>
      <c r="B113" s="31"/>
      <c r="C113" s="31"/>
      <c r="D113" s="31"/>
      <c r="E113" s="31"/>
      <c r="F113" s="31"/>
      <c r="G113" s="31"/>
    </row>
    <row r="114" spans="1:7" x14ac:dyDescent="0.3">
      <c r="A114" s="31"/>
      <c r="B114" s="31"/>
      <c r="C114" s="31"/>
      <c r="D114" s="31"/>
      <c r="E114" s="31"/>
      <c r="F114" s="31"/>
      <c r="G114" s="31"/>
    </row>
    <row r="115" spans="1:7" x14ac:dyDescent="0.3">
      <c r="A115" s="2"/>
      <c r="B115" s="2"/>
      <c r="C115" s="2"/>
      <c r="D115" s="2"/>
      <c r="E115" s="2"/>
      <c r="F115" s="2"/>
      <c r="G115" s="2"/>
    </row>
    <row r="116" spans="1:7" x14ac:dyDescent="0.3">
      <c r="A116" s="2"/>
      <c r="B116" s="2"/>
      <c r="C116" s="2"/>
      <c r="D116" s="2"/>
      <c r="E116" s="2"/>
      <c r="F116" s="2"/>
      <c r="G116" s="2"/>
    </row>
    <row r="117" spans="1:7" x14ac:dyDescent="0.3">
      <c r="A117" s="2"/>
      <c r="B117" s="2"/>
      <c r="C117" s="2"/>
      <c r="D117" s="2"/>
      <c r="E117" s="2"/>
      <c r="F117" s="2"/>
      <c r="G117" s="2"/>
    </row>
    <row r="118" spans="1:7" x14ac:dyDescent="0.3">
      <c r="A118" s="2"/>
      <c r="B118" s="2"/>
      <c r="C118" s="2"/>
      <c r="D118" s="2"/>
      <c r="E118" s="2"/>
      <c r="F118" s="2"/>
      <c r="G118" s="2"/>
    </row>
    <row r="119" spans="1:7" x14ac:dyDescent="0.3">
      <c r="A119" s="2"/>
      <c r="B119" s="2"/>
      <c r="C119" s="2"/>
      <c r="D119" s="2"/>
      <c r="E119" s="2"/>
      <c r="F119" s="2"/>
      <c r="G119" s="2"/>
    </row>
    <row r="120" spans="1:7" x14ac:dyDescent="0.3">
      <c r="A120" s="2"/>
      <c r="B120" s="2"/>
      <c r="C120" s="2"/>
      <c r="D120" s="2"/>
      <c r="E120" s="2"/>
      <c r="F120" s="2"/>
      <c r="G120" s="2"/>
    </row>
    <row r="121" spans="1:7" x14ac:dyDescent="0.3">
      <c r="A121" s="2"/>
      <c r="B121" s="2"/>
      <c r="C121" s="2"/>
      <c r="D121" s="2"/>
      <c r="E121" s="2"/>
      <c r="F121" s="2"/>
      <c r="G121" s="2"/>
    </row>
    <row r="122" spans="1:7" x14ac:dyDescent="0.3">
      <c r="A122" s="2"/>
      <c r="B122" s="2"/>
      <c r="C122" s="2"/>
      <c r="D122" s="2"/>
      <c r="E122" s="2"/>
      <c r="F122" s="2"/>
      <c r="G122" s="2"/>
    </row>
    <row r="123" spans="1:7" x14ac:dyDescent="0.3">
      <c r="A123" s="2"/>
      <c r="B123" s="2"/>
      <c r="C123" s="2"/>
      <c r="D123" s="2"/>
      <c r="E123" s="2"/>
      <c r="F123" s="2"/>
      <c r="G123" s="2"/>
    </row>
    <row r="124" spans="1:7" x14ac:dyDescent="0.3">
      <c r="A124" s="2"/>
      <c r="B124" s="2"/>
      <c r="C124" s="2"/>
      <c r="D124" s="2"/>
      <c r="E124" s="2"/>
      <c r="F124" s="2"/>
      <c r="G124" s="2"/>
    </row>
    <row r="125" spans="1:7" x14ac:dyDescent="0.3">
      <c r="A125" s="2"/>
      <c r="B125" s="2"/>
      <c r="C125" s="2"/>
      <c r="D125" s="2"/>
      <c r="E125" s="2"/>
      <c r="F125" s="2"/>
      <c r="G125" s="2"/>
    </row>
    <row r="126" spans="1:7" x14ac:dyDescent="0.3">
      <c r="A126" s="2"/>
      <c r="B126" s="2"/>
      <c r="C126" s="2"/>
      <c r="D126" s="2"/>
      <c r="E126" s="2"/>
      <c r="F126" s="2"/>
      <c r="G126" s="2"/>
    </row>
    <row r="127" spans="1:7" x14ac:dyDescent="0.3">
      <c r="A127" s="2"/>
      <c r="B127" s="2"/>
      <c r="C127" s="2"/>
      <c r="D127" s="2"/>
      <c r="E127" s="2"/>
      <c r="F127" s="2"/>
      <c r="G127" s="2"/>
    </row>
    <row r="128" spans="1:7" x14ac:dyDescent="0.3">
      <c r="A128" s="2"/>
      <c r="B128" s="2"/>
      <c r="C128" s="2"/>
      <c r="D128" s="2"/>
      <c r="E128" s="2"/>
      <c r="F128" s="2"/>
      <c r="G128" s="2"/>
    </row>
    <row r="129" spans="1:7" x14ac:dyDescent="0.3">
      <c r="A129" s="2"/>
      <c r="B129" s="2"/>
      <c r="C129" s="2"/>
      <c r="D129" s="2"/>
      <c r="E129" s="2"/>
      <c r="F129" s="2"/>
      <c r="G129" s="2"/>
    </row>
    <row r="130" spans="1:7" x14ac:dyDescent="0.3">
      <c r="A130" s="2"/>
      <c r="B130" s="2"/>
      <c r="C130" s="2"/>
      <c r="D130" s="2"/>
      <c r="E130" s="2"/>
      <c r="F130" s="2"/>
      <c r="G130" s="2"/>
    </row>
    <row r="131" spans="1:7" x14ac:dyDescent="0.3">
      <c r="A131" s="2"/>
      <c r="B131" s="2"/>
      <c r="C131" s="2"/>
      <c r="D131" s="2"/>
      <c r="E131" s="2"/>
      <c r="F131" s="2"/>
      <c r="G131" s="2"/>
    </row>
    <row r="132" spans="1:7" x14ac:dyDescent="0.3">
      <c r="A132" s="2"/>
      <c r="B132" s="2"/>
      <c r="C132" s="2"/>
      <c r="D132" s="2"/>
      <c r="E132" s="2"/>
      <c r="F132" s="2"/>
      <c r="G132" s="2"/>
    </row>
    <row r="133" spans="1:7" x14ac:dyDescent="0.3">
      <c r="A133" s="2"/>
      <c r="B133" s="2"/>
      <c r="C133" s="2"/>
      <c r="D133" s="2"/>
      <c r="E133" s="2"/>
      <c r="F133" s="2"/>
      <c r="G133" s="2"/>
    </row>
    <row r="134" spans="1:7" ht="15" customHeight="1" x14ac:dyDescent="0.3">
      <c r="A134" s="31" t="s">
        <v>56</v>
      </c>
      <c r="B134" s="31"/>
      <c r="C134" s="31"/>
      <c r="D134" s="31"/>
      <c r="E134" s="31"/>
      <c r="F134" s="31"/>
      <c r="G134" s="31"/>
    </row>
    <row r="135" spans="1:7" x14ac:dyDescent="0.3">
      <c r="A135" s="31"/>
      <c r="B135" s="31"/>
      <c r="C135" s="31"/>
      <c r="D135" s="31"/>
      <c r="E135" s="31"/>
      <c r="F135" s="31"/>
      <c r="G135" s="31"/>
    </row>
    <row r="136" spans="1:7" x14ac:dyDescent="0.3">
      <c r="A136" s="31"/>
      <c r="B136" s="31"/>
      <c r="C136" s="31"/>
      <c r="D136" s="31"/>
      <c r="E136" s="31"/>
      <c r="F136" s="31"/>
      <c r="G136" s="31"/>
    </row>
    <row r="137" spans="1:7" x14ac:dyDescent="0.3">
      <c r="A137" s="31"/>
      <c r="B137" s="31"/>
      <c r="C137" s="31"/>
      <c r="D137" s="31"/>
      <c r="E137" s="31"/>
      <c r="F137" s="31"/>
      <c r="G137" s="31"/>
    </row>
    <row r="138" spans="1:7" ht="14.25" customHeight="1" x14ac:dyDescent="0.3">
      <c r="A138" s="30" t="s">
        <v>57</v>
      </c>
      <c r="B138" s="30"/>
      <c r="C138" s="30"/>
      <c r="D138" s="30"/>
      <c r="E138" s="30"/>
      <c r="F138" s="30"/>
      <c r="G138" s="30"/>
    </row>
    <row r="139" spans="1:7" x14ac:dyDescent="0.3">
      <c r="A139" s="30"/>
      <c r="B139" s="30"/>
      <c r="C139" s="30"/>
      <c r="D139" s="30"/>
      <c r="E139" s="30"/>
      <c r="F139" s="30"/>
      <c r="G139" s="30"/>
    </row>
    <row r="140" spans="1:7" x14ac:dyDescent="0.3">
      <c r="A140" s="30"/>
      <c r="B140" s="30"/>
      <c r="C140" s="30"/>
      <c r="D140" s="30"/>
      <c r="E140" s="30"/>
      <c r="F140" s="30"/>
      <c r="G140" s="30"/>
    </row>
    <row r="141" spans="1:7" x14ac:dyDescent="0.3">
      <c r="A141" s="30"/>
      <c r="B141" s="30"/>
      <c r="C141" s="30"/>
      <c r="D141" s="30"/>
      <c r="E141" s="30"/>
      <c r="F141" s="30"/>
      <c r="G141" s="30"/>
    </row>
    <row r="142" spans="1:7" x14ac:dyDescent="0.3">
      <c r="A142" s="30"/>
      <c r="B142" s="30"/>
      <c r="C142" s="30"/>
      <c r="D142" s="30"/>
      <c r="E142" s="30"/>
      <c r="F142" s="30"/>
      <c r="G142" s="30"/>
    </row>
    <row r="143" spans="1:7" x14ac:dyDescent="0.3">
      <c r="A143" s="30" t="s">
        <v>58</v>
      </c>
      <c r="B143" s="30"/>
      <c r="C143" s="30"/>
      <c r="D143" s="30"/>
      <c r="E143" s="30"/>
      <c r="F143" s="30"/>
      <c r="G143" s="30"/>
    </row>
    <row r="144" spans="1:7" x14ac:dyDescent="0.3">
      <c r="A144" s="30"/>
      <c r="B144" s="30"/>
      <c r="C144" s="30"/>
      <c r="D144" s="30"/>
      <c r="E144" s="30"/>
      <c r="F144" s="30"/>
      <c r="G144" s="30"/>
    </row>
    <row r="145" spans="1:7" x14ac:dyDescent="0.3">
      <c r="A145" s="30"/>
      <c r="B145" s="30"/>
      <c r="C145" s="30"/>
      <c r="D145" s="30"/>
      <c r="E145" s="30"/>
      <c r="F145" s="30"/>
      <c r="G145" s="30"/>
    </row>
    <row r="146" spans="1:7" x14ac:dyDescent="0.3">
      <c r="A146" s="30"/>
      <c r="B146" s="30"/>
      <c r="C146" s="30"/>
      <c r="D146" s="30"/>
      <c r="E146" s="30"/>
      <c r="F146" s="30"/>
      <c r="G146" s="30"/>
    </row>
    <row r="147" spans="1:7" x14ac:dyDescent="0.3">
      <c r="A147" s="30"/>
      <c r="B147" s="30"/>
      <c r="C147" s="30"/>
      <c r="D147" s="30"/>
      <c r="E147" s="30"/>
      <c r="F147" s="30"/>
      <c r="G147" s="30"/>
    </row>
    <row r="148" spans="1:7" x14ac:dyDescent="0.3">
      <c r="A148" s="30"/>
      <c r="B148" s="30"/>
      <c r="C148" s="30"/>
      <c r="D148" s="30"/>
      <c r="E148" s="30"/>
      <c r="F148" s="30"/>
      <c r="G148" s="30"/>
    </row>
    <row r="149" spans="1:7" x14ac:dyDescent="0.3">
      <c r="A149" s="30"/>
      <c r="B149" s="30"/>
      <c r="C149" s="30"/>
      <c r="D149" s="30"/>
      <c r="E149" s="30"/>
      <c r="F149" s="30"/>
      <c r="G149" s="30"/>
    </row>
    <row r="150" spans="1:7" x14ac:dyDescent="0.3">
      <c r="A150" s="2"/>
      <c r="B150" s="2"/>
      <c r="C150" s="2"/>
      <c r="D150" s="2"/>
      <c r="E150" s="2"/>
      <c r="F150" s="2"/>
      <c r="G150" s="2"/>
    </row>
    <row r="151" spans="1:7" x14ac:dyDescent="0.3">
      <c r="A151" s="32" t="s">
        <v>32</v>
      </c>
      <c r="B151" s="32"/>
      <c r="C151" s="32"/>
      <c r="D151" s="2"/>
      <c r="E151" s="2"/>
      <c r="F151" s="2"/>
      <c r="G151" s="2"/>
    </row>
    <row r="152" spans="1:7" x14ac:dyDescent="0.3">
      <c r="A152" s="30" t="s">
        <v>59</v>
      </c>
      <c r="B152" s="30"/>
      <c r="C152" s="30"/>
      <c r="D152" s="30"/>
      <c r="E152" s="30"/>
      <c r="F152" s="30"/>
      <c r="G152" s="30"/>
    </row>
    <row r="153" spans="1:7" x14ac:dyDescent="0.3">
      <c r="A153" s="30"/>
      <c r="B153" s="30"/>
      <c r="C153" s="30"/>
      <c r="D153" s="30"/>
      <c r="E153" s="30"/>
      <c r="F153" s="30"/>
      <c r="G153" s="30"/>
    </row>
    <row r="154" spans="1:7" x14ac:dyDescent="0.3">
      <c r="A154" s="30"/>
      <c r="B154" s="30"/>
      <c r="C154" s="30"/>
      <c r="D154" s="30"/>
      <c r="E154" s="30"/>
      <c r="F154" s="30"/>
      <c r="G154" s="30"/>
    </row>
    <row r="155" spans="1:7" x14ac:dyDescent="0.3">
      <c r="A155" s="30"/>
      <c r="B155" s="30"/>
      <c r="C155" s="30"/>
      <c r="D155" s="30"/>
      <c r="E155" s="30"/>
      <c r="F155" s="30"/>
      <c r="G155" s="30"/>
    </row>
    <row r="156" spans="1:7" x14ac:dyDescent="0.3">
      <c r="A156" s="31" t="s">
        <v>60</v>
      </c>
      <c r="B156" s="31"/>
      <c r="C156" s="31"/>
      <c r="D156" s="31"/>
      <c r="E156" s="31"/>
      <c r="F156" s="31"/>
      <c r="G156" s="31"/>
    </row>
    <row r="157" spans="1:7" x14ac:dyDescent="0.3">
      <c r="A157" s="31"/>
      <c r="B157" s="31"/>
      <c r="C157" s="31"/>
      <c r="D157" s="31"/>
      <c r="E157" s="31"/>
      <c r="F157" s="31"/>
      <c r="G157" s="31"/>
    </row>
    <row r="158" spans="1:7" x14ac:dyDescent="0.3">
      <c r="A158" s="31"/>
      <c r="B158" s="31"/>
      <c r="C158" s="31"/>
      <c r="D158" s="31"/>
      <c r="E158" s="31"/>
      <c r="F158" s="31"/>
      <c r="G158" s="31"/>
    </row>
    <row r="159" spans="1:7" x14ac:dyDescent="0.3">
      <c r="A159" s="31"/>
      <c r="B159" s="31"/>
      <c r="C159" s="31"/>
      <c r="D159" s="31"/>
      <c r="E159" s="31"/>
      <c r="F159" s="31"/>
      <c r="G159" s="31"/>
    </row>
    <row r="160" spans="1:7" x14ac:dyDescent="0.3">
      <c r="A160" s="2"/>
      <c r="B160" s="2"/>
      <c r="C160" s="2"/>
      <c r="D160" s="2"/>
      <c r="E160" s="2"/>
      <c r="F160" s="2"/>
      <c r="G160" s="2"/>
    </row>
    <row r="161" spans="1:7" x14ac:dyDescent="0.3">
      <c r="A161" s="32" t="s">
        <v>33</v>
      </c>
      <c r="B161" s="32"/>
      <c r="C161" s="32"/>
      <c r="D161" s="2"/>
      <c r="E161" s="2"/>
      <c r="F161" s="2"/>
      <c r="G161" s="2"/>
    </row>
    <row r="162" spans="1:7" x14ac:dyDescent="0.3">
      <c r="A162" s="35" t="s">
        <v>61</v>
      </c>
      <c r="B162" s="35"/>
      <c r="C162" s="35"/>
      <c r="D162" s="35"/>
      <c r="E162" s="35"/>
      <c r="F162" s="35"/>
      <c r="G162" s="35"/>
    </row>
    <row r="163" spans="1:7" x14ac:dyDescent="0.3">
      <c r="A163" s="35"/>
      <c r="B163" s="35"/>
      <c r="C163" s="35"/>
      <c r="D163" s="35"/>
      <c r="E163" s="35"/>
      <c r="F163" s="35"/>
      <c r="G163" s="35"/>
    </row>
    <row r="164" spans="1:7" x14ac:dyDescent="0.3">
      <c r="A164" s="35"/>
      <c r="B164" s="35"/>
      <c r="C164" s="35"/>
      <c r="D164" s="35"/>
      <c r="E164" s="35"/>
      <c r="F164" s="35"/>
      <c r="G164" s="35"/>
    </row>
    <row r="165" spans="1:7" x14ac:dyDescent="0.3">
      <c r="A165" s="35"/>
      <c r="B165" s="35"/>
      <c r="C165" s="35"/>
      <c r="D165" s="35"/>
      <c r="E165" s="35"/>
      <c r="F165" s="35"/>
      <c r="G165" s="35"/>
    </row>
    <row r="166" spans="1:7" x14ac:dyDescent="0.3">
      <c r="A166" s="35"/>
      <c r="B166" s="35"/>
      <c r="C166" s="35"/>
      <c r="D166" s="35"/>
      <c r="E166" s="35"/>
      <c r="F166" s="35"/>
      <c r="G166" s="35"/>
    </row>
    <row r="167" spans="1:7" x14ac:dyDescent="0.3">
      <c r="A167" s="35"/>
      <c r="B167" s="35"/>
      <c r="C167" s="35"/>
      <c r="D167" s="35"/>
      <c r="E167" s="35"/>
      <c r="F167" s="35"/>
      <c r="G167" s="35"/>
    </row>
    <row r="168" spans="1:7" x14ac:dyDescent="0.3">
      <c r="A168" s="30" t="s">
        <v>62</v>
      </c>
      <c r="B168" s="30"/>
      <c r="C168" s="30"/>
      <c r="D168" s="30"/>
      <c r="E168" s="30"/>
      <c r="F168" s="30"/>
      <c r="G168" s="30"/>
    </row>
    <row r="169" spans="1:7" x14ac:dyDescent="0.3">
      <c r="A169" s="30"/>
      <c r="B169" s="30"/>
      <c r="C169" s="30"/>
      <c r="D169" s="30"/>
      <c r="E169" s="30"/>
      <c r="F169" s="30"/>
      <c r="G169" s="30"/>
    </row>
    <row r="170" spans="1:7" x14ac:dyDescent="0.3">
      <c r="A170" s="30"/>
      <c r="B170" s="30"/>
      <c r="C170" s="30"/>
      <c r="D170" s="30"/>
      <c r="E170" s="30"/>
      <c r="F170" s="30"/>
      <c r="G170" s="30"/>
    </row>
    <row r="171" spans="1:7" x14ac:dyDescent="0.3">
      <c r="A171" s="30"/>
      <c r="B171" s="30"/>
      <c r="C171" s="30"/>
      <c r="D171" s="30"/>
      <c r="E171" s="30"/>
      <c r="F171" s="30"/>
      <c r="G171" s="30"/>
    </row>
    <row r="172" spans="1:7" ht="14.25" customHeight="1" x14ac:dyDescent="0.3">
      <c r="A172" s="30" t="s">
        <v>63</v>
      </c>
      <c r="B172" s="30"/>
      <c r="C172" s="30"/>
      <c r="D172" s="30"/>
      <c r="E172" s="30"/>
      <c r="F172" s="30"/>
      <c r="G172" s="30"/>
    </row>
    <row r="173" spans="1:7" x14ac:dyDescent="0.3">
      <c r="A173" s="30"/>
      <c r="B173" s="30"/>
      <c r="C173" s="30"/>
      <c r="D173" s="30"/>
      <c r="E173" s="30"/>
      <c r="F173" s="30"/>
      <c r="G173" s="30"/>
    </row>
    <row r="174" spans="1:7" x14ac:dyDescent="0.3">
      <c r="A174" s="30"/>
      <c r="B174" s="30"/>
      <c r="C174" s="30"/>
      <c r="D174" s="30"/>
      <c r="E174" s="30"/>
      <c r="F174" s="30"/>
      <c r="G174" s="30"/>
    </row>
    <row r="175" spans="1:7" x14ac:dyDescent="0.3">
      <c r="A175" s="30"/>
      <c r="B175" s="30"/>
      <c r="C175" s="30"/>
      <c r="D175" s="30"/>
      <c r="E175" s="30"/>
      <c r="F175" s="30"/>
      <c r="G175" s="30"/>
    </row>
    <row r="176" spans="1:7" x14ac:dyDescent="0.3">
      <c r="A176" s="30"/>
      <c r="B176" s="30"/>
      <c r="C176" s="30"/>
      <c r="D176" s="30"/>
      <c r="E176" s="30"/>
      <c r="F176" s="30"/>
      <c r="G176" s="30"/>
    </row>
    <row r="177" spans="1:7" x14ac:dyDescent="0.3">
      <c r="A177" s="2"/>
      <c r="B177" s="2"/>
      <c r="C177" s="2"/>
      <c r="D177" s="2"/>
      <c r="E177" s="2"/>
      <c r="F177" s="2"/>
      <c r="G177" s="2"/>
    </row>
    <row r="178" spans="1:7" x14ac:dyDescent="0.3">
      <c r="A178" s="2"/>
      <c r="B178" s="2"/>
      <c r="C178" s="2"/>
      <c r="D178" s="2"/>
      <c r="E178" s="2"/>
      <c r="F178" s="2"/>
      <c r="G178" s="2"/>
    </row>
    <row r="179" spans="1:7" x14ac:dyDescent="0.3">
      <c r="A179" s="2"/>
      <c r="B179" s="2"/>
      <c r="C179" s="2"/>
      <c r="D179" s="2"/>
      <c r="E179" s="2"/>
      <c r="F179" s="2"/>
      <c r="G179" s="2"/>
    </row>
    <row r="180" spans="1:7" x14ac:dyDescent="0.3">
      <c r="A180" s="2"/>
      <c r="B180" s="2"/>
      <c r="C180" s="2"/>
      <c r="D180" s="2"/>
      <c r="E180" s="2"/>
      <c r="F180" s="2"/>
      <c r="G180" s="2"/>
    </row>
  </sheetData>
  <sheetProtection password="DF1B" sheet="1" objects="1" scenarios="1" selectLockedCells="1" selectUnlockedCells="1"/>
  <mergeCells count="32">
    <mergeCell ref="A17:G19"/>
    <mergeCell ref="B22:F22"/>
    <mergeCell ref="A23:G23"/>
    <mergeCell ref="C24:E24"/>
    <mergeCell ref="B30:F30"/>
    <mergeCell ref="A37:B37"/>
    <mergeCell ref="A38:G41"/>
    <mergeCell ref="A60:G63"/>
    <mergeCell ref="B32:F32"/>
    <mergeCell ref="C34:E34"/>
    <mergeCell ref="A168:G171"/>
    <mergeCell ref="A172:G176"/>
    <mergeCell ref="A156:G159"/>
    <mergeCell ref="A161:C161"/>
    <mergeCell ref="A8:G8"/>
    <mergeCell ref="A10:G10"/>
    <mergeCell ref="B12:F12"/>
    <mergeCell ref="A72:G73"/>
    <mergeCell ref="A162:G167"/>
    <mergeCell ref="A55:G57"/>
    <mergeCell ref="A59:B59"/>
    <mergeCell ref="A151:C151"/>
    <mergeCell ref="A134:G137"/>
    <mergeCell ref="A103:G105"/>
    <mergeCell ref="A106:G108"/>
    <mergeCell ref="A109:G114"/>
    <mergeCell ref="A99:G102"/>
    <mergeCell ref="A64:G65"/>
    <mergeCell ref="A66:G71"/>
    <mergeCell ref="A152:G155"/>
    <mergeCell ref="A138:G142"/>
    <mergeCell ref="A143:G149"/>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038" r:id="rId4">
          <objectPr defaultSize="0" autoPict="0" r:id="rId5">
            <anchor moveWithCells="1" sizeWithCells="1">
              <from>
                <xdr:col>2</xdr:col>
                <xdr:colOff>400050</xdr:colOff>
                <xdr:row>1</xdr:row>
                <xdr:rowOff>31750</xdr:rowOff>
              </from>
              <to>
                <xdr:col>4</xdr:col>
                <xdr:colOff>107950</xdr:colOff>
                <xdr:row>4</xdr:row>
                <xdr:rowOff>69850</xdr:rowOff>
              </to>
            </anchor>
          </objectPr>
        </oleObject>
      </mc:Choice>
      <mc:Fallback>
        <oleObject progId="Word.Picture.8" shapeId="1038" r:id="rId4"/>
      </mc:Fallback>
    </mc:AlternateContent>
    <mc:AlternateContent xmlns:mc="http://schemas.openxmlformats.org/markup-compatibility/2006">
      <mc:Choice Requires="x14">
        <oleObject progId="Word.Picture.8" shapeId="1037" r:id="rId6">
          <objectPr defaultSize="0" autoPict="0" r:id="rId7">
            <anchor moveWithCells="1" sizeWithCells="1">
              <from>
                <xdr:col>0</xdr:col>
                <xdr:colOff>241300</xdr:colOff>
                <xdr:row>0</xdr:row>
                <xdr:rowOff>76200</xdr:rowOff>
              </from>
              <to>
                <xdr:col>1</xdr:col>
                <xdr:colOff>457200</xdr:colOff>
                <xdr:row>5</xdr:row>
                <xdr:rowOff>76200</xdr:rowOff>
              </to>
            </anchor>
          </objectPr>
        </oleObject>
      </mc:Choice>
      <mc:Fallback>
        <oleObject progId="Word.Picture.8" shapeId="1037" r:id="rId6"/>
      </mc:Fallback>
    </mc:AlternateContent>
  </oleObjects>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Mostrar">
                <anchor moveWithCells="1" sizeWithCells="1">
                  <from>
                    <xdr:col>2</xdr:col>
                    <xdr:colOff>76200</xdr:colOff>
                    <xdr:row>177</xdr:row>
                    <xdr:rowOff>50800</xdr:rowOff>
                  </from>
                  <to>
                    <xdr:col>4</xdr:col>
                    <xdr:colOff>146050</xdr:colOff>
                    <xdr:row>179</xdr:row>
                    <xdr:rowOff>146050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U64"/>
  <sheetViews>
    <sheetView showGridLines="0" tabSelected="1" zoomScale="145" zoomScaleNormal="145" workbookViewId="0">
      <selection activeCell="D18" sqref="D18"/>
    </sheetView>
  </sheetViews>
  <sheetFormatPr defaultColWidth="11.453125" defaultRowHeight="14" x14ac:dyDescent="0.3"/>
  <cols>
    <col min="1" max="2" width="11.453125" style="2"/>
    <col min="3" max="3" width="15.7265625" style="2" customWidth="1"/>
    <col min="4" max="4" width="15.453125" style="2" customWidth="1"/>
    <col min="5" max="5" width="17.81640625" style="2" customWidth="1"/>
    <col min="6" max="16384" width="11.453125" style="2"/>
  </cols>
  <sheetData>
    <row r="1" spans="1:21" x14ac:dyDescent="0.3">
      <c r="A1" s="44" t="s">
        <v>5</v>
      </c>
      <c r="B1" s="45"/>
      <c r="C1" s="45"/>
      <c r="D1" s="7"/>
      <c r="E1" s="7"/>
      <c r="F1" s="7"/>
      <c r="I1" s="6"/>
      <c r="K1" s="6" t="s">
        <v>25</v>
      </c>
    </row>
    <row r="2" spans="1:21" ht="14.5" customHeight="1" x14ac:dyDescent="0.3">
      <c r="H2" s="39" t="s">
        <v>64</v>
      </c>
      <c r="I2" s="39"/>
      <c r="J2" s="39"/>
      <c r="K2" s="39"/>
      <c r="L2" s="39"/>
      <c r="M2" s="39"/>
      <c r="N2" s="39"/>
      <c r="O2" s="15"/>
      <c r="P2" s="15"/>
      <c r="Q2" s="15"/>
      <c r="R2" s="15"/>
      <c r="S2" s="15"/>
      <c r="T2" s="15"/>
      <c r="U2" s="15"/>
    </row>
    <row r="3" spans="1:21" ht="14.5" x14ac:dyDescent="0.3">
      <c r="A3" s="42" t="s">
        <v>6</v>
      </c>
      <c r="B3" s="43"/>
      <c r="C3" s="14">
        <v>30</v>
      </c>
      <c r="H3" s="39"/>
      <c r="I3" s="39"/>
      <c r="J3" s="39"/>
      <c r="K3" s="39"/>
      <c r="L3" s="39"/>
      <c r="M3" s="39"/>
      <c r="N3" s="39"/>
      <c r="O3" s="15"/>
      <c r="P3" s="15"/>
      <c r="Q3" s="15"/>
      <c r="R3" s="15"/>
      <c r="S3" s="15"/>
      <c r="T3" s="15"/>
      <c r="U3" s="15"/>
    </row>
    <row r="4" spans="1:21" ht="14.5" x14ac:dyDescent="0.3">
      <c r="H4" s="39"/>
      <c r="I4" s="39"/>
      <c r="J4" s="39"/>
      <c r="K4" s="39"/>
      <c r="L4" s="39"/>
      <c r="M4" s="39"/>
      <c r="N4" s="39"/>
      <c r="O4" s="15"/>
      <c r="P4" s="15"/>
      <c r="Q4" s="15"/>
      <c r="R4" s="15"/>
      <c r="S4" s="15"/>
      <c r="T4" s="15"/>
      <c r="U4" s="15"/>
    </row>
    <row r="5" spans="1:21" ht="14.5" x14ac:dyDescent="0.3">
      <c r="A5" s="42" t="s">
        <v>10</v>
      </c>
      <c r="B5" s="43"/>
      <c r="C5" s="14" t="s">
        <v>11</v>
      </c>
      <c r="D5" s="13" t="s">
        <v>75</v>
      </c>
      <c r="E5" s="14"/>
      <c r="H5" s="39"/>
      <c r="I5" s="39"/>
      <c r="J5" s="39"/>
      <c r="K5" s="39"/>
      <c r="L5" s="39"/>
      <c r="M5" s="39"/>
      <c r="N5" s="39"/>
      <c r="O5" s="15"/>
      <c r="P5" s="15"/>
      <c r="Q5" s="15"/>
      <c r="R5" s="15"/>
      <c r="S5" s="15"/>
      <c r="T5" s="15"/>
      <c r="U5" s="15"/>
    </row>
    <row r="6" spans="1:21" ht="14.5" x14ac:dyDescent="0.3">
      <c r="A6" s="13"/>
      <c r="B6" s="13"/>
      <c r="H6" s="39"/>
      <c r="I6" s="39"/>
      <c r="J6" s="39"/>
      <c r="K6" s="39"/>
      <c r="L6" s="39"/>
      <c r="M6" s="39"/>
      <c r="N6" s="39"/>
      <c r="O6" s="15"/>
      <c r="P6" s="15"/>
      <c r="Q6" s="15"/>
      <c r="R6" s="15"/>
      <c r="S6" s="15"/>
      <c r="T6" s="15"/>
      <c r="U6" s="15"/>
    </row>
    <row r="7" spans="1:21" ht="14.5" x14ac:dyDescent="0.3">
      <c r="A7" s="42" t="s">
        <v>74</v>
      </c>
      <c r="B7" s="43"/>
      <c r="C7" s="14" t="s">
        <v>73</v>
      </c>
      <c r="H7" s="39"/>
      <c r="I7" s="39"/>
      <c r="J7" s="39"/>
      <c r="K7" s="39"/>
      <c r="L7" s="39"/>
      <c r="M7" s="39"/>
      <c r="N7" s="39"/>
      <c r="O7" s="15"/>
      <c r="P7" s="15"/>
      <c r="Q7" s="15"/>
      <c r="R7" s="15"/>
      <c r="S7" s="15"/>
      <c r="T7" s="15"/>
      <c r="U7" s="15"/>
    </row>
    <row r="8" spans="1:21" ht="14.5" x14ac:dyDescent="0.3">
      <c r="H8" s="39"/>
      <c r="I8" s="39"/>
      <c r="J8" s="39"/>
      <c r="K8" s="39"/>
      <c r="L8" s="39"/>
      <c r="M8" s="39"/>
      <c r="N8" s="39"/>
      <c r="O8" s="15"/>
      <c r="P8" s="15"/>
      <c r="Q8" s="15"/>
      <c r="R8" s="15"/>
      <c r="S8" s="15"/>
      <c r="T8" s="15"/>
      <c r="U8" s="15"/>
    </row>
    <row r="9" spans="1:21" ht="14.5" x14ac:dyDescent="0.3">
      <c r="A9" s="40" t="s">
        <v>12</v>
      </c>
      <c r="B9" s="41"/>
      <c r="C9" s="41"/>
      <c r="D9" s="13" t="s">
        <v>13</v>
      </c>
      <c r="E9" s="46" t="s">
        <v>34</v>
      </c>
      <c r="F9" s="46"/>
      <c r="H9" s="39"/>
      <c r="I9" s="39"/>
      <c r="J9" s="39"/>
      <c r="K9" s="39"/>
      <c r="L9" s="39"/>
      <c r="M9" s="39"/>
      <c r="N9" s="39"/>
      <c r="O9" s="15"/>
      <c r="P9" s="15"/>
      <c r="Q9" s="15"/>
      <c r="R9" s="15"/>
      <c r="S9" s="15"/>
      <c r="T9" s="15"/>
      <c r="U9" s="15"/>
    </row>
    <row r="10" spans="1:21" ht="14.5" x14ac:dyDescent="0.3">
      <c r="H10" s="39"/>
      <c r="I10" s="39"/>
      <c r="J10" s="39"/>
      <c r="K10" s="39"/>
      <c r="L10" s="39"/>
      <c r="M10" s="39"/>
      <c r="N10" s="39"/>
      <c r="O10" s="15"/>
      <c r="P10" s="15"/>
      <c r="Q10" s="15"/>
      <c r="R10" s="15"/>
      <c r="S10" s="15"/>
      <c r="T10" s="15"/>
      <c r="U10" s="15"/>
    </row>
    <row r="11" spans="1:21" ht="14.5" x14ac:dyDescent="0.3">
      <c r="A11" s="40" t="s">
        <v>14</v>
      </c>
      <c r="B11" s="41"/>
      <c r="C11" s="41"/>
      <c r="D11" s="41"/>
      <c r="E11" s="41"/>
      <c r="H11" s="39"/>
      <c r="I11" s="39"/>
      <c r="J11" s="39"/>
      <c r="K11" s="39"/>
      <c r="L11" s="39"/>
      <c r="M11" s="39"/>
      <c r="N11" s="39"/>
      <c r="O11" s="15"/>
      <c r="P11" s="15"/>
      <c r="Q11" s="15"/>
      <c r="R11" s="15"/>
      <c r="S11" s="15"/>
      <c r="T11" s="15"/>
      <c r="U11" s="15"/>
    </row>
    <row r="12" spans="1:21" ht="14.5" x14ac:dyDescent="0.3">
      <c r="H12" s="39"/>
      <c r="I12" s="39"/>
      <c r="J12" s="39"/>
      <c r="K12" s="39"/>
      <c r="L12" s="39"/>
      <c r="M12" s="39"/>
      <c r="N12" s="39"/>
      <c r="O12" s="15"/>
      <c r="P12" s="15"/>
      <c r="Q12" s="15"/>
      <c r="R12" s="15"/>
      <c r="S12" s="15"/>
      <c r="T12" s="15"/>
      <c r="U12" s="15"/>
    </row>
    <row r="13" spans="1:21" ht="14.5" x14ac:dyDescent="0.3">
      <c r="A13" s="42" t="s">
        <v>15</v>
      </c>
      <c r="B13" s="43"/>
      <c r="C13" s="43"/>
      <c r="D13" s="14">
        <v>1</v>
      </c>
      <c r="H13" s="39"/>
      <c r="I13" s="39"/>
      <c r="J13" s="39"/>
      <c r="K13" s="39"/>
      <c r="L13" s="39"/>
      <c r="M13" s="39"/>
      <c r="N13" s="39"/>
      <c r="O13" s="15"/>
      <c r="P13" s="15"/>
      <c r="Q13" s="15"/>
      <c r="R13" s="15"/>
      <c r="S13" s="15"/>
      <c r="T13" s="15"/>
      <c r="U13" s="15"/>
    </row>
    <row r="14" spans="1:21" ht="14.5" x14ac:dyDescent="0.3">
      <c r="H14" s="15"/>
      <c r="I14" s="15"/>
      <c r="J14" s="15"/>
      <c r="K14" s="15"/>
      <c r="L14" s="15"/>
      <c r="M14" s="15"/>
      <c r="N14" s="15"/>
      <c r="O14" s="15"/>
      <c r="P14" s="15"/>
      <c r="Q14" s="15"/>
      <c r="R14" s="15"/>
      <c r="S14" s="15"/>
      <c r="T14" s="15"/>
      <c r="U14" s="15"/>
    </row>
    <row r="15" spans="1:21" ht="14.5" x14ac:dyDescent="0.3">
      <c r="A15" s="8" t="s">
        <v>16</v>
      </c>
      <c r="B15" s="14">
        <v>1</v>
      </c>
      <c r="C15" s="13" t="s">
        <v>17</v>
      </c>
      <c r="D15" s="14" t="s">
        <v>30</v>
      </c>
      <c r="E15" s="43" t="s">
        <v>18</v>
      </c>
      <c r="F15" s="43"/>
      <c r="G15" s="14">
        <v>4</v>
      </c>
      <c r="H15" s="15"/>
      <c r="I15" s="15"/>
      <c r="J15" s="15"/>
      <c r="K15" s="15"/>
      <c r="L15" s="15"/>
      <c r="M15" s="15"/>
      <c r="N15" s="15"/>
      <c r="O15" s="15"/>
      <c r="P15" s="15"/>
      <c r="Q15" s="15"/>
      <c r="R15" s="15"/>
      <c r="S15" s="15"/>
      <c r="T15" s="15"/>
      <c r="U15" s="15"/>
    </row>
    <row r="16" spans="1:21" ht="14.5" x14ac:dyDescent="0.3">
      <c r="A16" s="8"/>
      <c r="H16" s="15"/>
      <c r="I16" s="15"/>
      <c r="J16" s="15"/>
      <c r="K16" s="15"/>
      <c r="L16" s="15"/>
      <c r="M16" s="15"/>
      <c r="N16" s="15"/>
      <c r="O16" s="15"/>
      <c r="P16" s="15"/>
      <c r="Q16" s="15"/>
      <c r="R16" s="15"/>
      <c r="S16" s="15"/>
      <c r="T16" s="15"/>
      <c r="U16" s="15"/>
    </row>
    <row r="17" spans="1:21" ht="14.5" x14ac:dyDescent="0.3">
      <c r="A17" s="12" t="s">
        <v>19</v>
      </c>
      <c r="C17" s="13" t="s">
        <v>20</v>
      </c>
      <c r="E17" s="13" t="s">
        <v>21</v>
      </c>
      <c r="H17" s="15"/>
      <c r="I17" s="15"/>
      <c r="J17" s="15"/>
      <c r="K17" s="15"/>
      <c r="L17" s="15"/>
      <c r="M17" s="15"/>
      <c r="N17" s="15"/>
      <c r="O17" s="15"/>
      <c r="P17" s="15"/>
      <c r="Q17" s="15"/>
      <c r="R17" s="15"/>
      <c r="S17" s="15"/>
      <c r="T17" s="15"/>
      <c r="U17" s="15"/>
    </row>
    <row r="18" spans="1:21" ht="14.5" x14ac:dyDescent="0.3">
      <c r="A18" s="9">
        <v>1</v>
      </c>
      <c r="C18" s="10">
        <v>0</v>
      </c>
      <c r="E18" s="10">
        <v>0</v>
      </c>
      <c r="H18" s="15"/>
      <c r="I18" s="15"/>
      <c r="J18" s="15"/>
      <c r="K18" s="15"/>
      <c r="L18" s="15"/>
      <c r="M18" s="15"/>
      <c r="N18" s="15"/>
      <c r="O18" s="15"/>
      <c r="P18" s="15"/>
      <c r="Q18" s="15"/>
      <c r="R18" s="15"/>
      <c r="S18" s="15"/>
      <c r="T18" s="15"/>
      <c r="U18" s="15"/>
    </row>
    <row r="19" spans="1:21" ht="14.5" x14ac:dyDescent="0.3">
      <c r="A19" s="9">
        <v>2</v>
      </c>
      <c r="C19" s="10">
        <v>0</v>
      </c>
      <c r="E19" s="10">
        <v>0.6</v>
      </c>
      <c r="H19" s="39"/>
      <c r="I19" s="39"/>
      <c r="J19" s="39"/>
      <c r="K19" s="39"/>
      <c r="L19" s="39"/>
      <c r="M19" s="39"/>
      <c r="N19" s="39"/>
    </row>
    <row r="20" spans="1:21" ht="14.5" x14ac:dyDescent="0.3">
      <c r="A20" s="9">
        <v>3</v>
      </c>
      <c r="C20" s="10">
        <v>0.3</v>
      </c>
      <c r="E20" s="10">
        <v>0.6</v>
      </c>
      <c r="H20" s="28"/>
      <c r="I20" s="28"/>
      <c r="J20" s="28"/>
      <c r="K20" s="28"/>
      <c r="L20" s="28"/>
      <c r="M20" s="28"/>
      <c r="N20" s="28"/>
    </row>
    <row r="21" spans="1:21" x14ac:dyDescent="0.3">
      <c r="A21" s="9">
        <v>4</v>
      </c>
      <c r="C21" s="10">
        <v>0.3</v>
      </c>
      <c r="E21" s="10">
        <v>0</v>
      </c>
    </row>
    <row r="22" spans="1:21" ht="14.5" x14ac:dyDescent="0.35">
      <c r="A22"/>
      <c r="B22"/>
      <c r="C22"/>
      <c r="D22"/>
      <c r="E22"/>
      <c r="F22"/>
      <c r="G22"/>
    </row>
    <row r="23" spans="1:21" ht="14.5" customHeight="1" x14ac:dyDescent="0.35">
      <c r="A23" s="40" t="s">
        <v>76</v>
      </c>
      <c r="B23" s="41"/>
      <c r="C23" s="41"/>
      <c r="D23"/>
      <c r="F23"/>
      <c r="G23"/>
    </row>
    <row r="24" spans="1:21" ht="14.15" customHeight="1" x14ac:dyDescent="0.3"/>
    <row r="25" spans="1:21" ht="14.5" x14ac:dyDescent="0.35">
      <c r="A25" s="42" t="s">
        <v>22</v>
      </c>
      <c r="B25" s="43"/>
      <c r="C25" s="43"/>
      <c r="D25" s="26">
        <v>12</v>
      </c>
    </row>
    <row r="26" spans="1:21" ht="14.15" customHeight="1" x14ac:dyDescent="0.3"/>
    <row r="27" spans="1:21" ht="14.15" customHeight="1" x14ac:dyDescent="0.3">
      <c r="A27" s="13" t="s">
        <v>23</v>
      </c>
      <c r="C27" s="13" t="s">
        <v>20</v>
      </c>
      <c r="E27" s="13" t="s">
        <v>21</v>
      </c>
      <c r="G27" s="13" t="s">
        <v>24</v>
      </c>
    </row>
    <row r="28" spans="1:21" ht="14.15" customHeight="1" x14ac:dyDescent="0.35">
      <c r="A28" s="26">
        <v>1</v>
      </c>
      <c r="C28" s="10">
        <v>0.03</v>
      </c>
      <c r="E28" s="10">
        <v>0.03</v>
      </c>
      <c r="G28" s="14">
        <v>16</v>
      </c>
    </row>
    <row r="29" spans="1:21" ht="14.15" customHeight="1" x14ac:dyDescent="0.35">
      <c r="A29" s="26">
        <v>2</v>
      </c>
      <c r="C29" s="10">
        <v>0.1</v>
      </c>
      <c r="E29" s="10">
        <v>0.03</v>
      </c>
      <c r="G29" s="14">
        <v>16</v>
      </c>
    </row>
    <row r="30" spans="1:21" ht="14.15" customHeight="1" x14ac:dyDescent="0.35">
      <c r="A30" s="26">
        <v>3</v>
      </c>
      <c r="C30" s="10">
        <v>0.2</v>
      </c>
      <c r="E30" s="10">
        <v>0.03</v>
      </c>
      <c r="G30" s="14">
        <v>16</v>
      </c>
    </row>
    <row r="31" spans="1:21" ht="14.15" customHeight="1" x14ac:dyDescent="0.35">
      <c r="A31" s="26">
        <v>4</v>
      </c>
      <c r="C31" s="10">
        <v>0.27</v>
      </c>
      <c r="E31" s="10">
        <v>0.03</v>
      </c>
      <c r="G31" s="14">
        <v>16</v>
      </c>
    </row>
    <row r="32" spans="1:21" ht="14.15" customHeight="1" x14ac:dyDescent="0.35">
      <c r="A32" s="26">
        <f>A31+1</f>
        <v>5</v>
      </c>
      <c r="C32" s="10">
        <v>0.03</v>
      </c>
      <c r="E32" s="10">
        <v>0.2</v>
      </c>
      <c r="G32" s="14">
        <v>16</v>
      </c>
    </row>
    <row r="33" spans="1:14" ht="14.15" customHeight="1" x14ac:dyDescent="0.35">
      <c r="A33" s="26">
        <f t="shared" ref="A33:A39" si="0">A32+1</f>
        <v>6</v>
      </c>
      <c r="C33" s="10">
        <v>0.27</v>
      </c>
      <c r="E33" s="10">
        <v>0.2</v>
      </c>
      <c r="G33" s="14">
        <v>16</v>
      </c>
    </row>
    <row r="34" spans="1:14" ht="14.15" customHeight="1" x14ac:dyDescent="0.35">
      <c r="A34" s="26">
        <f t="shared" si="0"/>
        <v>7</v>
      </c>
      <c r="C34" s="10">
        <v>0.03</v>
      </c>
      <c r="E34" s="10">
        <v>0.4</v>
      </c>
      <c r="G34" s="14">
        <v>16</v>
      </c>
    </row>
    <row r="35" spans="1:14" ht="14.15" customHeight="1" x14ac:dyDescent="0.35">
      <c r="A35" s="26">
        <f t="shared" si="0"/>
        <v>8</v>
      </c>
      <c r="C35" s="10">
        <v>0.27</v>
      </c>
      <c r="E35" s="10">
        <v>0.4</v>
      </c>
      <c r="G35" s="14">
        <v>16</v>
      </c>
    </row>
    <row r="36" spans="1:14" ht="14.15" customHeight="1" x14ac:dyDescent="0.35">
      <c r="A36" s="26">
        <f t="shared" si="0"/>
        <v>9</v>
      </c>
      <c r="C36" s="10">
        <v>0.03</v>
      </c>
      <c r="E36" s="10">
        <v>0.56999999999999995</v>
      </c>
      <c r="G36" s="14">
        <v>16</v>
      </c>
    </row>
    <row r="37" spans="1:14" ht="14.15" customHeight="1" x14ac:dyDescent="0.35">
      <c r="A37" s="26">
        <f t="shared" si="0"/>
        <v>10</v>
      </c>
      <c r="C37" s="10">
        <v>0.1</v>
      </c>
      <c r="E37" s="10">
        <v>0.56999999999999995</v>
      </c>
      <c r="G37" s="14">
        <v>16</v>
      </c>
    </row>
    <row r="38" spans="1:14" ht="14.15" customHeight="1" x14ac:dyDescent="0.35">
      <c r="A38" s="26">
        <f t="shared" si="0"/>
        <v>11</v>
      </c>
      <c r="C38" s="10">
        <v>0.2</v>
      </c>
      <c r="E38" s="10">
        <v>0.56999999999999995</v>
      </c>
      <c r="G38" s="14">
        <v>16</v>
      </c>
    </row>
    <row r="39" spans="1:14" ht="14.15" customHeight="1" x14ac:dyDescent="0.35">
      <c r="A39" s="26">
        <f t="shared" si="0"/>
        <v>12</v>
      </c>
      <c r="C39" s="10">
        <v>0.27</v>
      </c>
      <c r="E39" s="10">
        <v>0.56999999999999995</v>
      </c>
      <c r="G39" s="14">
        <v>16</v>
      </c>
    </row>
    <row r="41" spans="1:14" ht="14.5" x14ac:dyDescent="0.35">
      <c r="A41" s="40" t="s">
        <v>68</v>
      </c>
      <c r="B41" s="41"/>
      <c r="C41" s="41"/>
      <c r="D41"/>
      <c r="F41"/>
      <c r="G41"/>
      <c r="H41" s="39" t="s">
        <v>65</v>
      </c>
      <c r="I41" s="39"/>
      <c r="J41" s="39"/>
      <c r="K41" s="39"/>
      <c r="L41" s="39"/>
      <c r="M41" s="39"/>
      <c r="N41" s="39"/>
    </row>
    <row r="42" spans="1:14" x14ac:dyDescent="0.3">
      <c r="H42" s="39"/>
      <c r="I42" s="39"/>
      <c r="J42" s="39"/>
      <c r="K42" s="39"/>
      <c r="L42" s="39"/>
      <c r="M42" s="39"/>
      <c r="N42" s="39"/>
    </row>
    <row r="43" spans="1:14" ht="14.5" x14ac:dyDescent="0.35">
      <c r="A43" s="42" t="s">
        <v>22</v>
      </c>
      <c r="B43" s="43"/>
      <c r="C43" s="43"/>
      <c r="D43" s="26">
        <v>9</v>
      </c>
      <c r="H43" s="39"/>
      <c r="I43" s="39"/>
      <c r="J43" s="39"/>
      <c r="K43" s="39"/>
      <c r="L43" s="39"/>
      <c r="M43" s="39"/>
      <c r="N43" s="39"/>
    </row>
    <row r="44" spans="1:14" x14ac:dyDescent="0.3">
      <c r="H44" s="39"/>
      <c r="I44" s="39"/>
      <c r="J44" s="39"/>
      <c r="K44" s="39"/>
      <c r="L44" s="39"/>
      <c r="M44" s="39"/>
      <c r="N44" s="39"/>
    </row>
    <row r="45" spans="1:14" x14ac:dyDescent="0.3">
      <c r="A45" s="13" t="s">
        <v>23</v>
      </c>
      <c r="C45" s="13" t="s">
        <v>20</v>
      </c>
      <c r="E45" s="13" t="s">
        <v>21</v>
      </c>
      <c r="G45" s="13" t="s">
        <v>24</v>
      </c>
      <c r="H45" s="39"/>
      <c r="I45" s="39"/>
      <c r="J45" s="39"/>
      <c r="K45" s="39"/>
      <c r="L45" s="39"/>
      <c r="M45" s="39"/>
      <c r="N45" s="39"/>
    </row>
    <row r="46" spans="1:14" ht="14.5" x14ac:dyDescent="0.35">
      <c r="A46" s="26">
        <v>1</v>
      </c>
      <c r="C46" s="10">
        <v>0</v>
      </c>
      <c r="E46" s="10">
        <v>0</v>
      </c>
      <c r="G46" s="14">
        <v>0</v>
      </c>
      <c r="H46" s="39"/>
      <c r="I46" s="39"/>
      <c r="J46" s="39"/>
      <c r="K46" s="39"/>
      <c r="L46" s="39"/>
      <c r="M46" s="39"/>
      <c r="N46" s="39"/>
    </row>
    <row r="47" spans="1:14" ht="14.5" x14ac:dyDescent="0.35">
      <c r="A47" s="26">
        <v>2</v>
      </c>
      <c r="C47" s="10">
        <v>0</v>
      </c>
      <c r="E47" s="10">
        <v>0</v>
      </c>
      <c r="G47" s="14">
        <v>0</v>
      </c>
      <c r="H47" s="39"/>
      <c r="I47" s="39"/>
      <c r="J47" s="39"/>
      <c r="K47" s="39"/>
      <c r="L47" s="39"/>
      <c r="M47" s="39"/>
      <c r="N47" s="39"/>
    </row>
    <row r="48" spans="1:14" ht="14.5" x14ac:dyDescent="0.35">
      <c r="A48" s="26">
        <v>3</v>
      </c>
      <c r="C48" s="10">
        <v>0</v>
      </c>
      <c r="E48" s="10">
        <v>0</v>
      </c>
      <c r="G48" s="14">
        <v>0</v>
      </c>
    </row>
    <row r="49" spans="1:7" ht="14.5" x14ac:dyDescent="0.35">
      <c r="A49" s="26">
        <v>4</v>
      </c>
      <c r="C49" s="10">
        <v>0</v>
      </c>
      <c r="E49" s="10">
        <v>0</v>
      </c>
      <c r="G49" s="14">
        <v>0</v>
      </c>
    </row>
    <row r="50" spans="1:7" ht="14.5" x14ac:dyDescent="0.35">
      <c r="A50" s="26">
        <v>5</v>
      </c>
      <c r="C50" s="10">
        <v>0</v>
      </c>
      <c r="E50" s="10">
        <v>0</v>
      </c>
      <c r="G50" s="14">
        <v>0</v>
      </c>
    </row>
    <row r="51" spans="1:7" ht="14.5" x14ac:dyDescent="0.35">
      <c r="A51" s="26">
        <v>6</v>
      </c>
      <c r="C51" s="10">
        <v>0</v>
      </c>
      <c r="E51" s="10">
        <v>0</v>
      </c>
      <c r="G51" s="14">
        <v>0</v>
      </c>
    </row>
    <row r="52" spans="1:7" ht="14.5" x14ac:dyDescent="0.35">
      <c r="A52" s="26">
        <v>7</v>
      </c>
      <c r="C52" s="10">
        <v>0</v>
      </c>
      <c r="E52" s="10">
        <v>0</v>
      </c>
      <c r="G52" s="14">
        <v>0</v>
      </c>
    </row>
    <row r="53" spans="1:7" ht="14.5" x14ac:dyDescent="0.35">
      <c r="A53" s="26">
        <v>8</v>
      </c>
      <c r="C53" s="10">
        <v>0</v>
      </c>
      <c r="E53" s="10">
        <v>0</v>
      </c>
      <c r="G53" s="14">
        <v>0</v>
      </c>
    </row>
    <row r="54" spans="1:7" ht="14.5" x14ac:dyDescent="0.35">
      <c r="A54" s="26">
        <v>9</v>
      </c>
      <c r="C54" s="10">
        <v>0</v>
      </c>
      <c r="E54" s="10">
        <v>0</v>
      </c>
      <c r="G54" s="14">
        <v>0</v>
      </c>
    </row>
    <row r="56" spans="1:7" x14ac:dyDescent="0.3">
      <c r="A56" s="40" t="s">
        <v>69</v>
      </c>
      <c r="B56" s="41"/>
      <c r="C56" s="41"/>
      <c r="D56" s="41"/>
      <c r="E56" s="41"/>
    </row>
    <row r="58" spans="1:7" x14ac:dyDescent="0.3">
      <c r="A58" s="42" t="s">
        <v>70</v>
      </c>
      <c r="B58" s="43"/>
      <c r="C58" s="10">
        <v>5.0000000000000001E-3</v>
      </c>
      <c r="D58" s="2" t="s">
        <v>71</v>
      </c>
    </row>
    <row r="60" spans="1:7" x14ac:dyDescent="0.3">
      <c r="A60" s="42" t="s">
        <v>72</v>
      </c>
      <c r="B60" s="43"/>
      <c r="C60" s="10">
        <v>0.01</v>
      </c>
      <c r="D60" s="2" t="s">
        <v>71</v>
      </c>
    </row>
    <row r="62" spans="1:7" x14ac:dyDescent="0.3">
      <c r="A62" s="40" t="s">
        <v>77</v>
      </c>
      <c r="B62" s="47"/>
      <c r="C62" s="47"/>
      <c r="D62" s="47"/>
      <c r="E62" s="47"/>
    </row>
    <row r="64" spans="1:7" ht="14.5" x14ac:dyDescent="0.35">
      <c r="A64" s="42" t="s">
        <v>78</v>
      </c>
      <c r="B64" s="43"/>
      <c r="C64" s="43"/>
      <c r="D64" s="43"/>
      <c r="E64" s="27">
        <v>35</v>
      </c>
    </row>
  </sheetData>
  <mergeCells count="21">
    <mergeCell ref="H41:N47"/>
    <mergeCell ref="A43:C43"/>
    <mergeCell ref="A62:E62"/>
    <mergeCell ref="A64:D64"/>
    <mergeCell ref="A23:C23"/>
    <mergeCell ref="A25:C25"/>
    <mergeCell ref="A56:E56"/>
    <mergeCell ref="A58:B58"/>
    <mergeCell ref="A60:B60"/>
    <mergeCell ref="A41:C41"/>
    <mergeCell ref="A1:C1"/>
    <mergeCell ref="A3:B3"/>
    <mergeCell ref="A5:B5"/>
    <mergeCell ref="A9:C9"/>
    <mergeCell ref="E9:F9"/>
    <mergeCell ref="A7:B7"/>
    <mergeCell ref="H2:N13"/>
    <mergeCell ref="A11:E11"/>
    <mergeCell ref="A13:C13"/>
    <mergeCell ref="H19:N19"/>
    <mergeCell ref="E15:F15"/>
  </mergeCells>
  <dataValidations count="5">
    <dataValidation type="whole" allowBlank="1" showInputMessage="1" showErrorMessage="1" errorTitle="Error" error="El número de barras debe estar comprendido entre 1 y 500" sqref="D25 A46:A54 D43 A28:A39" xr:uid="{B75C34BA-E894-4648-AB57-0830B93A2B14}">
      <formula1>1</formula1>
      <formula2>500</formula2>
    </dataValidation>
    <dataValidation type="list" allowBlank="1" showInputMessage="1" showErrorMessage="1" sqref="C7" xr:uid="{8E6B6AE2-A4B4-4F47-BA1B-7DF3BA6D8552}">
      <formula1>"Barras 1050, Trenzas C1650, Trenzas C1900"</formula1>
    </dataValidation>
    <dataValidation type="whole" allowBlank="1" showInputMessage="1" showErrorMessage="1" errorTitle="Error" error="El número de nodos debe estar comprendido entre 1 y 500" sqref="G15 A18:A22" xr:uid="{74D47D1F-DBA0-4A31-966A-7EC72209469C}">
      <formula1>1</formula1>
      <formula2>500</formula2>
    </dataValidation>
    <dataValidation type="whole" allowBlank="1" showInputMessage="1" showErrorMessage="1" errorTitle="Error" error="El número de contornos convexos debe estar comprendido entre 1 y 10" sqref="B15" xr:uid="{84DC1543-58BC-42CC-95CD-FD23A23C7A09}">
      <formula1>1</formula1>
      <formula2>10</formula2>
    </dataValidation>
    <dataValidation type="decimal" allowBlank="1" showInputMessage="1" showErrorMessage="1" errorTitle="ERROR" error="El ángulo de inclinación del plano de carga debe estar comprendido entre -90º y 90º" sqref="E64" xr:uid="{8A9F1A6D-E93E-45E2-B54D-AB3776ECEA0D}">
      <formula1>-90</formula1>
      <formula2>90</formula2>
    </dataValidation>
  </dataValidations>
  <pageMargins left="0.70866141732283472" right="0.70866141732283472" top="0.74803149606299213" bottom="0.74803149606299213" header="0.31496062992125984" footer="0.31496062992125984"/>
  <pageSetup paperSize="9" orientation="portrait" r:id="rId1"/>
  <headerFooter>
    <oddHeader>&amp;L&amp;"-,Negrita"
&amp;"Arial,Normal"CÁTEDRA DE HORMIGÓN ARMADO
&amp;C&amp;"Arial,Negrita"DIAGRAMAS DE INTERACCIÓN PARA SECCIONES GENÉRICAS DE HORMIGÓN ARMADO
&amp;R
&amp;"Arial,Normal"EIC - FCEIA - UNR</oddHeader>
    <oddFoote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cro1">
                <anchor moveWithCells="1" sizeWithCells="1">
                  <from>
                    <xdr:col>4</xdr:col>
                    <xdr:colOff>222250</xdr:colOff>
                    <xdr:row>11</xdr:row>
                    <xdr:rowOff>88900</xdr:rowOff>
                  </from>
                  <to>
                    <xdr:col>6</xdr:col>
                    <xdr:colOff>660400</xdr:colOff>
                    <xdr:row>12</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2000000}">
          <x14:formula1>
            <xm:f>AUX!$A$1:$A$8</xm:f>
          </x14:formula1>
          <xm:sqref>C3</xm:sqref>
        </x14:dataValidation>
        <x14:dataValidation type="list" allowBlank="1" showInputMessage="1" showErrorMessage="1" xr:uid="{00000000-0002-0000-0100-000003000000}">
          <x14:formula1>
            <xm:f>AUX!$C$5:$C$7</xm:f>
          </x14:formula1>
          <xm:sqref>C5 E5</xm:sqref>
        </x14:dataValidation>
        <x14:dataValidation type="list" allowBlank="1" showInputMessage="1" showErrorMessage="1" xr:uid="{00000000-0002-0000-0100-000004000000}">
          <x14:formula1>
            <xm:f>AUX!$C$1:$C$2</xm:f>
          </x14:formula1>
          <xm:sqref>E9:F9</xm:sqref>
        </x14:dataValidation>
        <x14:dataValidation type="list" allowBlank="1" showInputMessage="1" showErrorMessage="1" errorTitle="Error" error="El número de contornos convexos debe estar comprendido entre 1 y 10" promptTitle="Información importante" prompt="La sección de hormigón deberá discretizarse en hasta 10 contornos convexos, de modo que las concavidades u orificios se definen como contornos de área negativa. Para mayor información recurrir a la pestaña instrucciones." xr:uid="{00000000-0002-0000-0100-000005000000}">
          <x14:formula1>
            <xm:f>AUX!$E$1:$E$10</xm:f>
          </x14:formula1>
          <xm:sqref>D13</xm:sqref>
        </x14:dataValidation>
        <x14:dataValidation type="list" allowBlank="1" showInputMessage="1" showErrorMessage="1" xr:uid="{F626E1A2-746E-4D79-BC05-D474135E70F5}">
          <x14:formula1>
            <xm:f>'AUX1'!$A$1:$A$2</xm:f>
          </x14:formula1>
          <xm:sqref>D15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E161"/>
  <sheetViews>
    <sheetView workbookViewId="0">
      <selection activeCell="B20" sqref="B20"/>
    </sheetView>
  </sheetViews>
  <sheetFormatPr defaultColWidth="10.81640625" defaultRowHeight="14.5" x14ac:dyDescent="0.35"/>
  <cols>
    <col min="1" max="1" width="5.7265625" customWidth="1"/>
    <col min="2" max="4" width="10.7265625" style="5" customWidth="1"/>
    <col min="5" max="5" width="5.7265625" style="5" customWidth="1"/>
    <col min="6" max="9" width="5.7265625" customWidth="1"/>
  </cols>
  <sheetData>
    <row r="1" spans="1:3" x14ac:dyDescent="0.35">
      <c r="A1">
        <f>+'Ingreso de Datos'!$C$3</f>
        <v>30</v>
      </c>
    </row>
    <row r="2" spans="1:3" x14ac:dyDescent="0.35">
      <c r="A2">
        <f>+IF('Ingreso de Datos'!C5="ADN 420",1,IF('Ingreso de Datos'!C5="ADN 500",2,3))</f>
        <v>1</v>
      </c>
    </row>
    <row r="3" spans="1:3" x14ac:dyDescent="0.35">
      <c r="A3">
        <f>+IF('Ingreso de Datos'!$E$9="Estribos",0,1)</f>
        <v>0</v>
      </c>
    </row>
    <row r="4" spans="1:3" x14ac:dyDescent="0.35">
      <c r="A4">
        <f>+'Ingreso de Datos'!$D$13</f>
        <v>1</v>
      </c>
    </row>
    <row r="5" spans="1:3" x14ac:dyDescent="0.35">
      <c r="A5">
        <f>'Ingreso de Datos'!$B13</f>
        <v>0</v>
      </c>
      <c r="B5" s="5">
        <f>+IF('Ingreso de Datos'!D13="Positiva ",1,-1)</f>
        <v>-1</v>
      </c>
      <c r="C5" s="5">
        <f>'Ingreso de Datos'!$G13</f>
        <v>0</v>
      </c>
    </row>
    <row r="6" spans="1:3" x14ac:dyDescent="0.35">
      <c r="A6">
        <f>'Ingreso de Datos'!$A16</f>
        <v>0</v>
      </c>
      <c r="B6" s="5">
        <f>'Ingreso de Datos'!$C16</f>
        <v>0</v>
      </c>
      <c r="C6" s="5">
        <f>'Ingreso de Datos'!$E16</f>
        <v>0</v>
      </c>
    </row>
    <row r="7" spans="1:3" x14ac:dyDescent="0.35">
      <c r="A7" t="str">
        <f>'Ingreso de Datos'!$A17</f>
        <v>Nodo nº</v>
      </c>
      <c r="B7" s="5" t="str">
        <f>'Ingreso de Datos'!$C17</f>
        <v>X</v>
      </c>
      <c r="C7" s="5" t="str">
        <f>'Ingreso de Datos'!$E17</f>
        <v>Y</v>
      </c>
    </row>
    <row r="8" spans="1:3" x14ac:dyDescent="0.35">
      <c r="A8">
        <f>'Ingreso de Datos'!$A18</f>
        <v>1</v>
      </c>
      <c r="B8" s="5">
        <f>'Ingreso de Datos'!$C18</f>
        <v>0</v>
      </c>
      <c r="C8" s="5">
        <f>'Ingreso de Datos'!$E18</f>
        <v>0</v>
      </c>
    </row>
    <row r="9" spans="1:3" x14ac:dyDescent="0.35">
      <c r="A9">
        <f>'Ingreso de Datos'!$A19</f>
        <v>2</v>
      </c>
      <c r="B9" s="5">
        <f>'Ingreso de Datos'!$C19</f>
        <v>0</v>
      </c>
      <c r="C9" s="5">
        <f>'Ingreso de Datos'!$E19</f>
        <v>0.6</v>
      </c>
    </row>
    <row r="10" spans="1:3" x14ac:dyDescent="0.35">
      <c r="A10">
        <f>'Ingreso de Datos'!$B21</f>
        <v>0</v>
      </c>
      <c r="B10" s="5">
        <f>+IF('Ingreso de Datos'!D21="Positiva ",1,-1)</f>
        <v>-1</v>
      </c>
      <c r="C10" s="5">
        <f>'Ingreso de Datos'!$G21</f>
        <v>0</v>
      </c>
    </row>
    <row r="11" spans="1:3" x14ac:dyDescent="0.35">
      <c r="A11" t="e">
        <f>'Ingreso de Datos'!#REF!</f>
        <v>#REF!</v>
      </c>
      <c r="B11" s="5" t="e">
        <f>'Ingreso de Datos'!#REF!</f>
        <v>#REF!</v>
      </c>
      <c r="C11" s="5" t="e">
        <f>'Ingreso de Datos'!#REF!</f>
        <v>#REF!</v>
      </c>
    </row>
    <row r="12" spans="1:3" x14ac:dyDescent="0.35">
      <c r="A12" t="e">
        <f>'Ingreso de Datos'!#REF!</f>
        <v>#REF!</v>
      </c>
      <c r="B12" s="5" t="e">
        <f>'Ingreso de Datos'!#REF!</f>
        <v>#REF!</v>
      </c>
      <c r="C12" s="5" t="e">
        <f>'Ingreso de Datos'!#REF!</f>
        <v>#REF!</v>
      </c>
    </row>
    <row r="13" spans="1:3" x14ac:dyDescent="0.35">
      <c r="A13" t="e">
        <f>'Ingreso de Datos'!#REF!</f>
        <v>#REF!</v>
      </c>
      <c r="B13" s="5" t="e">
        <f>'Ingreso de Datos'!#REF!</f>
        <v>#REF!</v>
      </c>
      <c r="C13" s="5" t="e">
        <f>'Ingreso de Datos'!#REF!</f>
        <v>#REF!</v>
      </c>
    </row>
    <row r="14" spans="1:3" x14ac:dyDescent="0.35">
      <c r="A14" t="e">
        <f>'Ingreso de Datos'!#REF!</f>
        <v>#REF!</v>
      </c>
      <c r="B14" s="5" t="e">
        <f>'Ingreso de Datos'!#REF!</f>
        <v>#REF!</v>
      </c>
      <c r="C14" s="5" t="e">
        <f>'Ingreso de Datos'!#REF!</f>
        <v>#REF!</v>
      </c>
    </row>
    <row r="15" spans="1:3" x14ac:dyDescent="0.35">
      <c r="A15" t="e">
        <f>'Ingreso de Datos'!#REF!</f>
        <v>#REF!</v>
      </c>
      <c r="B15" s="5" t="e">
        <f>+IF('Ingreso de Datos'!#REF!="Positiva ",1,-1)</f>
        <v>#REF!</v>
      </c>
      <c r="C15" s="5" t="e">
        <f>'Ingreso de Datos'!#REF!</f>
        <v>#REF!</v>
      </c>
    </row>
    <row r="16" spans="1:3" x14ac:dyDescent="0.35">
      <c r="A16" t="e">
        <f>'Ingreso de Datos'!#REF!</f>
        <v>#REF!</v>
      </c>
      <c r="B16" s="5" t="e">
        <f>'Ingreso de Datos'!#REF!</f>
        <v>#REF!</v>
      </c>
      <c r="C16" s="5" t="e">
        <f>'Ingreso de Datos'!#REF!</f>
        <v>#REF!</v>
      </c>
    </row>
    <row r="17" spans="1:3" x14ac:dyDescent="0.35">
      <c r="A17" t="e">
        <f>'Ingreso de Datos'!#REF!</f>
        <v>#REF!</v>
      </c>
      <c r="B17" s="5" t="e">
        <f>'Ingreso de Datos'!#REF!</f>
        <v>#REF!</v>
      </c>
      <c r="C17" s="5" t="e">
        <f>'Ingreso de Datos'!#REF!</f>
        <v>#REF!</v>
      </c>
    </row>
    <row r="18" spans="1:3" x14ac:dyDescent="0.35">
      <c r="A18" t="e">
        <f>'Ingreso de Datos'!#REF!</f>
        <v>#REF!</v>
      </c>
      <c r="B18" s="5" t="e">
        <f>'Ingreso de Datos'!#REF!</f>
        <v>#REF!</v>
      </c>
      <c r="C18" s="5" t="e">
        <f>'Ingreso de Datos'!#REF!</f>
        <v>#REF!</v>
      </c>
    </row>
    <row r="19" spans="1:3" x14ac:dyDescent="0.35">
      <c r="A19" t="e">
        <f>'Ingreso de Datos'!#REF!</f>
        <v>#REF!</v>
      </c>
      <c r="B19" s="5" t="e">
        <f>'Ingreso de Datos'!#REF!</f>
        <v>#REF!</v>
      </c>
      <c r="C19" s="5" t="e">
        <f>'Ingreso de Datos'!#REF!</f>
        <v>#REF!</v>
      </c>
    </row>
    <row r="20" spans="1:3" x14ac:dyDescent="0.35">
      <c r="A20" t="e">
        <f>'Ingreso de Datos'!#REF!</f>
        <v>#REF!</v>
      </c>
      <c r="B20" s="5" t="e">
        <f>+IF('Ingreso de Datos'!#REF!="Positiva ",1,-1)</f>
        <v>#REF!</v>
      </c>
      <c r="C20" s="5" t="e">
        <f>'Ingreso de Datos'!#REF!</f>
        <v>#REF!</v>
      </c>
    </row>
    <row r="21" spans="1:3" x14ac:dyDescent="0.35">
      <c r="A21" t="e">
        <f>'Ingreso de Datos'!#REF!</f>
        <v>#REF!</v>
      </c>
      <c r="B21" s="5" t="e">
        <f>'Ingreso de Datos'!#REF!</f>
        <v>#REF!</v>
      </c>
      <c r="C21" s="5" t="e">
        <f>'Ingreso de Datos'!#REF!</f>
        <v>#REF!</v>
      </c>
    </row>
    <row r="22" spans="1:3" x14ac:dyDescent="0.35">
      <c r="A22" t="e">
        <f>'Ingreso de Datos'!#REF!</f>
        <v>#REF!</v>
      </c>
      <c r="B22" s="5" t="e">
        <f>'Ingreso de Datos'!#REF!</f>
        <v>#REF!</v>
      </c>
      <c r="C22" s="5" t="e">
        <f>'Ingreso de Datos'!#REF!</f>
        <v>#REF!</v>
      </c>
    </row>
    <row r="23" spans="1:3" x14ac:dyDescent="0.35">
      <c r="A23" t="e">
        <f>'Ingreso de Datos'!#REF!</f>
        <v>#REF!</v>
      </c>
      <c r="B23" s="5" t="e">
        <f>'Ingreso de Datos'!#REF!</f>
        <v>#REF!</v>
      </c>
      <c r="C23" s="5" t="e">
        <f>'Ingreso de Datos'!#REF!</f>
        <v>#REF!</v>
      </c>
    </row>
    <row r="24" spans="1:3" x14ac:dyDescent="0.35">
      <c r="A24" t="e">
        <f>'Ingreso de Datos'!#REF!</f>
        <v>#REF!</v>
      </c>
      <c r="B24" s="5" t="e">
        <f>'Ingreso de Datos'!#REF!</f>
        <v>#REF!</v>
      </c>
      <c r="C24" s="5" t="e">
        <f>'Ingreso de Datos'!#REF!</f>
        <v>#REF!</v>
      </c>
    </row>
    <row r="25" spans="1:3" x14ac:dyDescent="0.35">
      <c r="A25">
        <f>'Ingreso de Datos'!$B13</f>
        <v>0</v>
      </c>
      <c r="B25" s="5">
        <f>+IF('Ingreso de Datos'!D13="Positiva ",1,-1)</f>
        <v>-1</v>
      </c>
      <c r="C25" s="5">
        <f>'Ingreso de Datos'!$G13</f>
        <v>0</v>
      </c>
    </row>
    <row r="26" spans="1:3" x14ac:dyDescent="0.35">
      <c r="A26" t="e">
        <f>'Ingreso de Datos'!#REF!</f>
        <v>#REF!</v>
      </c>
      <c r="B26" s="5" t="e">
        <f>'Ingreso de Datos'!#REF!</f>
        <v>#REF!</v>
      </c>
      <c r="C26" s="5" t="e">
        <f>'Ingreso de Datos'!#REF!</f>
        <v>#REF!</v>
      </c>
    </row>
    <row r="27" spans="1:3" x14ac:dyDescent="0.35">
      <c r="A27" t="e">
        <f>'Ingreso de Datos'!#REF!</f>
        <v>#REF!</v>
      </c>
      <c r="B27" s="5" t="e">
        <f>'Ingreso de Datos'!#REF!</f>
        <v>#REF!</v>
      </c>
      <c r="C27" s="5" t="e">
        <f>'Ingreso de Datos'!#REF!</f>
        <v>#REF!</v>
      </c>
    </row>
    <row r="28" spans="1:3" x14ac:dyDescent="0.35">
      <c r="A28" t="e">
        <f>'Ingreso de Datos'!#REF!</f>
        <v>#REF!</v>
      </c>
      <c r="B28" s="5" t="e">
        <f>'Ingreso de Datos'!#REF!</f>
        <v>#REF!</v>
      </c>
      <c r="C28" s="5" t="e">
        <f>'Ingreso de Datos'!#REF!</f>
        <v>#REF!</v>
      </c>
    </row>
    <row r="29" spans="1:3" x14ac:dyDescent="0.35">
      <c r="A29" t="e">
        <f>'Ingreso de Datos'!#REF!</f>
        <v>#REF!</v>
      </c>
      <c r="B29" s="5" t="e">
        <f>'Ingreso de Datos'!#REF!</f>
        <v>#REF!</v>
      </c>
      <c r="C29" s="5" t="e">
        <f>'Ingreso de Datos'!#REF!</f>
        <v>#REF!</v>
      </c>
    </row>
    <row r="30" spans="1:3" x14ac:dyDescent="0.35">
      <c r="A30" t="e">
        <f>'Ingreso de Datos'!#REF!</f>
        <v>#REF!</v>
      </c>
      <c r="B30" s="5" t="e">
        <f>+IF('Ingreso de Datos'!#REF!="Positiva ",1,-1)</f>
        <v>#REF!</v>
      </c>
      <c r="C30" s="5" t="e">
        <f>'Ingreso de Datos'!#REF!</f>
        <v>#REF!</v>
      </c>
    </row>
    <row r="31" spans="1:3" x14ac:dyDescent="0.35">
      <c r="A31" t="e">
        <f>'Ingreso de Datos'!#REF!</f>
        <v>#REF!</v>
      </c>
      <c r="B31" s="5" t="e">
        <f>'Ingreso de Datos'!#REF!</f>
        <v>#REF!</v>
      </c>
      <c r="C31" s="5" t="e">
        <f>'Ingreso de Datos'!#REF!</f>
        <v>#REF!</v>
      </c>
    </row>
    <row r="32" spans="1:3" x14ac:dyDescent="0.35">
      <c r="A32" t="e">
        <f>'Ingreso de Datos'!#REF!</f>
        <v>#REF!</v>
      </c>
      <c r="B32" s="5" t="e">
        <f>'Ingreso de Datos'!#REF!</f>
        <v>#REF!</v>
      </c>
      <c r="C32" s="5" t="e">
        <f>'Ingreso de Datos'!#REF!</f>
        <v>#REF!</v>
      </c>
    </row>
    <row r="33" spans="1:3" x14ac:dyDescent="0.35">
      <c r="A33" t="e">
        <f>'Ingreso de Datos'!#REF!</f>
        <v>#REF!</v>
      </c>
      <c r="B33" s="5" t="e">
        <f>'Ingreso de Datos'!#REF!</f>
        <v>#REF!</v>
      </c>
      <c r="C33" s="5" t="e">
        <f>'Ingreso de Datos'!#REF!</f>
        <v>#REF!</v>
      </c>
    </row>
    <row r="34" spans="1:3" x14ac:dyDescent="0.35">
      <c r="A34" t="e">
        <f>'Ingreso de Datos'!#REF!</f>
        <v>#REF!</v>
      </c>
      <c r="B34" s="5" t="e">
        <f>'Ingreso de Datos'!#REF!</f>
        <v>#REF!</v>
      </c>
      <c r="C34" s="5" t="e">
        <f>'Ingreso de Datos'!#REF!</f>
        <v>#REF!</v>
      </c>
    </row>
    <row r="35" spans="1:3" x14ac:dyDescent="0.35">
      <c r="A35" t="e">
        <f>'Ingreso de Datos'!#REF!</f>
        <v>#REF!</v>
      </c>
      <c r="B35" s="5" t="e">
        <f>+IF('Ingreso de Datos'!#REF!="Positiva ",1,-1)</f>
        <v>#REF!</v>
      </c>
      <c r="C35" s="5" t="e">
        <f>'Ingreso de Datos'!#REF!</f>
        <v>#REF!</v>
      </c>
    </row>
    <row r="36" spans="1:3" x14ac:dyDescent="0.35">
      <c r="A36" t="e">
        <f>'Ingreso de Datos'!#REF!</f>
        <v>#REF!</v>
      </c>
      <c r="B36" s="5" t="e">
        <f>'Ingreso de Datos'!#REF!</f>
        <v>#REF!</v>
      </c>
      <c r="C36" s="5" t="e">
        <f>'Ingreso de Datos'!#REF!</f>
        <v>#REF!</v>
      </c>
    </row>
    <row r="37" spans="1:3" x14ac:dyDescent="0.35">
      <c r="A37" t="e">
        <f>'Ingreso de Datos'!#REF!</f>
        <v>#REF!</v>
      </c>
      <c r="B37" s="5" t="e">
        <f>'Ingreso de Datos'!#REF!</f>
        <v>#REF!</v>
      </c>
      <c r="C37" s="5" t="e">
        <f>'Ingreso de Datos'!#REF!</f>
        <v>#REF!</v>
      </c>
    </row>
    <row r="38" spans="1:3" x14ac:dyDescent="0.35">
      <c r="A38" t="e">
        <f>'Ingreso de Datos'!#REF!</f>
        <v>#REF!</v>
      </c>
      <c r="B38" s="5" t="e">
        <f>'Ingreso de Datos'!#REF!</f>
        <v>#REF!</v>
      </c>
      <c r="C38" s="5" t="e">
        <f>'Ingreso de Datos'!#REF!</f>
        <v>#REF!</v>
      </c>
    </row>
    <row r="39" spans="1:3" x14ac:dyDescent="0.35">
      <c r="A39" t="e">
        <f>'Ingreso de Datos'!#REF!</f>
        <v>#REF!</v>
      </c>
      <c r="B39" s="5" t="e">
        <f>'Ingreso de Datos'!#REF!</f>
        <v>#REF!</v>
      </c>
      <c r="C39" s="5" t="e">
        <f>'Ingreso de Datos'!#REF!</f>
        <v>#REF!</v>
      </c>
    </row>
    <row r="40" spans="1:3" x14ac:dyDescent="0.35">
      <c r="A40">
        <f>'Ingreso de Datos'!$B13</f>
        <v>0</v>
      </c>
      <c r="B40" s="5">
        <f>+IF('Ingreso de Datos'!D13="Positiva ",1,-1)</f>
        <v>-1</v>
      </c>
      <c r="C40" s="5">
        <f>'Ingreso de Datos'!$G13</f>
        <v>0</v>
      </c>
    </row>
    <row r="41" spans="1:3" x14ac:dyDescent="0.35">
      <c r="A41" t="e">
        <f>'Ingreso de Datos'!#REF!</f>
        <v>#REF!</v>
      </c>
      <c r="B41" s="5" t="e">
        <f>'Ingreso de Datos'!#REF!</f>
        <v>#REF!</v>
      </c>
      <c r="C41" s="5" t="e">
        <f>'Ingreso de Datos'!#REF!</f>
        <v>#REF!</v>
      </c>
    </row>
    <row r="42" spans="1:3" x14ac:dyDescent="0.35">
      <c r="A42" t="e">
        <f>'Ingreso de Datos'!#REF!</f>
        <v>#REF!</v>
      </c>
      <c r="B42" s="5" t="e">
        <f>'Ingreso de Datos'!#REF!</f>
        <v>#REF!</v>
      </c>
      <c r="C42" s="5" t="e">
        <f>'Ingreso de Datos'!#REF!</f>
        <v>#REF!</v>
      </c>
    </row>
    <row r="43" spans="1:3" x14ac:dyDescent="0.35">
      <c r="A43" t="e">
        <f>'Ingreso de Datos'!#REF!</f>
        <v>#REF!</v>
      </c>
      <c r="B43" s="5" t="e">
        <f>'Ingreso de Datos'!#REF!</f>
        <v>#REF!</v>
      </c>
      <c r="C43" s="5" t="e">
        <f>'Ingreso de Datos'!#REF!</f>
        <v>#REF!</v>
      </c>
    </row>
    <row r="44" spans="1:3" x14ac:dyDescent="0.35">
      <c r="A44" t="e">
        <f>'Ingreso de Datos'!#REF!</f>
        <v>#REF!</v>
      </c>
      <c r="B44" s="5" t="e">
        <f>'Ingreso de Datos'!#REF!</f>
        <v>#REF!</v>
      </c>
      <c r="C44" s="5" t="e">
        <f>'Ingreso de Datos'!#REF!</f>
        <v>#REF!</v>
      </c>
    </row>
    <row r="45" spans="1:3" x14ac:dyDescent="0.35">
      <c r="A45" t="e">
        <f>'Ingreso de Datos'!#REF!</f>
        <v>#REF!</v>
      </c>
      <c r="B45" s="5" t="e">
        <f>+IF('Ingreso de Datos'!#REF!="Positiva ",1,-1)</f>
        <v>#REF!</v>
      </c>
      <c r="C45" s="5" t="e">
        <f>'Ingreso de Datos'!#REF!</f>
        <v>#REF!</v>
      </c>
    </row>
    <row r="46" spans="1:3" x14ac:dyDescent="0.35">
      <c r="A46" t="e">
        <f>'Ingreso de Datos'!#REF!</f>
        <v>#REF!</v>
      </c>
      <c r="B46" s="5" t="e">
        <f>'Ingreso de Datos'!#REF!</f>
        <v>#REF!</v>
      </c>
      <c r="C46" s="5" t="e">
        <f>'Ingreso de Datos'!#REF!</f>
        <v>#REF!</v>
      </c>
    </row>
    <row r="47" spans="1:3" x14ac:dyDescent="0.35">
      <c r="A47" t="e">
        <f>'Ingreso de Datos'!#REF!</f>
        <v>#REF!</v>
      </c>
      <c r="B47" s="5" t="e">
        <f>'Ingreso de Datos'!#REF!</f>
        <v>#REF!</v>
      </c>
      <c r="C47" s="5" t="e">
        <f>'Ingreso de Datos'!#REF!</f>
        <v>#REF!</v>
      </c>
    </row>
    <row r="48" spans="1:3" x14ac:dyDescent="0.35">
      <c r="A48" t="e">
        <f>'Ingreso de Datos'!#REF!</f>
        <v>#REF!</v>
      </c>
      <c r="B48" s="5" t="e">
        <f>'Ingreso de Datos'!#REF!</f>
        <v>#REF!</v>
      </c>
      <c r="C48" s="5" t="e">
        <f>'Ingreso de Datos'!#REF!</f>
        <v>#REF!</v>
      </c>
    </row>
    <row r="49" spans="1:3" x14ac:dyDescent="0.35">
      <c r="A49" t="e">
        <f>'Ingreso de Datos'!#REF!</f>
        <v>#REF!</v>
      </c>
      <c r="B49" s="5" t="e">
        <f>'Ingreso de Datos'!#REF!</f>
        <v>#REF!</v>
      </c>
      <c r="C49" s="5" t="e">
        <f>'Ingreso de Datos'!#REF!</f>
        <v>#REF!</v>
      </c>
    </row>
    <row r="50" spans="1:3" x14ac:dyDescent="0.35">
      <c r="A50">
        <f>'Ingreso de Datos'!$B13</f>
        <v>0</v>
      </c>
      <c r="B50" s="5">
        <f>+IF('Ingreso de Datos'!D13="Positiva ",1,-1)</f>
        <v>-1</v>
      </c>
      <c r="C50" s="5">
        <f>'Ingreso de Datos'!$G13</f>
        <v>0</v>
      </c>
    </row>
    <row r="51" spans="1:3" x14ac:dyDescent="0.35">
      <c r="A51" t="e">
        <f>'Ingreso de Datos'!#REF!</f>
        <v>#REF!</v>
      </c>
      <c r="B51" s="5" t="e">
        <f>'Ingreso de Datos'!#REF!</f>
        <v>#REF!</v>
      </c>
      <c r="C51" s="5" t="e">
        <f>'Ingreso de Datos'!#REF!</f>
        <v>#REF!</v>
      </c>
    </row>
    <row r="52" spans="1:3" x14ac:dyDescent="0.35">
      <c r="A52" t="e">
        <f>'Ingreso de Datos'!#REF!</f>
        <v>#REF!</v>
      </c>
      <c r="B52" s="5" t="e">
        <f>'Ingreso de Datos'!#REF!</f>
        <v>#REF!</v>
      </c>
      <c r="C52" s="5" t="e">
        <f>'Ingreso de Datos'!#REF!</f>
        <v>#REF!</v>
      </c>
    </row>
    <row r="53" spans="1:3" x14ac:dyDescent="0.35">
      <c r="A53" t="e">
        <f>'Ingreso de Datos'!#REF!</f>
        <v>#REF!</v>
      </c>
      <c r="B53" s="5" t="e">
        <f>'Ingreso de Datos'!#REF!</f>
        <v>#REF!</v>
      </c>
      <c r="C53" s="5" t="e">
        <f>'Ingreso de Datos'!#REF!</f>
        <v>#REF!</v>
      </c>
    </row>
    <row r="54" spans="1:3" x14ac:dyDescent="0.35">
      <c r="A54" t="e">
        <f>'Ingreso de Datos'!#REF!</f>
        <v>#REF!</v>
      </c>
      <c r="B54" s="5" t="e">
        <f>'Ingreso de Datos'!#REF!</f>
        <v>#REF!</v>
      </c>
      <c r="C54" s="5" t="e">
        <f>'Ingreso de Datos'!#REF!</f>
        <v>#REF!</v>
      </c>
    </row>
    <row r="55" spans="1:3" x14ac:dyDescent="0.35">
      <c r="A55">
        <f>'Ingreso de Datos'!$B13</f>
        <v>0</v>
      </c>
      <c r="B55" s="5">
        <f>+IF('Ingreso de Datos'!D13="Positiva ",1,-1)</f>
        <v>-1</v>
      </c>
      <c r="C55" s="5">
        <f>'Ingreso de Datos'!$G13</f>
        <v>0</v>
      </c>
    </row>
    <row r="56" spans="1:3" x14ac:dyDescent="0.35">
      <c r="A56" t="e">
        <f>'Ingreso de Datos'!#REF!</f>
        <v>#REF!</v>
      </c>
      <c r="B56" s="5" t="e">
        <f>'Ingreso de Datos'!#REF!</f>
        <v>#REF!</v>
      </c>
      <c r="C56" s="5" t="e">
        <f>'Ingreso de Datos'!#REF!</f>
        <v>#REF!</v>
      </c>
    </row>
    <row r="57" spans="1:3" x14ac:dyDescent="0.35">
      <c r="A57" t="e">
        <f>'Ingreso de Datos'!#REF!</f>
        <v>#REF!</v>
      </c>
      <c r="B57" s="5" t="e">
        <f>'Ingreso de Datos'!#REF!</f>
        <v>#REF!</v>
      </c>
      <c r="C57" s="5" t="e">
        <f>'Ingreso de Datos'!#REF!</f>
        <v>#REF!</v>
      </c>
    </row>
    <row r="58" spans="1:3" x14ac:dyDescent="0.35">
      <c r="A58" t="e">
        <f>'Ingreso de Datos'!#REF!</f>
        <v>#REF!</v>
      </c>
      <c r="B58" s="5" t="e">
        <f>'Ingreso de Datos'!#REF!</f>
        <v>#REF!</v>
      </c>
      <c r="C58" s="5" t="e">
        <f>'Ingreso de Datos'!#REF!</f>
        <v>#REF!</v>
      </c>
    </row>
    <row r="59" spans="1:3" x14ac:dyDescent="0.35">
      <c r="A59" t="e">
        <f>'Ingreso de Datos'!#REF!</f>
        <v>#REF!</v>
      </c>
      <c r="B59" s="5" t="e">
        <f>'Ingreso de Datos'!#REF!</f>
        <v>#REF!</v>
      </c>
      <c r="C59" s="5" t="e">
        <f>'Ingreso de Datos'!#REF!</f>
        <v>#REF!</v>
      </c>
    </row>
    <row r="60" spans="1:3" x14ac:dyDescent="0.35">
      <c r="A60" t="e">
        <f>'Ingreso de Datos'!#REF!</f>
        <v>#REF!</v>
      </c>
      <c r="B60" s="5" t="e">
        <f>+IF('Ingreso de Datos'!#REF!="Positiva ",1,-1)</f>
        <v>#REF!</v>
      </c>
      <c r="C60" s="5" t="e">
        <f>'Ingreso de Datos'!#REF!</f>
        <v>#REF!</v>
      </c>
    </row>
    <row r="61" spans="1:3" x14ac:dyDescent="0.35">
      <c r="A61" t="e">
        <f>'Ingreso de Datos'!#REF!</f>
        <v>#REF!</v>
      </c>
      <c r="B61" s="5" t="e">
        <f>'Ingreso de Datos'!#REF!</f>
        <v>#REF!</v>
      </c>
      <c r="C61" s="5" t="e">
        <f>'Ingreso de Datos'!#REF!</f>
        <v>#REF!</v>
      </c>
    </row>
    <row r="62" spans="1:3" x14ac:dyDescent="0.35">
      <c r="A62" t="e">
        <f>'Ingreso de Datos'!#REF!</f>
        <v>#REF!</v>
      </c>
      <c r="B62" s="5" t="e">
        <f>'Ingreso de Datos'!#REF!</f>
        <v>#REF!</v>
      </c>
      <c r="C62" s="5" t="e">
        <f>'Ingreso de Datos'!#REF!</f>
        <v>#REF!</v>
      </c>
    </row>
    <row r="63" spans="1:3" x14ac:dyDescent="0.35">
      <c r="A63" t="e">
        <f>'Ingreso de Datos'!#REF!</f>
        <v>#REF!</v>
      </c>
      <c r="B63" s="5" t="e">
        <f>'Ingreso de Datos'!#REF!</f>
        <v>#REF!</v>
      </c>
      <c r="C63" s="5" t="e">
        <f>'Ingreso de Datos'!#REF!</f>
        <v>#REF!</v>
      </c>
    </row>
    <row r="64" spans="1:3" x14ac:dyDescent="0.35">
      <c r="A64" t="e">
        <f>'Ingreso de Datos'!#REF!</f>
        <v>#REF!</v>
      </c>
      <c r="B64" s="5" t="e">
        <f>'Ingreso de Datos'!#REF!</f>
        <v>#REF!</v>
      </c>
      <c r="C64" s="5" t="e">
        <f>'Ingreso de Datos'!#REF!</f>
        <v>#REF!</v>
      </c>
    </row>
    <row r="65" spans="1:3" x14ac:dyDescent="0.35">
      <c r="A65" t="e">
        <f>'Ingreso de Datos'!#REF!</f>
        <v>#REF!</v>
      </c>
      <c r="B65" s="5" t="e">
        <f>+IF('Ingreso de Datos'!#REF!="Positiva ",1,-1)</f>
        <v>#REF!</v>
      </c>
      <c r="C65" s="5" t="e">
        <f>'Ingreso de Datos'!#REF!</f>
        <v>#REF!</v>
      </c>
    </row>
    <row r="66" spans="1:3" x14ac:dyDescent="0.35">
      <c r="A66" t="e">
        <f>'Ingreso de Datos'!#REF!</f>
        <v>#REF!</v>
      </c>
      <c r="B66" s="5" t="e">
        <f>'Ingreso de Datos'!#REF!</f>
        <v>#REF!</v>
      </c>
      <c r="C66" s="5" t="e">
        <f>'Ingreso de Datos'!#REF!</f>
        <v>#REF!</v>
      </c>
    </row>
    <row r="67" spans="1:3" x14ac:dyDescent="0.35">
      <c r="A67" t="e">
        <f>'Ingreso de Datos'!#REF!</f>
        <v>#REF!</v>
      </c>
      <c r="B67" s="5" t="e">
        <f>'Ingreso de Datos'!#REF!</f>
        <v>#REF!</v>
      </c>
      <c r="C67" s="5" t="e">
        <f>'Ingreso de Datos'!#REF!</f>
        <v>#REF!</v>
      </c>
    </row>
    <row r="68" spans="1:3" x14ac:dyDescent="0.35">
      <c r="A68" t="e">
        <f>'Ingreso de Datos'!#REF!</f>
        <v>#REF!</v>
      </c>
      <c r="B68" s="5" t="e">
        <f>'Ingreso de Datos'!#REF!</f>
        <v>#REF!</v>
      </c>
      <c r="C68" s="5" t="e">
        <f>'Ingreso de Datos'!#REF!</f>
        <v>#REF!</v>
      </c>
    </row>
    <row r="69" spans="1:3" x14ac:dyDescent="0.35">
      <c r="A69" t="e">
        <f>'Ingreso de Datos'!#REF!</f>
        <v>#REF!</v>
      </c>
      <c r="B69" s="5" t="e">
        <f>'Ingreso de Datos'!#REF!</f>
        <v>#REF!</v>
      </c>
      <c r="C69" s="5" t="e">
        <f>'Ingreso de Datos'!#REF!</f>
        <v>#REF!</v>
      </c>
    </row>
    <row r="70" spans="1:3" x14ac:dyDescent="0.35">
      <c r="A70" t="e">
        <f>'Ingreso de Datos'!#REF!</f>
        <v>#REF!</v>
      </c>
      <c r="B70" s="5" t="e">
        <f>+IF('Ingreso de Datos'!#REF!="Positiva ",1,-1)</f>
        <v>#REF!</v>
      </c>
      <c r="C70" s="5" t="e">
        <f>'Ingreso de Datos'!#REF!</f>
        <v>#REF!</v>
      </c>
    </row>
    <row r="71" spans="1:3" x14ac:dyDescent="0.35">
      <c r="A71" t="e">
        <f>'Ingreso de Datos'!#REF!</f>
        <v>#REF!</v>
      </c>
      <c r="B71" s="5" t="e">
        <f>'Ingreso de Datos'!#REF!</f>
        <v>#REF!</v>
      </c>
      <c r="C71" s="5" t="e">
        <f>'Ingreso de Datos'!#REF!</f>
        <v>#REF!</v>
      </c>
    </row>
    <row r="72" spans="1:3" x14ac:dyDescent="0.35">
      <c r="A72" t="e">
        <f>'Ingreso de Datos'!#REF!</f>
        <v>#REF!</v>
      </c>
      <c r="B72" s="5" t="e">
        <f>'Ingreso de Datos'!#REF!</f>
        <v>#REF!</v>
      </c>
      <c r="C72" s="5" t="e">
        <f>'Ingreso de Datos'!#REF!</f>
        <v>#REF!</v>
      </c>
    </row>
    <row r="73" spans="1:3" x14ac:dyDescent="0.35">
      <c r="A73" t="e">
        <f>'Ingreso de Datos'!#REF!</f>
        <v>#REF!</v>
      </c>
      <c r="B73" s="5" t="e">
        <f>'Ingreso de Datos'!#REF!</f>
        <v>#REF!</v>
      </c>
      <c r="C73" s="5" t="e">
        <f>'Ingreso de Datos'!#REF!</f>
        <v>#REF!</v>
      </c>
    </row>
    <row r="74" spans="1:3" x14ac:dyDescent="0.35">
      <c r="A74" t="e">
        <f>'Ingreso de Datos'!#REF!</f>
        <v>#REF!</v>
      </c>
      <c r="B74" s="5" t="e">
        <f>'Ingreso de Datos'!#REF!</f>
        <v>#REF!</v>
      </c>
      <c r="C74" s="5" t="e">
        <f>'Ingreso de Datos'!#REF!</f>
        <v>#REF!</v>
      </c>
    </row>
    <row r="75" spans="1:3" x14ac:dyDescent="0.35">
      <c r="A75" t="e">
        <f>'Ingreso de Datos'!#REF!</f>
        <v>#REF!</v>
      </c>
      <c r="B75" s="5" t="e">
        <f>+IF('Ingreso de Datos'!#REF!="Positiva ",1,-1)</f>
        <v>#REF!</v>
      </c>
      <c r="C75" s="5" t="e">
        <f>'Ingreso de Datos'!#REF!</f>
        <v>#REF!</v>
      </c>
    </row>
    <row r="76" spans="1:3" x14ac:dyDescent="0.35">
      <c r="A76" t="e">
        <f>'Ingreso de Datos'!#REF!</f>
        <v>#REF!</v>
      </c>
      <c r="B76" s="5" t="e">
        <f>'Ingreso de Datos'!#REF!</f>
        <v>#REF!</v>
      </c>
      <c r="C76" s="5" t="e">
        <f>'Ingreso de Datos'!#REF!</f>
        <v>#REF!</v>
      </c>
    </row>
    <row r="77" spans="1:3" x14ac:dyDescent="0.35">
      <c r="A77" t="e">
        <f>'Ingreso de Datos'!#REF!</f>
        <v>#REF!</v>
      </c>
      <c r="B77" s="5" t="e">
        <f>'Ingreso de Datos'!#REF!</f>
        <v>#REF!</v>
      </c>
      <c r="C77" s="5" t="e">
        <f>'Ingreso de Datos'!#REF!</f>
        <v>#REF!</v>
      </c>
    </row>
    <row r="78" spans="1:3" x14ac:dyDescent="0.35">
      <c r="A78" t="e">
        <f>'Ingreso de Datos'!#REF!</f>
        <v>#REF!</v>
      </c>
      <c r="B78" s="5" t="e">
        <f>'Ingreso de Datos'!#REF!</f>
        <v>#REF!</v>
      </c>
      <c r="C78" s="5" t="e">
        <f>'Ingreso de Datos'!#REF!</f>
        <v>#REF!</v>
      </c>
    </row>
    <row r="79" spans="1:3" x14ac:dyDescent="0.35">
      <c r="A79" t="e">
        <f>'Ingreso de Datos'!#REF!</f>
        <v>#REF!</v>
      </c>
      <c r="B79" s="5" t="e">
        <f>'Ingreso de Datos'!#REF!</f>
        <v>#REF!</v>
      </c>
      <c r="C79" s="5" t="e">
        <f>'Ingreso de Datos'!#REF!</f>
        <v>#REF!</v>
      </c>
    </row>
    <row r="80" spans="1:3" x14ac:dyDescent="0.35">
      <c r="A80" t="e">
        <f>'Ingreso de Datos'!#REF!</f>
        <v>#REF!</v>
      </c>
      <c r="B80" s="5" t="e">
        <f>+IF('Ingreso de Datos'!#REF!="Positiva ",1,-1)</f>
        <v>#REF!</v>
      </c>
      <c r="C80" s="5" t="e">
        <f>'Ingreso de Datos'!#REF!</f>
        <v>#REF!</v>
      </c>
    </row>
    <row r="81" spans="1:3" x14ac:dyDescent="0.35">
      <c r="A81" t="e">
        <f>'Ingreso de Datos'!#REF!</f>
        <v>#REF!</v>
      </c>
      <c r="B81" s="5" t="e">
        <f>'Ingreso de Datos'!#REF!</f>
        <v>#REF!</v>
      </c>
      <c r="C81" s="5" t="e">
        <f>'Ingreso de Datos'!#REF!</f>
        <v>#REF!</v>
      </c>
    </row>
    <row r="82" spans="1:3" x14ac:dyDescent="0.35">
      <c r="A82" t="e">
        <f>'Ingreso de Datos'!#REF!</f>
        <v>#REF!</v>
      </c>
      <c r="B82" s="5" t="e">
        <f>'Ingreso de Datos'!#REF!</f>
        <v>#REF!</v>
      </c>
      <c r="C82" s="5" t="e">
        <f>'Ingreso de Datos'!#REF!</f>
        <v>#REF!</v>
      </c>
    </row>
    <row r="83" spans="1:3" x14ac:dyDescent="0.35">
      <c r="A83" t="e">
        <f>'Ingreso de Datos'!#REF!</f>
        <v>#REF!</v>
      </c>
      <c r="B83" s="5" t="e">
        <f>'Ingreso de Datos'!#REF!</f>
        <v>#REF!</v>
      </c>
      <c r="C83" s="5" t="e">
        <f>'Ingreso de Datos'!#REF!</f>
        <v>#REF!</v>
      </c>
    </row>
    <row r="84" spans="1:3" x14ac:dyDescent="0.35">
      <c r="A84" t="e">
        <f>'Ingreso de Datos'!#REF!</f>
        <v>#REF!</v>
      </c>
      <c r="B84" s="5" t="e">
        <f>'Ingreso de Datos'!#REF!</f>
        <v>#REF!</v>
      </c>
      <c r="C84" s="5" t="e">
        <f>'Ingreso de Datos'!#REF!</f>
        <v>#REF!</v>
      </c>
    </row>
    <row r="85" spans="1:3" x14ac:dyDescent="0.35">
      <c r="A85">
        <f>'Ingreso de Datos'!$B13</f>
        <v>0</v>
      </c>
      <c r="B85" s="5">
        <f>+IF('Ingreso de Datos'!D13="Positiva ",1,-1)</f>
        <v>-1</v>
      </c>
      <c r="C85" s="5">
        <f>'Ingreso de Datos'!$G13</f>
        <v>0</v>
      </c>
    </row>
    <row r="86" spans="1:3" x14ac:dyDescent="0.35">
      <c r="A86" t="e">
        <f>'Ingreso de Datos'!#REF!</f>
        <v>#REF!</v>
      </c>
      <c r="B86" s="5" t="e">
        <f>'Ingreso de Datos'!#REF!</f>
        <v>#REF!</v>
      </c>
      <c r="C86" s="5" t="e">
        <f>'Ingreso de Datos'!#REF!</f>
        <v>#REF!</v>
      </c>
    </row>
    <row r="87" spans="1:3" x14ac:dyDescent="0.35">
      <c r="A87" t="e">
        <f>'Ingreso de Datos'!#REF!</f>
        <v>#REF!</v>
      </c>
      <c r="B87" s="5" t="e">
        <f>'Ingreso de Datos'!#REF!</f>
        <v>#REF!</v>
      </c>
      <c r="C87" s="5" t="e">
        <f>'Ingreso de Datos'!#REF!</f>
        <v>#REF!</v>
      </c>
    </row>
    <row r="88" spans="1:3" x14ac:dyDescent="0.35">
      <c r="A88" t="e">
        <f>'Ingreso de Datos'!#REF!</f>
        <v>#REF!</v>
      </c>
      <c r="B88" s="5" t="e">
        <f>'Ingreso de Datos'!#REF!</f>
        <v>#REF!</v>
      </c>
      <c r="C88" s="5" t="e">
        <f>'Ingreso de Datos'!#REF!</f>
        <v>#REF!</v>
      </c>
    </row>
    <row r="89" spans="1:3" x14ac:dyDescent="0.35">
      <c r="A89" t="e">
        <f>'Ingreso de Datos'!#REF!</f>
        <v>#REF!</v>
      </c>
      <c r="B89" s="5" t="e">
        <f>'Ingreso de Datos'!#REF!</f>
        <v>#REF!</v>
      </c>
      <c r="C89" s="5" t="e">
        <f>'Ingreso de Datos'!#REF!</f>
        <v>#REF!</v>
      </c>
    </row>
    <row r="90" spans="1:3" x14ac:dyDescent="0.35">
      <c r="A90">
        <f>'Ingreso de Datos'!$B13</f>
        <v>0</v>
      </c>
      <c r="B90" s="5">
        <f>+IF('Ingreso de Datos'!D13="Positiva ",1,-1)</f>
        <v>-1</v>
      </c>
      <c r="C90" s="5">
        <f>'Ingreso de Datos'!$G13</f>
        <v>0</v>
      </c>
    </row>
    <row r="91" spans="1:3" x14ac:dyDescent="0.35">
      <c r="A91" t="e">
        <f>'Ingreso de Datos'!#REF!</f>
        <v>#REF!</v>
      </c>
      <c r="B91" s="5" t="e">
        <f>'Ingreso de Datos'!#REF!</f>
        <v>#REF!</v>
      </c>
      <c r="C91" s="5" t="e">
        <f>'Ingreso de Datos'!#REF!</f>
        <v>#REF!</v>
      </c>
    </row>
    <row r="92" spans="1:3" x14ac:dyDescent="0.35">
      <c r="A92" t="e">
        <f>'Ingreso de Datos'!#REF!</f>
        <v>#REF!</v>
      </c>
      <c r="B92" s="5" t="e">
        <f>'Ingreso de Datos'!#REF!</f>
        <v>#REF!</v>
      </c>
      <c r="C92" s="5" t="e">
        <f>'Ingreso de Datos'!#REF!</f>
        <v>#REF!</v>
      </c>
    </row>
    <row r="93" spans="1:3" x14ac:dyDescent="0.35">
      <c r="A93" t="e">
        <f>'Ingreso de Datos'!#REF!</f>
        <v>#REF!</v>
      </c>
      <c r="B93" s="5" t="e">
        <f>'Ingreso de Datos'!#REF!</f>
        <v>#REF!</v>
      </c>
      <c r="C93" s="5" t="e">
        <f>'Ingreso de Datos'!#REF!</f>
        <v>#REF!</v>
      </c>
    </row>
    <row r="94" spans="1:3" x14ac:dyDescent="0.35">
      <c r="A94" t="e">
        <f>'Ingreso de Datos'!#REF!</f>
        <v>#REF!</v>
      </c>
      <c r="B94" s="5" t="e">
        <f>'Ingreso de Datos'!#REF!</f>
        <v>#REF!</v>
      </c>
      <c r="C94" s="5" t="e">
        <f>'Ingreso de Datos'!#REF!</f>
        <v>#REF!</v>
      </c>
    </row>
    <row r="95" spans="1:3" x14ac:dyDescent="0.35">
      <c r="A95" t="e">
        <f>'Ingreso de Datos'!#REF!</f>
        <v>#REF!</v>
      </c>
      <c r="B95" s="5" t="e">
        <f>+IF('Ingreso de Datos'!#REF!="Positiva ",1,-1)</f>
        <v>#REF!</v>
      </c>
      <c r="C95" s="5" t="e">
        <f>'Ingreso de Datos'!#REF!</f>
        <v>#REF!</v>
      </c>
    </row>
    <row r="96" spans="1:3" x14ac:dyDescent="0.35">
      <c r="A96" t="e">
        <f>'Ingreso de Datos'!#REF!</f>
        <v>#REF!</v>
      </c>
      <c r="B96" s="5" t="e">
        <f>'Ingreso de Datos'!#REF!</f>
        <v>#REF!</v>
      </c>
      <c r="C96" s="5" t="e">
        <f>'Ingreso de Datos'!#REF!</f>
        <v>#REF!</v>
      </c>
    </row>
    <row r="97" spans="1:3" x14ac:dyDescent="0.35">
      <c r="A97" t="e">
        <f>'Ingreso de Datos'!#REF!</f>
        <v>#REF!</v>
      </c>
      <c r="B97" s="5" t="e">
        <f>'Ingreso de Datos'!#REF!</f>
        <v>#REF!</v>
      </c>
      <c r="C97" s="5" t="e">
        <f>'Ingreso de Datos'!#REF!</f>
        <v>#REF!</v>
      </c>
    </row>
    <row r="98" spans="1:3" x14ac:dyDescent="0.35">
      <c r="A98" t="e">
        <f>'Ingreso de Datos'!#REF!</f>
        <v>#REF!</v>
      </c>
      <c r="B98" s="5" t="e">
        <f>'Ingreso de Datos'!#REF!</f>
        <v>#REF!</v>
      </c>
      <c r="C98" s="5" t="e">
        <f>'Ingreso de Datos'!#REF!</f>
        <v>#REF!</v>
      </c>
    </row>
    <row r="99" spans="1:3" x14ac:dyDescent="0.35">
      <c r="A99" t="e">
        <f>'Ingreso de Datos'!#REF!</f>
        <v>#REF!</v>
      </c>
      <c r="B99" s="5" t="e">
        <f>'Ingreso de Datos'!#REF!</f>
        <v>#REF!</v>
      </c>
      <c r="C99" s="5" t="e">
        <f>'Ingreso de Datos'!#REF!</f>
        <v>#REF!</v>
      </c>
    </row>
    <row r="100" spans="1:3" x14ac:dyDescent="0.35">
      <c r="A100">
        <f>'Ingreso de Datos'!$B13</f>
        <v>0</v>
      </c>
      <c r="B100" s="5">
        <f>+IF('Ingreso de Datos'!D13="Positiva ",1,-1)</f>
        <v>-1</v>
      </c>
      <c r="C100" s="5">
        <f>'Ingreso de Datos'!$G13</f>
        <v>0</v>
      </c>
    </row>
    <row r="101" spans="1:3" x14ac:dyDescent="0.35">
      <c r="A101" t="e">
        <f>'Ingreso de Datos'!#REF!</f>
        <v>#REF!</v>
      </c>
      <c r="B101" s="5" t="e">
        <f>'Ingreso de Datos'!#REF!</f>
        <v>#REF!</v>
      </c>
      <c r="C101" s="5" t="e">
        <f>'Ingreso de Datos'!#REF!</f>
        <v>#REF!</v>
      </c>
    </row>
    <row r="102" spans="1:3" x14ac:dyDescent="0.35">
      <c r="A102" t="e">
        <f>'Ingreso de Datos'!#REF!</f>
        <v>#REF!</v>
      </c>
      <c r="B102" s="5" t="e">
        <f>'Ingreso de Datos'!#REF!</f>
        <v>#REF!</v>
      </c>
      <c r="C102" s="5" t="e">
        <f>'Ingreso de Datos'!#REF!</f>
        <v>#REF!</v>
      </c>
    </row>
    <row r="103" spans="1:3" x14ac:dyDescent="0.35">
      <c r="A103" t="e">
        <f>'Ingreso de Datos'!#REF!</f>
        <v>#REF!</v>
      </c>
      <c r="B103" s="5" t="e">
        <f>'Ingreso de Datos'!#REF!</f>
        <v>#REF!</v>
      </c>
      <c r="C103" s="5" t="e">
        <f>'Ingreso de Datos'!#REF!</f>
        <v>#REF!</v>
      </c>
    </row>
    <row r="104" spans="1:3" x14ac:dyDescent="0.35">
      <c r="A104" t="e">
        <f>'Ingreso de Datos'!#REF!</f>
        <v>#REF!</v>
      </c>
      <c r="B104" s="5" t="e">
        <f>'Ingreso de Datos'!#REF!</f>
        <v>#REF!</v>
      </c>
      <c r="C104" s="5" t="e">
        <f>'Ingreso de Datos'!#REF!</f>
        <v>#REF!</v>
      </c>
    </row>
    <row r="105" spans="1:3" x14ac:dyDescent="0.35">
      <c r="A105" t="e">
        <f>'Ingreso de Datos'!#REF!</f>
        <v>#REF!</v>
      </c>
      <c r="B105" s="5" t="e">
        <f>+IF('Ingreso de Datos'!#REF!="Positiva ",1,-1)</f>
        <v>#REF!</v>
      </c>
      <c r="C105" s="5" t="e">
        <f>'Ingreso de Datos'!#REF!</f>
        <v>#REF!</v>
      </c>
    </row>
    <row r="106" spans="1:3" x14ac:dyDescent="0.35">
      <c r="A106" t="e">
        <f>'Ingreso de Datos'!#REF!</f>
        <v>#REF!</v>
      </c>
      <c r="B106" s="5" t="e">
        <f>'Ingreso de Datos'!#REF!</f>
        <v>#REF!</v>
      </c>
      <c r="C106" s="5" t="e">
        <f>'Ingreso de Datos'!#REF!</f>
        <v>#REF!</v>
      </c>
    </row>
    <row r="107" spans="1:3" x14ac:dyDescent="0.35">
      <c r="A107" t="e">
        <f>'Ingreso de Datos'!#REF!</f>
        <v>#REF!</v>
      </c>
      <c r="B107" s="5" t="e">
        <f>'Ingreso de Datos'!#REF!</f>
        <v>#REF!</v>
      </c>
      <c r="C107" s="5" t="e">
        <f>'Ingreso de Datos'!#REF!</f>
        <v>#REF!</v>
      </c>
    </row>
    <row r="108" spans="1:3" x14ac:dyDescent="0.35">
      <c r="A108" t="e">
        <f>'Ingreso de Datos'!#REF!</f>
        <v>#REF!</v>
      </c>
      <c r="B108" s="5" t="e">
        <f>'Ingreso de Datos'!#REF!</f>
        <v>#REF!</v>
      </c>
      <c r="C108" s="5" t="e">
        <f>'Ingreso de Datos'!#REF!</f>
        <v>#REF!</v>
      </c>
    </row>
    <row r="109" spans="1:3" x14ac:dyDescent="0.35">
      <c r="A109" t="e">
        <f>'Ingreso de Datos'!#REF!</f>
        <v>#REF!</v>
      </c>
      <c r="B109" s="5" t="e">
        <f>'Ingreso de Datos'!#REF!</f>
        <v>#REF!</v>
      </c>
      <c r="C109" s="5" t="e">
        <f>'Ingreso de Datos'!#REF!</f>
        <v>#REF!</v>
      </c>
    </row>
    <row r="110" spans="1:3" x14ac:dyDescent="0.35">
      <c r="A110" t="e">
        <f>'Ingreso de Datos'!#REF!</f>
        <v>#REF!</v>
      </c>
      <c r="B110" s="5" t="e">
        <f>+IF('Ingreso de Datos'!#REF!="Positiva ",1,-1)</f>
        <v>#REF!</v>
      </c>
      <c r="C110" s="5" t="e">
        <f>'Ingreso de Datos'!#REF!</f>
        <v>#REF!</v>
      </c>
    </row>
    <row r="111" spans="1:3" x14ac:dyDescent="0.35">
      <c r="A111" t="e">
        <f>'Ingreso de Datos'!#REF!</f>
        <v>#REF!</v>
      </c>
      <c r="B111" s="5" t="e">
        <f>'Ingreso de Datos'!#REF!</f>
        <v>#REF!</v>
      </c>
      <c r="C111" s="5" t="e">
        <f>'Ingreso de Datos'!#REF!</f>
        <v>#REF!</v>
      </c>
    </row>
    <row r="112" spans="1:3" x14ac:dyDescent="0.35">
      <c r="A112" t="e">
        <f>'Ingreso de Datos'!#REF!</f>
        <v>#REF!</v>
      </c>
      <c r="B112" s="5" t="e">
        <f>'Ingreso de Datos'!#REF!</f>
        <v>#REF!</v>
      </c>
      <c r="C112" s="5" t="e">
        <f>'Ingreso de Datos'!#REF!</f>
        <v>#REF!</v>
      </c>
    </row>
    <row r="113" spans="1:3" x14ac:dyDescent="0.35">
      <c r="A113" t="e">
        <f>'Ingreso de Datos'!#REF!</f>
        <v>#REF!</v>
      </c>
      <c r="B113" s="5" t="e">
        <f>'Ingreso de Datos'!#REF!</f>
        <v>#REF!</v>
      </c>
      <c r="C113" s="5" t="e">
        <f>'Ingreso de Datos'!#REF!</f>
        <v>#REF!</v>
      </c>
    </row>
    <row r="114" spans="1:3" x14ac:dyDescent="0.35">
      <c r="A114" t="e">
        <f>'Ingreso de Datos'!#REF!</f>
        <v>#REF!</v>
      </c>
      <c r="B114" s="5" t="e">
        <f>'Ingreso de Datos'!#REF!</f>
        <v>#REF!</v>
      </c>
      <c r="C114" s="5" t="e">
        <f>'Ingreso de Datos'!#REF!</f>
        <v>#REF!</v>
      </c>
    </row>
    <row r="115" spans="1:3" x14ac:dyDescent="0.35">
      <c r="A115">
        <f>'Ingreso de Datos'!$B13</f>
        <v>0</v>
      </c>
      <c r="B115" s="5">
        <f>+IF('Ingreso de Datos'!D13="Positiva ",1,-1)</f>
        <v>-1</v>
      </c>
      <c r="C115" s="5">
        <f>'Ingreso de Datos'!$G13</f>
        <v>0</v>
      </c>
    </row>
    <row r="116" spans="1:3" x14ac:dyDescent="0.35">
      <c r="A116" t="e">
        <f>'Ingreso de Datos'!#REF!</f>
        <v>#REF!</v>
      </c>
      <c r="B116" s="5" t="e">
        <f>'Ingreso de Datos'!#REF!</f>
        <v>#REF!</v>
      </c>
      <c r="C116" s="5" t="e">
        <f>'Ingreso de Datos'!#REF!</f>
        <v>#REF!</v>
      </c>
    </row>
    <row r="117" spans="1:3" x14ac:dyDescent="0.35">
      <c r="A117" t="e">
        <f>'Ingreso de Datos'!#REF!</f>
        <v>#REF!</v>
      </c>
      <c r="B117" s="5" t="e">
        <f>'Ingreso de Datos'!#REF!</f>
        <v>#REF!</v>
      </c>
      <c r="C117" s="5" t="e">
        <f>'Ingreso de Datos'!#REF!</f>
        <v>#REF!</v>
      </c>
    </row>
    <row r="118" spans="1:3" x14ac:dyDescent="0.35">
      <c r="A118" t="e">
        <f>'Ingreso de Datos'!#REF!</f>
        <v>#REF!</v>
      </c>
      <c r="B118" s="5" t="e">
        <f>'Ingreso de Datos'!#REF!</f>
        <v>#REF!</v>
      </c>
      <c r="C118" s="5" t="e">
        <f>'Ingreso de Datos'!#REF!</f>
        <v>#REF!</v>
      </c>
    </row>
    <row r="119" spans="1:3" x14ac:dyDescent="0.35">
      <c r="A119" t="e">
        <f>'Ingreso de Datos'!#REF!</f>
        <v>#REF!</v>
      </c>
      <c r="B119" s="5" t="e">
        <f>'Ingreso de Datos'!#REF!</f>
        <v>#REF!</v>
      </c>
      <c r="C119" s="5" t="e">
        <f>'Ingreso de Datos'!#REF!</f>
        <v>#REF!</v>
      </c>
    </row>
    <row r="120" spans="1:3" x14ac:dyDescent="0.35">
      <c r="A120">
        <f>'Ingreso de Datos'!$B13</f>
        <v>0</v>
      </c>
      <c r="B120" s="5">
        <f>+IF('Ingreso de Datos'!D13="Positiva ",1,-1)</f>
        <v>-1</v>
      </c>
      <c r="C120" s="5">
        <f>'Ingreso de Datos'!$G13</f>
        <v>0</v>
      </c>
    </row>
    <row r="121" spans="1:3" x14ac:dyDescent="0.35">
      <c r="A121" t="e">
        <f>'Ingreso de Datos'!#REF!</f>
        <v>#REF!</v>
      </c>
      <c r="B121" s="5" t="e">
        <f>'Ingreso de Datos'!#REF!</f>
        <v>#REF!</v>
      </c>
      <c r="C121" s="5" t="e">
        <f>'Ingreso de Datos'!#REF!</f>
        <v>#REF!</v>
      </c>
    </row>
    <row r="122" spans="1:3" x14ac:dyDescent="0.35">
      <c r="A122" t="e">
        <f>'Ingreso de Datos'!#REF!</f>
        <v>#REF!</v>
      </c>
      <c r="B122" s="5" t="e">
        <f>'Ingreso de Datos'!#REF!</f>
        <v>#REF!</v>
      </c>
      <c r="C122" s="5" t="e">
        <f>'Ingreso de Datos'!#REF!</f>
        <v>#REF!</v>
      </c>
    </row>
    <row r="123" spans="1:3" x14ac:dyDescent="0.35">
      <c r="A123" t="e">
        <f>'Ingreso de Datos'!#REF!</f>
        <v>#REF!</v>
      </c>
      <c r="B123" s="5" t="e">
        <f>'Ingreso de Datos'!#REF!</f>
        <v>#REF!</v>
      </c>
      <c r="C123" s="5" t="e">
        <f>'Ingreso de Datos'!#REF!</f>
        <v>#REF!</v>
      </c>
    </row>
    <row r="124" spans="1:3" x14ac:dyDescent="0.35">
      <c r="A124" t="e">
        <f>'Ingreso de Datos'!#REF!</f>
        <v>#REF!</v>
      </c>
      <c r="B124" s="5" t="e">
        <f>'Ingreso de Datos'!#REF!</f>
        <v>#REF!</v>
      </c>
      <c r="C124" s="5" t="e">
        <f>'Ingreso de Datos'!#REF!</f>
        <v>#REF!</v>
      </c>
    </row>
    <row r="125" spans="1:3" x14ac:dyDescent="0.35">
      <c r="A125" t="e">
        <f>'Ingreso de Datos'!#REF!</f>
        <v>#REF!</v>
      </c>
      <c r="B125" s="5" t="e">
        <f>+IF('Ingreso de Datos'!#REF!="Positiva ",1,-1)</f>
        <v>#REF!</v>
      </c>
      <c r="C125" s="5" t="e">
        <f>'Ingreso de Datos'!#REF!</f>
        <v>#REF!</v>
      </c>
    </row>
    <row r="126" spans="1:3" x14ac:dyDescent="0.35">
      <c r="A126" t="e">
        <f>'Ingreso de Datos'!#REF!</f>
        <v>#REF!</v>
      </c>
      <c r="B126" s="5" t="e">
        <f>'Ingreso de Datos'!#REF!</f>
        <v>#REF!</v>
      </c>
      <c r="C126" s="5" t="e">
        <f>'Ingreso de Datos'!#REF!</f>
        <v>#REF!</v>
      </c>
    </row>
    <row r="127" spans="1:3" x14ac:dyDescent="0.35">
      <c r="A127" t="e">
        <f>'Ingreso de Datos'!#REF!</f>
        <v>#REF!</v>
      </c>
      <c r="B127" s="5" t="e">
        <f>'Ingreso de Datos'!#REF!</f>
        <v>#REF!</v>
      </c>
      <c r="C127" s="5" t="e">
        <f>'Ingreso de Datos'!#REF!</f>
        <v>#REF!</v>
      </c>
    </row>
    <row r="128" spans="1:3" x14ac:dyDescent="0.35">
      <c r="A128" t="e">
        <f>'Ingreso de Datos'!#REF!</f>
        <v>#REF!</v>
      </c>
      <c r="B128" s="5" t="e">
        <f>'Ingreso de Datos'!#REF!</f>
        <v>#REF!</v>
      </c>
      <c r="C128" s="5" t="e">
        <f>'Ingreso de Datos'!#REF!</f>
        <v>#REF!</v>
      </c>
    </row>
    <row r="129" spans="1:3" x14ac:dyDescent="0.35">
      <c r="A129" t="e">
        <f>'Ingreso de Datos'!#REF!</f>
        <v>#REF!</v>
      </c>
      <c r="B129" s="5" t="e">
        <f>'Ingreso de Datos'!#REF!</f>
        <v>#REF!</v>
      </c>
      <c r="C129" s="5" t="e">
        <f>'Ingreso de Datos'!#REF!</f>
        <v>#REF!</v>
      </c>
    </row>
    <row r="130" spans="1:3" x14ac:dyDescent="0.35">
      <c r="A130" t="e">
        <f>'Ingreso de Datos'!#REF!</f>
        <v>#REF!</v>
      </c>
      <c r="B130" s="5" t="e">
        <f>+IF('Ingreso de Datos'!#REF!="Positiva ",1,-1)</f>
        <v>#REF!</v>
      </c>
      <c r="C130" s="5" t="e">
        <f>'Ingreso de Datos'!#REF!</f>
        <v>#REF!</v>
      </c>
    </row>
    <row r="131" spans="1:3" x14ac:dyDescent="0.35">
      <c r="A131" t="e">
        <f>'Ingreso de Datos'!#REF!</f>
        <v>#REF!</v>
      </c>
      <c r="B131" s="5" t="e">
        <f>'Ingreso de Datos'!#REF!</f>
        <v>#REF!</v>
      </c>
      <c r="C131" s="5" t="e">
        <f>'Ingreso de Datos'!#REF!</f>
        <v>#REF!</v>
      </c>
    </row>
    <row r="132" spans="1:3" x14ac:dyDescent="0.35">
      <c r="A132" t="e">
        <f>'Ingreso de Datos'!#REF!</f>
        <v>#REF!</v>
      </c>
      <c r="B132" s="5" t="e">
        <f>'Ingreso de Datos'!#REF!</f>
        <v>#REF!</v>
      </c>
      <c r="C132" s="5" t="e">
        <f>'Ingreso de Datos'!#REF!</f>
        <v>#REF!</v>
      </c>
    </row>
    <row r="133" spans="1:3" x14ac:dyDescent="0.35">
      <c r="A133" t="e">
        <f>'Ingreso de Datos'!#REF!</f>
        <v>#REF!</v>
      </c>
      <c r="B133" s="5" t="e">
        <f>'Ingreso de Datos'!#REF!</f>
        <v>#REF!</v>
      </c>
      <c r="C133" s="5" t="e">
        <f>'Ingreso de Datos'!#REF!</f>
        <v>#REF!</v>
      </c>
    </row>
    <row r="134" spans="1:3" x14ac:dyDescent="0.35">
      <c r="A134" t="e">
        <f>'Ingreso de Datos'!#REF!</f>
        <v>#REF!</v>
      </c>
      <c r="B134" s="5" t="e">
        <f>'Ingreso de Datos'!#REF!</f>
        <v>#REF!</v>
      </c>
      <c r="C134" s="5" t="e">
        <f>'Ingreso de Datos'!#REF!</f>
        <v>#REF!</v>
      </c>
    </row>
    <row r="135" spans="1:3" x14ac:dyDescent="0.35">
      <c r="A135">
        <f>'Ingreso de Datos'!$B13</f>
        <v>0</v>
      </c>
      <c r="B135" s="5">
        <f>+IF('Ingreso de Datos'!D13="Positiva ",1,-1)</f>
        <v>-1</v>
      </c>
      <c r="C135" s="5">
        <f>'Ingreso de Datos'!$G13</f>
        <v>0</v>
      </c>
    </row>
    <row r="136" spans="1:3" x14ac:dyDescent="0.35">
      <c r="A136" t="e">
        <f>'Ingreso de Datos'!#REF!</f>
        <v>#REF!</v>
      </c>
      <c r="B136" s="5" t="e">
        <f>'Ingreso de Datos'!#REF!</f>
        <v>#REF!</v>
      </c>
      <c r="C136" s="5" t="e">
        <f>'Ingreso de Datos'!#REF!</f>
        <v>#REF!</v>
      </c>
    </row>
    <row r="137" spans="1:3" x14ac:dyDescent="0.35">
      <c r="A137" t="e">
        <f>'Ingreso de Datos'!#REF!</f>
        <v>#REF!</v>
      </c>
      <c r="B137" s="5" t="e">
        <f>'Ingreso de Datos'!#REF!</f>
        <v>#REF!</v>
      </c>
      <c r="C137" s="5" t="e">
        <f>'Ingreso de Datos'!#REF!</f>
        <v>#REF!</v>
      </c>
    </row>
    <row r="138" spans="1:3" x14ac:dyDescent="0.35">
      <c r="A138" t="e">
        <f>'Ingreso de Datos'!#REF!</f>
        <v>#REF!</v>
      </c>
      <c r="B138" s="5" t="e">
        <f>'Ingreso de Datos'!#REF!</f>
        <v>#REF!</v>
      </c>
      <c r="C138" s="5" t="e">
        <f>'Ingreso de Datos'!#REF!</f>
        <v>#REF!</v>
      </c>
    </row>
    <row r="139" spans="1:3" x14ac:dyDescent="0.35">
      <c r="A139" t="e">
        <f>'Ingreso de Datos'!#REF!</f>
        <v>#REF!</v>
      </c>
      <c r="B139" s="5" t="e">
        <f>'Ingreso de Datos'!#REF!</f>
        <v>#REF!</v>
      </c>
      <c r="C139" s="5" t="e">
        <f>'Ingreso de Datos'!#REF!</f>
        <v>#REF!</v>
      </c>
    </row>
    <row r="140" spans="1:3" x14ac:dyDescent="0.35">
      <c r="A140">
        <f>'Ingreso de Datos'!$B13</f>
        <v>0</v>
      </c>
      <c r="B140" s="5">
        <f>+IF('Ingreso de Datos'!D13="Positiva ",1,-1)</f>
        <v>-1</v>
      </c>
      <c r="C140" s="5">
        <f>'Ingreso de Datos'!$G13</f>
        <v>0</v>
      </c>
    </row>
    <row r="141" spans="1:3" x14ac:dyDescent="0.35">
      <c r="A141" t="e">
        <f>'Ingreso de Datos'!#REF!</f>
        <v>#REF!</v>
      </c>
      <c r="B141" s="5" t="e">
        <f>'Ingreso de Datos'!#REF!</f>
        <v>#REF!</v>
      </c>
      <c r="C141" s="5" t="e">
        <f>'Ingreso de Datos'!#REF!</f>
        <v>#REF!</v>
      </c>
    </row>
    <row r="142" spans="1:3" x14ac:dyDescent="0.35">
      <c r="A142" t="e">
        <f>'Ingreso de Datos'!#REF!</f>
        <v>#REF!</v>
      </c>
      <c r="B142" s="5" t="e">
        <f>'Ingreso de Datos'!#REF!</f>
        <v>#REF!</v>
      </c>
      <c r="C142" s="5" t="e">
        <f>'Ingreso de Datos'!#REF!</f>
        <v>#REF!</v>
      </c>
    </row>
    <row r="143" spans="1:3" x14ac:dyDescent="0.35">
      <c r="A143" t="e">
        <f>'Ingreso de Datos'!#REF!</f>
        <v>#REF!</v>
      </c>
      <c r="B143" s="5" t="e">
        <f>'Ingreso de Datos'!#REF!</f>
        <v>#REF!</v>
      </c>
      <c r="C143" s="5" t="e">
        <f>'Ingreso de Datos'!#REF!</f>
        <v>#REF!</v>
      </c>
    </row>
    <row r="144" spans="1:3" x14ac:dyDescent="0.35">
      <c r="A144" t="e">
        <f>'Ingreso de Datos'!#REF!</f>
        <v>#REF!</v>
      </c>
      <c r="B144" s="5" t="e">
        <f>'Ingreso de Datos'!#REF!</f>
        <v>#REF!</v>
      </c>
      <c r="C144" s="5" t="e">
        <f>'Ingreso de Datos'!#REF!</f>
        <v>#REF!</v>
      </c>
    </row>
    <row r="145" spans="1:4" x14ac:dyDescent="0.35">
      <c r="A145" t="e">
        <f>'Ingreso de Datos'!#REF!</f>
        <v>#REF!</v>
      </c>
      <c r="B145" s="5" t="e">
        <f>+IF('Ingreso de Datos'!#REF!="Positiva ",1,-1)</f>
        <v>#REF!</v>
      </c>
      <c r="C145" s="5" t="e">
        <f>'Ingreso de Datos'!#REF!</f>
        <v>#REF!</v>
      </c>
    </row>
    <row r="146" spans="1:4" x14ac:dyDescent="0.35">
      <c r="A146" t="e">
        <f>'Ingreso de Datos'!#REF!</f>
        <v>#REF!</v>
      </c>
      <c r="B146" s="5" t="e">
        <f>'Ingreso de Datos'!#REF!</f>
        <v>#REF!</v>
      </c>
      <c r="C146" s="5" t="e">
        <f>'Ingreso de Datos'!#REF!</f>
        <v>#REF!</v>
      </c>
    </row>
    <row r="147" spans="1:4" x14ac:dyDescent="0.35">
      <c r="A147" t="e">
        <f>'Ingreso de Datos'!#REF!</f>
        <v>#REF!</v>
      </c>
      <c r="B147" s="5" t="e">
        <f>'Ingreso de Datos'!#REF!</f>
        <v>#REF!</v>
      </c>
      <c r="C147" s="5" t="e">
        <f>'Ingreso de Datos'!#REF!</f>
        <v>#REF!</v>
      </c>
    </row>
    <row r="148" spans="1:4" x14ac:dyDescent="0.35">
      <c r="A148" t="e">
        <f>'Ingreso de Datos'!#REF!</f>
        <v>#REF!</v>
      </c>
      <c r="B148" s="5" t="e">
        <f>'Ingreso de Datos'!#REF!</f>
        <v>#REF!</v>
      </c>
      <c r="C148" s="5" t="e">
        <f>'Ingreso de Datos'!#REF!</f>
        <v>#REF!</v>
      </c>
    </row>
    <row r="149" spans="1:4" x14ac:dyDescent="0.35">
      <c r="A149" t="e">
        <f>'Ingreso de Datos'!#REF!</f>
        <v>#REF!</v>
      </c>
      <c r="B149" s="5" t="e">
        <f>'Ingreso de Datos'!#REF!</f>
        <v>#REF!</v>
      </c>
      <c r="C149" s="5" t="e">
        <f>'Ingreso de Datos'!#REF!</f>
        <v>#REF!</v>
      </c>
    </row>
    <row r="150" spans="1:4" x14ac:dyDescent="0.35">
      <c r="A150" t="e">
        <f>+'Ingreso de Datos'!#REF!</f>
        <v>#REF!</v>
      </c>
    </row>
    <row r="151" spans="1:4" x14ac:dyDescent="0.35">
      <c r="A151" t="e">
        <f>+'Ingreso de Datos'!#REF!</f>
        <v>#REF!</v>
      </c>
      <c r="B151" s="5" t="e">
        <f>+'Ingreso de Datos'!#REF!</f>
        <v>#REF!</v>
      </c>
      <c r="C151" s="5" t="e">
        <f>+'Ingreso de Datos'!#REF!</f>
        <v>#REF!</v>
      </c>
      <c r="D151" s="5" t="e">
        <f>+'Ingreso de Datos'!#REF!</f>
        <v>#REF!</v>
      </c>
    </row>
    <row r="152" spans="1:4" x14ac:dyDescent="0.35">
      <c r="A152" t="e">
        <f>+'Ingreso de Datos'!#REF!</f>
        <v>#REF!</v>
      </c>
      <c r="B152" s="5" t="e">
        <f>+'Ingreso de Datos'!#REF!</f>
        <v>#REF!</v>
      </c>
      <c r="C152" s="5" t="e">
        <f>+'Ingreso de Datos'!#REF!</f>
        <v>#REF!</v>
      </c>
      <c r="D152" s="5" t="e">
        <f>+'Ingreso de Datos'!#REF!</f>
        <v>#REF!</v>
      </c>
    </row>
    <row r="153" spans="1:4" x14ac:dyDescent="0.35">
      <c r="A153" t="e">
        <f>+'Ingreso de Datos'!#REF!</f>
        <v>#REF!</v>
      </c>
      <c r="B153" s="5" t="e">
        <f>+'Ingreso de Datos'!#REF!</f>
        <v>#REF!</v>
      </c>
      <c r="C153" s="5" t="e">
        <f>+'Ingreso de Datos'!#REF!</f>
        <v>#REF!</v>
      </c>
      <c r="D153" s="5" t="e">
        <f>+'Ingreso de Datos'!#REF!</f>
        <v>#REF!</v>
      </c>
    </row>
    <row r="154" spans="1:4" x14ac:dyDescent="0.35">
      <c r="A154" t="e">
        <f>+'Ingreso de Datos'!#REF!</f>
        <v>#REF!</v>
      </c>
      <c r="B154" s="5" t="e">
        <f>+'Ingreso de Datos'!#REF!</f>
        <v>#REF!</v>
      </c>
      <c r="C154" s="5" t="e">
        <f>+'Ingreso de Datos'!#REF!</f>
        <v>#REF!</v>
      </c>
      <c r="D154" s="5" t="e">
        <f>+'Ingreso de Datos'!#REF!</f>
        <v>#REF!</v>
      </c>
    </row>
    <row r="155" spans="1:4" x14ac:dyDescent="0.35">
      <c r="A155" t="e">
        <f>+'Ingreso de Datos'!#REF!</f>
        <v>#REF!</v>
      </c>
      <c r="B155" s="5" t="e">
        <f>+'Ingreso de Datos'!#REF!</f>
        <v>#REF!</v>
      </c>
      <c r="C155" s="5" t="e">
        <f>+'Ingreso de Datos'!#REF!</f>
        <v>#REF!</v>
      </c>
      <c r="D155" s="5" t="e">
        <f>+'Ingreso de Datos'!#REF!</f>
        <v>#REF!</v>
      </c>
    </row>
    <row r="156" spans="1:4" x14ac:dyDescent="0.35">
      <c r="A156" t="e">
        <f>+'Ingreso de Datos'!#REF!</f>
        <v>#REF!</v>
      </c>
      <c r="B156" s="5" t="e">
        <f>+'Ingreso de Datos'!#REF!</f>
        <v>#REF!</v>
      </c>
      <c r="C156" s="5" t="e">
        <f>+'Ingreso de Datos'!#REF!</f>
        <v>#REF!</v>
      </c>
      <c r="D156" s="5" t="e">
        <f>+'Ingreso de Datos'!#REF!</f>
        <v>#REF!</v>
      </c>
    </row>
    <row r="157" spans="1:4" x14ac:dyDescent="0.35">
      <c r="A157" t="e">
        <f>+'Ingreso de Datos'!#REF!</f>
        <v>#REF!</v>
      </c>
      <c r="B157" s="5" t="e">
        <f>+'Ingreso de Datos'!#REF!</f>
        <v>#REF!</v>
      </c>
      <c r="C157" s="5" t="e">
        <f>+'Ingreso de Datos'!#REF!</f>
        <v>#REF!</v>
      </c>
      <c r="D157" s="5" t="e">
        <f>+'Ingreso de Datos'!#REF!</f>
        <v>#REF!</v>
      </c>
    </row>
    <row r="158" spans="1:4" x14ac:dyDescent="0.35">
      <c r="A158" t="e">
        <f>+'Ingreso de Datos'!#REF!</f>
        <v>#REF!</v>
      </c>
      <c r="B158" s="5" t="e">
        <f>+'Ingreso de Datos'!#REF!</f>
        <v>#REF!</v>
      </c>
      <c r="C158" s="5" t="e">
        <f>+'Ingreso de Datos'!#REF!</f>
        <v>#REF!</v>
      </c>
      <c r="D158" s="5" t="e">
        <f>+'Ingreso de Datos'!#REF!</f>
        <v>#REF!</v>
      </c>
    </row>
    <row r="159" spans="1:4" x14ac:dyDescent="0.35">
      <c r="A159" t="e">
        <f>+'Ingreso de Datos'!#REF!</f>
        <v>#REF!</v>
      </c>
      <c r="B159" s="5" t="e">
        <f>+'Ingreso de Datos'!#REF!</f>
        <v>#REF!</v>
      </c>
      <c r="C159" s="5" t="e">
        <f>+'Ingreso de Datos'!#REF!</f>
        <v>#REF!</v>
      </c>
      <c r="D159" s="5" t="e">
        <f>+'Ingreso de Datos'!#REF!</f>
        <v>#REF!</v>
      </c>
    </row>
    <row r="160" spans="1:4" x14ac:dyDescent="0.35">
      <c r="B160" s="5" t="e">
        <f>+'Ingreso de Datos'!#REF!</f>
        <v>#REF!</v>
      </c>
      <c r="C160" s="5" t="e">
        <f>+'Ingreso de Datos'!#REF!</f>
        <v>#REF!</v>
      </c>
    </row>
    <row r="161" spans="2:2" x14ac:dyDescent="0.35">
      <c r="B161" s="5" t="e">
        <f>+'Ingreso de Datos'!#REF!</f>
        <v>#REF!</v>
      </c>
    </row>
  </sheetData>
  <sheetProtection insertRows="0" deleteRow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G20"/>
  <sheetViews>
    <sheetView workbookViewId="0">
      <selection activeCell="A14" sqref="A14:G20"/>
    </sheetView>
  </sheetViews>
  <sheetFormatPr defaultColWidth="10.81640625" defaultRowHeight="14.5" x14ac:dyDescent="0.35"/>
  <cols>
    <col min="3" max="3" width="17.54296875" bestFit="1" customWidth="1"/>
  </cols>
  <sheetData>
    <row r="1" spans="1:7" ht="15" thickBot="1" x14ac:dyDescent="0.4">
      <c r="A1" s="3">
        <v>20</v>
      </c>
      <c r="C1" s="4" t="s">
        <v>34</v>
      </c>
      <c r="E1" s="3">
        <v>1</v>
      </c>
      <c r="G1" s="3">
        <v>6</v>
      </c>
    </row>
    <row r="2" spans="1:7" x14ac:dyDescent="0.35">
      <c r="A2" s="1">
        <v>25</v>
      </c>
      <c r="C2" s="3" t="s">
        <v>7</v>
      </c>
      <c r="E2" s="1">
        <v>2</v>
      </c>
      <c r="G2" s="1">
        <v>8</v>
      </c>
    </row>
    <row r="3" spans="1:7" x14ac:dyDescent="0.35">
      <c r="A3" s="1">
        <v>30</v>
      </c>
      <c r="E3" s="1">
        <v>3</v>
      </c>
      <c r="G3" s="1">
        <v>10</v>
      </c>
    </row>
    <row r="4" spans="1:7" x14ac:dyDescent="0.35">
      <c r="A4" s="1">
        <v>35</v>
      </c>
      <c r="E4" s="1">
        <v>4</v>
      </c>
      <c r="G4" s="1">
        <v>12</v>
      </c>
    </row>
    <row r="5" spans="1:7" x14ac:dyDescent="0.35">
      <c r="A5" s="1">
        <v>40</v>
      </c>
      <c r="C5" t="s">
        <v>11</v>
      </c>
      <c r="E5" s="1">
        <v>5</v>
      </c>
      <c r="G5" s="1">
        <v>16</v>
      </c>
    </row>
    <row r="6" spans="1:7" x14ac:dyDescent="0.35">
      <c r="A6" s="1">
        <v>45</v>
      </c>
      <c r="C6" t="s">
        <v>66</v>
      </c>
      <c r="E6" s="1">
        <v>6</v>
      </c>
      <c r="G6" s="1">
        <v>20</v>
      </c>
    </row>
    <row r="7" spans="1:7" x14ac:dyDescent="0.35">
      <c r="A7" s="1">
        <v>50</v>
      </c>
      <c r="C7" t="s">
        <v>67</v>
      </c>
      <c r="E7" s="1">
        <v>7</v>
      </c>
      <c r="G7" s="1">
        <v>25</v>
      </c>
    </row>
    <row r="8" spans="1:7" ht="15" thickBot="1" x14ac:dyDescent="0.4">
      <c r="A8" s="4">
        <v>60</v>
      </c>
      <c r="E8" s="1">
        <v>8</v>
      </c>
      <c r="G8" s="1">
        <v>32</v>
      </c>
    </row>
    <row r="9" spans="1:7" ht="15" thickBot="1" x14ac:dyDescent="0.4">
      <c r="C9" s="3" t="s">
        <v>8</v>
      </c>
      <c r="E9" s="1">
        <v>9</v>
      </c>
      <c r="G9" s="4">
        <v>40</v>
      </c>
    </row>
    <row r="10" spans="1:7" ht="15" thickBot="1" x14ac:dyDescent="0.4">
      <c r="C10" s="4" t="s">
        <v>9</v>
      </c>
      <c r="E10" s="4">
        <v>10</v>
      </c>
    </row>
    <row r="14" spans="1:7" x14ac:dyDescent="0.35">
      <c r="A14" s="8" t="s">
        <v>16</v>
      </c>
      <c r="B14" s="14">
        <v>1</v>
      </c>
      <c r="C14" s="13" t="s">
        <v>17</v>
      </c>
      <c r="D14" s="14" t="s">
        <v>30</v>
      </c>
      <c r="E14" s="43" t="s">
        <v>18</v>
      </c>
      <c r="F14" s="43"/>
      <c r="G14" s="14">
        <v>4</v>
      </c>
    </row>
    <row r="15" spans="1:7" x14ac:dyDescent="0.35">
      <c r="A15" s="8"/>
      <c r="B15" s="2"/>
      <c r="C15" s="2"/>
      <c r="D15" s="2"/>
      <c r="E15" s="2"/>
      <c r="F15" s="2"/>
      <c r="G15" s="2"/>
    </row>
    <row r="16" spans="1:7" x14ac:dyDescent="0.35">
      <c r="A16" s="12" t="s">
        <v>19</v>
      </c>
      <c r="B16" s="2"/>
      <c r="C16" s="13" t="s">
        <v>20</v>
      </c>
      <c r="D16" s="2"/>
      <c r="E16" s="13" t="s">
        <v>21</v>
      </c>
      <c r="F16" s="2"/>
      <c r="G16" s="2"/>
    </row>
    <row r="17" spans="1:7" x14ac:dyDescent="0.35">
      <c r="A17" s="9">
        <v>1</v>
      </c>
      <c r="B17" s="2"/>
      <c r="C17" s="10">
        <v>0</v>
      </c>
      <c r="D17" s="2"/>
      <c r="E17" s="10">
        <v>0</v>
      </c>
      <c r="F17" s="2"/>
      <c r="G17" s="2"/>
    </row>
    <row r="18" spans="1:7" x14ac:dyDescent="0.35">
      <c r="A18" s="9">
        <v>2</v>
      </c>
      <c r="B18" s="2"/>
      <c r="C18" s="10">
        <v>0</v>
      </c>
      <c r="D18" s="2"/>
      <c r="E18" s="10">
        <v>0</v>
      </c>
      <c r="F18" s="2"/>
      <c r="G18" s="2"/>
    </row>
    <row r="19" spans="1:7" x14ac:dyDescent="0.35">
      <c r="A19" s="9">
        <v>3</v>
      </c>
      <c r="B19" s="2"/>
      <c r="C19" s="10">
        <v>0</v>
      </c>
      <c r="D19" s="2"/>
      <c r="E19" s="10">
        <v>0</v>
      </c>
      <c r="F19" s="2"/>
      <c r="G19" s="2"/>
    </row>
    <row r="20" spans="1:7" x14ac:dyDescent="0.35">
      <c r="A20" s="9">
        <v>4</v>
      </c>
      <c r="C20" s="10">
        <v>0</v>
      </c>
      <c r="E20" s="10">
        <v>0</v>
      </c>
    </row>
  </sheetData>
  <sheetProtection password="DF1B" sheet="1" objects="1" scenarios="1" selectLockedCells="1" selectUnlockedCells="1"/>
  <mergeCells count="1">
    <mergeCell ref="E14:F14"/>
  </mergeCells>
  <dataValidations count="2">
    <dataValidation type="whole" allowBlank="1" showInputMessage="1" showErrorMessage="1" errorTitle="Error" error="El número de contornos convexos debe estar comprendido entre 1 y 10" sqref="B14" xr:uid="{00000000-0002-0000-0300-000000000000}">
      <formula1>1</formula1>
      <formula2>10</formula2>
    </dataValidation>
    <dataValidation type="whole" allowBlank="1" showInputMessage="1" showErrorMessage="1" errorTitle="Error" error="El número de nodos debe estar comprendido entre 1 y 500" sqref="G14 A17:A20" xr:uid="{00000000-0002-0000-0300-000001000000}">
      <formula1>1</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'AUX1'!$A$1:$A$2</xm:f>
          </x14:formula1>
          <xm:sqref>D14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2"/>
  <sheetViews>
    <sheetView workbookViewId="0">
      <selection activeCell="C11" sqref="C11"/>
    </sheetView>
  </sheetViews>
  <sheetFormatPr defaultColWidth="10.81640625" defaultRowHeight="14.5" x14ac:dyDescent="0.35"/>
  <sheetData>
    <row r="1" spans="1:1" x14ac:dyDescent="0.35">
      <c r="A1" t="s">
        <v>8</v>
      </c>
    </row>
    <row r="2" spans="1:1" x14ac:dyDescent="0.35">
      <c r="A2" t="s">
        <v>9</v>
      </c>
    </row>
  </sheetData>
  <sheetProtection password="DF1B" sheet="1" objects="1" scenarios="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P164"/>
  <sheetViews>
    <sheetView showGridLines="0" workbookViewId="0">
      <selection activeCell="I33" sqref="I33"/>
    </sheetView>
  </sheetViews>
  <sheetFormatPr defaultColWidth="10.81640625" defaultRowHeight="14.5" x14ac:dyDescent="0.35"/>
  <cols>
    <col min="3" max="4" width="11.453125" style="23"/>
    <col min="9" max="10" width="11.453125" style="21"/>
  </cols>
  <sheetData>
    <row r="1" spans="1:16" ht="15" customHeight="1" x14ac:dyDescent="0.35">
      <c r="A1" s="34" t="s">
        <v>0</v>
      </c>
      <c r="B1" s="34"/>
      <c r="C1" s="34"/>
      <c r="D1" s="34"/>
      <c r="E1" s="34"/>
      <c r="F1" s="34"/>
      <c r="G1" s="53" t="e">
        <f>+'Ingreso de Datos'!#REF!</f>
        <v>#REF!</v>
      </c>
      <c r="I1" s="51" t="s">
        <v>2</v>
      </c>
      <c r="J1" s="51" t="s">
        <v>1</v>
      </c>
      <c r="L1" s="48" t="s">
        <v>27</v>
      </c>
      <c r="M1" s="48"/>
      <c r="N1" s="48"/>
      <c r="O1" s="48"/>
      <c r="P1" s="48"/>
    </row>
    <row r="2" spans="1:16" ht="15" thickBot="1" x14ac:dyDescent="0.4">
      <c r="A2" s="34"/>
      <c r="B2" s="34"/>
      <c r="C2" s="34"/>
      <c r="D2" s="34"/>
      <c r="E2" s="34"/>
      <c r="F2" s="34"/>
      <c r="G2" s="53"/>
      <c r="I2" s="52"/>
      <c r="J2" s="52"/>
      <c r="L2" s="48"/>
      <c r="M2" s="48"/>
      <c r="N2" s="48"/>
      <c r="O2" s="48"/>
      <c r="P2" s="48"/>
    </row>
    <row r="3" spans="1:16" x14ac:dyDescent="0.35">
      <c r="C3"/>
      <c r="D3"/>
      <c r="I3" s="20"/>
      <c r="J3" s="20"/>
      <c r="L3" s="48"/>
      <c r="M3" s="48"/>
      <c r="N3" s="48"/>
      <c r="O3" s="48"/>
      <c r="P3" s="48"/>
    </row>
    <row r="4" spans="1:16" x14ac:dyDescent="0.35">
      <c r="C4"/>
      <c r="D4"/>
      <c r="I4" s="20"/>
      <c r="J4" s="20"/>
      <c r="L4" s="48"/>
      <c r="M4" s="48"/>
      <c r="N4" s="48"/>
      <c r="O4" s="48"/>
      <c r="P4" s="48"/>
    </row>
    <row r="5" spans="1:16" x14ac:dyDescent="0.35">
      <c r="C5"/>
      <c r="D5"/>
      <c r="I5" s="20"/>
      <c r="J5" s="20"/>
      <c r="L5" s="48"/>
      <c r="M5" s="48"/>
      <c r="N5" s="48"/>
      <c r="O5" s="48"/>
      <c r="P5" s="48"/>
    </row>
    <row r="6" spans="1:16" x14ac:dyDescent="0.35">
      <c r="C6"/>
      <c r="D6"/>
      <c r="I6" s="20"/>
      <c r="J6" s="20"/>
      <c r="L6" s="48"/>
      <c r="M6" s="48"/>
      <c r="N6" s="48"/>
      <c r="O6" s="48"/>
      <c r="P6" s="48"/>
    </row>
    <row r="7" spans="1:16" x14ac:dyDescent="0.35">
      <c r="C7"/>
      <c r="D7"/>
      <c r="I7" s="20"/>
      <c r="J7" s="20"/>
      <c r="L7" s="48"/>
      <c r="M7" s="48"/>
      <c r="N7" s="48"/>
      <c r="O7" s="48"/>
      <c r="P7" s="48"/>
    </row>
    <row r="8" spans="1:16" x14ac:dyDescent="0.35">
      <c r="C8"/>
      <c r="D8"/>
      <c r="I8" s="20"/>
      <c r="J8" s="20"/>
      <c r="L8" s="48"/>
      <c r="M8" s="48"/>
      <c r="N8" s="48"/>
      <c r="O8" s="48"/>
      <c r="P8" s="48"/>
    </row>
    <row r="9" spans="1:16" x14ac:dyDescent="0.35">
      <c r="C9"/>
      <c r="D9"/>
      <c r="I9" s="20"/>
      <c r="J9" s="20"/>
    </row>
    <row r="10" spans="1:16" x14ac:dyDescent="0.35">
      <c r="C10"/>
      <c r="D10"/>
      <c r="I10" s="20"/>
      <c r="J10" s="20"/>
    </row>
    <row r="11" spans="1:16" x14ac:dyDescent="0.35">
      <c r="C11"/>
      <c r="D11"/>
      <c r="I11" s="20"/>
      <c r="J11" s="20"/>
    </row>
    <row r="12" spans="1:16" x14ac:dyDescent="0.35">
      <c r="C12"/>
      <c r="D12"/>
      <c r="I12" s="20"/>
      <c r="J12" s="20"/>
    </row>
    <row r="13" spans="1:16" x14ac:dyDescent="0.35">
      <c r="C13"/>
      <c r="D13"/>
      <c r="I13" s="20"/>
      <c r="J13" s="20"/>
    </row>
    <row r="14" spans="1:16" x14ac:dyDescent="0.35">
      <c r="C14"/>
      <c r="D14"/>
      <c r="I14" s="20"/>
      <c r="J14" s="20"/>
    </row>
    <row r="15" spans="1:16" x14ac:dyDescent="0.35">
      <c r="C15"/>
      <c r="D15"/>
      <c r="I15" s="20"/>
      <c r="J15" s="20"/>
    </row>
    <row r="16" spans="1:16" x14ac:dyDescent="0.35">
      <c r="C16"/>
      <c r="D16"/>
      <c r="I16" s="20"/>
      <c r="J16" s="20"/>
    </row>
    <row r="17" spans="1:10" x14ac:dyDescent="0.35">
      <c r="C17"/>
      <c r="D17"/>
      <c r="I17" s="20"/>
      <c r="J17" s="20"/>
    </row>
    <row r="18" spans="1:10" x14ac:dyDescent="0.35">
      <c r="C18"/>
      <c r="D18"/>
      <c r="I18" s="20"/>
      <c r="J18" s="20"/>
    </row>
    <row r="19" spans="1:10" x14ac:dyDescent="0.35">
      <c r="C19"/>
      <c r="D19"/>
      <c r="I19" s="20"/>
      <c r="J19" s="20"/>
    </row>
    <row r="20" spans="1:10" x14ac:dyDescent="0.35">
      <c r="C20"/>
      <c r="D20"/>
      <c r="I20" s="20"/>
      <c r="J20" s="20"/>
    </row>
    <row r="21" spans="1:10" x14ac:dyDescent="0.35">
      <c r="C21"/>
      <c r="D21"/>
      <c r="I21" s="20"/>
      <c r="J21" s="20"/>
    </row>
    <row r="22" spans="1:10" x14ac:dyDescent="0.35">
      <c r="C22"/>
      <c r="D22"/>
      <c r="I22" s="20"/>
      <c r="J22" s="20"/>
    </row>
    <row r="23" spans="1:10" x14ac:dyDescent="0.35">
      <c r="C23"/>
      <c r="D23"/>
      <c r="I23" s="20"/>
      <c r="J23" s="20"/>
    </row>
    <row r="24" spans="1:10" x14ac:dyDescent="0.35">
      <c r="C24"/>
      <c r="D24"/>
      <c r="I24" s="20"/>
      <c r="J24" s="20"/>
    </row>
    <row r="25" spans="1:10" x14ac:dyDescent="0.35">
      <c r="C25"/>
      <c r="D25"/>
      <c r="I25" s="20"/>
      <c r="J25" s="20"/>
    </row>
    <row r="26" spans="1:10" x14ac:dyDescent="0.35">
      <c r="C26"/>
      <c r="D26"/>
      <c r="I26" s="20"/>
      <c r="J26" s="20"/>
    </row>
    <row r="27" spans="1:10" x14ac:dyDescent="0.35">
      <c r="C27"/>
      <c r="D27"/>
      <c r="I27" s="20"/>
      <c r="J27" s="20"/>
    </row>
    <row r="28" spans="1:10" x14ac:dyDescent="0.35">
      <c r="C28"/>
      <c r="D28"/>
      <c r="I28" s="20"/>
      <c r="J28" s="20"/>
    </row>
    <row r="29" spans="1:10" x14ac:dyDescent="0.35">
      <c r="C29"/>
      <c r="D29"/>
      <c r="I29" s="20"/>
      <c r="J29" s="20"/>
    </row>
    <row r="30" spans="1:10" x14ac:dyDescent="0.35">
      <c r="C30"/>
      <c r="D30"/>
      <c r="I30" s="20"/>
      <c r="J30" s="20"/>
    </row>
    <row r="31" spans="1:10" x14ac:dyDescent="0.35">
      <c r="A31" s="49" t="s">
        <v>3</v>
      </c>
      <c r="B31" s="49"/>
      <c r="C31" s="50" t="s">
        <v>36</v>
      </c>
      <c r="D31" s="50" t="s">
        <v>35</v>
      </c>
      <c r="I31" s="20"/>
      <c r="J31" s="20"/>
    </row>
    <row r="32" spans="1:10" x14ac:dyDescent="0.35">
      <c r="A32" s="49"/>
      <c r="B32" s="49"/>
      <c r="C32" s="50"/>
      <c r="D32" s="50"/>
      <c r="E32" s="54" t="s">
        <v>4</v>
      </c>
      <c r="F32" s="54"/>
      <c r="G32" s="54"/>
      <c r="I32" s="20"/>
      <c r="J32" s="20"/>
    </row>
    <row r="33" spans="3:10" x14ac:dyDescent="0.35">
      <c r="C33" s="22"/>
      <c r="D33" s="22"/>
      <c r="E33" s="54"/>
      <c r="F33" s="54"/>
      <c r="G33" s="54"/>
      <c r="I33" s="20"/>
      <c r="J33" s="20"/>
    </row>
    <row r="34" spans="3:10" x14ac:dyDescent="0.35">
      <c r="C34" s="22"/>
      <c r="D34" s="22"/>
      <c r="E34" s="54"/>
      <c r="F34" s="54"/>
      <c r="G34" s="54"/>
      <c r="I34" s="20"/>
      <c r="J34" s="20"/>
    </row>
    <row r="35" spans="3:10" x14ac:dyDescent="0.35">
      <c r="C35" s="22"/>
      <c r="D35" s="22"/>
      <c r="E35" s="54"/>
      <c r="F35" s="54"/>
      <c r="G35" s="54"/>
      <c r="I35" s="20"/>
      <c r="J35" s="20"/>
    </row>
    <row r="36" spans="3:10" x14ac:dyDescent="0.35">
      <c r="C36" s="22"/>
      <c r="D36" s="22"/>
      <c r="E36" s="54"/>
      <c r="F36" s="54"/>
      <c r="G36" s="54"/>
      <c r="I36" s="20"/>
      <c r="J36" s="20"/>
    </row>
    <row r="37" spans="3:10" x14ac:dyDescent="0.35">
      <c r="C37" s="22"/>
      <c r="D37" s="22"/>
      <c r="I37" s="20"/>
      <c r="J37" s="20"/>
    </row>
    <row r="38" spans="3:10" x14ac:dyDescent="0.35">
      <c r="C38" s="22"/>
      <c r="D38" s="22"/>
      <c r="I38" s="20"/>
      <c r="J38" s="20"/>
    </row>
    <row r="39" spans="3:10" x14ac:dyDescent="0.35">
      <c r="C39" s="22"/>
      <c r="D39" s="22"/>
      <c r="I39" s="20"/>
      <c r="J39" s="20"/>
    </row>
    <row r="40" spans="3:10" x14ac:dyDescent="0.35">
      <c r="C40" s="22"/>
      <c r="D40" s="22"/>
      <c r="I40" s="20"/>
      <c r="J40" s="20"/>
    </row>
    <row r="41" spans="3:10" x14ac:dyDescent="0.35">
      <c r="C41" s="22"/>
      <c r="D41" s="22"/>
      <c r="I41" s="20"/>
      <c r="J41" s="20"/>
    </row>
    <row r="42" spans="3:10" x14ac:dyDescent="0.35">
      <c r="C42" s="22"/>
      <c r="D42" s="22"/>
      <c r="I42" s="20"/>
      <c r="J42" s="20"/>
    </row>
    <row r="43" spans="3:10" x14ac:dyDescent="0.35">
      <c r="C43" s="22"/>
      <c r="D43" s="22"/>
      <c r="I43" s="20"/>
      <c r="J43" s="20"/>
    </row>
    <row r="44" spans="3:10" x14ac:dyDescent="0.35">
      <c r="C44" s="22"/>
      <c r="D44" s="22"/>
      <c r="I44" s="20"/>
      <c r="J44" s="20"/>
    </row>
    <row r="45" spans="3:10" x14ac:dyDescent="0.35">
      <c r="C45" s="22"/>
      <c r="D45" s="22"/>
      <c r="I45" s="20"/>
      <c r="J45" s="20"/>
    </row>
    <row r="46" spans="3:10" x14ac:dyDescent="0.35">
      <c r="C46" s="22"/>
      <c r="D46" s="22"/>
      <c r="I46" s="20"/>
      <c r="J46" s="20"/>
    </row>
    <row r="47" spans="3:10" x14ac:dyDescent="0.35">
      <c r="C47" s="22"/>
      <c r="D47" s="22"/>
      <c r="I47" s="20"/>
      <c r="J47" s="20"/>
    </row>
    <row r="48" spans="3:10" x14ac:dyDescent="0.35">
      <c r="C48" s="22"/>
      <c r="D48" s="22"/>
      <c r="I48" s="20"/>
      <c r="J48" s="20"/>
    </row>
    <row r="49" spans="3:10" x14ac:dyDescent="0.35">
      <c r="C49" s="22"/>
      <c r="D49" s="22"/>
      <c r="I49" s="20"/>
      <c r="J49" s="20"/>
    </row>
    <row r="50" spans="3:10" x14ac:dyDescent="0.35">
      <c r="C50" s="22"/>
      <c r="D50" s="22"/>
      <c r="I50" s="20"/>
      <c r="J50" s="20"/>
    </row>
    <row r="51" spans="3:10" x14ac:dyDescent="0.35">
      <c r="I51" s="20"/>
      <c r="J51" s="20"/>
    </row>
    <row r="52" spans="3:10" x14ac:dyDescent="0.35">
      <c r="I52" s="20"/>
      <c r="J52" s="20"/>
    </row>
    <row r="53" spans="3:10" x14ac:dyDescent="0.35">
      <c r="I53" s="20"/>
      <c r="J53" s="20"/>
    </row>
    <row r="54" spans="3:10" x14ac:dyDescent="0.35">
      <c r="I54" s="20"/>
      <c r="J54" s="20"/>
    </row>
    <row r="55" spans="3:10" x14ac:dyDescent="0.35">
      <c r="I55" s="20"/>
      <c r="J55" s="20"/>
    </row>
    <row r="56" spans="3:10" x14ac:dyDescent="0.35">
      <c r="I56" s="20"/>
      <c r="J56" s="20"/>
    </row>
    <row r="57" spans="3:10" x14ac:dyDescent="0.35">
      <c r="I57" s="20"/>
      <c r="J57" s="20"/>
    </row>
    <row r="58" spans="3:10" x14ac:dyDescent="0.35">
      <c r="I58" s="20"/>
      <c r="J58" s="20"/>
    </row>
    <row r="59" spans="3:10" x14ac:dyDescent="0.35">
      <c r="I59" s="20"/>
      <c r="J59" s="20"/>
    </row>
    <row r="60" spans="3:10" x14ac:dyDescent="0.35">
      <c r="I60" s="20"/>
      <c r="J60" s="20"/>
    </row>
    <row r="61" spans="3:10" x14ac:dyDescent="0.35">
      <c r="I61" s="20"/>
      <c r="J61" s="20"/>
    </row>
    <row r="62" spans="3:10" x14ac:dyDescent="0.35">
      <c r="I62" s="20"/>
      <c r="J62" s="20"/>
    </row>
    <row r="63" spans="3:10" x14ac:dyDescent="0.35">
      <c r="I63" s="20"/>
      <c r="J63" s="20"/>
    </row>
    <row r="64" spans="3:10" x14ac:dyDescent="0.35">
      <c r="I64" s="20"/>
      <c r="J64" s="20"/>
    </row>
    <row r="65" spans="9:10" x14ac:dyDescent="0.35">
      <c r="I65" s="20"/>
      <c r="J65" s="20"/>
    </row>
    <row r="66" spans="9:10" x14ac:dyDescent="0.35">
      <c r="I66" s="20"/>
      <c r="J66" s="20"/>
    </row>
    <row r="67" spans="9:10" x14ac:dyDescent="0.35">
      <c r="I67" s="20"/>
      <c r="J67" s="20"/>
    </row>
    <row r="68" spans="9:10" x14ac:dyDescent="0.35">
      <c r="I68" s="20"/>
      <c r="J68" s="20"/>
    </row>
    <row r="69" spans="9:10" x14ac:dyDescent="0.35">
      <c r="I69" s="20"/>
      <c r="J69" s="20"/>
    </row>
    <row r="70" spans="9:10" x14ac:dyDescent="0.35">
      <c r="I70" s="20"/>
      <c r="J70" s="20"/>
    </row>
    <row r="71" spans="9:10" x14ac:dyDescent="0.35">
      <c r="I71" s="20"/>
      <c r="J71" s="20"/>
    </row>
    <row r="72" spans="9:10" x14ac:dyDescent="0.35">
      <c r="I72" s="20"/>
      <c r="J72" s="20"/>
    </row>
    <row r="73" spans="9:10" x14ac:dyDescent="0.35">
      <c r="I73" s="20"/>
      <c r="J73" s="20"/>
    </row>
    <row r="74" spans="9:10" x14ac:dyDescent="0.35">
      <c r="I74" s="20"/>
      <c r="J74" s="20"/>
    </row>
    <row r="75" spans="9:10" x14ac:dyDescent="0.35">
      <c r="I75" s="20"/>
      <c r="J75" s="20"/>
    </row>
    <row r="76" spans="9:10" x14ac:dyDescent="0.35">
      <c r="I76" s="20"/>
      <c r="J76" s="20"/>
    </row>
    <row r="77" spans="9:10" x14ac:dyDescent="0.35">
      <c r="I77" s="20"/>
      <c r="J77" s="20"/>
    </row>
    <row r="78" spans="9:10" x14ac:dyDescent="0.35">
      <c r="I78" s="20"/>
      <c r="J78" s="20"/>
    </row>
    <row r="79" spans="9:10" x14ac:dyDescent="0.35">
      <c r="I79" s="20"/>
      <c r="J79" s="20"/>
    </row>
    <row r="80" spans="9:10" x14ac:dyDescent="0.35">
      <c r="I80" s="20"/>
      <c r="J80" s="20"/>
    </row>
    <row r="81" spans="9:10" x14ac:dyDescent="0.35">
      <c r="I81" s="20"/>
      <c r="J81" s="20"/>
    </row>
    <row r="82" spans="9:10" x14ac:dyDescent="0.35">
      <c r="I82" s="20"/>
      <c r="J82" s="20"/>
    </row>
    <row r="83" spans="9:10" x14ac:dyDescent="0.35">
      <c r="I83" s="20"/>
      <c r="J83" s="20"/>
    </row>
    <row r="84" spans="9:10" x14ac:dyDescent="0.35">
      <c r="I84" s="20"/>
      <c r="J84" s="20"/>
    </row>
    <row r="85" spans="9:10" x14ac:dyDescent="0.35">
      <c r="I85" s="20"/>
      <c r="J85" s="20"/>
    </row>
    <row r="86" spans="9:10" x14ac:dyDescent="0.35">
      <c r="I86" s="20"/>
      <c r="J86" s="20"/>
    </row>
    <row r="87" spans="9:10" x14ac:dyDescent="0.35">
      <c r="I87" s="20"/>
      <c r="J87" s="20"/>
    </row>
    <row r="88" spans="9:10" x14ac:dyDescent="0.35">
      <c r="I88" s="20"/>
      <c r="J88" s="20"/>
    </row>
    <row r="89" spans="9:10" x14ac:dyDescent="0.35">
      <c r="I89" s="20"/>
      <c r="J89" s="20"/>
    </row>
    <row r="90" spans="9:10" x14ac:dyDescent="0.35">
      <c r="I90" s="20"/>
      <c r="J90" s="20"/>
    </row>
    <row r="91" spans="9:10" x14ac:dyDescent="0.35">
      <c r="I91" s="20"/>
      <c r="J91" s="20"/>
    </row>
    <row r="92" spans="9:10" x14ac:dyDescent="0.35">
      <c r="I92" s="20"/>
      <c r="J92" s="20"/>
    </row>
    <row r="93" spans="9:10" x14ac:dyDescent="0.35">
      <c r="I93" s="20"/>
      <c r="J93" s="20"/>
    </row>
    <row r="94" spans="9:10" x14ac:dyDescent="0.35">
      <c r="I94" s="20"/>
      <c r="J94" s="20"/>
    </row>
    <row r="95" spans="9:10" x14ac:dyDescent="0.35">
      <c r="I95" s="20"/>
      <c r="J95" s="20"/>
    </row>
    <row r="96" spans="9:10" x14ac:dyDescent="0.35">
      <c r="I96" s="20"/>
      <c r="J96" s="20"/>
    </row>
    <row r="97" spans="9:10" x14ac:dyDescent="0.35">
      <c r="I97" s="20"/>
      <c r="J97" s="20"/>
    </row>
    <row r="98" spans="9:10" x14ac:dyDescent="0.35">
      <c r="I98" s="20"/>
      <c r="J98" s="20"/>
    </row>
    <row r="99" spans="9:10" x14ac:dyDescent="0.35">
      <c r="I99" s="20"/>
      <c r="J99" s="20"/>
    </row>
    <row r="100" spans="9:10" x14ac:dyDescent="0.35">
      <c r="I100" s="20"/>
      <c r="J100" s="20"/>
    </row>
    <row r="101" spans="9:10" x14ac:dyDescent="0.35">
      <c r="I101" s="20"/>
      <c r="J101" s="20"/>
    </row>
    <row r="102" spans="9:10" x14ac:dyDescent="0.35">
      <c r="I102" s="20"/>
      <c r="J102" s="20"/>
    </row>
    <row r="103" spans="9:10" x14ac:dyDescent="0.35">
      <c r="I103" s="20"/>
      <c r="J103" s="20"/>
    </row>
    <row r="104" spans="9:10" x14ac:dyDescent="0.35">
      <c r="I104" s="20"/>
      <c r="J104" s="20"/>
    </row>
    <row r="105" spans="9:10" x14ac:dyDescent="0.35">
      <c r="I105" s="20"/>
      <c r="J105" s="20"/>
    </row>
    <row r="106" spans="9:10" x14ac:dyDescent="0.35">
      <c r="I106" s="20"/>
      <c r="J106" s="20"/>
    </row>
    <row r="107" spans="9:10" x14ac:dyDescent="0.35">
      <c r="I107" s="20"/>
      <c r="J107" s="20"/>
    </row>
    <row r="108" spans="9:10" x14ac:dyDescent="0.35">
      <c r="I108" s="20"/>
      <c r="J108" s="20"/>
    </row>
    <row r="109" spans="9:10" x14ac:dyDescent="0.35">
      <c r="I109" s="20"/>
      <c r="J109" s="20"/>
    </row>
    <row r="110" spans="9:10" x14ac:dyDescent="0.35">
      <c r="I110" s="20"/>
      <c r="J110" s="20"/>
    </row>
    <row r="111" spans="9:10" x14ac:dyDescent="0.35">
      <c r="I111" s="20"/>
      <c r="J111" s="20"/>
    </row>
    <row r="112" spans="9:10" x14ac:dyDescent="0.35">
      <c r="I112" s="20"/>
      <c r="J112" s="20"/>
    </row>
    <row r="113" spans="9:10" x14ac:dyDescent="0.35">
      <c r="I113" s="20"/>
      <c r="J113" s="20"/>
    </row>
    <row r="114" spans="9:10" x14ac:dyDescent="0.35">
      <c r="I114" s="20"/>
      <c r="J114" s="20"/>
    </row>
    <row r="115" spans="9:10" x14ac:dyDescent="0.35">
      <c r="I115" s="20"/>
      <c r="J115" s="20"/>
    </row>
    <row r="116" spans="9:10" x14ac:dyDescent="0.35">
      <c r="I116" s="20"/>
      <c r="J116" s="20"/>
    </row>
    <row r="117" spans="9:10" x14ac:dyDescent="0.35">
      <c r="I117" s="20"/>
      <c r="J117" s="20"/>
    </row>
    <row r="118" spans="9:10" x14ac:dyDescent="0.35">
      <c r="I118" s="20"/>
      <c r="J118" s="20"/>
    </row>
    <row r="119" spans="9:10" x14ac:dyDescent="0.35">
      <c r="I119" s="20"/>
      <c r="J119" s="20"/>
    </row>
    <row r="120" spans="9:10" x14ac:dyDescent="0.35">
      <c r="I120" s="20"/>
      <c r="J120" s="20"/>
    </row>
    <row r="121" spans="9:10" x14ac:dyDescent="0.35">
      <c r="I121" s="20"/>
      <c r="J121" s="20"/>
    </row>
    <row r="122" spans="9:10" x14ac:dyDescent="0.35">
      <c r="I122" s="20"/>
      <c r="J122" s="20"/>
    </row>
    <row r="123" spans="9:10" x14ac:dyDescent="0.35">
      <c r="I123" s="20"/>
      <c r="J123" s="20"/>
    </row>
    <row r="124" spans="9:10" x14ac:dyDescent="0.35">
      <c r="I124" s="20"/>
      <c r="J124" s="20"/>
    </row>
    <row r="125" spans="9:10" x14ac:dyDescent="0.35">
      <c r="I125" s="20"/>
      <c r="J125" s="20"/>
    </row>
    <row r="126" spans="9:10" x14ac:dyDescent="0.35">
      <c r="I126" s="20"/>
      <c r="J126" s="20"/>
    </row>
    <row r="127" spans="9:10" x14ac:dyDescent="0.35">
      <c r="I127" s="20"/>
      <c r="J127" s="20"/>
    </row>
    <row r="128" spans="9:10" x14ac:dyDescent="0.35">
      <c r="I128" s="20"/>
      <c r="J128" s="20"/>
    </row>
    <row r="129" spans="9:10" x14ac:dyDescent="0.35">
      <c r="I129" s="20"/>
      <c r="J129" s="20"/>
    </row>
    <row r="130" spans="9:10" x14ac:dyDescent="0.35">
      <c r="I130" s="20"/>
      <c r="J130" s="20"/>
    </row>
    <row r="131" spans="9:10" x14ac:dyDescent="0.35">
      <c r="I131" s="20"/>
      <c r="J131" s="20"/>
    </row>
    <row r="132" spans="9:10" x14ac:dyDescent="0.35">
      <c r="I132" s="20"/>
      <c r="J132" s="20"/>
    </row>
    <row r="133" spans="9:10" x14ac:dyDescent="0.35">
      <c r="I133" s="20"/>
      <c r="J133" s="20"/>
    </row>
    <row r="134" spans="9:10" x14ac:dyDescent="0.35">
      <c r="I134" s="20"/>
      <c r="J134" s="20"/>
    </row>
    <row r="135" spans="9:10" x14ac:dyDescent="0.35">
      <c r="I135" s="20"/>
      <c r="J135" s="20"/>
    </row>
    <row r="136" spans="9:10" x14ac:dyDescent="0.35">
      <c r="I136" s="20"/>
      <c r="J136" s="20"/>
    </row>
    <row r="137" spans="9:10" x14ac:dyDescent="0.35">
      <c r="I137" s="20"/>
      <c r="J137" s="20"/>
    </row>
    <row r="138" spans="9:10" x14ac:dyDescent="0.35">
      <c r="I138" s="20"/>
      <c r="J138" s="20"/>
    </row>
    <row r="139" spans="9:10" x14ac:dyDescent="0.35">
      <c r="I139" s="20"/>
      <c r="J139" s="20"/>
    </row>
    <row r="140" spans="9:10" x14ac:dyDescent="0.35">
      <c r="I140" s="20"/>
      <c r="J140" s="20"/>
    </row>
    <row r="141" spans="9:10" x14ac:dyDescent="0.35">
      <c r="I141" s="20"/>
      <c r="J141" s="20"/>
    </row>
    <row r="142" spans="9:10" x14ac:dyDescent="0.35">
      <c r="I142" s="20"/>
      <c r="J142" s="20"/>
    </row>
    <row r="143" spans="9:10" x14ac:dyDescent="0.35">
      <c r="I143" s="20"/>
      <c r="J143" s="20"/>
    </row>
    <row r="144" spans="9:10" x14ac:dyDescent="0.35">
      <c r="I144" s="20"/>
      <c r="J144" s="20"/>
    </row>
    <row r="145" spans="9:10" x14ac:dyDescent="0.35">
      <c r="I145" s="20"/>
      <c r="J145" s="20"/>
    </row>
    <row r="146" spans="9:10" x14ac:dyDescent="0.35">
      <c r="I146" s="20"/>
      <c r="J146" s="20"/>
    </row>
    <row r="147" spans="9:10" x14ac:dyDescent="0.35">
      <c r="I147" s="20"/>
      <c r="J147" s="20"/>
    </row>
    <row r="148" spans="9:10" x14ac:dyDescent="0.35">
      <c r="I148" s="20"/>
      <c r="J148" s="20"/>
    </row>
    <row r="149" spans="9:10" x14ac:dyDescent="0.35">
      <c r="I149" s="20"/>
      <c r="J149" s="20"/>
    </row>
    <row r="150" spans="9:10" x14ac:dyDescent="0.35">
      <c r="I150" s="20"/>
      <c r="J150" s="20"/>
    </row>
    <row r="151" spans="9:10" x14ac:dyDescent="0.35">
      <c r="I151" s="20"/>
      <c r="J151" s="20"/>
    </row>
    <row r="152" spans="9:10" x14ac:dyDescent="0.35">
      <c r="I152" s="20"/>
      <c r="J152" s="20"/>
    </row>
    <row r="153" spans="9:10" x14ac:dyDescent="0.35">
      <c r="I153" s="20"/>
      <c r="J153" s="20"/>
    </row>
    <row r="154" spans="9:10" x14ac:dyDescent="0.35">
      <c r="I154" s="20"/>
      <c r="J154" s="20"/>
    </row>
    <row r="155" spans="9:10" x14ac:dyDescent="0.35">
      <c r="I155" s="20"/>
      <c r="J155" s="20"/>
    </row>
    <row r="156" spans="9:10" x14ac:dyDescent="0.35">
      <c r="I156" s="20"/>
      <c r="J156" s="20"/>
    </row>
    <row r="157" spans="9:10" x14ac:dyDescent="0.35">
      <c r="I157" s="20"/>
      <c r="J157" s="20"/>
    </row>
    <row r="158" spans="9:10" x14ac:dyDescent="0.35">
      <c r="I158" s="20"/>
      <c r="J158" s="20"/>
    </row>
    <row r="159" spans="9:10" x14ac:dyDescent="0.35">
      <c r="I159" s="20"/>
      <c r="J159" s="20"/>
    </row>
    <row r="160" spans="9:10" x14ac:dyDescent="0.35">
      <c r="I160" s="20"/>
      <c r="J160" s="20"/>
    </row>
    <row r="161" spans="9:10" x14ac:dyDescent="0.35">
      <c r="I161" s="20"/>
      <c r="J161" s="20"/>
    </row>
    <row r="162" spans="9:10" x14ac:dyDescent="0.35">
      <c r="I162" s="20"/>
      <c r="J162" s="20"/>
    </row>
    <row r="163" spans="9:10" x14ac:dyDescent="0.35">
      <c r="I163" s="20"/>
      <c r="J163" s="20"/>
    </row>
    <row r="164" spans="9:10" x14ac:dyDescent="0.35">
      <c r="I164" s="20"/>
      <c r="J164" s="20"/>
    </row>
  </sheetData>
  <mergeCells count="9">
    <mergeCell ref="L1:P8"/>
    <mergeCell ref="A31:B32"/>
    <mergeCell ref="C31:C32"/>
    <mergeCell ref="D31:D32"/>
    <mergeCell ref="I1:I2"/>
    <mergeCell ref="J1:J2"/>
    <mergeCell ref="A1:F2"/>
    <mergeCell ref="G1:G2"/>
    <mergeCell ref="E32:G36"/>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Ingreso de Datos</vt:lpstr>
      <vt:lpstr>DATOS</vt:lpstr>
      <vt:lpstr>AUX</vt:lpstr>
      <vt:lpstr>AUX1</vt:lpstr>
      <vt:lpstr>Diagrama de Interacción</vt:lpstr>
      <vt:lpstr>'Diagrama de Interacción'!Print_Area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Mauro</dc:creator>
  <cp:lastModifiedBy>Facundo Leguizamón</cp:lastModifiedBy>
  <cp:lastPrinted>2013-02-26T11:59:14Z</cp:lastPrinted>
  <dcterms:created xsi:type="dcterms:W3CDTF">2013-02-19T12:39:24Z</dcterms:created>
  <dcterms:modified xsi:type="dcterms:W3CDTF">2022-12-06T23:53:08Z</dcterms:modified>
</cp:coreProperties>
</file>