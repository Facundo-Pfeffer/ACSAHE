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G:\Other computers\My Computer (1)\Adscripción Moller\Programa\DISGHA-P\"/>
    </mc:Choice>
  </mc:AlternateContent>
  <xr:revisionPtr revIDLastSave="0" documentId="13_ncr:1_{01BF8AD4-0C70-4073-85DF-E7826514A25A}" xr6:coauthVersionLast="47" xr6:coauthVersionMax="47" xr10:uidLastSave="{00000000-0000-0000-0000-000000000000}"/>
  <bookViews>
    <workbookView xWindow="4500" yWindow="4500" windowWidth="28800" windowHeight="15315" tabRatio="563" activeTab="1" xr2:uid="{00000000-000D-0000-FFFF-FFFF00000000}"/>
  </bookViews>
  <sheets>
    <sheet name="Instrucciones" sheetId="1" r:id="rId1"/>
    <sheet name="Ingreso de Datos" sheetId="2" r:id="rId2"/>
    <sheet name="DATOS" sheetId="3" r:id="rId3"/>
    <sheet name="AUX" sheetId="6" state="hidden" r:id="rId4"/>
    <sheet name="AUX1" sheetId="7" state="hidden" r:id="rId5"/>
    <sheet name="Diagrama de Interacción" sheetId="4" r:id="rId6"/>
  </sheets>
  <definedNames>
    <definedName name="INTERACCIÓN" localSheetId="5">'Diagrama de Interacción'!#REF!</definedName>
    <definedName name="_xlnm.Print_Area" localSheetId="5">'Diagrama de Interacción'!$A$1:$G$50</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C24" i="3" l="1"/>
  <c r="B24" i="3"/>
  <c r="A24" i="3"/>
  <c r="C23" i="3"/>
  <c r="B23" i="3"/>
  <c r="A23" i="3"/>
  <c r="C22" i="3"/>
  <c r="B22" i="3"/>
  <c r="A22" i="3"/>
  <c r="C21" i="3"/>
  <c r="B21" i="3"/>
  <c r="A21" i="3"/>
  <c r="C20" i="3"/>
  <c r="B20" i="3"/>
  <c r="A20" i="3"/>
  <c r="C19" i="3"/>
  <c r="B19" i="3"/>
  <c r="A19" i="3"/>
  <c r="C18" i="3"/>
  <c r="B18" i="3"/>
  <c r="A18" i="3"/>
  <c r="C17" i="3"/>
  <c r="B17" i="3"/>
  <c r="A17" i="3"/>
  <c r="C16" i="3"/>
  <c r="B16" i="3"/>
  <c r="A16" i="3"/>
  <c r="C15" i="3"/>
  <c r="B15" i="3"/>
  <c r="A15" i="3"/>
  <c r="C14" i="3"/>
  <c r="B14" i="3"/>
  <c r="A14" i="3"/>
  <c r="C13" i="3"/>
  <c r="B13" i="3"/>
  <c r="A13" i="3"/>
  <c r="C12" i="3"/>
  <c r="B12" i="3"/>
  <c r="A12" i="3"/>
  <c r="C11" i="3"/>
  <c r="B11" i="3"/>
  <c r="A11" i="3"/>
  <c r="C10" i="3"/>
  <c r="B10" i="3"/>
  <c r="A10" i="3"/>
  <c r="C9" i="3"/>
  <c r="B9" i="3"/>
  <c r="A9" i="3"/>
  <c r="C8" i="3"/>
  <c r="B8" i="3"/>
  <c r="A8" i="3"/>
  <c r="C7" i="3"/>
  <c r="B7" i="3"/>
  <c r="A7" i="3"/>
  <c r="C6" i="3"/>
  <c r="B6" i="3"/>
  <c r="A6" i="3"/>
  <c r="C5" i="3"/>
  <c r="B5" i="3"/>
  <c r="A5" i="3"/>
  <c r="C39" i="3"/>
  <c r="B39" i="3"/>
  <c r="A39" i="3"/>
  <c r="C38" i="3"/>
  <c r="B38" i="3"/>
  <c r="A38" i="3"/>
  <c r="C37" i="3"/>
  <c r="B37" i="3"/>
  <c r="A37" i="3"/>
  <c r="C36" i="3"/>
  <c r="B36" i="3"/>
  <c r="A36" i="3"/>
  <c r="C35" i="3"/>
  <c r="B35" i="3"/>
  <c r="A35" i="3"/>
  <c r="C34" i="3"/>
  <c r="B34" i="3"/>
  <c r="A34" i="3"/>
  <c r="C33" i="3"/>
  <c r="B33" i="3"/>
  <c r="A33" i="3"/>
  <c r="C32" i="3"/>
  <c r="B32" i="3"/>
  <c r="A32" i="3"/>
  <c r="C31" i="3"/>
  <c r="B31" i="3"/>
  <c r="A31" i="3"/>
  <c r="C30" i="3"/>
  <c r="B30" i="3"/>
  <c r="A30" i="3"/>
  <c r="C29" i="3"/>
  <c r="B29" i="3"/>
  <c r="A29" i="3"/>
  <c r="C28" i="3"/>
  <c r="B28" i="3"/>
  <c r="A28" i="3"/>
  <c r="C27" i="3"/>
  <c r="B27" i="3"/>
  <c r="A27" i="3"/>
  <c r="C26" i="3"/>
  <c r="B26" i="3"/>
  <c r="A26" i="3"/>
  <c r="C25" i="3"/>
  <c r="B25" i="3"/>
  <c r="A25" i="3"/>
  <c r="C49" i="3"/>
  <c r="B49" i="3"/>
  <c r="A49" i="3"/>
  <c r="C48" i="3"/>
  <c r="B48" i="3"/>
  <c r="A48" i="3"/>
  <c r="C47" i="3"/>
  <c r="B47" i="3"/>
  <c r="A47" i="3"/>
  <c r="C46" i="3"/>
  <c r="B46" i="3"/>
  <c r="A46" i="3"/>
  <c r="C45" i="3"/>
  <c r="B45" i="3"/>
  <c r="A45" i="3"/>
  <c r="C44" i="3"/>
  <c r="B44" i="3"/>
  <c r="A44" i="3"/>
  <c r="C43" i="3"/>
  <c r="B43" i="3"/>
  <c r="A43" i="3"/>
  <c r="C42" i="3"/>
  <c r="B42" i="3"/>
  <c r="A42" i="3"/>
  <c r="C41" i="3"/>
  <c r="B41" i="3"/>
  <c r="A41" i="3"/>
  <c r="C40" i="3"/>
  <c r="B40" i="3"/>
  <c r="A40" i="3"/>
  <c r="C54" i="3"/>
  <c r="B54" i="3"/>
  <c r="A54" i="3"/>
  <c r="C53" i="3"/>
  <c r="B53" i="3"/>
  <c r="A53" i="3"/>
  <c r="C52" i="3"/>
  <c r="B52" i="3"/>
  <c r="A52" i="3"/>
  <c r="C51" i="3"/>
  <c r="B51" i="3"/>
  <c r="A51" i="3"/>
  <c r="C50" i="3"/>
  <c r="B50" i="3"/>
  <c r="A50" i="3"/>
  <c r="C84" i="3"/>
  <c r="B84" i="3"/>
  <c r="A84" i="3"/>
  <c r="C83" i="3"/>
  <c r="B83" i="3"/>
  <c r="A83" i="3"/>
  <c r="C82" i="3"/>
  <c r="B82" i="3"/>
  <c r="A82" i="3"/>
  <c r="C81" i="3"/>
  <c r="B81" i="3"/>
  <c r="A81" i="3"/>
  <c r="C80" i="3"/>
  <c r="B80" i="3"/>
  <c r="A80" i="3"/>
  <c r="C79" i="3"/>
  <c r="B79" i="3"/>
  <c r="A79" i="3"/>
  <c r="C78" i="3"/>
  <c r="B78" i="3"/>
  <c r="A78" i="3"/>
  <c r="C77" i="3"/>
  <c r="B77" i="3"/>
  <c r="A77" i="3"/>
  <c r="C76" i="3"/>
  <c r="B76" i="3"/>
  <c r="A76" i="3"/>
  <c r="C75" i="3"/>
  <c r="B75" i="3"/>
  <c r="A75" i="3"/>
  <c r="C74" i="3"/>
  <c r="B74" i="3"/>
  <c r="A74" i="3"/>
  <c r="C73" i="3"/>
  <c r="B73" i="3"/>
  <c r="A73" i="3"/>
  <c r="C72" i="3"/>
  <c r="B72" i="3"/>
  <c r="A72" i="3"/>
  <c r="C71" i="3"/>
  <c r="B71" i="3"/>
  <c r="A71" i="3"/>
  <c r="C70" i="3"/>
  <c r="B70" i="3"/>
  <c r="A70" i="3"/>
  <c r="C69" i="3"/>
  <c r="B69" i="3"/>
  <c r="A69" i="3"/>
  <c r="C68" i="3"/>
  <c r="B68" i="3"/>
  <c r="A68" i="3"/>
  <c r="C67" i="3"/>
  <c r="B67" i="3"/>
  <c r="A67" i="3"/>
  <c r="C66" i="3"/>
  <c r="B66" i="3"/>
  <c r="A66" i="3"/>
  <c r="C65" i="3"/>
  <c r="B65" i="3"/>
  <c r="A65" i="3"/>
  <c r="C64" i="3"/>
  <c r="B64" i="3"/>
  <c r="A64" i="3"/>
  <c r="C63" i="3"/>
  <c r="B63" i="3"/>
  <c r="A63" i="3"/>
  <c r="C62" i="3"/>
  <c r="B62" i="3"/>
  <c r="A62" i="3"/>
  <c r="C61" i="3"/>
  <c r="B61" i="3"/>
  <c r="A61" i="3"/>
  <c r="C60" i="3"/>
  <c r="B60" i="3"/>
  <c r="A60" i="3"/>
  <c r="C59" i="3"/>
  <c r="B59" i="3"/>
  <c r="A59" i="3"/>
  <c r="C58" i="3"/>
  <c r="B58" i="3"/>
  <c r="A58" i="3"/>
  <c r="C57" i="3"/>
  <c r="B57" i="3"/>
  <c r="A57" i="3"/>
  <c r="C56" i="3"/>
  <c r="B56" i="3"/>
  <c r="A56" i="3"/>
  <c r="C55" i="3"/>
  <c r="B55" i="3"/>
  <c r="A55" i="3"/>
  <c r="C89" i="3"/>
  <c r="B89" i="3"/>
  <c r="A89" i="3"/>
  <c r="C88" i="3"/>
  <c r="B88" i="3"/>
  <c r="A88" i="3"/>
  <c r="C87" i="3"/>
  <c r="B87" i="3"/>
  <c r="A87" i="3"/>
  <c r="C86" i="3"/>
  <c r="B86" i="3"/>
  <c r="A86" i="3"/>
  <c r="C85" i="3"/>
  <c r="B85" i="3"/>
  <c r="A85" i="3"/>
  <c r="C99" i="3"/>
  <c r="B99" i="3"/>
  <c r="A99" i="3"/>
  <c r="C98" i="3"/>
  <c r="B98" i="3"/>
  <c r="A98" i="3"/>
  <c r="C97" i="3"/>
  <c r="B97" i="3"/>
  <c r="A97" i="3"/>
  <c r="C96" i="3"/>
  <c r="B96" i="3"/>
  <c r="A96" i="3"/>
  <c r="C95" i="3"/>
  <c r="B95" i="3"/>
  <c r="A95" i="3"/>
  <c r="C94" i="3"/>
  <c r="B94" i="3"/>
  <c r="A94" i="3"/>
  <c r="C93" i="3"/>
  <c r="B93" i="3"/>
  <c r="A93" i="3"/>
  <c r="C92" i="3"/>
  <c r="B92" i="3"/>
  <c r="A92" i="3"/>
  <c r="C91" i="3"/>
  <c r="B91" i="3"/>
  <c r="A91" i="3"/>
  <c r="C90" i="3"/>
  <c r="B90" i="3"/>
  <c r="A90" i="3"/>
  <c r="C114" i="3"/>
  <c r="B114" i="3"/>
  <c r="A114" i="3"/>
  <c r="C113" i="3"/>
  <c r="B113" i="3"/>
  <c r="A113" i="3"/>
  <c r="C112" i="3"/>
  <c r="B112" i="3"/>
  <c r="A112" i="3"/>
  <c r="C111" i="3"/>
  <c r="B111" i="3"/>
  <c r="A111" i="3"/>
  <c r="C110" i="3"/>
  <c r="B110" i="3"/>
  <c r="A110" i="3"/>
  <c r="C109" i="3"/>
  <c r="B109" i="3"/>
  <c r="A109" i="3"/>
  <c r="C108" i="3"/>
  <c r="B108" i="3"/>
  <c r="A108" i="3"/>
  <c r="C107" i="3"/>
  <c r="B107" i="3"/>
  <c r="A107" i="3"/>
  <c r="C106" i="3"/>
  <c r="B106" i="3"/>
  <c r="A106" i="3"/>
  <c r="C105" i="3"/>
  <c r="B105" i="3"/>
  <c r="A105" i="3"/>
  <c r="C104" i="3"/>
  <c r="B104" i="3"/>
  <c r="A104" i="3"/>
  <c r="C103" i="3"/>
  <c r="B103" i="3"/>
  <c r="A103" i="3"/>
  <c r="C102" i="3"/>
  <c r="B102" i="3"/>
  <c r="A102" i="3"/>
  <c r="C101" i="3"/>
  <c r="B101" i="3"/>
  <c r="A101" i="3"/>
  <c r="C100" i="3"/>
  <c r="B100" i="3"/>
  <c r="A100" i="3"/>
  <c r="C119" i="3"/>
  <c r="B119" i="3"/>
  <c r="A119" i="3"/>
  <c r="C118" i="3"/>
  <c r="B118" i="3"/>
  <c r="A118" i="3"/>
  <c r="C117" i="3"/>
  <c r="B117" i="3"/>
  <c r="A117" i="3"/>
  <c r="C116" i="3"/>
  <c r="B116" i="3"/>
  <c r="A116" i="3"/>
  <c r="C115" i="3"/>
  <c r="B115" i="3"/>
  <c r="A115" i="3"/>
  <c r="C134" i="3"/>
  <c r="B134" i="3"/>
  <c r="A134" i="3"/>
  <c r="C133" i="3"/>
  <c r="B133" i="3"/>
  <c r="A133" i="3"/>
  <c r="C132" i="3"/>
  <c r="B132" i="3"/>
  <c r="A132" i="3"/>
  <c r="C131" i="3"/>
  <c r="B131" i="3"/>
  <c r="A131" i="3"/>
  <c r="C130" i="3"/>
  <c r="B130" i="3"/>
  <c r="A130" i="3"/>
  <c r="C129" i="3"/>
  <c r="B129" i="3"/>
  <c r="A129" i="3"/>
  <c r="C128" i="3"/>
  <c r="B128" i="3"/>
  <c r="A128" i="3"/>
  <c r="C127" i="3"/>
  <c r="B127" i="3"/>
  <c r="A127" i="3"/>
  <c r="C126" i="3"/>
  <c r="B126" i="3"/>
  <c r="A126" i="3"/>
  <c r="C125" i="3"/>
  <c r="B125" i="3"/>
  <c r="A125" i="3"/>
  <c r="C124" i="3"/>
  <c r="B124" i="3"/>
  <c r="A124" i="3"/>
  <c r="C123" i="3"/>
  <c r="B123" i="3"/>
  <c r="A123" i="3"/>
  <c r="C122" i="3"/>
  <c r="B122" i="3"/>
  <c r="A122" i="3"/>
  <c r="C121" i="3"/>
  <c r="B121" i="3"/>
  <c r="A121" i="3"/>
  <c r="C120" i="3"/>
  <c r="B120" i="3"/>
  <c r="A120" i="3"/>
  <c r="C139" i="3"/>
  <c r="B139" i="3"/>
  <c r="A139" i="3"/>
  <c r="C138" i="3"/>
  <c r="B138" i="3"/>
  <c r="A138" i="3"/>
  <c r="C137" i="3"/>
  <c r="B137" i="3"/>
  <c r="A137" i="3"/>
  <c r="C136" i="3"/>
  <c r="B136" i="3"/>
  <c r="A136" i="3"/>
  <c r="C135" i="3"/>
  <c r="B135" i="3"/>
  <c r="A135" i="3"/>
  <c r="C144" i="3"/>
  <c r="B144" i="3"/>
  <c r="A144" i="3"/>
  <c r="C143" i="3"/>
  <c r="B143" i="3"/>
  <c r="A143" i="3"/>
  <c r="C142" i="3"/>
  <c r="B142" i="3"/>
  <c r="A142" i="3"/>
  <c r="C141" i="3"/>
  <c r="B141" i="3"/>
  <c r="A141" i="3"/>
  <c r="C140" i="3"/>
  <c r="B140" i="3"/>
  <c r="A140" i="3"/>
  <c r="C149" i="3" l="1"/>
  <c r="B149" i="3"/>
  <c r="A149" i="3"/>
  <c r="C148" i="3"/>
  <c r="B148" i="3"/>
  <c r="A148" i="3"/>
  <c r="C147" i="3"/>
  <c r="B147" i="3"/>
  <c r="A147" i="3"/>
  <c r="C146" i="3"/>
  <c r="B146" i="3"/>
  <c r="A146" i="3"/>
  <c r="C145" i="3"/>
  <c r="B145" i="3"/>
  <c r="A145" i="3"/>
  <c r="A2" i="3"/>
  <c r="A3" i="3" l="1"/>
  <c r="D159" i="3" l="1"/>
  <c r="B161" i="3" l="1"/>
  <c r="C160" i="3"/>
  <c r="B160" i="3"/>
  <c r="D152" i="3"/>
  <c r="D153" i="3"/>
  <c r="D154" i="3"/>
  <c r="D155" i="3"/>
  <c r="D156" i="3"/>
  <c r="D157" i="3"/>
  <c r="D158" i="3"/>
  <c r="C152" i="3"/>
  <c r="C153" i="3"/>
  <c r="C154" i="3"/>
  <c r="C155" i="3"/>
  <c r="C156" i="3"/>
  <c r="C157" i="3"/>
  <c r="C158" i="3"/>
  <c r="C159" i="3"/>
  <c r="B152" i="3"/>
  <c r="B153" i="3"/>
  <c r="B154" i="3"/>
  <c r="B155" i="3"/>
  <c r="B156" i="3"/>
  <c r="B157" i="3"/>
  <c r="B158" i="3"/>
  <c r="B159" i="3"/>
  <c r="B151" i="3"/>
  <c r="C151" i="3"/>
  <c r="D151" i="3"/>
  <c r="A159" i="3"/>
  <c r="A152" i="3"/>
  <c r="A153" i="3"/>
  <c r="A154" i="3"/>
  <c r="A155" i="3"/>
  <c r="A156" i="3"/>
  <c r="A157" i="3"/>
  <c r="A158" i="3"/>
  <c r="A151" i="3"/>
  <c r="A150" i="3"/>
  <c r="A1" i="3"/>
  <c r="A4" i="3"/>
  <c r="G1"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NTERACCIÓN" type="6" refreshedVersion="4" background="1" saveData="1">
    <textPr codePage="850" sourceFile="C:\VF 2010\Console2\Console2\Debug\INTERACCIÓN.prn" delimited="0" thousands=" ">
      <textFields count="2">
        <textField/>
        <textField position="13"/>
      </textFields>
    </textPr>
  </connection>
</connections>
</file>

<file path=xl/sharedStrings.xml><?xml version="1.0" encoding="utf-8"?>
<sst xmlns="http://schemas.openxmlformats.org/spreadsheetml/2006/main" count="98" uniqueCount="79">
  <si>
    <t>Diagrama de interacción  con inclinación del plano de carga λ =</t>
  </si>
  <si>
    <t>ΦMnλ [KNm]</t>
  </si>
  <si>
    <t>ΦPn    [KN]</t>
  </si>
  <si>
    <t>Verificar puntos</t>
  </si>
  <si>
    <t>(ΦMnλ es el momento compuesto en dirección perpendicular al plano de carga λ, se obtiene de la siguiente manera ΦMnλ = √(ΦMnx²+ΦMny²) y se considera positivo cuando ΦMnx es positivo)</t>
  </si>
  <si>
    <t>MATERIALES</t>
  </si>
  <si>
    <t>Hormigón Calidad  H -</t>
  </si>
  <si>
    <t>Zunchos en espiral</t>
  </si>
  <si>
    <t>Positiva</t>
  </si>
  <si>
    <t>Negativa</t>
  </si>
  <si>
    <t>Acero Tipo</t>
  </si>
  <si>
    <t>ADN 420</t>
  </si>
  <si>
    <t>ARMADURAS TRANSVERSALES</t>
  </si>
  <si>
    <t xml:space="preserve"> mediante</t>
  </si>
  <si>
    <t>GEOMETRÍA DE LA SECCIÓN DE HORMIGÓN</t>
  </si>
  <si>
    <t>Cantidad de contornos convexos</t>
  </si>
  <si>
    <t>Contorno nº</t>
  </si>
  <si>
    <t>Área</t>
  </si>
  <si>
    <t>Cantidad de Nodos</t>
  </si>
  <si>
    <t>Nodo nº</t>
  </si>
  <si>
    <t>X</t>
  </si>
  <si>
    <t>Y</t>
  </si>
  <si>
    <t>Cantidad de barras</t>
  </si>
  <si>
    <t>Barra nº</t>
  </si>
  <si>
    <t>Diámetro</t>
  </si>
  <si>
    <t>LEER</t>
  </si>
  <si>
    <t>INTRODUCCIÓN</t>
  </si>
  <si>
    <t>(Una vez ejecutado el programa y finalizado el proceso, ingresar en el menú "DATOS" de excel e ingresar en el menú de obtención de datos externos "Desde texto", buscar el directorio correspondiente e importar los datos del archivo "INTERACCIÓN.PRN" con la opción de "ANCHO FIJO", para graficar finalmente el diagrama deben colocarse los datos en las columnas i y j de esta hoja)</t>
  </si>
  <si>
    <t>→</t>
  </si>
  <si>
    <t xml:space="preserve">      Las ecuaciones constitutivas de los materiales, así como también los factores de reducción de resistencia utilizados en el programa son los correspondientes al reglamento CIRSOC 201-2005</t>
  </si>
  <si>
    <t xml:space="preserve">Positiva </t>
  </si>
  <si>
    <t>INGRESO DE DATOS</t>
  </si>
  <si>
    <t>EJECUCIÓN DEL PROGRAMA</t>
  </si>
  <si>
    <t>RESULTADOS</t>
  </si>
  <si>
    <t>Estribos</t>
  </si>
  <si>
    <t>Muλ   [KNm]</t>
  </si>
  <si>
    <t>Pu          [KN]</t>
  </si>
  <si>
    <t>UNIVERSIDAD NACIONAL DE ROSARIO</t>
  </si>
  <si>
    <t>FACULTAD DE CS. EXACTAS, INGENIERÍA Y AGRIMENSURA</t>
  </si>
  <si>
    <t>ESCUELA DE INGENIERÍA CIVIL</t>
  </si>
  <si>
    <t>HORMIGÓN ARMADO</t>
  </si>
  <si>
    <t xml:space="preserve">DIMENSIONAMIENTO DE SECCIONES DE HORMIGÓN </t>
  </si>
  <si>
    <t xml:space="preserve">ARMADO DE FORMA GENÉRICA SOLICITADAS A FLEXIÓN </t>
  </si>
  <si>
    <t>COMPUESTA OBLICUA</t>
  </si>
  <si>
    <r>
      <rPr>
        <b/>
        <sz val="11"/>
        <color theme="1"/>
        <rFont val="Arial"/>
        <family val="2"/>
      </rPr>
      <t>Adscripto</t>
    </r>
    <r>
      <rPr>
        <sz val="11"/>
        <color theme="1"/>
        <rFont val="Arial"/>
        <family val="2"/>
      </rPr>
      <t>: Ing. Mauro Poliotti</t>
    </r>
  </si>
  <si>
    <r>
      <rPr>
        <b/>
        <sz val="11"/>
        <color theme="1"/>
        <rFont val="Arial"/>
        <family val="2"/>
      </rPr>
      <t>Dirección de la adscripción</t>
    </r>
    <r>
      <rPr>
        <sz val="11"/>
        <color theme="1"/>
        <rFont val="Arial"/>
        <family val="2"/>
      </rPr>
      <t>: Dr. Ing. Oscar Möller</t>
    </r>
  </si>
  <si>
    <t>AÑO 2013</t>
  </si>
  <si>
    <t xml:space="preserve">      DISGHA es un programa de cálculo numérico que permite al usuario construir el diagrama de interacción de resistencia de diseño M-P para secciones de hormigón armado de forma y armadura genérica, para cualquier plano de carga, permitiendo verificar  estados de flexión oblicua compuesta.  </t>
  </si>
  <si>
    <r>
      <t xml:space="preserve">       El ingreso de datos del programa se realiza a través de un archivo de formato fijo, cuya construcción se realiza mediante esta planilla Excel. Al finalizar la lectura de este instructivo se encontrará una hoja de </t>
    </r>
    <r>
      <rPr>
        <i/>
        <sz val="11"/>
        <color theme="1"/>
        <rFont val="Arial"/>
        <family val="2"/>
      </rPr>
      <t xml:space="preserve">Ingreso de Datos </t>
    </r>
    <r>
      <rPr>
        <sz val="11"/>
        <color theme="1"/>
        <rFont val="Arial"/>
        <family val="2"/>
      </rPr>
      <t>en la cual se deberá completar todas aquellas celdas que se encuentren sombreadas en gris.</t>
    </r>
  </si>
  <si>
    <t xml:space="preserve">       En primer lugar se deberán ingresar las características de los materiales y el tipo de armadura transversal, es decir si posee estribos o zunchos en espiral.</t>
  </si>
  <si>
    <t xml:space="preserve">       Luego se introduce la geometría de la sección de hormigón, para lo cual se deberá dividir la sección en contornos convexos. Un contorno es convexo cuando el segmento que une dos puntos cualesquiera dentro del contorno, permanece en su totalidad dentro del contorno. De esta manera tanto las concavidades como los orificios que pueda tener la sección se obtienen ingresando contornos de área negativa.</t>
  </si>
  <si>
    <t xml:space="preserve">       A continuación se  muestra cómo descomponer una sección con concavidades y orificios en una serie de contornos convexos.</t>
  </si>
  <si>
    <t xml:space="preserve">       Cada uno de los contornos deberá ser ingresado a través de las coordenadas de sus nodos, expresadas en metros, y respetando un orden el cual puede ser en sentido anti horario u horario.</t>
  </si>
  <si>
    <t xml:space="preserve">       Luego se debe proceder con los datos de las armaduras, para lo cual se debe ingresar la cantidad de barras, y para cada una de ellas, el número de la barra, las coordenadas X e Y , y el diámetro, el cual debe ser un diámetro comercial.</t>
  </si>
  <si>
    <t xml:space="preserve">       Las coordenadas ya sean de los nodos de los contornos como de las armaduras deben estar referidas a un mismo sistema de referencia, el cual puede tener origen en un punto arbitrario.</t>
  </si>
  <si>
    <t xml:space="preserve">       Para realizar los procesos iterativos el programa discretiza la sección de hormigón en elementos rectangulares de dimensiones ΔX y ΔY, las cuales deben ser elegidas por el usuario. Como recomendación dichas dimensiones deben ser aproximadamente la máxima dimensión de la sección dividido 60. Complementariamente se recomienda que los valores de ΔX y ΔY sean elegidos de  modo tal que las dimensiones de la sección sean múltiplos de dichos valores.</t>
  </si>
  <si>
    <r>
      <t xml:space="preserve">       Finalmente se debe ingresar el ángulo </t>
    </r>
    <r>
      <rPr>
        <sz val="11"/>
        <color theme="1"/>
        <rFont val="Calibri"/>
        <family val="2"/>
      </rPr>
      <t>λ</t>
    </r>
    <r>
      <rPr>
        <sz val="11"/>
        <color theme="1"/>
        <rFont val="Arial"/>
        <family val="2"/>
      </rPr>
      <t xml:space="preserve"> de inclinación del plano de carga, para el cual se desea obtener el diagrama de interacción de resistencia. El ángulo de inclinación del plano de carga se toma respecto del eje Y, por lo tanto  λ = arctan(My/Mx) = arctan(ex/ey). </t>
    </r>
  </si>
  <si>
    <r>
      <t xml:space="preserve">       Una vez dados todos los datos se recomienda verificar que no existan números de contornos, nodos o barras repetidos, así como también que el número de nodos de cada de contorno coincida con los datos ingresados. Por último se debe verificar en la pestaña "</t>
    </r>
    <r>
      <rPr>
        <i/>
        <sz val="11"/>
        <color theme="1"/>
        <rFont val="Arial"/>
        <family val="2"/>
      </rPr>
      <t>Datos</t>
    </r>
    <r>
      <rPr>
        <sz val="11"/>
        <color theme="1"/>
        <rFont val="Arial"/>
        <family val="2"/>
      </rPr>
      <t>" que no existan filas vacías intermedias, ni celdas con error o el mensaje "####".</t>
    </r>
  </si>
  <si>
    <t xml:space="preserve">       Luego, con la pestaña "Datos" activa, el usuario debe proceder a la opción "Guardar Como" y guardar, en el mismo directorio que se encuentra el ejecutable "DISGHA.exe", un archivo con el nombre "DATOS" y tipo de archivo "Texto con Formato(Delimitado por espacios)". Una vez guardado el archivo "DATOS.prn", se debe ingresar nuevamente a la opción "Guardar Como" y guardar el libro de Excel con un nombre de archivo distinto a  "Datos" o "DISGHA" y con tipo de archivo "Libro de Excel habilitado para macros".</t>
  </si>
  <si>
    <r>
      <t xml:space="preserve">       Se debe ingresar en el directorio en el cual se guardó el archivo "</t>
    </r>
    <r>
      <rPr>
        <i/>
        <sz val="11"/>
        <color theme="1"/>
        <rFont val="Arial"/>
        <family val="2"/>
      </rPr>
      <t xml:space="preserve">DATOS.prn" y </t>
    </r>
    <r>
      <rPr>
        <sz val="11"/>
        <color theme="1"/>
        <rFont val="Arial"/>
        <family val="2"/>
      </rPr>
      <t>el archivo ejecutable "DISGHA.exe". Al ejecutar este último, se abrirá una ventana la cual no se debe cerrar en ningún momento. El procesamiento puede demorar varios minutos.</t>
    </r>
  </si>
  <si>
    <r>
      <t xml:space="preserve">       Una vez finalizado el proceso la ventana se cerrará y en el directorio se muestran 2 archivos nuevos "</t>
    </r>
    <r>
      <rPr>
        <i/>
        <sz val="11"/>
        <color theme="1"/>
        <rFont val="Arial"/>
        <family val="2"/>
      </rPr>
      <t>RESULTADOS.prn</t>
    </r>
    <r>
      <rPr>
        <sz val="11"/>
        <color theme="1"/>
        <rFont val="Arial"/>
        <family val="2"/>
      </rPr>
      <t>" e "</t>
    </r>
    <r>
      <rPr>
        <i/>
        <sz val="11"/>
        <color theme="1"/>
        <rFont val="Arial"/>
        <family val="2"/>
      </rPr>
      <t>INTERACCIÓN.prn</t>
    </r>
    <r>
      <rPr>
        <sz val="11"/>
        <color theme="1"/>
        <rFont val="Arial"/>
        <family val="2"/>
      </rPr>
      <t>". Para verificar los datos ingresados el usuario puede leer el archivo "RESULTADOS.prn" mediante el programa Bloc de Notas.</t>
    </r>
  </si>
  <si>
    <r>
      <t xml:space="preserve">      Finalizada la ejecución del programa, se debe ingresar en el menú "DATOS" de Excel, y luego en el menú de obtención de datos externos "Desde texto" examinar el directorio donde se ejecutó el programa, e importar los datos del archivo "INTERACCIÓN.PRN" con la opción de "ANCHO FIJO". Para graficar el diagrama de interacción de resistencia se deben colocar los datos en las columnas i y j de la hoja "</t>
    </r>
    <r>
      <rPr>
        <i/>
        <sz val="11"/>
        <color theme="1"/>
        <rFont val="Arial"/>
        <family val="2"/>
      </rPr>
      <t>Diagrama de Interacción</t>
    </r>
    <r>
      <rPr>
        <sz val="11"/>
        <color theme="1"/>
        <rFont val="Arial"/>
        <family val="2"/>
      </rPr>
      <t>".</t>
    </r>
  </si>
  <si>
    <t xml:space="preserve">       El diagrama obtenido se encuentra en términos de solicitaciones de diseño, y las unidades son KN y KNm. El momento graficado es el momento compuesto  ΦMnλ  en dirección perpendicular al plano de carga λ, siendo ΦMnλ = √(ΦMnx²+ΦMny²) y se considera positivo cuando ΦMnx es positivo.</t>
  </si>
  <si>
    <r>
      <t xml:space="preserve">      Para verificar diversos estados de solicitación requerida, se debe ingresar en las celdas sombreadas en gris los valores de esfuerzo axial Pu[KN] y Mu</t>
    </r>
    <r>
      <rPr>
        <sz val="11"/>
        <color theme="1"/>
        <rFont val="Calibri"/>
        <family val="2"/>
      </rPr>
      <t>λ</t>
    </r>
    <r>
      <rPr>
        <sz val="11"/>
        <color theme="1"/>
        <rFont val="Arial"/>
        <family val="2"/>
      </rPr>
      <t>[KNm]. Los estados de solicitación que se encuentren dentro del diagrama de interacción verifican el estado límite de resistencia, y aquellos puntos fuera del diagrama son estados de solicitación que no verifican dicho estado límite.</t>
    </r>
  </si>
  <si>
    <t xml:space="preserve">Los datos de la geometría de la sección deben expresarse en METROS. Los nodos deben ingresarse en orden ya sea en sentido horario o anti horario y NO debe repetirse ningún nodo. Si se requiere mayor cantidad de nodos se deberá insertar la cantidad de filas necesarias a continuación del último nodo ingresado en el contorno correspondiente. Luego se deberá abrir la pestaña DATOS e insertar la misma cantidad de filas debajo de los datos del último nodo ingresado. Finalmente se deberá arrastrar las funciones de dichas celdas en todas las filas insertadas. </t>
  </si>
  <si>
    <t>Para ingresar una mayor cantidad de barras se deberá insertar la cantidad de filas necesarias a continuación de la última barra ingresada. Luego, se deberá abrir la pestaña DATOS e insertar la misma cantidad de filas debajo de los datos correspondientes a la última barra ingresada. Finalmente se deberán arrastrar las funciones de dichas celdas en todas las filas insertadas. En caso de querer utilizar una menor cantidad de barras,se deben eliminar las filas en esta pestaña y luego eliminar las filas correspondientes en la pestaña DATOS.</t>
  </si>
  <si>
    <t>ADN 500</t>
  </si>
  <si>
    <t>AL 220</t>
  </si>
  <si>
    <t xml:space="preserve">ARMADURAS PRETENSADAS </t>
  </si>
  <si>
    <t>DISCRETIZACIÓN DE LA SECCIÓN</t>
  </si>
  <si>
    <t>ΔX =</t>
  </si>
  <si>
    <t>m</t>
  </si>
  <si>
    <t>ΔY =</t>
  </si>
  <si>
    <t>Trenzas C1900</t>
  </si>
  <si>
    <t>Acero Pretensado Tipo</t>
  </si>
  <si>
    <t>Def. de rotura</t>
  </si>
  <si>
    <t xml:space="preserve">ARMADURAS </t>
  </si>
  <si>
    <t>INCLINACIÓN DEL PLANO DE CARGA</t>
  </si>
  <si>
    <r>
      <t xml:space="preserve">Graficar el diagrama de interacción para </t>
    </r>
    <r>
      <rPr>
        <sz val="11"/>
        <color theme="1"/>
        <rFont val="Calibri"/>
        <family val="2"/>
      </rPr>
      <t>λ</t>
    </r>
    <r>
      <rPr>
        <sz val="11"/>
        <color theme="1"/>
        <rFont val="Arial"/>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</si>
</sst>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º.0"/>
  </numFmts>
  <fonts count="15" x14ac:knownFonts="1">
    <font>
      <sz val="11"/>
      <color theme="1"/>
      <name val="Calibri"/>
      <family val="2"/>
      <scheme val="minor"/>
    </font>
    <font>
      <b/>
      <sz val="11"/>
      <color theme="1"/>
      <name val="Arial"/>
      <family val="2"/>
    </font>
    <font>
      <sz val="11"/>
      <color theme="1"/>
      <name val="Arial"/>
      <family val="2"/>
    </font>
    <font>
      <sz val="14"/>
      <color theme="1"/>
      <name val="Arial"/>
      <family val="2"/>
    </font>
    <font>
      <b/>
      <u/>
      <sz val="11"/>
      <color theme="1"/>
      <name val="Arial"/>
      <family val="2"/>
    </font>
    <font>
      <i/>
      <sz val="11"/>
      <color theme="1"/>
      <name val="Arial"/>
      <family val="2"/>
    </font>
    <font>
      <i/>
      <sz val="10"/>
      <color theme="1"/>
      <name val="Arial"/>
      <family val="2"/>
    </font>
    <font>
      <sz val="11"/>
      <color theme="1"/>
      <name val="Calibri"/>
      <family val="2"/>
    </font>
    <font>
      <sz val="7"/>
      <color theme="1"/>
      <name val="Calibri"/>
      <family val="2"/>
      <scheme val="minor"/>
    </font>
    <font>
      <b/>
      <i/>
      <sz val="11"/>
      <color rgb="FFFF0000"/>
      <name val="Arial"/>
      <family val="2"/>
    </font>
    <font>
      <u/>
      <sz val="11"/>
      <color theme="1"/>
      <name val="Arial"/>
      <family val="2"/>
    </font>
    <font>
      <b/>
      <sz val="11"/>
      <color theme="1"/>
      <name val="Calibri"/>
      <family val="2"/>
    </font>
    <font>
      <b/>
      <sz val="11"/>
      <color rgb="FF000000"/>
      <name val="Calibri"/>
      <family val="2"/>
    </font>
    <font>
      <sz val="11"/>
      <color rgb="FF000000"/>
      <name val="Calibri"/>
      <family val="2"/>
    </font>
    <font>
      <b/>
      <sz val="22"/>
      <color theme="1"/>
      <name val="Arial Black"/>
      <family val="2"/>
    </font>
  </fonts>
  <fills count="4">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s>
  <borders count="8">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s>
  <cellStyleXfs count="1">
    <xf numFmtId="0" fontId="0" fillId="0" borderId="0"/>
  </cellStyleXfs>
  <cellXfs count="55">
    <xf numFmtId="0" fontId="0" fillId="0" borderId="0" xfId="0"/>
    <xf numFmtId="0" fontId="0" fillId="0" borderId="2" xfId="0" applyBorder="1"/>
    <xf numFmtId="0" fontId="2" fillId="0" borderId="0" xfId="0" applyFont="1"/>
    <xf numFmtId="0" fontId="0" fillId="0" borderId="1" xfId="0" applyBorder="1"/>
    <xf numFmtId="0" fontId="0" fillId="0" borderId="3" xfId="0" applyBorder="1"/>
    <xf numFmtId="164" fontId="8" fillId="0" borderId="0" xfId="0" applyNumberFormat="1" applyFont="1"/>
    <xf numFmtId="0" fontId="9" fillId="0" borderId="0" xfId="0" applyFont="1" applyAlignment="1">
      <alignment vertical="center"/>
    </xf>
    <xf numFmtId="0" fontId="2" fillId="0" borderId="6" xfId="0" applyFont="1" applyBorder="1"/>
    <xf numFmtId="0" fontId="2" fillId="0" borderId="7" xfId="0" applyFont="1" applyBorder="1"/>
    <xf numFmtId="0" fontId="2" fillId="2" borderId="7" xfId="0" applyFont="1" applyFill="1" applyBorder="1" applyAlignment="1">
      <alignment horizontal="center"/>
    </xf>
    <xf numFmtId="164" fontId="2" fillId="2" borderId="0" xfId="0" applyNumberFormat="1" applyFont="1" applyFill="1" applyAlignment="1">
      <alignment horizontal="center"/>
    </xf>
    <xf numFmtId="0" fontId="11" fillId="0" borderId="0" xfId="0" applyFont="1" applyAlignment="1">
      <alignment horizontal="left"/>
    </xf>
    <xf numFmtId="0" fontId="2" fillId="0" borderId="7" xfId="0" applyFont="1" applyBorder="1" applyAlignment="1">
      <alignment horizontal="center"/>
    </xf>
    <xf numFmtId="0" fontId="2" fillId="0" borderId="0" xfId="0" applyFont="1" applyAlignment="1">
      <alignment horizontal="center"/>
    </xf>
    <xf numFmtId="0" fontId="2" fillId="2" borderId="0" xfId="0" applyFont="1" applyFill="1" applyAlignment="1">
      <alignment horizontal="center"/>
    </xf>
    <xf numFmtId="0" fontId="5" fillId="0" borderId="0" xfId="0" applyFont="1" applyAlignment="1">
      <alignment vertical="top"/>
    </xf>
    <xf numFmtId="0" fontId="2" fillId="0" borderId="0" xfId="0" applyFont="1" applyAlignment="1">
      <alignment wrapText="1"/>
    </xf>
    <xf numFmtId="0" fontId="2" fillId="0" borderId="0" xfId="0" applyFont="1" applyAlignment="1">
      <alignment horizontal="left" wrapText="1"/>
    </xf>
    <xf numFmtId="0" fontId="2" fillId="2" borderId="0" xfId="0" applyFont="1" applyFill="1"/>
    <xf numFmtId="0" fontId="0" fillId="2" borderId="0" xfId="0" applyFill="1"/>
    <xf numFmtId="11" fontId="0" fillId="0" borderId="2" xfId="0" applyNumberFormat="1" applyBorder="1" applyProtection="1">
      <protection locked="0"/>
    </xf>
    <xf numFmtId="0" fontId="0" fillId="0" borderId="2" xfId="0" applyBorder="1" applyProtection="1">
      <protection locked="0"/>
    </xf>
    <xf numFmtId="164" fontId="0" fillId="2" borderId="4" xfId="0" applyNumberFormat="1" applyFill="1" applyBorder="1" applyProtection="1">
      <protection locked="0"/>
    </xf>
    <xf numFmtId="0" fontId="0" fillId="0" borderId="0" xfId="0" applyProtection="1">
      <protection locked="0"/>
    </xf>
    <xf numFmtId="0" fontId="0" fillId="0" borderId="0" xfId="0" applyAlignment="1">
      <alignment vertical="center" wrapText="1"/>
    </xf>
    <xf numFmtId="0" fontId="1" fillId="0" borderId="0" xfId="0" applyFont="1" applyAlignment="1">
      <alignment horizontal="center" wrapText="1"/>
    </xf>
    <xf numFmtId="0" fontId="0" fillId="2" borderId="0" xfId="0" applyFill="1" applyAlignment="1">
      <alignment horizontal="center"/>
    </xf>
    <xf numFmtId="165" fontId="2" fillId="2" borderId="0" xfId="0" applyNumberFormat="1" applyFont="1" applyFill="1" applyAlignment="1">
      <alignment horizontal="center"/>
    </xf>
    <xf numFmtId="0" fontId="5" fillId="0" borderId="0" xfId="0" applyFont="1" applyAlignment="1">
      <alignment horizontal="justify" vertical="top"/>
    </xf>
    <xf numFmtId="0" fontId="14" fillId="0" borderId="0" xfId="0" applyFont="1" applyAlignment="1">
      <alignment horizontal="center" vertical="center" wrapText="1"/>
    </xf>
    <xf numFmtId="0" fontId="1" fillId="0" borderId="0" xfId="0" applyFont="1" applyAlignment="1">
      <alignment horizontal="center" wrapText="1"/>
    </xf>
    <xf numFmtId="0" fontId="2" fillId="0" borderId="0" xfId="0" applyFont="1" applyAlignment="1">
      <alignment horizontal="center" wrapText="1"/>
    </xf>
    <xf numFmtId="0" fontId="1" fillId="0" borderId="0" xfId="0" applyFont="1" applyAlignment="1">
      <alignment horizontal="left"/>
    </xf>
    <xf numFmtId="0" fontId="10" fillId="0" borderId="0" xfId="0" applyFont="1" applyAlignment="1">
      <alignment horizontal="left"/>
    </xf>
    <xf numFmtId="0" fontId="2" fillId="0" borderId="0" xfId="0" applyFont="1" applyAlignment="1">
      <alignment horizontal="justify" vertical="top"/>
    </xf>
    <xf numFmtId="0" fontId="2" fillId="0" borderId="0" xfId="0" applyFont="1" applyAlignment="1">
      <alignment horizontal="justify"/>
    </xf>
    <xf numFmtId="0" fontId="1" fillId="0" borderId="0" xfId="0" applyFont="1" applyAlignment="1">
      <alignment horizontal="center" vertical="center" wrapText="1"/>
    </xf>
    <xf numFmtId="49" fontId="2" fillId="0" borderId="0" xfId="0" applyNumberFormat="1" applyFont="1" applyAlignment="1">
      <alignment horizontal="justify" vertical="top"/>
    </xf>
    <xf numFmtId="2" fontId="2" fillId="0" borderId="0" xfId="0" applyNumberFormat="1" applyFont="1" applyAlignment="1">
      <alignment horizontal="justify"/>
    </xf>
    <xf numFmtId="0" fontId="5" fillId="0" borderId="0" xfId="0" applyFont="1" applyAlignment="1">
      <alignment horizontal="justify" vertical="top"/>
    </xf>
    <xf numFmtId="0" fontId="2" fillId="0" borderId="7" xfId="0" applyFont="1" applyBorder="1" applyAlignment="1">
      <alignment horizontal="center"/>
    </xf>
    <xf numFmtId="0" fontId="2" fillId="0" borderId="0" xfId="0" applyFont="1" applyAlignment="1">
      <alignment horizontal="center"/>
    </xf>
    <xf numFmtId="0" fontId="4" fillId="0" borderId="7" xfId="0" applyFont="1" applyBorder="1" applyAlignment="1">
      <alignment horizontal="left"/>
    </xf>
    <xf numFmtId="0" fontId="2" fillId="0" borderId="0" xfId="0" applyFont="1" applyAlignment="1">
      <alignment horizontal="left"/>
    </xf>
    <xf numFmtId="0" fontId="4" fillId="0" borderId="0" xfId="0" applyFont="1" applyAlignment="1">
      <alignment horizontal="left"/>
    </xf>
    <xf numFmtId="0" fontId="4" fillId="0" borderId="5" xfId="0" applyFont="1" applyBorder="1" applyAlignment="1">
      <alignment horizontal="left"/>
    </xf>
    <xf numFmtId="0" fontId="4" fillId="0" borderId="6" xfId="0" applyFont="1" applyBorder="1" applyAlignment="1">
      <alignment horizontal="left"/>
    </xf>
    <xf numFmtId="0" fontId="2" fillId="2" borderId="0" xfId="0" applyFont="1" applyFill="1" applyAlignment="1">
      <alignment horizontal="center"/>
    </xf>
    <xf numFmtId="0" fontId="5" fillId="0" borderId="0" xfId="0" applyFont="1" applyAlignment="1">
      <alignment horizontal="justify" vertical="center" wrapText="1"/>
    </xf>
    <xf numFmtId="0" fontId="4" fillId="0" borderId="0" xfId="0" applyFont="1" applyAlignment="1">
      <alignment horizontal="center" vertical="center"/>
    </xf>
    <xf numFmtId="0" fontId="2" fillId="0" borderId="0" xfId="0" applyFont="1" applyAlignment="1">
      <alignment horizontal="center" vertical="center" wrapText="1"/>
    </xf>
    <xf numFmtId="0" fontId="1" fillId="0" borderId="1" xfId="0" applyFont="1" applyBorder="1" applyAlignment="1">
      <alignment horizontal="center" vertical="center" wrapText="1"/>
    </xf>
    <xf numFmtId="0" fontId="1" fillId="0" borderId="3" xfId="0" applyFont="1" applyBorder="1" applyAlignment="1">
      <alignment horizontal="center" vertical="center" wrapText="1"/>
    </xf>
    <xf numFmtId="165" fontId="3" fillId="3" borderId="0" xfId="0" applyNumberFormat="1" applyFont="1" applyFill="1" applyAlignment="1">
      <alignment horizontal="center" vertical="center"/>
    </xf>
    <xf numFmtId="0" fontId="6" fillId="0" borderId="0" xfId="0" applyFont="1" applyAlignment="1">
      <alignment horizontal="justify"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503883443141035"/>
          <c:y val="2.2664219130191336E-2"/>
          <c:w val="0.79705358194678089"/>
          <c:h val="0.90998029854690754"/>
        </c:manualLayout>
      </c:layout>
      <c:scatterChart>
        <c:scatterStyle val="lineMarker"/>
        <c:varyColors val="0"/>
        <c:ser>
          <c:idx val="0"/>
          <c:order val="0"/>
          <c:spPr>
            <a:ln w="28575">
              <a:noFill/>
            </a:ln>
          </c:spPr>
          <c:xVal>
            <c:numRef>
              <c:f>'Diagrama de Interacción'!$J$3:$J$1048576</c:f>
              <c:numCache>
                <c:formatCode>0.00E+00</c:formatCode>
                <c:ptCount val="1048574"/>
              </c:numCache>
            </c:numRef>
          </c:xVal>
          <c:yVal>
            <c:numRef>
              <c:f>'Diagrama de Interacción'!$I$3:$I$1048576</c:f>
              <c:numCache>
                <c:formatCode>0.00E+00</c:formatCode>
                <c:ptCount val="1048574"/>
              </c:numCache>
            </c:numRef>
          </c:yVal>
          <c:smooth val="0"/>
          <c:extLst>
            <c:ext xmlns:c16="http://schemas.microsoft.com/office/drawing/2014/chart" uri="{C3380CC4-5D6E-409C-BE32-E72D297353CC}">
              <c16:uniqueId val="{00000000-1182-41CD-8F00-4F8BB0FA72D7}"/>
            </c:ext>
          </c:extLst>
        </c:ser>
        <c:ser>
          <c:idx val="1"/>
          <c:order val="1"/>
          <c:spPr>
            <a:ln w="28575">
              <a:noFill/>
            </a:ln>
          </c:spPr>
          <c:xVal>
            <c:numRef>
              <c:f>'Diagrama de Interacción'!$D$33:$D$1048576</c:f>
              <c:numCache>
                <c:formatCode>0.000</c:formatCode>
                <c:ptCount val="1048544"/>
              </c:numCache>
            </c:numRef>
          </c:xVal>
          <c:yVal>
            <c:numRef>
              <c:f>'Diagrama de Interacción'!$C$33:$C$1048576</c:f>
              <c:numCache>
                <c:formatCode>0.000</c:formatCode>
                <c:ptCount val="1048544"/>
              </c:numCache>
            </c:numRef>
          </c:yVal>
          <c:smooth val="0"/>
          <c:extLst>
            <c:ext xmlns:c16="http://schemas.microsoft.com/office/drawing/2014/chart" uri="{C3380CC4-5D6E-409C-BE32-E72D297353CC}">
              <c16:uniqueId val="{00000001-1182-41CD-8F00-4F8BB0FA72D7}"/>
            </c:ext>
          </c:extLst>
        </c:ser>
        <c:dLbls>
          <c:showLegendKey val="0"/>
          <c:showVal val="0"/>
          <c:showCatName val="0"/>
          <c:showSerName val="0"/>
          <c:showPercent val="0"/>
          <c:showBubbleSize val="0"/>
        </c:dLbls>
        <c:axId val="78894976"/>
        <c:axId val="78896512"/>
      </c:scatterChart>
      <c:valAx>
        <c:axId val="78894976"/>
        <c:scaling>
          <c:orientation val="minMax"/>
        </c:scaling>
        <c:delete val="0"/>
        <c:axPos val="b"/>
        <c:majorGridlines>
          <c:spPr>
            <a:ln>
              <a:prstDash val="dash"/>
            </a:ln>
          </c:spPr>
        </c:majorGridlines>
        <c:numFmt formatCode="0.0E+00" sourceLinked="0"/>
        <c:majorTickMark val="out"/>
        <c:minorTickMark val="none"/>
        <c:tickLblPos val="low"/>
        <c:spPr>
          <a:ln w="19050">
            <a:solidFill>
              <a:schemeClr val="tx1"/>
            </a:solidFill>
          </a:ln>
        </c:spPr>
        <c:crossAx val="78896512"/>
        <c:crossesAt val="0"/>
        <c:crossBetween val="midCat"/>
      </c:valAx>
      <c:valAx>
        <c:axId val="78896512"/>
        <c:scaling>
          <c:orientation val="minMax"/>
        </c:scaling>
        <c:delete val="0"/>
        <c:axPos val="l"/>
        <c:majorGridlines>
          <c:spPr>
            <a:ln>
              <a:prstDash val="dash"/>
            </a:ln>
          </c:spPr>
        </c:majorGridlines>
        <c:numFmt formatCode="0.0E+00" sourceLinked="0"/>
        <c:majorTickMark val="out"/>
        <c:minorTickMark val="none"/>
        <c:tickLblPos val="low"/>
        <c:spPr>
          <a:ln w="22225">
            <a:solidFill>
              <a:schemeClr val="tx1"/>
            </a:solidFill>
          </a:ln>
        </c:spPr>
        <c:crossAx val="78894976"/>
        <c:crossesAt val="0"/>
        <c:crossBetween val="midCat"/>
      </c:valAx>
    </c:plotArea>
    <c:plotVisOnly val="1"/>
    <c:dispBlanksAs val="gap"/>
    <c:showDLblsOverMax val="0"/>
  </c:chart>
  <c:spPr>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57151</xdr:colOff>
      <xdr:row>41</xdr:row>
      <xdr:rowOff>76200</xdr:rowOff>
    </xdr:from>
    <xdr:to>
      <xdr:col>2</xdr:col>
      <xdr:colOff>752540</xdr:colOff>
      <xdr:row>52</xdr:row>
      <xdr:rowOff>28575</xdr:rowOff>
    </xdr:to>
    <xdr:pic>
      <xdr:nvPicPr>
        <xdr:cNvPr id="4" name="3 Imagen" descr="C:\Users\Mauro\AppData\Local\Temp\x10sctmp1.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1" y="990600"/>
          <a:ext cx="2219389"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440996</xdr:colOff>
      <xdr:row>41</xdr:row>
      <xdr:rowOff>85726</xdr:rowOff>
    </xdr:from>
    <xdr:to>
      <xdr:col>6</xdr:col>
      <xdr:colOff>695323</xdr:colOff>
      <xdr:row>52</xdr:row>
      <xdr:rowOff>104776</xdr:rowOff>
    </xdr:to>
    <xdr:pic>
      <xdr:nvPicPr>
        <xdr:cNvPr id="5" name="4 Imagen" descr="C:\Users\Mauro\AppData\Local\Temp\x10sctmp2.png">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26996" y="1000126"/>
          <a:ext cx="2540327"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209550</xdr:colOff>
      <xdr:row>73</xdr:row>
      <xdr:rowOff>47626</xdr:rowOff>
    </xdr:from>
    <xdr:to>
      <xdr:col>6</xdr:col>
      <xdr:colOff>542925</xdr:colOff>
      <xdr:row>96</xdr:row>
      <xdr:rowOff>161925</xdr:rowOff>
    </xdr:to>
    <xdr:pic>
      <xdr:nvPicPr>
        <xdr:cNvPr id="6" name="5 Imagen" descr="C:\Users\Mauro\AppData\Local\Temp\x10sctmp3.png">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9550" y="6800851"/>
          <a:ext cx="4905375" cy="42862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76200</xdr:colOff>
          <xdr:row>177</xdr:row>
          <xdr:rowOff>50800</xdr:rowOff>
        </xdr:from>
        <xdr:to>
          <xdr:col>4</xdr:col>
          <xdr:colOff>146050</xdr:colOff>
          <xdr:row>179</xdr:row>
          <xdr:rowOff>146050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He leído las instrucciones</a:t>
              </a:r>
            </a:p>
          </xdr:txBody>
        </xdr:sp>
        <xdr:clientData fPrintsWithSheet="0"/>
      </xdr:twoCellAnchor>
    </mc:Choice>
    <mc:Fallback/>
  </mc:AlternateContent>
  <xdr:twoCellAnchor editAs="oneCell">
    <xdr:from>
      <xdr:col>0</xdr:col>
      <xdr:colOff>19050</xdr:colOff>
      <xdr:row>114</xdr:row>
      <xdr:rowOff>66677</xdr:rowOff>
    </xdr:from>
    <xdr:to>
      <xdr:col>6</xdr:col>
      <xdr:colOff>685450</xdr:colOff>
      <xdr:row>132</xdr:row>
      <xdr:rowOff>154800</xdr:rowOff>
    </xdr:to>
    <xdr:pic>
      <xdr:nvPicPr>
        <xdr:cNvPr id="7" name="6 Imagen" descr="C:\Users\Mauro\AppData\Local\Temp\x10sctmp.pn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9050" y="14620877"/>
          <a:ext cx="5238400" cy="33456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400050</xdr:colOff>
          <xdr:row>1</xdr:row>
          <xdr:rowOff>31750</xdr:rowOff>
        </xdr:from>
        <xdr:to>
          <xdr:col>4</xdr:col>
          <xdr:colOff>107950</xdr:colOff>
          <xdr:row>4</xdr:row>
          <xdr:rowOff>69850</xdr:rowOff>
        </xdr:to>
        <xdr:sp macro="" textlink="">
          <xdr:nvSpPr>
            <xdr:cNvPr id="1038" name="Object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extLst>
              <a:ext uri="{909E8E84-426E-40DD-AFC4-6F175D3DCCD1}">
                <a14:hiddenFill>
                  <a:solidFill>
                    <a:srgbClr val="00CC99"/>
                  </a:solidFill>
                </a14:hiddenFill>
              </a:ext>
            </a:extLst>
          </xdr:spPr>
        </xdr:sp>
        <xdr:clientData/>
      </xdr:twoCellAnchor>
    </mc:Choice>
    <mc:Fallback/>
  </mc:AlternateContent>
  <xdr:twoCellAnchor>
    <xdr:from>
      <xdr:col>5</xdr:col>
      <xdr:colOff>408146</xdr:colOff>
      <xdr:row>0</xdr:row>
      <xdr:rowOff>176580</xdr:rowOff>
    </xdr:from>
    <xdr:to>
      <xdr:col>6</xdr:col>
      <xdr:colOff>165246</xdr:colOff>
      <xdr:row>4</xdr:row>
      <xdr:rowOff>80596</xdr:rowOff>
    </xdr:to>
    <xdr:grpSp>
      <xdr:nvGrpSpPr>
        <xdr:cNvPr id="8" name="7 Grupo">
          <a:extLst>
            <a:ext uri="{FF2B5EF4-FFF2-40B4-BE49-F238E27FC236}">
              <a16:creationId xmlns:a16="http://schemas.microsoft.com/office/drawing/2014/main" id="{00000000-0008-0000-0000-000008000000}"/>
            </a:ext>
          </a:extLst>
        </xdr:cNvPr>
        <xdr:cNvGrpSpPr>
          <a:grpSpLocks noChangeAspect="1"/>
        </xdr:cNvGrpSpPr>
      </xdr:nvGrpSpPr>
      <xdr:grpSpPr bwMode="auto">
        <a:xfrm>
          <a:off x="4411821" y="179755"/>
          <a:ext cx="550850" cy="627916"/>
          <a:chOff x="2265" y="1712"/>
          <a:chExt cx="1230" cy="1508"/>
        </a:xfrm>
      </xdr:grpSpPr>
      <xdr:sp macro="" textlink="">
        <xdr:nvSpPr>
          <xdr:cNvPr id="9" name="Rectangle 4">
            <a:extLst>
              <a:ext uri="{FF2B5EF4-FFF2-40B4-BE49-F238E27FC236}">
                <a16:creationId xmlns:a16="http://schemas.microsoft.com/office/drawing/2014/main" id="{00000000-0008-0000-0000-000009000000}"/>
              </a:ext>
            </a:extLst>
          </xdr:cNvPr>
          <xdr:cNvSpPr>
            <a:spLocks noChangeAspect="1" noChangeArrowheads="1"/>
          </xdr:cNvSpPr>
        </xdr:nvSpPr>
        <xdr:spPr bwMode="auto">
          <a:xfrm>
            <a:off x="2265" y="2050"/>
            <a:ext cx="405" cy="1170"/>
          </a:xfrm>
          <a:prstGeom prst="rect">
            <a:avLst/>
          </a:prstGeom>
          <a:solidFill>
            <a:srgbClr val="C0C0C0"/>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0" name="Rectangle 5">
            <a:extLst>
              <a:ext uri="{FF2B5EF4-FFF2-40B4-BE49-F238E27FC236}">
                <a16:creationId xmlns:a16="http://schemas.microsoft.com/office/drawing/2014/main" id="{00000000-0008-0000-0000-00000A000000}"/>
              </a:ext>
            </a:extLst>
          </xdr:cNvPr>
          <xdr:cNvSpPr>
            <a:spLocks noChangeAspect="1" noChangeArrowheads="1"/>
          </xdr:cNvSpPr>
        </xdr:nvSpPr>
        <xdr:spPr bwMode="auto">
          <a:xfrm>
            <a:off x="2550" y="2245"/>
            <a:ext cx="930" cy="975"/>
          </a:xfrm>
          <a:prstGeom prst="rect">
            <a:avLst/>
          </a:prstGeom>
          <a:solidFill>
            <a:srgbClr val="333333"/>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1" name="Rectangle 6">
            <a:extLst>
              <a:ext uri="{FF2B5EF4-FFF2-40B4-BE49-F238E27FC236}">
                <a16:creationId xmlns:a16="http://schemas.microsoft.com/office/drawing/2014/main" id="{00000000-0008-0000-0000-00000B000000}"/>
              </a:ext>
            </a:extLst>
          </xdr:cNvPr>
          <xdr:cNvSpPr>
            <a:spLocks noChangeAspect="1" noChangeArrowheads="1"/>
          </xdr:cNvSpPr>
        </xdr:nvSpPr>
        <xdr:spPr bwMode="auto">
          <a:xfrm>
            <a:off x="2985" y="2605"/>
            <a:ext cx="495" cy="25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cxnSp macro="">
        <xdr:nvCxnSpPr>
          <xdr:cNvPr id="12" name="Line 7">
            <a:extLst>
              <a:ext uri="{FF2B5EF4-FFF2-40B4-BE49-F238E27FC236}">
                <a16:creationId xmlns:a16="http://schemas.microsoft.com/office/drawing/2014/main" id="{00000000-0008-0000-0000-00000C000000}"/>
              </a:ext>
            </a:extLst>
          </xdr:cNvPr>
          <xdr:cNvCxnSpPr/>
        </xdr:nvCxnSpPr>
        <xdr:spPr bwMode="auto">
          <a:xfrm flipV="1">
            <a:off x="2453" y="1714"/>
            <a:ext cx="0" cy="33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3" name="Line 8">
            <a:extLst>
              <a:ext uri="{FF2B5EF4-FFF2-40B4-BE49-F238E27FC236}">
                <a16:creationId xmlns:a16="http://schemas.microsoft.com/office/drawing/2014/main" id="{00000000-0008-0000-0000-00000D000000}"/>
              </a:ext>
            </a:extLst>
          </xdr:cNvPr>
          <xdr:cNvCxnSpPr/>
        </xdr:nvCxnSpPr>
        <xdr:spPr bwMode="auto">
          <a:xfrm>
            <a:off x="2453" y="1712"/>
            <a:ext cx="10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sp macro="" textlink="">
        <xdr:nvSpPr>
          <xdr:cNvPr id="14" name="Oval 9">
            <a:extLst>
              <a:ext uri="{FF2B5EF4-FFF2-40B4-BE49-F238E27FC236}">
                <a16:creationId xmlns:a16="http://schemas.microsoft.com/office/drawing/2014/main" id="{00000000-0008-0000-0000-00000E000000}"/>
              </a:ext>
            </a:extLst>
          </xdr:cNvPr>
          <xdr:cNvSpPr>
            <a:spLocks noChangeAspect="1" noChangeArrowheads="1"/>
          </xdr:cNvSpPr>
        </xdr:nvSpPr>
        <xdr:spPr bwMode="auto">
          <a:xfrm>
            <a:off x="2310" y="1751"/>
            <a:ext cx="300" cy="247"/>
          </a:xfrm>
          <a:prstGeom prst="ellipse">
            <a:avLst/>
          </a:prstGeom>
          <a:solidFill>
            <a:srgbClr val="C0C0C0"/>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es-ES"/>
          </a:p>
        </xdr:txBody>
      </xdr:sp>
      <xdr:cxnSp macro="">
        <xdr:nvCxnSpPr>
          <xdr:cNvPr id="15" name="Line 10">
            <a:extLst>
              <a:ext uri="{FF2B5EF4-FFF2-40B4-BE49-F238E27FC236}">
                <a16:creationId xmlns:a16="http://schemas.microsoft.com/office/drawing/2014/main" id="{00000000-0008-0000-0000-00000F000000}"/>
              </a:ext>
            </a:extLst>
          </xdr:cNvPr>
          <xdr:cNvCxnSpPr/>
        </xdr:nvCxnSpPr>
        <xdr:spPr bwMode="auto">
          <a:xfrm>
            <a:off x="2820" y="2051"/>
            <a:ext cx="0" cy="20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6" name="Line 11">
            <a:extLst>
              <a:ext uri="{FF2B5EF4-FFF2-40B4-BE49-F238E27FC236}">
                <a16:creationId xmlns:a16="http://schemas.microsoft.com/office/drawing/2014/main" id="{00000000-0008-0000-0000-000010000000}"/>
              </a:ext>
            </a:extLst>
          </xdr:cNvPr>
          <xdr:cNvCxnSpPr/>
        </xdr:nvCxnSpPr>
        <xdr:spPr bwMode="auto">
          <a:xfrm>
            <a:off x="2820" y="2043"/>
            <a:ext cx="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7" name="Line 12">
            <a:extLst>
              <a:ext uri="{FF2B5EF4-FFF2-40B4-BE49-F238E27FC236}">
                <a16:creationId xmlns:a16="http://schemas.microsoft.com/office/drawing/2014/main" id="{00000000-0008-0000-0000-000011000000}"/>
              </a:ext>
            </a:extLst>
          </xdr:cNvPr>
          <xdr:cNvCxnSpPr/>
        </xdr:nvCxnSpPr>
        <xdr:spPr bwMode="auto">
          <a:xfrm>
            <a:off x="3495" y="1713"/>
            <a:ext cx="0" cy="33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grpSp>
    <xdr:clientData/>
  </xdr:twoCellAnchor>
  <mc:AlternateContent xmlns:mc="http://schemas.openxmlformats.org/markup-compatibility/2006">
    <mc:Choice xmlns:a14="http://schemas.microsoft.com/office/drawing/2010/main" Requires="a14">
      <xdr:twoCellAnchor>
        <xdr:from>
          <xdr:col>0</xdr:col>
          <xdr:colOff>241300</xdr:colOff>
          <xdr:row>0</xdr:row>
          <xdr:rowOff>76200</xdr:rowOff>
        </xdr:from>
        <xdr:to>
          <xdr:col>1</xdr:col>
          <xdr:colOff>457200</xdr:colOff>
          <xdr:row>5</xdr:row>
          <xdr:rowOff>76200</xdr:rowOff>
        </xdr:to>
        <xdr:sp macro="" textlink="">
          <xdr:nvSpPr>
            <xdr:cNvPr id="1037" name="Object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222250</xdr:colOff>
          <xdr:row>11</xdr:row>
          <xdr:rowOff>88900</xdr:rowOff>
        </xdr:from>
        <xdr:to>
          <xdr:col>6</xdr:col>
          <xdr:colOff>660400</xdr:colOff>
          <xdr:row>12</xdr:row>
          <xdr:rowOff>146050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Insertar Contornos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9524</xdr:colOff>
      <xdr:row>2</xdr:row>
      <xdr:rowOff>23811</xdr:rowOff>
    </xdr:from>
    <xdr:to>
      <xdr:col>6</xdr:col>
      <xdr:colOff>742949</xdr:colOff>
      <xdr:row>28</xdr:row>
      <xdr:rowOff>171450</xdr:rowOff>
    </xdr:to>
    <xdr:graphicFrame macro="">
      <xdr:nvGraphicFramePr>
        <xdr:cNvPr id="4" name="3 Gráfico">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xdr:row>
      <xdr:rowOff>47625</xdr:rowOff>
    </xdr:from>
    <xdr:to>
      <xdr:col>0</xdr:col>
      <xdr:colOff>314325</xdr:colOff>
      <xdr:row>16</xdr:row>
      <xdr:rowOff>133350</xdr:rowOff>
    </xdr:to>
    <xdr:sp macro="" textlink="">
      <xdr:nvSpPr>
        <xdr:cNvPr id="5" name="4 CuadroTexto">
          <a:extLst>
            <a:ext uri="{FF2B5EF4-FFF2-40B4-BE49-F238E27FC236}">
              <a16:creationId xmlns:a16="http://schemas.microsoft.com/office/drawing/2014/main" id="{00000000-0008-0000-0500-000005000000}"/>
            </a:ext>
          </a:extLst>
        </xdr:cNvPr>
        <xdr:cNvSpPr txBox="1"/>
      </xdr:nvSpPr>
      <xdr:spPr>
        <a:xfrm rot="16200000">
          <a:off x="-361950" y="274320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Pn [KN]</a:t>
          </a:r>
        </a:p>
      </xdr:txBody>
    </xdr:sp>
    <xdr:clientData/>
  </xdr:twoCellAnchor>
  <xdr:twoCellAnchor>
    <xdr:from>
      <xdr:col>3</xdr:col>
      <xdr:colOff>133350</xdr:colOff>
      <xdr:row>28</xdr:row>
      <xdr:rowOff>85725</xdr:rowOff>
    </xdr:from>
    <xdr:to>
      <xdr:col>4</xdr:col>
      <xdr:colOff>409575</xdr:colOff>
      <xdr:row>30</xdr:row>
      <xdr:rowOff>19050</xdr:rowOff>
    </xdr:to>
    <xdr:sp macro="" textlink="">
      <xdr:nvSpPr>
        <xdr:cNvPr id="6" name="5 CuadroTexto">
          <a:extLst>
            <a:ext uri="{FF2B5EF4-FFF2-40B4-BE49-F238E27FC236}">
              <a16:creationId xmlns:a16="http://schemas.microsoft.com/office/drawing/2014/main" id="{00000000-0008-0000-0500-000006000000}"/>
            </a:ext>
          </a:extLst>
        </xdr:cNvPr>
        <xdr:cNvSpPr txBox="1"/>
      </xdr:nvSpPr>
      <xdr:spPr>
        <a:xfrm>
          <a:off x="2419350" y="542925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Mn</a:t>
          </a:r>
          <a:r>
            <a:rPr lang="el-GR" sz="1000" b="1">
              <a:latin typeface="Arial" pitchFamily="34" charset="0"/>
              <a:cs typeface="Arial" pitchFamily="34" charset="0"/>
            </a:rPr>
            <a:t>λ</a:t>
          </a:r>
          <a:r>
            <a:rPr lang="es-ES" sz="1000" b="1">
              <a:latin typeface="Arial" pitchFamily="34" charset="0"/>
              <a:cs typeface="Arial" pitchFamily="34" charset="0"/>
            </a:rPr>
            <a:t> [KNm]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png"/><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png"/><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I180"/>
  <sheetViews>
    <sheetView showGridLines="0" topLeftCell="A172" zoomScaleNormal="100" workbookViewId="0"/>
  </sheetViews>
  <sheetFormatPr defaultColWidth="11.453125" defaultRowHeight="14" x14ac:dyDescent="0.3"/>
  <cols>
    <col min="1" max="16384" width="11.453125" style="18"/>
  </cols>
  <sheetData>
    <row r="1" spans="1:7" x14ac:dyDescent="0.3">
      <c r="A1" s="17"/>
      <c r="B1" s="17"/>
      <c r="C1" s="17"/>
      <c r="D1" s="16"/>
      <c r="E1" s="16"/>
      <c r="F1" s="2"/>
      <c r="G1" s="2"/>
    </row>
    <row r="2" spans="1:7" x14ac:dyDescent="0.3">
      <c r="A2" s="17"/>
      <c r="B2" s="17"/>
      <c r="C2" s="17"/>
      <c r="D2" s="16"/>
      <c r="E2" s="16"/>
      <c r="F2" s="2"/>
      <c r="G2" s="2"/>
    </row>
    <row r="3" spans="1:7" x14ac:dyDescent="0.3">
      <c r="A3" s="17"/>
      <c r="B3" s="17"/>
      <c r="C3" s="17"/>
      <c r="D3" s="16"/>
      <c r="E3" s="16"/>
      <c r="F3" s="2"/>
      <c r="G3" s="2"/>
    </row>
    <row r="4" spans="1:7" x14ac:dyDescent="0.3">
      <c r="A4" s="17"/>
      <c r="B4" s="17"/>
      <c r="C4" s="17"/>
      <c r="D4" s="16"/>
      <c r="E4" s="16"/>
      <c r="F4" s="2"/>
      <c r="G4" s="2"/>
    </row>
    <row r="5" spans="1:7" x14ac:dyDescent="0.3">
      <c r="A5" s="17"/>
      <c r="B5" s="17"/>
      <c r="C5" s="17"/>
      <c r="D5" s="16"/>
      <c r="E5" s="16"/>
      <c r="F5" s="2"/>
      <c r="G5" s="2"/>
    </row>
    <row r="6" spans="1:7" x14ac:dyDescent="0.3">
      <c r="A6" s="17"/>
      <c r="B6" s="17"/>
      <c r="C6" s="17"/>
      <c r="D6" s="16"/>
      <c r="E6" s="16"/>
      <c r="F6" s="2"/>
      <c r="G6" s="2"/>
    </row>
    <row r="7" spans="1:7" x14ac:dyDescent="0.3">
      <c r="A7" s="17"/>
      <c r="B7" s="17"/>
      <c r="C7" s="17"/>
      <c r="D7" s="16"/>
      <c r="E7" s="16"/>
      <c r="F7" s="2"/>
      <c r="G7" s="2"/>
    </row>
    <row r="8" spans="1:7" x14ac:dyDescent="0.3">
      <c r="A8" s="30" t="s">
        <v>37</v>
      </c>
      <c r="B8" s="30"/>
      <c r="C8" s="30"/>
      <c r="D8" s="30"/>
      <c r="E8" s="30"/>
      <c r="F8" s="30"/>
      <c r="G8" s="30"/>
    </row>
    <row r="9" spans="1:7" ht="6.75" customHeight="1" x14ac:dyDescent="0.3">
      <c r="A9" s="17"/>
      <c r="B9" s="17"/>
      <c r="C9" s="17"/>
      <c r="D9" s="16"/>
      <c r="E9" s="16"/>
      <c r="F9" s="24"/>
      <c r="G9" s="24"/>
    </row>
    <row r="10" spans="1:7" ht="14.25" customHeight="1" x14ac:dyDescent="0.3">
      <c r="A10" s="36" t="s">
        <v>38</v>
      </c>
      <c r="B10" s="36"/>
      <c r="C10" s="36"/>
      <c r="D10" s="36"/>
      <c r="E10" s="36"/>
      <c r="F10" s="36"/>
      <c r="G10" s="36"/>
    </row>
    <row r="11" spans="1:7" ht="7.5" customHeight="1" x14ac:dyDescent="0.3">
      <c r="A11" s="17"/>
      <c r="B11" s="17"/>
      <c r="C11" s="17"/>
      <c r="D11" s="16"/>
      <c r="E11" s="16"/>
      <c r="F11" s="24"/>
      <c r="G11" s="24"/>
    </row>
    <row r="12" spans="1:7" ht="14.25" customHeight="1" x14ac:dyDescent="0.3">
      <c r="A12" s="17"/>
      <c r="B12" s="30" t="s">
        <v>39</v>
      </c>
      <c r="C12" s="30"/>
      <c r="D12" s="30"/>
      <c r="E12" s="30"/>
      <c r="F12" s="30"/>
      <c r="G12" s="24"/>
    </row>
    <row r="13" spans="1:7" x14ac:dyDescent="0.3">
      <c r="A13" s="17"/>
      <c r="B13" s="17"/>
      <c r="C13" s="17"/>
      <c r="D13" s="16"/>
      <c r="E13" s="16"/>
      <c r="F13" s="2"/>
      <c r="G13" s="2"/>
    </row>
    <row r="14" spans="1:7" x14ac:dyDescent="0.3">
      <c r="A14" s="17"/>
      <c r="B14" s="17"/>
      <c r="C14" s="17"/>
      <c r="D14" s="16"/>
      <c r="E14" s="16"/>
      <c r="F14" s="2"/>
      <c r="G14" s="2"/>
    </row>
    <row r="15" spans="1:7" x14ac:dyDescent="0.3">
      <c r="A15" s="17"/>
      <c r="B15" s="17"/>
      <c r="C15" s="17"/>
      <c r="D15" s="16"/>
      <c r="E15" s="16"/>
      <c r="F15" s="2"/>
      <c r="G15" s="2"/>
    </row>
    <row r="16" spans="1:7" x14ac:dyDescent="0.3">
      <c r="A16" s="17"/>
      <c r="B16" s="17"/>
      <c r="C16" s="17"/>
      <c r="D16" s="16"/>
      <c r="E16" s="16"/>
      <c r="F16" s="2"/>
      <c r="G16" s="2"/>
    </row>
    <row r="17" spans="1:7" x14ac:dyDescent="0.3">
      <c r="A17" s="29" t="s">
        <v>40</v>
      </c>
      <c r="B17" s="29"/>
      <c r="C17" s="29"/>
      <c r="D17" s="29"/>
      <c r="E17" s="29"/>
      <c r="F17" s="29"/>
      <c r="G17" s="29"/>
    </row>
    <row r="18" spans="1:7" x14ac:dyDescent="0.3">
      <c r="A18" s="29"/>
      <c r="B18" s="29"/>
      <c r="C18" s="29"/>
      <c r="D18" s="29"/>
      <c r="E18" s="29"/>
      <c r="F18" s="29"/>
      <c r="G18" s="29"/>
    </row>
    <row r="19" spans="1:7" x14ac:dyDescent="0.3">
      <c r="A19" s="29"/>
      <c r="B19" s="29"/>
      <c r="C19" s="29"/>
      <c r="D19" s="29"/>
      <c r="E19" s="29"/>
      <c r="F19" s="29"/>
      <c r="G19" s="29"/>
    </row>
    <row r="20" spans="1:7" x14ac:dyDescent="0.3">
      <c r="A20" s="17"/>
      <c r="B20" s="17"/>
      <c r="C20" s="17"/>
      <c r="D20" s="16"/>
      <c r="E20" s="16"/>
      <c r="F20" s="2"/>
      <c r="G20" s="2"/>
    </row>
    <row r="21" spans="1:7" x14ac:dyDescent="0.3">
      <c r="A21" s="17"/>
      <c r="B21" s="17"/>
      <c r="C21" s="17"/>
      <c r="D21" s="16"/>
      <c r="E21" s="16"/>
      <c r="F21" s="2"/>
      <c r="G21" s="2"/>
    </row>
    <row r="22" spans="1:7" x14ac:dyDescent="0.3">
      <c r="A22" s="17"/>
      <c r="B22" s="30" t="s">
        <v>41</v>
      </c>
      <c r="C22" s="30"/>
      <c r="D22" s="30"/>
      <c r="E22" s="30"/>
      <c r="F22" s="30"/>
      <c r="G22" s="2"/>
    </row>
    <row r="23" spans="1:7" x14ac:dyDescent="0.3">
      <c r="A23" s="30" t="s">
        <v>42</v>
      </c>
      <c r="B23" s="30"/>
      <c r="C23" s="30"/>
      <c r="D23" s="30"/>
      <c r="E23" s="30"/>
      <c r="F23" s="30"/>
      <c r="G23" s="30"/>
    </row>
    <row r="24" spans="1:7" x14ac:dyDescent="0.3">
      <c r="A24" s="17"/>
      <c r="B24" s="17"/>
      <c r="C24" s="30" t="s">
        <v>43</v>
      </c>
      <c r="D24" s="30"/>
      <c r="E24" s="30"/>
      <c r="F24" s="2"/>
      <c r="G24" s="2"/>
    </row>
    <row r="25" spans="1:7" x14ac:dyDescent="0.3">
      <c r="A25" s="17"/>
      <c r="B25" s="17"/>
      <c r="C25" s="17"/>
      <c r="D25" s="16"/>
      <c r="E25" s="16"/>
      <c r="F25" s="2"/>
      <c r="G25" s="2"/>
    </row>
    <row r="26" spans="1:7" x14ac:dyDescent="0.3">
      <c r="A26" s="17"/>
      <c r="B26" s="17"/>
      <c r="C26" s="17"/>
      <c r="D26" s="16"/>
      <c r="E26" s="16"/>
      <c r="F26" s="2"/>
      <c r="G26" s="2"/>
    </row>
    <row r="27" spans="1:7" x14ac:dyDescent="0.3">
      <c r="A27" s="17"/>
      <c r="B27" s="17"/>
      <c r="C27" s="17"/>
      <c r="D27" s="16"/>
      <c r="E27" s="16"/>
      <c r="F27" s="2"/>
      <c r="G27" s="2"/>
    </row>
    <row r="28" spans="1:7" x14ac:dyDescent="0.3">
      <c r="A28" s="17"/>
      <c r="B28" s="17"/>
      <c r="C28" s="17"/>
      <c r="D28" s="16"/>
      <c r="E28" s="16"/>
      <c r="F28" s="2"/>
      <c r="G28" s="2"/>
    </row>
    <row r="29" spans="1:7" x14ac:dyDescent="0.3">
      <c r="A29" s="17"/>
      <c r="B29" s="17"/>
      <c r="C29" s="17"/>
      <c r="D29" s="16"/>
      <c r="E29" s="16"/>
      <c r="F29" s="2"/>
      <c r="G29" s="2"/>
    </row>
    <row r="30" spans="1:7" x14ac:dyDescent="0.3">
      <c r="A30" s="17"/>
      <c r="B30" s="31" t="s">
        <v>44</v>
      </c>
      <c r="C30" s="31"/>
      <c r="D30" s="31"/>
      <c r="E30" s="31"/>
      <c r="F30" s="31"/>
      <c r="G30" s="2"/>
    </row>
    <row r="31" spans="1:7" x14ac:dyDescent="0.3">
      <c r="A31" s="17"/>
      <c r="B31" s="17"/>
      <c r="C31" s="17"/>
      <c r="D31" s="16"/>
      <c r="E31" s="16"/>
      <c r="F31" s="2"/>
      <c r="G31" s="2"/>
    </row>
    <row r="32" spans="1:7" x14ac:dyDescent="0.3">
      <c r="A32" s="17"/>
      <c r="B32" s="31" t="s">
        <v>45</v>
      </c>
      <c r="C32" s="31"/>
      <c r="D32" s="31"/>
      <c r="E32" s="31"/>
      <c r="F32" s="31"/>
      <c r="G32" s="2"/>
    </row>
    <row r="33" spans="1:9" x14ac:dyDescent="0.3">
      <c r="A33" s="17"/>
      <c r="B33" s="17"/>
      <c r="C33" s="17"/>
      <c r="D33" s="16"/>
      <c r="E33" s="16"/>
      <c r="F33" s="2"/>
      <c r="G33" s="2"/>
    </row>
    <row r="34" spans="1:9" x14ac:dyDescent="0.3">
      <c r="A34" s="17"/>
      <c r="B34" s="17"/>
      <c r="C34" s="30" t="s">
        <v>46</v>
      </c>
      <c r="D34" s="30"/>
      <c r="E34" s="30"/>
      <c r="F34" s="2"/>
      <c r="G34" s="2"/>
    </row>
    <row r="35" spans="1:9" x14ac:dyDescent="0.3">
      <c r="A35" s="17"/>
      <c r="B35" s="17"/>
      <c r="C35" s="25"/>
      <c r="D35" s="25"/>
      <c r="E35" s="25"/>
      <c r="F35" s="2"/>
      <c r="G35" s="2"/>
    </row>
    <row r="36" spans="1:9" ht="14.25" customHeight="1" x14ac:dyDescent="0.3">
      <c r="A36" s="17"/>
      <c r="B36" s="17"/>
      <c r="C36" s="17"/>
      <c r="D36" s="16"/>
      <c r="E36" s="16"/>
      <c r="F36" s="2"/>
      <c r="G36" s="2"/>
    </row>
    <row r="37" spans="1:9" x14ac:dyDescent="0.3">
      <c r="A37" s="32" t="s">
        <v>26</v>
      </c>
      <c r="B37" s="33"/>
      <c r="C37" s="2"/>
      <c r="D37" s="2"/>
      <c r="E37" s="2"/>
      <c r="F37" s="2"/>
      <c r="G37" s="2"/>
    </row>
    <row r="38" spans="1:9" x14ac:dyDescent="0.3">
      <c r="A38" s="34" t="s">
        <v>47</v>
      </c>
      <c r="B38" s="34"/>
      <c r="C38" s="34"/>
      <c r="D38" s="34"/>
      <c r="E38" s="34"/>
      <c r="F38" s="34"/>
      <c r="G38" s="34"/>
    </row>
    <row r="39" spans="1:9" x14ac:dyDescent="0.3">
      <c r="A39" s="34"/>
      <c r="B39" s="34"/>
      <c r="C39" s="34"/>
      <c r="D39" s="34"/>
      <c r="E39" s="34"/>
      <c r="F39" s="34"/>
      <c r="G39" s="34"/>
    </row>
    <row r="40" spans="1:9" x14ac:dyDescent="0.3">
      <c r="A40" s="34"/>
      <c r="B40" s="34"/>
      <c r="C40" s="34"/>
      <c r="D40" s="34"/>
      <c r="E40" s="34"/>
      <c r="F40" s="34"/>
      <c r="G40" s="34"/>
    </row>
    <row r="41" spans="1:9" x14ac:dyDescent="0.3">
      <c r="A41" s="34"/>
      <c r="B41" s="34"/>
      <c r="C41" s="34"/>
      <c r="D41" s="34"/>
      <c r="E41" s="34"/>
      <c r="F41" s="34"/>
      <c r="G41" s="34"/>
    </row>
    <row r="42" spans="1:9" ht="14.5" x14ac:dyDescent="0.35">
      <c r="A42" s="2"/>
      <c r="B42" s="2"/>
      <c r="C42" s="2"/>
      <c r="D42" s="2"/>
      <c r="E42" s="2"/>
      <c r="F42" s="2"/>
      <c r="G42" s="2"/>
      <c r="I42" s="19"/>
    </row>
    <row r="43" spans="1:9" x14ac:dyDescent="0.3">
      <c r="A43" s="2"/>
      <c r="B43" s="2"/>
      <c r="C43" s="2"/>
      <c r="D43" s="2"/>
      <c r="E43" s="2"/>
      <c r="F43" s="2"/>
      <c r="G43" s="2"/>
    </row>
    <row r="44" spans="1:9" x14ac:dyDescent="0.3">
      <c r="A44" s="2"/>
      <c r="B44" s="2"/>
      <c r="C44" s="2"/>
      <c r="D44" s="2"/>
      <c r="E44" s="2"/>
      <c r="F44" s="2"/>
      <c r="G44" s="2"/>
    </row>
    <row r="45" spans="1:9" x14ac:dyDescent="0.3">
      <c r="A45" s="2"/>
      <c r="B45" s="2"/>
      <c r="C45" s="2"/>
      <c r="D45" s="2"/>
      <c r="E45" s="2"/>
      <c r="F45" s="2"/>
      <c r="G45" s="2"/>
    </row>
    <row r="46" spans="1:9" x14ac:dyDescent="0.3">
      <c r="A46" s="2"/>
      <c r="B46" s="2"/>
      <c r="C46" s="2"/>
      <c r="D46" s="2"/>
      <c r="E46" s="2"/>
      <c r="F46" s="2"/>
      <c r="G46" s="2"/>
    </row>
    <row r="47" spans="1:9" ht="14.5" x14ac:dyDescent="0.35">
      <c r="A47" s="2"/>
      <c r="B47" s="2"/>
      <c r="C47" s="2"/>
      <c r="D47" s="11" t="s">
        <v>28</v>
      </c>
      <c r="E47" s="2"/>
      <c r="F47" s="2"/>
      <c r="G47" s="2"/>
    </row>
    <row r="48" spans="1:9" ht="14.5" x14ac:dyDescent="0.35">
      <c r="A48" s="2"/>
      <c r="B48" s="2"/>
      <c r="C48" s="2"/>
      <c r="D48" s="2"/>
      <c r="E48" s="2"/>
      <c r="F48"/>
      <c r="G48" s="2"/>
    </row>
    <row r="49" spans="1:7" x14ac:dyDescent="0.3">
      <c r="A49" s="2"/>
      <c r="B49" s="2"/>
      <c r="C49" s="2"/>
      <c r="D49" s="2"/>
      <c r="E49" s="2"/>
      <c r="F49" s="2"/>
      <c r="G49" s="2"/>
    </row>
    <row r="50" spans="1:7" ht="14.5" x14ac:dyDescent="0.35">
      <c r="A50" s="2"/>
      <c r="B50" s="2"/>
      <c r="C50" s="2"/>
      <c r="D50"/>
      <c r="E50" s="2"/>
      <c r="F50" s="2"/>
      <c r="G50" s="2"/>
    </row>
    <row r="51" spans="1:7" ht="14.5" x14ac:dyDescent="0.35">
      <c r="A51" s="2"/>
      <c r="B51" s="2"/>
      <c r="C51" s="2"/>
      <c r="D51"/>
      <c r="E51"/>
      <c r="F51" s="2"/>
      <c r="G51" s="2"/>
    </row>
    <row r="52" spans="1:7" x14ac:dyDescent="0.3">
      <c r="A52" s="2"/>
      <c r="B52" s="2"/>
      <c r="C52" s="2"/>
      <c r="D52" s="2"/>
      <c r="E52" s="2"/>
      <c r="F52" s="2"/>
      <c r="G52" s="2"/>
    </row>
    <row r="53" spans="1:7" x14ac:dyDescent="0.3">
      <c r="A53" s="2"/>
      <c r="B53" s="2"/>
      <c r="C53" s="2"/>
      <c r="D53" s="2"/>
      <c r="E53" s="2"/>
      <c r="F53" s="2"/>
      <c r="G53" s="2"/>
    </row>
    <row r="54" spans="1:7" x14ac:dyDescent="0.3">
      <c r="A54" s="2"/>
      <c r="B54" s="2"/>
      <c r="C54" s="2"/>
      <c r="D54" s="2"/>
      <c r="E54" s="2"/>
      <c r="F54" s="2"/>
      <c r="G54" s="2"/>
    </row>
    <row r="55" spans="1:7" x14ac:dyDescent="0.3">
      <c r="A55" s="34" t="s">
        <v>29</v>
      </c>
      <c r="B55" s="34"/>
      <c r="C55" s="34"/>
      <c r="D55" s="34"/>
      <c r="E55" s="34"/>
      <c r="F55" s="34"/>
      <c r="G55" s="34"/>
    </row>
    <row r="56" spans="1:7" x14ac:dyDescent="0.3">
      <c r="A56" s="34"/>
      <c r="B56" s="34"/>
      <c r="C56" s="34"/>
      <c r="D56" s="34"/>
      <c r="E56" s="34"/>
      <c r="F56" s="34"/>
      <c r="G56" s="34"/>
    </row>
    <row r="57" spans="1:7" x14ac:dyDescent="0.3">
      <c r="A57" s="34"/>
      <c r="B57" s="34"/>
      <c r="C57" s="34"/>
      <c r="D57" s="34"/>
      <c r="E57" s="34"/>
      <c r="F57" s="34"/>
      <c r="G57" s="34"/>
    </row>
    <row r="58" spans="1:7" x14ac:dyDescent="0.3">
      <c r="A58" s="2"/>
      <c r="B58" s="2"/>
      <c r="C58" s="2"/>
      <c r="D58" s="2"/>
      <c r="E58" s="2"/>
      <c r="F58" s="2"/>
      <c r="G58" s="2"/>
    </row>
    <row r="59" spans="1:7" x14ac:dyDescent="0.3">
      <c r="A59" s="32" t="s">
        <v>31</v>
      </c>
      <c r="B59" s="33"/>
      <c r="C59" s="2"/>
      <c r="D59" s="2"/>
      <c r="E59" s="2"/>
      <c r="F59" s="2"/>
      <c r="G59" s="2"/>
    </row>
    <row r="60" spans="1:7" x14ac:dyDescent="0.3">
      <c r="A60" s="35" t="s">
        <v>48</v>
      </c>
      <c r="B60" s="35"/>
      <c r="C60" s="35"/>
      <c r="D60" s="35"/>
      <c r="E60" s="35"/>
      <c r="F60" s="35"/>
      <c r="G60" s="35"/>
    </row>
    <row r="61" spans="1:7" x14ac:dyDescent="0.3">
      <c r="A61" s="35"/>
      <c r="B61" s="35"/>
      <c r="C61" s="35"/>
      <c r="D61" s="35"/>
      <c r="E61" s="35"/>
      <c r="F61" s="35"/>
      <c r="G61" s="35"/>
    </row>
    <row r="62" spans="1:7" x14ac:dyDescent="0.3">
      <c r="A62" s="35"/>
      <c r="B62" s="35"/>
      <c r="C62" s="35"/>
      <c r="D62" s="35"/>
      <c r="E62" s="35"/>
      <c r="F62" s="35"/>
      <c r="G62" s="35"/>
    </row>
    <row r="63" spans="1:7" x14ac:dyDescent="0.3">
      <c r="A63" s="35"/>
      <c r="B63" s="35"/>
      <c r="C63" s="35"/>
      <c r="D63" s="35"/>
      <c r="E63" s="35"/>
      <c r="F63" s="35"/>
      <c r="G63" s="35"/>
    </row>
    <row r="64" spans="1:7" x14ac:dyDescent="0.3">
      <c r="A64" s="34" t="s">
        <v>49</v>
      </c>
      <c r="B64" s="34"/>
      <c r="C64" s="34"/>
      <c r="D64" s="34"/>
      <c r="E64" s="34"/>
      <c r="F64" s="34"/>
      <c r="G64" s="34"/>
    </row>
    <row r="65" spans="1:7" x14ac:dyDescent="0.3">
      <c r="A65" s="34"/>
      <c r="B65" s="34"/>
      <c r="C65" s="34"/>
      <c r="D65" s="34"/>
      <c r="E65" s="34"/>
      <c r="F65" s="34"/>
      <c r="G65" s="34"/>
    </row>
    <row r="66" spans="1:7" x14ac:dyDescent="0.3">
      <c r="A66" s="35" t="s">
        <v>50</v>
      </c>
      <c r="B66" s="35"/>
      <c r="C66" s="35"/>
      <c r="D66" s="35"/>
      <c r="E66" s="35"/>
      <c r="F66" s="35"/>
      <c r="G66" s="35"/>
    </row>
    <row r="67" spans="1:7" x14ac:dyDescent="0.3">
      <c r="A67" s="35"/>
      <c r="B67" s="35"/>
      <c r="C67" s="35"/>
      <c r="D67" s="35"/>
      <c r="E67" s="35"/>
      <c r="F67" s="35"/>
      <c r="G67" s="35"/>
    </row>
    <row r="68" spans="1:7" x14ac:dyDescent="0.3">
      <c r="A68" s="35"/>
      <c r="B68" s="35"/>
      <c r="C68" s="35"/>
      <c r="D68" s="35"/>
      <c r="E68" s="35"/>
      <c r="F68" s="35"/>
      <c r="G68" s="35"/>
    </row>
    <row r="69" spans="1:7" x14ac:dyDescent="0.3">
      <c r="A69" s="35"/>
      <c r="B69" s="35"/>
      <c r="C69" s="35"/>
      <c r="D69" s="35"/>
      <c r="E69" s="35"/>
      <c r="F69" s="35"/>
      <c r="G69" s="35"/>
    </row>
    <row r="70" spans="1:7" x14ac:dyDescent="0.3">
      <c r="A70" s="35"/>
      <c r="B70" s="35"/>
      <c r="C70" s="35"/>
      <c r="D70" s="35"/>
      <c r="E70" s="35"/>
      <c r="F70" s="35"/>
      <c r="G70" s="35"/>
    </row>
    <row r="71" spans="1:7" x14ac:dyDescent="0.3">
      <c r="A71" s="35"/>
      <c r="B71" s="35"/>
      <c r="C71" s="35"/>
      <c r="D71" s="35"/>
      <c r="E71" s="35"/>
      <c r="F71" s="35"/>
      <c r="G71" s="35"/>
    </row>
    <row r="72" spans="1:7" x14ac:dyDescent="0.3">
      <c r="A72" s="35" t="s">
        <v>51</v>
      </c>
      <c r="B72" s="35"/>
      <c r="C72" s="35"/>
      <c r="D72" s="35"/>
      <c r="E72" s="35"/>
      <c r="F72" s="35"/>
      <c r="G72" s="35"/>
    </row>
    <row r="73" spans="1:7" x14ac:dyDescent="0.3">
      <c r="A73" s="35"/>
      <c r="B73" s="35"/>
      <c r="C73" s="35"/>
      <c r="D73" s="35"/>
      <c r="E73" s="35"/>
      <c r="F73" s="35"/>
      <c r="G73" s="35"/>
    </row>
    <row r="74" spans="1:7" x14ac:dyDescent="0.3">
      <c r="A74" s="2"/>
      <c r="B74" s="2"/>
      <c r="C74" s="2"/>
      <c r="D74" s="2"/>
      <c r="E74" s="2"/>
      <c r="F74" s="2"/>
      <c r="G74" s="2"/>
    </row>
    <row r="75" spans="1:7" x14ac:dyDescent="0.3">
      <c r="A75" s="2"/>
      <c r="B75" s="2"/>
      <c r="C75" s="2"/>
      <c r="D75" s="2"/>
      <c r="E75" s="2"/>
      <c r="F75" s="2"/>
      <c r="G75" s="2"/>
    </row>
    <row r="76" spans="1:7" x14ac:dyDescent="0.3">
      <c r="A76" s="2"/>
      <c r="B76" s="2"/>
      <c r="C76" s="2"/>
      <c r="D76" s="2"/>
      <c r="E76" s="2"/>
      <c r="F76" s="2"/>
      <c r="G76" s="2"/>
    </row>
    <row r="77" spans="1:7" ht="14.5" x14ac:dyDescent="0.35">
      <c r="A77" s="2"/>
      <c r="B77"/>
      <c r="C77" s="2"/>
      <c r="D77" s="2"/>
      <c r="E77" s="2"/>
      <c r="F77" s="2"/>
      <c r="G77" s="2"/>
    </row>
    <row r="78" spans="1:7" x14ac:dyDescent="0.3">
      <c r="A78" s="2"/>
      <c r="B78" s="2"/>
      <c r="C78" s="2"/>
      <c r="D78" s="2"/>
      <c r="E78" s="2"/>
      <c r="F78" s="2"/>
      <c r="G78" s="2"/>
    </row>
    <row r="79" spans="1:7" x14ac:dyDescent="0.3">
      <c r="A79" s="2"/>
      <c r="B79" s="2"/>
      <c r="C79" s="2"/>
      <c r="D79" s="2"/>
      <c r="E79" s="2"/>
      <c r="F79" s="2"/>
      <c r="G79" s="2"/>
    </row>
    <row r="80" spans="1:7" x14ac:dyDescent="0.3">
      <c r="A80" s="2"/>
      <c r="B80" s="2"/>
      <c r="C80" s="2"/>
      <c r="D80" s="2"/>
      <c r="E80" s="2"/>
      <c r="F80" s="2"/>
      <c r="G80" s="2"/>
    </row>
    <row r="81" spans="1:7" x14ac:dyDescent="0.3">
      <c r="A81" s="2"/>
      <c r="B81" s="2"/>
      <c r="C81" s="2"/>
      <c r="D81" s="2"/>
      <c r="E81" s="2"/>
      <c r="F81" s="2"/>
      <c r="G81" s="2"/>
    </row>
    <row r="82" spans="1:7" x14ac:dyDescent="0.3">
      <c r="A82" s="2"/>
      <c r="B82" s="2"/>
      <c r="C82" s="2"/>
      <c r="D82" s="2"/>
      <c r="E82" s="2"/>
      <c r="F82" s="2"/>
      <c r="G82" s="2"/>
    </row>
    <row r="83" spans="1:7" x14ac:dyDescent="0.3">
      <c r="A83" s="2"/>
      <c r="B83" s="2"/>
      <c r="C83" s="2"/>
      <c r="D83" s="2"/>
      <c r="E83" s="2"/>
      <c r="F83" s="2"/>
      <c r="G83" s="2"/>
    </row>
    <row r="84" spans="1:7" x14ac:dyDescent="0.3">
      <c r="A84" s="2"/>
      <c r="B84" s="2"/>
      <c r="C84" s="2"/>
      <c r="D84" s="2"/>
      <c r="E84" s="2"/>
      <c r="F84" s="2"/>
      <c r="G84" s="2"/>
    </row>
    <row r="85" spans="1:7" x14ac:dyDescent="0.3">
      <c r="A85" s="2"/>
      <c r="B85" s="2"/>
      <c r="C85" s="2"/>
      <c r="D85" s="2"/>
      <c r="E85" s="2"/>
      <c r="F85" s="2"/>
      <c r="G85" s="2"/>
    </row>
    <row r="86" spans="1:7" x14ac:dyDescent="0.3">
      <c r="A86" s="2"/>
      <c r="B86" s="2"/>
      <c r="C86" s="2"/>
      <c r="D86" s="2"/>
      <c r="E86" s="2"/>
      <c r="F86" s="2"/>
      <c r="G86" s="2"/>
    </row>
    <row r="87" spans="1:7" x14ac:dyDescent="0.3">
      <c r="A87" s="2"/>
      <c r="B87" s="2"/>
      <c r="C87" s="2"/>
      <c r="D87" s="2"/>
      <c r="E87" s="2"/>
      <c r="F87" s="2"/>
      <c r="G87" s="2"/>
    </row>
    <row r="88" spans="1:7" x14ac:dyDescent="0.3">
      <c r="A88" s="2"/>
      <c r="B88" s="2"/>
      <c r="C88" s="2"/>
      <c r="D88" s="2"/>
      <c r="E88" s="2"/>
      <c r="F88" s="2"/>
      <c r="G88" s="2"/>
    </row>
    <row r="89" spans="1:7" x14ac:dyDescent="0.3">
      <c r="A89" s="2"/>
      <c r="B89" s="2"/>
      <c r="C89" s="2"/>
      <c r="D89" s="2"/>
      <c r="E89" s="2"/>
      <c r="F89" s="2"/>
      <c r="G89" s="2"/>
    </row>
    <row r="90" spans="1:7" x14ac:dyDescent="0.3">
      <c r="A90" s="2"/>
      <c r="B90" s="2"/>
      <c r="C90" s="2"/>
      <c r="D90" s="2"/>
      <c r="E90" s="2"/>
      <c r="F90" s="2"/>
      <c r="G90" s="2"/>
    </row>
    <row r="91" spans="1:7" x14ac:dyDescent="0.3">
      <c r="A91" s="2"/>
      <c r="B91" s="2"/>
      <c r="C91" s="2"/>
      <c r="D91" s="2"/>
      <c r="E91" s="2"/>
      <c r="F91" s="2"/>
      <c r="G91" s="2"/>
    </row>
    <row r="92" spans="1:7" x14ac:dyDescent="0.3">
      <c r="A92" s="2"/>
      <c r="B92" s="2"/>
      <c r="C92" s="2"/>
      <c r="D92" s="2"/>
      <c r="E92" s="2"/>
      <c r="F92" s="2"/>
      <c r="G92" s="2"/>
    </row>
    <row r="93" spans="1:7" x14ac:dyDescent="0.3">
      <c r="A93" s="2"/>
      <c r="B93" s="2"/>
      <c r="C93" s="2"/>
      <c r="D93" s="2"/>
      <c r="E93" s="2"/>
      <c r="F93" s="2"/>
      <c r="G93" s="2"/>
    </row>
    <row r="94" spans="1:7" x14ac:dyDescent="0.3">
      <c r="A94" s="2"/>
      <c r="B94" s="2"/>
      <c r="C94" s="2"/>
      <c r="D94" s="2"/>
      <c r="E94" s="2"/>
      <c r="F94" s="2"/>
      <c r="G94" s="2"/>
    </row>
    <row r="95" spans="1:7" x14ac:dyDescent="0.3">
      <c r="A95" s="2"/>
      <c r="B95" s="2"/>
      <c r="C95" s="2"/>
      <c r="D95" s="2"/>
      <c r="E95" s="2"/>
      <c r="F95" s="2"/>
      <c r="G95" s="2"/>
    </row>
    <row r="96" spans="1:7" x14ac:dyDescent="0.3">
      <c r="A96" s="2"/>
      <c r="B96" s="2"/>
      <c r="C96" s="2"/>
      <c r="D96" s="2"/>
      <c r="E96" s="2"/>
      <c r="F96" s="2"/>
      <c r="G96" s="2"/>
    </row>
    <row r="97" spans="1:7" x14ac:dyDescent="0.3">
      <c r="A97" s="2"/>
      <c r="B97" s="2"/>
      <c r="C97" s="2"/>
      <c r="D97" s="2"/>
      <c r="E97" s="2"/>
      <c r="F97" s="2"/>
      <c r="G97" s="2"/>
    </row>
    <row r="98" spans="1:7" x14ac:dyDescent="0.3">
      <c r="A98" s="2"/>
      <c r="B98" s="2"/>
      <c r="C98" s="2"/>
      <c r="D98" s="2"/>
      <c r="E98" s="2"/>
      <c r="F98" s="2"/>
      <c r="G98" s="2"/>
    </row>
    <row r="99" spans="1:7" x14ac:dyDescent="0.3">
      <c r="A99" s="38" t="s">
        <v>52</v>
      </c>
      <c r="B99" s="38"/>
      <c r="C99" s="38"/>
      <c r="D99" s="38"/>
      <c r="E99" s="38"/>
      <c r="F99" s="38"/>
      <c r="G99" s="38"/>
    </row>
    <row r="100" spans="1:7" x14ac:dyDescent="0.3">
      <c r="A100" s="38"/>
      <c r="B100" s="38"/>
      <c r="C100" s="38"/>
      <c r="D100" s="38"/>
      <c r="E100" s="38"/>
      <c r="F100" s="38"/>
      <c r="G100" s="38"/>
    </row>
    <row r="101" spans="1:7" x14ac:dyDescent="0.3">
      <c r="A101" s="38"/>
      <c r="B101" s="38"/>
      <c r="C101" s="38"/>
      <c r="D101" s="38"/>
      <c r="E101" s="38"/>
      <c r="F101" s="38"/>
      <c r="G101" s="38"/>
    </row>
    <row r="102" spans="1:7" x14ac:dyDescent="0.3">
      <c r="A102" s="38"/>
      <c r="B102" s="38"/>
      <c r="C102" s="38"/>
      <c r="D102" s="38"/>
      <c r="E102" s="38"/>
      <c r="F102" s="38"/>
      <c r="G102" s="38"/>
    </row>
    <row r="103" spans="1:7" x14ac:dyDescent="0.3">
      <c r="A103" s="34" t="s">
        <v>53</v>
      </c>
      <c r="B103" s="34"/>
      <c r="C103" s="34"/>
      <c r="D103" s="34"/>
      <c r="E103" s="34"/>
      <c r="F103" s="34"/>
      <c r="G103" s="34"/>
    </row>
    <row r="104" spans="1:7" x14ac:dyDescent="0.3">
      <c r="A104" s="34"/>
      <c r="B104" s="34"/>
      <c r="C104" s="34"/>
      <c r="D104" s="34"/>
      <c r="E104" s="34"/>
      <c r="F104" s="34"/>
      <c r="G104" s="34"/>
    </row>
    <row r="105" spans="1:7" x14ac:dyDescent="0.3">
      <c r="A105" s="34"/>
      <c r="B105" s="34"/>
      <c r="C105" s="34"/>
      <c r="D105" s="34"/>
      <c r="E105" s="34"/>
      <c r="F105" s="34"/>
      <c r="G105" s="34"/>
    </row>
    <row r="106" spans="1:7" x14ac:dyDescent="0.3">
      <c r="A106" s="35" t="s">
        <v>54</v>
      </c>
      <c r="B106" s="35"/>
      <c r="C106" s="35"/>
      <c r="D106" s="35"/>
      <c r="E106" s="35"/>
      <c r="F106" s="35"/>
      <c r="G106" s="35"/>
    </row>
    <row r="107" spans="1:7" x14ac:dyDescent="0.3">
      <c r="A107" s="35"/>
      <c r="B107" s="35"/>
      <c r="C107" s="35"/>
      <c r="D107" s="35"/>
      <c r="E107" s="35"/>
      <c r="F107" s="35"/>
      <c r="G107" s="35"/>
    </row>
    <row r="108" spans="1:7" x14ac:dyDescent="0.3">
      <c r="A108" s="35"/>
      <c r="B108" s="35"/>
      <c r="C108" s="35"/>
      <c r="D108" s="35"/>
      <c r="E108" s="35"/>
      <c r="F108" s="35"/>
      <c r="G108" s="35"/>
    </row>
    <row r="109" spans="1:7" x14ac:dyDescent="0.3">
      <c r="A109" s="35" t="s">
        <v>55</v>
      </c>
      <c r="B109" s="35"/>
      <c r="C109" s="35"/>
      <c r="D109" s="35"/>
      <c r="E109" s="35"/>
      <c r="F109" s="35"/>
      <c r="G109" s="35"/>
    </row>
    <row r="110" spans="1:7" x14ac:dyDescent="0.3">
      <c r="A110" s="35"/>
      <c r="B110" s="35"/>
      <c r="C110" s="35"/>
      <c r="D110" s="35"/>
      <c r="E110" s="35"/>
      <c r="F110" s="35"/>
      <c r="G110" s="35"/>
    </row>
    <row r="111" spans="1:7" x14ac:dyDescent="0.3">
      <c r="A111" s="35"/>
      <c r="B111" s="35"/>
      <c r="C111" s="35"/>
      <c r="D111" s="35"/>
      <c r="E111" s="35"/>
      <c r="F111" s="35"/>
      <c r="G111" s="35"/>
    </row>
    <row r="112" spans="1:7" x14ac:dyDescent="0.3">
      <c r="A112" s="35"/>
      <c r="B112" s="35"/>
      <c r="C112" s="35"/>
      <c r="D112" s="35"/>
      <c r="E112" s="35"/>
      <c r="F112" s="35"/>
      <c r="G112" s="35"/>
    </row>
    <row r="113" spans="1:7" x14ac:dyDescent="0.3">
      <c r="A113" s="35"/>
      <c r="B113" s="35"/>
      <c r="C113" s="35"/>
      <c r="D113" s="35"/>
      <c r="E113" s="35"/>
      <c r="F113" s="35"/>
      <c r="G113" s="35"/>
    </row>
    <row r="114" spans="1:7" x14ac:dyDescent="0.3">
      <c r="A114" s="35"/>
      <c r="B114" s="35"/>
      <c r="C114" s="35"/>
      <c r="D114" s="35"/>
      <c r="E114" s="35"/>
      <c r="F114" s="35"/>
      <c r="G114" s="35"/>
    </row>
    <row r="115" spans="1:7" x14ac:dyDescent="0.3">
      <c r="A115" s="2"/>
      <c r="B115" s="2"/>
      <c r="C115" s="2"/>
      <c r="D115" s="2"/>
      <c r="E115" s="2"/>
      <c r="F115" s="2"/>
      <c r="G115" s="2"/>
    </row>
    <row r="116" spans="1:7" x14ac:dyDescent="0.3">
      <c r="A116" s="2"/>
      <c r="B116" s="2"/>
      <c r="C116" s="2"/>
      <c r="D116" s="2"/>
      <c r="E116" s="2"/>
      <c r="F116" s="2"/>
      <c r="G116" s="2"/>
    </row>
    <row r="117" spans="1:7" x14ac:dyDescent="0.3">
      <c r="A117" s="2"/>
      <c r="B117" s="2"/>
      <c r="C117" s="2"/>
      <c r="D117" s="2"/>
      <c r="E117" s="2"/>
      <c r="F117" s="2"/>
      <c r="G117" s="2"/>
    </row>
    <row r="118" spans="1:7" x14ac:dyDescent="0.3">
      <c r="A118" s="2"/>
      <c r="B118" s="2"/>
      <c r="C118" s="2"/>
      <c r="D118" s="2"/>
      <c r="E118" s="2"/>
      <c r="F118" s="2"/>
      <c r="G118" s="2"/>
    </row>
    <row r="119" spans="1:7" x14ac:dyDescent="0.3">
      <c r="A119" s="2"/>
      <c r="B119" s="2"/>
      <c r="C119" s="2"/>
      <c r="D119" s="2"/>
      <c r="E119" s="2"/>
      <c r="F119" s="2"/>
      <c r="G119" s="2"/>
    </row>
    <row r="120" spans="1:7" x14ac:dyDescent="0.3">
      <c r="A120" s="2"/>
      <c r="B120" s="2"/>
      <c r="C120" s="2"/>
      <c r="D120" s="2"/>
      <c r="E120" s="2"/>
      <c r="F120" s="2"/>
      <c r="G120" s="2"/>
    </row>
    <row r="121" spans="1:7" x14ac:dyDescent="0.3">
      <c r="A121" s="2"/>
      <c r="B121" s="2"/>
      <c r="C121" s="2"/>
      <c r="D121" s="2"/>
      <c r="E121" s="2"/>
      <c r="F121" s="2"/>
      <c r="G121" s="2"/>
    </row>
    <row r="122" spans="1:7" x14ac:dyDescent="0.3">
      <c r="A122" s="2"/>
      <c r="B122" s="2"/>
      <c r="C122" s="2"/>
      <c r="D122" s="2"/>
      <c r="E122" s="2"/>
      <c r="F122" s="2"/>
      <c r="G122" s="2"/>
    </row>
    <row r="123" spans="1:7" x14ac:dyDescent="0.3">
      <c r="A123" s="2"/>
      <c r="B123" s="2"/>
      <c r="C123" s="2"/>
      <c r="D123" s="2"/>
      <c r="E123" s="2"/>
      <c r="F123" s="2"/>
      <c r="G123" s="2"/>
    </row>
    <row r="124" spans="1:7" x14ac:dyDescent="0.3">
      <c r="A124" s="2"/>
      <c r="B124" s="2"/>
      <c r="C124" s="2"/>
      <c r="D124" s="2"/>
      <c r="E124" s="2"/>
      <c r="F124" s="2"/>
      <c r="G124" s="2"/>
    </row>
    <row r="125" spans="1:7" x14ac:dyDescent="0.3">
      <c r="A125" s="2"/>
      <c r="B125" s="2"/>
      <c r="C125" s="2"/>
      <c r="D125" s="2"/>
      <c r="E125" s="2"/>
      <c r="F125" s="2"/>
      <c r="G125" s="2"/>
    </row>
    <row r="126" spans="1:7" x14ac:dyDescent="0.3">
      <c r="A126" s="2"/>
      <c r="B126" s="2"/>
      <c r="C126" s="2"/>
      <c r="D126" s="2"/>
      <c r="E126" s="2"/>
      <c r="F126" s="2"/>
      <c r="G126" s="2"/>
    </row>
    <row r="127" spans="1:7" x14ac:dyDescent="0.3">
      <c r="A127" s="2"/>
      <c r="B127" s="2"/>
      <c r="C127" s="2"/>
      <c r="D127" s="2"/>
      <c r="E127" s="2"/>
      <c r="F127" s="2"/>
      <c r="G127" s="2"/>
    </row>
    <row r="128" spans="1:7" x14ac:dyDescent="0.3">
      <c r="A128" s="2"/>
      <c r="B128" s="2"/>
      <c r="C128" s="2"/>
      <c r="D128" s="2"/>
      <c r="E128" s="2"/>
      <c r="F128" s="2"/>
      <c r="G128" s="2"/>
    </row>
    <row r="129" spans="1:7" x14ac:dyDescent="0.3">
      <c r="A129" s="2"/>
      <c r="B129" s="2"/>
      <c r="C129" s="2"/>
      <c r="D129" s="2"/>
      <c r="E129" s="2"/>
      <c r="F129" s="2"/>
      <c r="G129" s="2"/>
    </row>
    <row r="130" spans="1:7" x14ac:dyDescent="0.3">
      <c r="A130" s="2"/>
      <c r="B130" s="2"/>
      <c r="C130" s="2"/>
      <c r="D130" s="2"/>
      <c r="E130" s="2"/>
      <c r="F130" s="2"/>
      <c r="G130" s="2"/>
    </row>
    <row r="131" spans="1:7" x14ac:dyDescent="0.3">
      <c r="A131" s="2"/>
      <c r="B131" s="2"/>
      <c r="C131" s="2"/>
      <c r="D131" s="2"/>
      <c r="E131" s="2"/>
      <c r="F131" s="2"/>
      <c r="G131" s="2"/>
    </row>
    <row r="132" spans="1:7" x14ac:dyDescent="0.3">
      <c r="A132" s="2"/>
      <c r="B132" s="2"/>
      <c r="C132" s="2"/>
      <c r="D132" s="2"/>
      <c r="E132" s="2"/>
      <c r="F132" s="2"/>
      <c r="G132" s="2"/>
    </row>
    <row r="133" spans="1:7" x14ac:dyDescent="0.3">
      <c r="A133" s="2"/>
      <c r="B133" s="2"/>
      <c r="C133" s="2"/>
      <c r="D133" s="2"/>
      <c r="E133" s="2"/>
      <c r="F133" s="2"/>
      <c r="G133" s="2"/>
    </row>
    <row r="134" spans="1:7" ht="15" customHeight="1" x14ac:dyDescent="0.3">
      <c r="A134" s="35" t="s">
        <v>56</v>
      </c>
      <c r="B134" s="35"/>
      <c r="C134" s="35"/>
      <c r="D134" s="35"/>
      <c r="E134" s="35"/>
      <c r="F134" s="35"/>
      <c r="G134" s="35"/>
    </row>
    <row r="135" spans="1:7" x14ac:dyDescent="0.3">
      <c r="A135" s="35"/>
      <c r="B135" s="35"/>
      <c r="C135" s="35"/>
      <c r="D135" s="35"/>
      <c r="E135" s="35"/>
      <c r="F135" s="35"/>
      <c r="G135" s="35"/>
    </row>
    <row r="136" spans="1:7" x14ac:dyDescent="0.3">
      <c r="A136" s="35"/>
      <c r="B136" s="35"/>
      <c r="C136" s="35"/>
      <c r="D136" s="35"/>
      <c r="E136" s="35"/>
      <c r="F136" s="35"/>
      <c r="G136" s="35"/>
    </row>
    <row r="137" spans="1:7" x14ac:dyDescent="0.3">
      <c r="A137" s="35"/>
      <c r="B137" s="35"/>
      <c r="C137" s="35"/>
      <c r="D137" s="35"/>
      <c r="E137" s="35"/>
      <c r="F137" s="35"/>
      <c r="G137" s="35"/>
    </row>
    <row r="138" spans="1:7" ht="14.25" customHeight="1" x14ac:dyDescent="0.3">
      <c r="A138" s="34" t="s">
        <v>57</v>
      </c>
      <c r="B138" s="34"/>
      <c r="C138" s="34"/>
      <c r="D138" s="34"/>
      <c r="E138" s="34"/>
      <c r="F138" s="34"/>
      <c r="G138" s="34"/>
    </row>
    <row r="139" spans="1:7" x14ac:dyDescent="0.3">
      <c r="A139" s="34"/>
      <c r="B139" s="34"/>
      <c r="C139" s="34"/>
      <c r="D139" s="34"/>
      <c r="E139" s="34"/>
      <c r="F139" s="34"/>
      <c r="G139" s="34"/>
    </row>
    <row r="140" spans="1:7" x14ac:dyDescent="0.3">
      <c r="A140" s="34"/>
      <c r="B140" s="34"/>
      <c r="C140" s="34"/>
      <c r="D140" s="34"/>
      <c r="E140" s="34"/>
      <c r="F140" s="34"/>
      <c r="G140" s="34"/>
    </row>
    <row r="141" spans="1:7" x14ac:dyDescent="0.3">
      <c r="A141" s="34"/>
      <c r="B141" s="34"/>
      <c r="C141" s="34"/>
      <c r="D141" s="34"/>
      <c r="E141" s="34"/>
      <c r="F141" s="34"/>
      <c r="G141" s="34"/>
    </row>
    <row r="142" spans="1:7" x14ac:dyDescent="0.3">
      <c r="A142" s="34"/>
      <c r="B142" s="34"/>
      <c r="C142" s="34"/>
      <c r="D142" s="34"/>
      <c r="E142" s="34"/>
      <c r="F142" s="34"/>
      <c r="G142" s="34"/>
    </row>
    <row r="143" spans="1:7" x14ac:dyDescent="0.3">
      <c r="A143" s="34" t="s">
        <v>58</v>
      </c>
      <c r="B143" s="34"/>
      <c r="C143" s="34"/>
      <c r="D143" s="34"/>
      <c r="E143" s="34"/>
      <c r="F143" s="34"/>
      <c r="G143" s="34"/>
    </row>
    <row r="144" spans="1:7" x14ac:dyDescent="0.3">
      <c r="A144" s="34"/>
      <c r="B144" s="34"/>
      <c r="C144" s="34"/>
      <c r="D144" s="34"/>
      <c r="E144" s="34"/>
      <c r="F144" s="34"/>
      <c r="G144" s="34"/>
    </row>
    <row r="145" spans="1:7" x14ac:dyDescent="0.3">
      <c r="A145" s="34"/>
      <c r="B145" s="34"/>
      <c r="C145" s="34"/>
      <c r="D145" s="34"/>
      <c r="E145" s="34"/>
      <c r="F145" s="34"/>
      <c r="G145" s="34"/>
    </row>
    <row r="146" spans="1:7" x14ac:dyDescent="0.3">
      <c r="A146" s="34"/>
      <c r="B146" s="34"/>
      <c r="C146" s="34"/>
      <c r="D146" s="34"/>
      <c r="E146" s="34"/>
      <c r="F146" s="34"/>
      <c r="G146" s="34"/>
    </row>
    <row r="147" spans="1:7" x14ac:dyDescent="0.3">
      <c r="A147" s="34"/>
      <c r="B147" s="34"/>
      <c r="C147" s="34"/>
      <c r="D147" s="34"/>
      <c r="E147" s="34"/>
      <c r="F147" s="34"/>
      <c r="G147" s="34"/>
    </row>
    <row r="148" spans="1:7" x14ac:dyDescent="0.3">
      <c r="A148" s="34"/>
      <c r="B148" s="34"/>
      <c r="C148" s="34"/>
      <c r="D148" s="34"/>
      <c r="E148" s="34"/>
      <c r="F148" s="34"/>
      <c r="G148" s="34"/>
    </row>
    <row r="149" spans="1:7" x14ac:dyDescent="0.3">
      <c r="A149" s="34"/>
      <c r="B149" s="34"/>
      <c r="C149" s="34"/>
      <c r="D149" s="34"/>
      <c r="E149" s="34"/>
      <c r="F149" s="34"/>
      <c r="G149" s="34"/>
    </row>
    <row r="150" spans="1:7" x14ac:dyDescent="0.3">
      <c r="A150" s="2"/>
      <c r="B150" s="2"/>
      <c r="C150" s="2"/>
      <c r="D150" s="2"/>
      <c r="E150" s="2"/>
      <c r="F150" s="2"/>
      <c r="G150" s="2"/>
    </row>
    <row r="151" spans="1:7" x14ac:dyDescent="0.3">
      <c r="A151" s="32" t="s">
        <v>32</v>
      </c>
      <c r="B151" s="32"/>
      <c r="C151" s="32"/>
      <c r="D151" s="2"/>
      <c r="E151" s="2"/>
      <c r="F151" s="2"/>
      <c r="G151" s="2"/>
    </row>
    <row r="152" spans="1:7" x14ac:dyDescent="0.3">
      <c r="A152" s="34" t="s">
        <v>59</v>
      </c>
      <c r="B152" s="34"/>
      <c r="C152" s="34"/>
      <c r="D152" s="34"/>
      <c r="E152" s="34"/>
      <c r="F152" s="34"/>
      <c r="G152" s="34"/>
    </row>
    <row r="153" spans="1:7" x14ac:dyDescent="0.3">
      <c r="A153" s="34"/>
      <c r="B153" s="34"/>
      <c r="C153" s="34"/>
      <c r="D153" s="34"/>
      <c r="E153" s="34"/>
      <c r="F153" s="34"/>
      <c r="G153" s="34"/>
    </row>
    <row r="154" spans="1:7" x14ac:dyDescent="0.3">
      <c r="A154" s="34"/>
      <c r="B154" s="34"/>
      <c r="C154" s="34"/>
      <c r="D154" s="34"/>
      <c r="E154" s="34"/>
      <c r="F154" s="34"/>
      <c r="G154" s="34"/>
    </row>
    <row r="155" spans="1:7" x14ac:dyDescent="0.3">
      <c r="A155" s="34"/>
      <c r="B155" s="34"/>
      <c r="C155" s="34"/>
      <c r="D155" s="34"/>
      <c r="E155" s="34"/>
      <c r="F155" s="34"/>
      <c r="G155" s="34"/>
    </row>
    <row r="156" spans="1:7" x14ac:dyDescent="0.3">
      <c r="A156" s="35" t="s">
        <v>60</v>
      </c>
      <c r="B156" s="35"/>
      <c r="C156" s="35"/>
      <c r="D156" s="35"/>
      <c r="E156" s="35"/>
      <c r="F156" s="35"/>
      <c r="G156" s="35"/>
    </row>
    <row r="157" spans="1:7" x14ac:dyDescent="0.3">
      <c r="A157" s="35"/>
      <c r="B157" s="35"/>
      <c r="C157" s="35"/>
      <c r="D157" s="35"/>
      <c r="E157" s="35"/>
      <c r="F157" s="35"/>
      <c r="G157" s="35"/>
    </row>
    <row r="158" spans="1:7" x14ac:dyDescent="0.3">
      <c r="A158" s="35"/>
      <c r="B158" s="35"/>
      <c r="C158" s="35"/>
      <c r="D158" s="35"/>
      <c r="E158" s="35"/>
      <c r="F158" s="35"/>
      <c r="G158" s="35"/>
    </row>
    <row r="159" spans="1:7" x14ac:dyDescent="0.3">
      <c r="A159" s="35"/>
      <c r="B159" s="35"/>
      <c r="C159" s="35"/>
      <c r="D159" s="35"/>
      <c r="E159" s="35"/>
      <c r="F159" s="35"/>
      <c r="G159" s="35"/>
    </row>
    <row r="160" spans="1:7" x14ac:dyDescent="0.3">
      <c r="A160" s="2"/>
      <c r="B160" s="2"/>
      <c r="C160" s="2"/>
      <c r="D160" s="2"/>
      <c r="E160" s="2"/>
      <c r="F160" s="2"/>
      <c r="G160" s="2"/>
    </row>
    <row r="161" spans="1:7" x14ac:dyDescent="0.3">
      <c r="A161" s="32" t="s">
        <v>33</v>
      </c>
      <c r="B161" s="32"/>
      <c r="C161" s="32"/>
      <c r="D161" s="2"/>
      <c r="E161" s="2"/>
      <c r="F161" s="2"/>
      <c r="G161" s="2"/>
    </row>
    <row r="162" spans="1:7" x14ac:dyDescent="0.3">
      <c r="A162" s="37" t="s">
        <v>61</v>
      </c>
      <c r="B162" s="37"/>
      <c r="C162" s="37"/>
      <c r="D162" s="37"/>
      <c r="E162" s="37"/>
      <c r="F162" s="37"/>
      <c r="G162" s="37"/>
    </row>
    <row r="163" spans="1:7" x14ac:dyDescent="0.3">
      <c r="A163" s="37"/>
      <c r="B163" s="37"/>
      <c r="C163" s="37"/>
      <c r="D163" s="37"/>
      <c r="E163" s="37"/>
      <c r="F163" s="37"/>
      <c r="G163" s="37"/>
    </row>
    <row r="164" spans="1:7" x14ac:dyDescent="0.3">
      <c r="A164" s="37"/>
      <c r="B164" s="37"/>
      <c r="C164" s="37"/>
      <c r="D164" s="37"/>
      <c r="E164" s="37"/>
      <c r="F164" s="37"/>
      <c r="G164" s="37"/>
    </row>
    <row r="165" spans="1:7" x14ac:dyDescent="0.3">
      <c r="A165" s="37"/>
      <c r="B165" s="37"/>
      <c r="C165" s="37"/>
      <c r="D165" s="37"/>
      <c r="E165" s="37"/>
      <c r="F165" s="37"/>
      <c r="G165" s="37"/>
    </row>
    <row r="166" spans="1:7" x14ac:dyDescent="0.3">
      <c r="A166" s="37"/>
      <c r="B166" s="37"/>
      <c r="C166" s="37"/>
      <c r="D166" s="37"/>
      <c r="E166" s="37"/>
      <c r="F166" s="37"/>
      <c r="G166" s="37"/>
    </row>
    <row r="167" spans="1:7" x14ac:dyDescent="0.3">
      <c r="A167" s="37"/>
      <c r="B167" s="37"/>
      <c r="C167" s="37"/>
      <c r="D167" s="37"/>
      <c r="E167" s="37"/>
      <c r="F167" s="37"/>
      <c r="G167" s="37"/>
    </row>
    <row r="168" spans="1:7" x14ac:dyDescent="0.3">
      <c r="A168" s="34" t="s">
        <v>62</v>
      </c>
      <c r="B168" s="34"/>
      <c r="C168" s="34"/>
      <c r="D168" s="34"/>
      <c r="E168" s="34"/>
      <c r="F168" s="34"/>
      <c r="G168" s="34"/>
    </row>
    <row r="169" spans="1:7" x14ac:dyDescent="0.3">
      <c r="A169" s="34"/>
      <c r="B169" s="34"/>
      <c r="C169" s="34"/>
      <c r="D169" s="34"/>
      <c r="E169" s="34"/>
      <c r="F169" s="34"/>
      <c r="G169" s="34"/>
    </row>
    <row r="170" spans="1:7" x14ac:dyDescent="0.3">
      <c r="A170" s="34"/>
      <c r="B170" s="34"/>
      <c r="C170" s="34"/>
      <c r="D170" s="34"/>
      <c r="E170" s="34"/>
      <c r="F170" s="34"/>
      <c r="G170" s="34"/>
    </row>
    <row r="171" spans="1:7" x14ac:dyDescent="0.3">
      <c r="A171" s="34"/>
      <c r="B171" s="34"/>
      <c r="C171" s="34"/>
      <c r="D171" s="34"/>
      <c r="E171" s="34"/>
      <c r="F171" s="34"/>
      <c r="G171" s="34"/>
    </row>
    <row r="172" spans="1:7" ht="14.25" customHeight="1" x14ac:dyDescent="0.3">
      <c r="A172" s="34" t="s">
        <v>63</v>
      </c>
      <c r="B172" s="34"/>
      <c r="C172" s="34"/>
      <c r="D172" s="34"/>
      <c r="E172" s="34"/>
      <c r="F172" s="34"/>
      <c r="G172" s="34"/>
    </row>
    <row r="173" spans="1:7" x14ac:dyDescent="0.3">
      <c r="A173" s="34"/>
      <c r="B173" s="34"/>
      <c r="C173" s="34"/>
      <c r="D173" s="34"/>
      <c r="E173" s="34"/>
      <c r="F173" s="34"/>
      <c r="G173" s="34"/>
    </row>
    <row r="174" spans="1:7" x14ac:dyDescent="0.3">
      <c r="A174" s="34"/>
      <c r="B174" s="34"/>
      <c r="C174" s="34"/>
      <c r="D174" s="34"/>
      <c r="E174" s="34"/>
      <c r="F174" s="34"/>
      <c r="G174" s="34"/>
    </row>
    <row r="175" spans="1:7" x14ac:dyDescent="0.3">
      <c r="A175" s="34"/>
      <c r="B175" s="34"/>
      <c r="C175" s="34"/>
      <c r="D175" s="34"/>
      <c r="E175" s="34"/>
      <c r="F175" s="34"/>
      <c r="G175" s="34"/>
    </row>
    <row r="176" spans="1:7" x14ac:dyDescent="0.3">
      <c r="A176" s="34"/>
      <c r="B176" s="34"/>
      <c r="C176" s="34"/>
      <c r="D176" s="34"/>
      <c r="E176" s="34"/>
      <c r="F176" s="34"/>
      <c r="G176" s="34"/>
    </row>
    <row r="177" spans="1:7" x14ac:dyDescent="0.3">
      <c r="A177" s="2"/>
      <c r="B177" s="2"/>
      <c r="C177" s="2"/>
      <c r="D177" s="2"/>
      <c r="E177" s="2"/>
      <c r="F177" s="2"/>
      <c r="G177" s="2"/>
    </row>
    <row r="178" spans="1:7" x14ac:dyDescent="0.3">
      <c r="A178" s="2"/>
      <c r="B178" s="2"/>
      <c r="C178" s="2"/>
      <c r="D178" s="2"/>
      <c r="E178" s="2"/>
      <c r="F178" s="2"/>
      <c r="G178" s="2"/>
    </row>
    <row r="179" spans="1:7" x14ac:dyDescent="0.3">
      <c r="A179" s="2"/>
      <c r="B179" s="2"/>
      <c r="C179" s="2"/>
      <c r="D179" s="2"/>
      <c r="E179" s="2"/>
      <c r="F179" s="2"/>
      <c r="G179" s="2"/>
    </row>
    <row r="180" spans="1:7" x14ac:dyDescent="0.3">
      <c r="A180" s="2"/>
      <c r="B180" s="2"/>
      <c r="C180" s="2"/>
      <c r="D180" s="2"/>
      <c r="E180" s="2"/>
      <c r="F180" s="2"/>
      <c r="G180" s="2"/>
    </row>
  </sheetData>
  <sheetProtection password="DF1B" sheet="1" objects="1" scenarios="1" selectLockedCells="1" selectUnlockedCells="1"/>
  <mergeCells count="32">
    <mergeCell ref="A99:G102"/>
    <mergeCell ref="A64:G65"/>
    <mergeCell ref="A66:G71"/>
    <mergeCell ref="A152:G155"/>
    <mergeCell ref="A138:G142"/>
    <mergeCell ref="A143:G149"/>
    <mergeCell ref="A168:G171"/>
    <mergeCell ref="A172:G176"/>
    <mergeCell ref="A156:G159"/>
    <mergeCell ref="A161:C161"/>
    <mergeCell ref="A8:G8"/>
    <mergeCell ref="A10:G10"/>
    <mergeCell ref="B12:F12"/>
    <mergeCell ref="A72:G73"/>
    <mergeCell ref="A162:G167"/>
    <mergeCell ref="A55:G57"/>
    <mergeCell ref="A59:B59"/>
    <mergeCell ref="A151:C151"/>
    <mergeCell ref="A134:G137"/>
    <mergeCell ref="A103:G105"/>
    <mergeCell ref="A106:G108"/>
    <mergeCell ref="A109:G114"/>
    <mergeCell ref="A37:B37"/>
    <mergeCell ref="A38:G41"/>
    <mergeCell ref="A60:G63"/>
    <mergeCell ref="B32:F32"/>
    <mergeCell ref="C34:E34"/>
    <mergeCell ref="A17:G19"/>
    <mergeCell ref="B22:F22"/>
    <mergeCell ref="A23:G23"/>
    <mergeCell ref="C24:E24"/>
    <mergeCell ref="B30:F30"/>
  </mergeCells>
  <printOptions horizontalCentered="1"/>
  <pageMargins left="0.70866141732283472" right="0.70866141732283472" top="0.74803149606299213" bottom="0.74803149606299213" header="0.31496062992125984" footer="0.31496062992125984"/>
  <pageSetup paperSize="9" orientation="portrait" r:id="rId1"/>
  <headerFooter>
    <oddHeader>&amp;L&amp;"Arial,Normal"
CÁTEDRA DE HORMIGÓN ARMADO&amp;C&amp;"Arial,Negrita"DIAGRAMAS DE INTERACCIÓN PARA SECCIONES GENÉRICAS DE HORMIGÓN ARMADO&amp;R
&amp;"Arial,Normal"EIC - FCEIA - UNR</oddHeader>
    <oddFooter>&amp;A</oddFooter>
  </headerFooter>
  <drawing r:id="rId2"/>
  <legacyDrawing r:id="rId3"/>
  <oleObjects>
    <mc:AlternateContent xmlns:mc="http://schemas.openxmlformats.org/markup-compatibility/2006">
      <mc:Choice Requires="x14">
        <oleObject progId="Word.Picture.8" shapeId="1038" r:id="rId4">
          <objectPr defaultSize="0" autoPict="0" r:id="rId5">
            <anchor moveWithCells="1" sizeWithCells="1">
              <from>
                <xdr:col>2</xdr:col>
                <xdr:colOff>400050</xdr:colOff>
                <xdr:row>1</xdr:row>
                <xdr:rowOff>31750</xdr:rowOff>
              </from>
              <to>
                <xdr:col>4</xdr:col>
                <xdr:colOff>107950</xdr:colOff>
                <xdr:row>4</xdr:row>
                <xdr:rowOff>69850</xdr:rowOff>
              </to>
            </anchor>
          </objectPr>
        </oleObject>
      </mc:Choice>
      <mc:Fallback>
        <oleObject progId="Word.Picture.8" shapeId="1038" r:id="rId4"/>
      </mc:Fallback>
    </mc:AlternateContent>
    <mc:AlternateContent xmlns:mc="http://schemas.openxmlformats.org/markup-compatibility/2006">
      <mc:Choice Requires="x14">
        <oleObject progId="Word.Picture.8" shapeId="1037" r:id="rId6">
          <objectPr defaultSize="0" autoPict="0" r:id="rId7">
            <anchor moveWithCells="1" sizeWithCells="1">
              <from>
                <xdr:col>0</xdr:col>
                <xdr:colOff>241300</xdr:colOff>
                <xdr:row>0</xdr:row>
                <xdr:rowOff>76200</xdr:rowOff>
              </from>
              <to>
                <xdr:col>1</xdr:col>
                <xdr:colOff>457200</xdr:colOff>
                <xdr:row>5</xdr:row>
                <xdr:rowOff>76200</xdr:rowOff>
              </to>
            </anchor>
          </objectPr>
        </oleObject>
      </mc:Choice>
      <mc:Fallback>
        <oleObject progId="Word.Picture.8" shapeId="1037" r:id="rId6"/>
      </mc:Fallback>
    </mc:AlternateContent>
  </oleObjects>
  <mc:AlternateContent xmlns:mc="http://schemas.openxmlformats.org/markup-compatibility/2006">
    <mc:Choice Requires="x14">
      <controls>
        <mc:AlternateContent xmlns:mc="http://schemas.openxmlformats.org/markup-compatibility/2006">
          <mc:Choice Requires="x14">
            <control shapeId="1026" r:id="rId8" name="Button 2">
              <controlPr defaultSize="0" print="0" autoFill="0" autoPict="0" macro="[0]!Mostrar">
                <anchor moveWithCells="1" sizeWithCells="1">
                  <from>
                    <xdr:col>2</xdr:col>
                    <xdr:colOff>76200</xdr:colOff>
                    <xdr:row>177</xdr:row>
                    <xdr:rowOff>50800</xdr:rowOff>
                  </from>
                  <to>
                    <xdr:col>4</xdr:col>
                    <xdr:colOff>146050</xdr:colOff>
                    <xdr:row>179</xdr:row>
                    <xdr:rowOff>146050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U56"/>
  <sheetViews>
    <sheetView showGridLines="0" tabSelected="1" topLeftCell="A43" zoomScale="145" zoomScaleNormal="145" workbookViewId="0">
      <selection activeCell="D52" sqref="D52"/>
    </sheetView>
  </sheetViews>
  <sheetFormatPr defaultColWidth="11.453125" defaultRowHeight="14" x14ac:dyDescent="0.3"/>
  <cols>
    <col min="1" max="2" width="11.453125" style="2"/>
    <col min="3" max="3" width="15.7265625" style="2" customWidth="1"/>
    <col min="4" max="4" width="15.453125" style="2" customWidth="1"/>
    <col min="5" max="5" width="17.81640625" style="2" customWidth="1"/>
    <col min="6" max="16384" width="11.453125" style="2"/>
  </cols>
  <sheetData>
    <row r="1" spans="1:21" x14ac:dyDescent="0.3">
      <c r="A1" s="45" t="s">
        <v>5</v>
      </c>
      <c r="B1" s="46"/>
      <c r="C1" s="46"/>
      <c r="D1" s="7"/>
      <c r="E1" s="7"/>
      <c r="F1" s="7"/>
      <c r="I1" s="6"/>
      <c r="K1" s="6" t="s">
        <v>25</v>
      </c>
    </row>
    <row r="2" spans="1:21" ht="14.5" customHeight="1" x14ac:dyDescent="0.3">
      <c r="H2" s="39" t="s">
        <v>64</v>
      </c>
      <c r="I2" s="39"/>
      <c r="J2" s="39"/>
      <c r="K2" s="39"/>
      <c r="L2" s="39"/>
      <c r="M2" s="39"/>
      <c r="N2" s="39"/>
      <c r="O2" s="15"/>
      <c r="P2" s="15"/>
      <c r="Q2" s="15"/>
      <c r="R2" s="15"/>
      <c r="S2" s="15"/>
      <c r="T2" s="15"/>
      <c r="U2" s="15"/>
    </row>
    <row r="3" spans="1:21" ht="14.5" x14ac:dyDescent="0.3">
      <c r="A3" s="40" t="s">
        <v>6</v>
      </c>
      <c r="B3" s="41"/>
      <c r="C3" s="14">
        <v>25</v>
      </c>
      <c r="H3" s="39"/>
      <c r="I3" s="39"/>
      <c r="J3" s="39"/>
      <c r="K3" s="39"/>
      <c r="L3" s="39"/>
      <c r="M3" s="39"/>
      <c r="N3" s="39"/>
      <c r="O3" s="15"/>
      <c r="P3" s="15"/>
      <c r="Q3" s="15"/>
      <c r="R3" s="15"/>
      <c r="S3" s="15"/>
      <c r="T3" s="15"/>
      <c r="U3" s="15"/>
    </row>
    <row r="4" spans="1:21" ht="14.5" x14ac:dyDescent="0.3">
      <c r="H4" s="39"/>
      <c r="I4" s="39"/>
      <c r="J4" s="39"/>
      <c r="K4" s="39"/>
      <c r="L4" s="39"/>
      <c r="M4" s="39"/>
      <c r="N4" s="39"/>
      <c r="O4" s="15"/>
      <c r="P4" s="15"/>
      <c r="Q4" s="15"/>
      <c r="R4" s="15"/>
      <c r="S4" s="15"/>
      <c r="T4" s="15"/>
      <c r="U4" s="15"/>
    </row>
    <row r="5" spans="1:21" ht="14.5" x14ac:dyDescent="0.3">
      <c r="A5" s="40" t="s">
        <v>10</v>
      </c>
      <c r="B5" s="41"/>
      <c r="C5" s="14" t="s">
        <v>11</v>
      </c>
      <c r="D5" s="13" t="s">
        <v>75</v>
      </c>
      <c r="E5" s="14"/>
      <c r="H5" s="39"/>
      <c r="I5" s="39"/>
      <c r="J5" s="39"/>
      <c r="K5" s="39"/>
      <c r="L5" s="39"/>
      <c r="M5" s="39"/>
      <c r="N5" s="39"/>
      <c r="O5" s="15"/>
      <c r="P5" s="15"/>
      <c r="Q5" s="15"/>
      <c r="R5" s="15"/>
      <c r="S5" s="15"/>
      <c r="T5" s="15"/>
      <c r="U5" s="15"/>
    </row>
    <row r="6" spans="1:21" ht="14.5" x14ac:dyDescent="0.3">
      <c r="A6" s="13"/>
      <c r="B6" s="13"/>
      <c r="H6" s="39"/>
      <c r="I6" s="39"/>
      <c r="J6" s="39"/>
      <c r="K6" s="39"/>
      <c r="L6" s="39"/>
      <c r="M6" s="39"/>
      <c r="N6" s="39"/>
      <c r="O6" s="15"/>
      <c r="P6" s="15"/>
      <c r="Q6" s="15"/>
      <c r="R6" s="15"/>
      <c r="S6" s="15"/>
      <c r="T6" s="15"/>
      <c r="U6" s="15"/>
    </row>
    <row r="7" spans="1:21" ht="14.5" x14ac:dyDescent="0.3">
      <c r="A7" s="40" t="s">
        <v>74</v>
      </c>
      <c r="B7" s="41"/>
      <c r="C7" s="14" t="s">
        <v>73</v>
      </c>
      <c r="H7" s="39"/>
      <c r="I7" s="39"/>
      <c r="J7" s="39"/>
      <c r="K7" s="39"/>
      <c r="L7" s="39"/>
      <c r="M7" s="39"/>
      <c r="N7" s="39"/>
      <c r="O7" s="15"/>
      <c r="P7" s="15"/>
      <c r="Q7" s="15"/>
      <c r="R7" s="15"/>
      <c r="S7" s="15"/>
      <c r="T7" s="15"/>
      <c r="U7" s="15"/>
    </row>
    <row r="8" spans="1:21" ht="14.5" x14ac:dyDescent="0.3">
      <c r="H8" s="39"/>
      <c r="I8" s="39"/>
      <c r="J8" s="39"/>
      <c r="K8" s="39"/>
      <c r="L8" s="39"/>
      <c r="M8" s="39"/>
      <c r="N8" s="39"/>
      <c r="O8" s="15"/>
      <c r="P8" s="15"/>
      <c r="Q8" s="15"/>
      <c r="R8" s="15"/>
      <c r="S8" s="15"/>
      <c r="T8" s="15"/>
      <c r="U8" s="15"/>
    </row>
    <row r="9" spans="1:21" ht="14.5" x14ac:dyDescent="0.3">
      <c r="A9" s="42" t="s">
        <v>12</v>
      </c>
      <c r="B9" s="44"/>
      <c r="C9" s="44"/>
      <c r="D9" s="13" t="s">
        <v>13</v>
      </c>
      <c r="E9" s="47" t="s">
        <v>34</v>
      </c>
      <c r="F9" s="47"/>
      <c r="H9" s="39"/>
      <c r="I9" s="39"/>
      <c r="J9" s="39"/>
      <c r="K9" s="39"/>
      <c r="L9" s="39"/>
      <c r="M9" s="39"/>
      <c r="N9" s="39"/>
      <c r="O9" s="15"/>
      <c r="P9" s="15"/>
      <c r="Q9" s="15"/>
      <c r="R9" s="15"/>
      <c r="S9" s="15"/>
      <c r="T9" s="15"/>
      <c r="U9" s="15"/>
    </row>
    <row r="10" spans="1:21" ht="14.5" x14ac:dyDescent="0.3">
      <c r="H10" s="39"/>
      <c r="I10" s="39"/>
      <c r="J10" s="39"/>
      <c r="K10" s="39"/>
      <c r="L10" s="39"/>
      <c r="M10" s="39"/>
      <c r="N10" s="39"/>
      <c r="O10" s="15"/>
      <c r="P10" s="15"/>
      <c r="Q10" s="15"/>
      <c r="R10" s="15"/>
      <c r="S10" s="15"/>
      <c r="T10" s="15"/>
      <c r="U10" s="15"/>
    </row>
    <row r="11" spans="1:21" ht="14.5" x14ac:dyDescent="0.3">
      <c r="A11" s="42" t="s">
        <v>14</v>
      </c>
      <c r="B11" s="44"/>
      <c r="C11" s="44"/>
      <c r="D11" s="44"/>
      <c r="E11" s="44"/>
      <c r="H11" s="39"/>
      <c r="I11" s="39"/>
      <c r="J11" s="39"/>
      <c r="K11" s="39"/>
      <c r="L11" s="39"/>
      <c r="M11" s="39"/>
      <c r="N11" s="39"/>
      <c r="O11" s="15"/>
      <c r="P11" s="15"/>
      <c r="Q11" s="15"/>
      <c r="R11" s="15"/>
      <c r="S11" s="15"/>
      <c r="T11" s="15"/>
      <c r="U11" s="15"/>
    </row>
    <row r="12" spans="1:21" ht="14.5" x14ac:dyDescent="0.3">
      <c r="H12" s="39"/>
      <c r="I12" s="39"/>
      <c r="J12" s="39"/>
      <c r="K12" s="39"/>
      <c r="L12" s="39"/>
      <c r="M12" s="39"/>
      <c r="N12" s="39"/>
      <c r="O12" s="15"/>
      <c r="P12" s="15"/>
      <c r="Q12" s="15"/>
      <c r="R12" s="15"/>
      <c r="S12" s="15"/>
      <c r="T12" s="15"/>
      <c r="U12" s="15"/>
    </row>
    <row r="13" spans="1:21" ht="14.5" x14ac:dyDescent="0.3">
      <c r="A13" s="40" t="s">
        <v>15</v>
      </c>
      <c r="B13" s="41"/>
      <c r="C13" s="41"/>
      <c r="D13" s="14">
        <v>1</v>
      </c>
      <c r="H13" s="39"/>
      <c r="I13" s="39"/>
      <c r="J13" s="39"/>
      <c r="K13" s="39"/>
      <c r="L13" s="39"/>
      <c r="M13" s="39"/>
      <c r="N13" s="39"/>
      <c r="O13" s="15"/>
      <c r="P13" s="15"/>
      <c r="Q13" s="15"/>
      <c r="R13" s="15"/>
      <c r="S13" s="15"/>
      <c r="T13" s="15"/>
      <c r="U13" s="15"/>
    </row>
    <row r="14" spans="1:21" ht="14.5" x14ac:dyDescent="0.3">
      <c r="H14" s="15"/>
      <c r="I14" s="15"/>
      <c r="J14" s="15"/>
      <c r="K14" s="15"/>
      <c r="L14" s="15"/>
      <c r="M14" s="15"/>
      <c r="N14" s="15"/>
      <c r="O14" s="15"/>
      <c r="P14" s="15"/>
      <c r="Q14" s="15"/>
      <c r="R14" s="15"/>
      <c r="S14" s="15"/>
      <c r="T14" s="15"/>
      <c r="U14" s="15"/>
    </row>
    <row r="15" spans="1:21" ht="14.5" x14ac:dyDescent="0.3">
      <c r="A15" s="8" t="s">
        <v>16</v>
      </c>
      <c r="B15" s="14">
        <v>1</v>
      </c>
      <c r="C15" s="13" t="s">
        <v>17</v>
      </c>
      <c r="D15" s="14" t="s">
        <v>30</v>
      </c>
      <c r="E15" s="41" t="s">
        <v>18</v>
      </c>
      <c r="F15" s="41"/>
      <c r="G15" s="14">
        <v>4</v>
      </c>
      <c r="H15" s="15"/>
      <c r="I15" s="15"/>
      <c r="J15" s="15"/>
      <c r="K15" s="15"/>
      <c r="L15" s="15"/>
      <c r="M15" s="15"/>
      <c r="N15" s="15"/>
      <c r="O15" s="15"/>
      <c r="P15" s="15"/>
      <c r="Q15" s="15"/>
      <c r="R15" s="15"/>
      <c r="S15" s="15"/>
      <c r="T15" s="15"/>
      <c r="U15" s="15"/>
    </row>
    <row r="16" spans="1:21" ht="14.5" x14ac:dyDescent="0.3">
      <c r="A16" s="8"/>
      <c r="H16" s="15"/>
      <c r="I16" s="15"/>
      <c r="J16" s="15"/>
      <c r="K16" s="15"/>
      <c r="L16" s="15"/>
      <c r="M16" s="15"/>
      <c r="N16" s="15"/>
      <c r="O16" s="15"/>
      <c r="P16" s="15"/>
      <c r="Q16" s="15"/>
      <c r="R16" s="15"/>
      <c r="S16" s="15"/>
      <c r="T16" s="15"/>
      <c r="U16" s="15"/>
    </row>
    <row r="17" spans="1:21" ht="14.5" x14ac:dyDescent="0.3">
      <c r="A17" s="12" t="s">
        <v>19</v>
      </c>
      <c r="C17" s="13" t="s">
        <v>20</v>
      </c>
      <c r="E17" s="13" t="s">
        <v>21</v>
      </c>
      <c r="H17" s="15"/>
      <c r="I17" s="15"/>
      <c r="J17" s="15"/>
      <c r="K17" s="15"/>
      <c r="L17" s="15"/>
      <c r="M17" s="15"/>
      <c r="N17" s="15"/>
      <c r="O17" s="15"/>
      <c r="P17" s="15"/>
      <c r="Q17" s="15"/>
      <c r="R17" s="15"/>
      <c r="S17" s="15"/>
      <c r="T17" s="15"/>
      <c r="U17" s="15"/>
    </row>
    <row r="18" spans="1:21" ht="14.5" x14ac:dyDescent="0.3">
      <c r="A18" s="9">
        <v>1</v>
      </c>
      <c r="C18" s="10">
        <v>0</v>
      </c>
      <c r="E18" s="10">
        <v>0</v>
      </c>
      <c r="H18" s="15"/>
      <c r="I18" s="15"/>
      <c r="J18" s="15"/>
      <c r="K18" s="15"/>
      <c r="L18" s="15"/>
      <c r="M18" s="15"/>
      <c r="N18" s="15"/>
      <c r="O18" s="15"/>
      <c r="P18" s="15"/>
      <c r="Q18" s="15"/>
      <c r="R18" s="15"/>
      <c r="S18" s="15"/>
      <c r="T18" s="15"/>
      <c r="U18" s="15"/>
    </row>
    <row r="19" spans="1:21" ht="14.5" x14ac:dyDescent="0.3">
      <c r="A19" s="9">
        <v>2</v>
      </c>
      <c r="C19" s="10">
        <v>0.25</v>
      </c>
      <c r="E19" s="10">
        <v>0</v>
      </c>
      <c r="H19" s="39"/>
      <c r="I19" s="39"/>
      <c r="J19" s="39"/>
      <c r="K19" s="39"/>
      <c r="L19" s="39"/>
      <c r="M19" s="39"/>
      <c r="N19" s="39"/>
    </row>
    <row r="20" spans="1:21" ht="14.5" x14ac:dyDescent="0.3">
      <c r="A20" s="9">
        <v>3</v>
      </c>
      <c r="C20" s="10">
        <v>0.25</v>
      </c>
      <c r="E20" s="10">
        <v>0.6</v>
      </c>
      <c r="H20" s="28"/>
      <c r="I20" s="28"/>
      <c r="J20" s="28"/>
      <c r="K20" s="28"/>
      <c r="L20" s="28"/>
      <c r="M20" s="28"/>
      <c r="N20" s="28"/>
    </row>
    <row r="21" spans="1:21" x14ac:dyDescent="0.3">
      <c r="A21" s="9">
        <v>4</v>
      </c>
      <c r="C21" s="10">
        <v>0</v>
      </c>
      <c r="E21" s="10">
        <v>0.6</v>
      </c>
    </row>
    <row r="22" spans="1:21" ht="14.5" x14ac:dyDescent="0.35">
      <c r="A22"/>
      <c r="B22"/>
      <c r="C22"/>
      <c r="D22"/>
      <c r="E22"/>
      <c r="F22"/>
      <c r="G22"/>
    </row>
    <row r="23" spans="1:21" ht="14.5" customHeight="1" x14ac:dyDescent="0.35">
      <c r="A23" s="42" t="s">
        <v>76</v>
      </c>
      <c r="B23" s="44"/>
      <c r="C23" s="44"/>
      <c r="D23"/>
      <c r="F23"/>
      <c r="G23"/>
    </row>
    <row r="24" spans="1:21" ht="14.15" customHeight="1" x14ac:dyDescent="0.3"/>
    <row r="25" spans="1:21" ht="14.5" x14ac:dyDescent="0.35">
      <c r="A25" s="40" t="s">
        <v>22</v>
      </c>
      <c r="B25" s="41"/>
      <c r="C25" s="41"/>
      <c r="D25" s="26">
        <v>4</v>
      </c>
    </row>
    <row r="26" spans="1:21" ht="14.15" customHeight="1" x14ac:dyDescent="0.3"/>
    <row r="27" spans="1:21" ht="14.15" customHeight="1" x14ac:dyDescent="0.3">
      <c r="A27" s="13" t="s">
        <v>23</v>
      </c>
      <c r="C27" s="13" t="s">
        <v>20</v>
      </c>
      <c r="E27" s="13" t="s">
        <v>21</v>
      </c>
      <c r="G27" s="13" t="s">
        <v>24</v>
      </c>
    </row>
    <row r="28" spans="1:21" ht="14.15" customHeight="1" x14ac:dyDescent="0.35">
      <c r="A28" s="26">
        <v>1</v>
      </c>
      <c r="C28" s="10">
        <v>0.03</v>
      </c>
      <c r="E28" s="10">
        <v>0.03</v>
      </c>
      <c r="G28" s="14">
        <v>16</v>
      </c>
    </row>
    <row r="29" spans="1:21" ht="14.15" customHeight="1" x14ac:dyDescent="0.35">
      <c r="A29" s="26">
        <v>2</v>
      </c>
      <c r="C29" s="10">
        <v>7.4999999999999997E-2</v>
      </c>
      <c r="E29" s="10">
        <v>0.03</v>
      </c>
      <c r="G29" s="14">
        <v>16</v>
      </c>
    </row>
    <row r="30" spans="1:21" ht="14.15" customHeight="1" x14ac:dyDescent="0.35">
      <c r="A30" s="26">
        <v>3</v>
      </c>
      <c r="C30" s="10">
        <v>0.17499999999999999</v>
      </c>
      <c r="E30" s="10">
        <v>0.03</v>
      </c>
      <c r="G30" s="14">
        <v>16</v>
      </c>
    </row>
    <row r="31" spans="1:21" ht="14.15" customHeight="1" x14ac:dyDescent="0.35">
      <c r="A31" s="26">
        <v>4</v>
      </c>
      <c r="C31" s="10">
        <v>0.22</v>
      </c>
      <c r="E31" s="10">
        <v>0.03</v>
      </c>
      <c r="G31" s="14">
        <v>16</v>
      </c>
    </row>
    <row r="33" spans="1:14" ht="14.5" x14ac:dyDescent="0.35">
      <c r="A33" s="42" t="s">
        <v>68</v>
      </c>
      <c r="B33" s="44"/>
      <c r="C33" s="44"/>
      <c r="D33"/>
      <c r="F33"/>
      <c r="G33"/>
      <c r="H33" s="39" t="s">
        <v>65</v>
      </c>
      <c r="I33" s="39"/>
      <c r="J33" s="39"/>
      <c r="K33" s="39"/>
      <c r="L33" s="39"/>
      <c r="M33" s="39"/>
      <c r="N33" s="39"/>
    </row>
    <row r="34" spans="1:14" x14ac:dyDescent="0.3">
      <c r="H34" s="39"/>
      <c r="I34" s="39"/>
      <c r="J34" s="39"/>
      <c r="K34" s="39"/>
      <c r="L34" s="39"/>
      <c r="M34" s="39"/>
      <c r="N34" s="39"/>
    </row>
    <row r="35" spans="1:14" ht="14.5" x14ac:dyDescent="0.35">
      <c r="A35" s="40" t="s">
        <v>22</v>
      </c>
      <c r="B35" s="41"/>
      <c r="C35" s="41"/>
      <c r="D35" s="26">
        <v>9</v>
      </c>
      <c r="H35" s="39"/>
      <c r="I35" s="39"/>
      <c r="J35" s="39"/>
      <c r="K35" s="39"/>
      <c r="L35" s="39"/>
      <c r="M35" s="39"/>
      <c r="N35" s="39"/>
    </row>
    <row r="36" spans="1:14" x14ac:dyDescent="0.3">
      <c r="H36" s="39"/>
      <c r="I36" s="39"/>
      <c r="J36" s="39"/>
      <c r="K36" s="39"/>
      <c r="L36" s="39"/>
      <c r="M36" s="39"/>
      <c r="N36" s="39"/>
    </row>
    <row r="37" spans="1:14" x14ac:dyDescent="0.3">
      <c r="A37" s="13" t="s">
        <v>23</v>
      </c>
      <c r="C37" s="13" t="s">
        <v>20</v>
      </c>
      <c r="E37" s="13" t="s">
        <v>21</v>
      </c>
      <c r="G37" s="13" t="s">
        <v>24</v>
      </c>
      <c r="H37" s="39"/>
      <c r="I37" s="39"/>
      <c r="J37" s="39"/>
      <c r="K37" s="39"/>
      <c r="L37" s="39"/>
      <c r="M37" s="39"/>
      <c r="N37" s="39"/>
    </row>
    <row r="38" spans="1:14" ht="14.5" x14ac:dyDescent="0.35">
      <c r="A38" s="26">
        <v>1</v>
      </c>
      <c r="C38" s="10">
        <v>0</v>
      </c>
      <c r="E38" s="10">
        <v>0</v>
      </c>
      <c r="G38" s="14">
        <v>0</v>
      </c>
      <c r="H38" s="39"/>
      <c r="I38" s="39"/>
      <c r="J38" s="39"/>
      <c r="K38" s="39"/>
      <c r="L38" s="39"/>
      <c r="M38" s="39"/>
      <c r="N38" s="39"/>
    </row>
    <row r="39" spans="1:14" ht="14.5" x14ac:dyDescent="0.35">
      <c r="A39" s="26">
        <v>2</v>
      </c>
      <c r="C39" s="10">
        <v>0</v>
      </c>
      <c r="E39" s="10">
        <v>0</v>
      </c>
      <c r="G39" s="14">
        <v>0</v>
      </c>
      <c r="H39" s="39"/>
      <c r="I39" s="39"/>
      <c r="J39" s="39"/>
      <c r="K39" s="39"/>
      <c r="L39" s="39"/>
      <c r="M39" s="39"/>
      <c r="N39" s="39"/>
    </row>
    <row r="40" spans="1:14" ht="14.5" x14ac:dyDescent="0.35">
      <c r="A40" s="26">
        <v>3</v>
      </c>
      <c r="C40" s="10">
        <v>0</v>
      </c>
      <c r="E40" s="10">
        <v>0</v>
      </c>
      <c r="G40" s="14">
        <v>0</v>
      </c>
    </row>
    <row r="41" spans="1:14" ht="14.5" x14ac:dyDescent="0.35">
      <c r="A41" s="26">
        <v>4</v>
      </c>
      <c r="C41" s="10">
        <v>0</v>
      </c>
      <c r="E41" s="10">
        <v>0</v>
      </c>
      <c r="G41" s="14">
        <v>0</v>
      </c>
    </row>
    <row r="42" spans="1:14" ht="14.5" x14ac:dyDescent="0.35">
      <c r="A42" s="26">
        <v>5</v>
      </c>
      <c r="C42" s="10">
        <v>0</v>
      </c>
      <c r="E42" s="10">
        <v>0</v>
      </c>
      <c r="G42" s="14">
        <v>0</v>
      </c>
    </row>
    <row r="43" spans="1:14" ht="14.5" x14ac:dyDescent="0.35">
      <c r="A43" s="26">
        <v>6</v>
      </c>
      <c r="C43" s="10">
        <v>0</v>
      </c>
      <c r="E43" s="10">
        <v>0</v>
      </c>
      <c r="G43" s="14">
        <v>0</v>
      </c>
    </row>
    <row r="44" spans="1:14" ht="14.5" x14ac:dyDescent="0.35">
      <c r="A44" s="26">
        <v>7</v>
      </c>
      <c r="C44" s="10">
        <v>0</v>
      </c>
      <c r="E44" s="10">
        <v>0</v>
      </c>
      <c r="G44" s="14">
        <v>0</v>
      </c>
    </row>
    <row r="45" spans="1:14" ht="14.5" x14ac:dyDescent="0.35">
      <c r="A45" s="26">
        <v>8</v>
      </c>
      <c r="C45" s="10">
        <v>0</v>
      </c>
      <c r="E45" s="10">
        <v>0</v>
      </c>
      <c r="G45" s="14">
        <v>0</v>
      </c>
    </row>
    <row r="46" spans="1:14" ht="14.5" x14ac:dyDescent="0.35">
      <c r="A46" s="26">
        <v>9</v>
      </c>
      <c r="C46" s="10">
        <v>0</v>
      </c>
      <c r="E46" s="10">
        <v>0</v>
      </c>
      <c r="G46" s="14">
        <v>0</v>
      </c>
    </row>
    <row r="48" spans="1:14" x14ac:dyDescent="0.3">
      <c r="A48" s="42" t="s">
        <v>69</v>
      </c>
      <c r="B48" s="44"/>
      <c r="C48" s="44"/>
      <c r="D48" s="44"/>
      <c r="E48" s="44"/>
    </row>
    <row r="50" spans="1:5" x14ac:dyDescent="0.3">
      <c r="A50" s="40" t="s">
        <v>70</v>
      </c>
      <c r="B50" s="41"/>
      <c r="C50" s="10">
        <v>5.0000000000000001E-3</v>
      </c>
      <c r="D50" s="2" t="s">
        <v>71</v>
      </c>
    </row>
    <row r="52" spans="1:5" x14ac:dyDescent="0.3">
      <c r="A52" s="40" t="s">
        <v>72</v>
      </c>
      <c r="B52" s="41"/>
      <c r="C52" s="10">
        <v>0.01</v>
      </c>
      <c r="D52" s="2" t="s">
        <v>71</v>
      </c>
    </row>
    <row r="54" spans="1:5" x14ac:dyDescent="0.3">
      <c r="A54" s="42" t="s">
        <v>77</v>
      </c>
      <c r="B54" s="43"/>
      <c r="C54" s="43"/>
      <c r="D54" s="43"/>
      <c r="E54" s="43"/>
    </row>
    <row r="56" spans="1:5" ht="14.5" x14ac:dyDescent="0.35">
      <c r="A56" s="40" t="s">
        <v>78</v>
      </c>
      <c r="B56" s="41"/>
      <c r="C56" s="41"/>
      <c r="D56" s="41"/>
      <c r="E56" s="27">
        <v>0</v>
      </c>
    </row>
  </sheetData>
  <mergeCells count="21">
    <mergeCell ref="H2:N13"/>
    <mergeCell ref="A11:E11"/>
    <mergeCell ref="A13:C13"/>
    <mergeCell ref="H19:N19"/>
    <mergeCell ref="E15:F15"/>
    <mergeCell ref="A1:C1"/>
    <mergeCell ref="A3:B3"/>
    <mergeCell ref="A5:B5"/>
    <mergeCell ref="A9:C9"/>
    <mergeCell ref="E9:F9"/>
    <mergeCell ref="A7:B7"/>
    <mergeCell ref="H33:N39"/>
    <mergeCell ref="A35:C35"/>
    <mergeCell ref="A54:E54"/>
    <mergeCell ref="A56:D56"/>
    <mergeCell ref="A23:C23"/>
    <mergeCell ref="A25:C25"/>
    <mergeCell ref="A48:E48"/>
    <mergeCell ref="A50:B50"/>
    <mergeCell ref="A52:B52"/>
    <mergeCell ref="A33:C33"/>
  </mergeCells>
  <dataValidations count="5">
    <dataValidation type="whole" allowBlank="1" showInputMessage="1" showErrorMessage="1" errorTitle="Error" error="El número de barras debe estar comprendido entre 1 y 500" sqref="D25 A28:A31 D35 A38:A46" xr:uid="{B75C34BA-E894-4648-AB57-0830B93A2B14}">
      <formula1>1</formula1>
      <formula2>500</formula2>
    </dataValidation>
    <dataValidation type="list" allowBlank="1" showInputMessage="1" showErrorMessage="1" sqref="C7" xr:uid="{8E6B6AE2-A4B4-4F47-BA1B-7DF3BA6D8552}">
      <formula1>"Barras 1050, Trenzas C1650, Trenzas C1900"</formula1>
    </dataValidation>
    <dataValidation type="whole" allowBlank="1" showInputMessage="1" showErrorMessage="1" errorTitle="Error" error="El número de nodos debe estar comprendido entre 1 y 500" sqref="G15 A18:A22" xr:uid="{74D47D1F-DBA0-4A31-966A-7EC72209469C}">
      <formula1>1</formula1>
      <formula2>500</formula2>
    </dataValidation>
    <dataValidation type="whole" allowBlank="1" showInputMessage="1" showErrorMessage="1" errorTitle="Error" error="El número de contornos convexos debe estar comprendido entre 1 y 10" sqref="B15" xr:uid="{84DC1543-58BC-42CC-95CD-FD23A23C7A09}">
      <formula1>1</formula1>
      <formula2>10</formula2>
    </dataValidation>
    <dataValidation type="decimal" allowBlank="1" showInputMessage="1" showErrorMessage="1" errorTitle="ERROR" error="El ángulo de inclinación del plano de carga debe estar comprendido entre -90º y 90º" sqref="E56" xr:uid="{8A9F1A6D-E93E-45E2-B54D-AB3776ECEA0D}">
      <formula1>-90</formula1>
      <formula2>90</formula2>
    </dataValidation>
  </dataValidations>
  <pageMargins left="0.70866141732283472" right="0.70866141732283472" top="0.74803149606299213" bottom="0.74803149606299213" header="0.31496062992125984" footer="0.31496062992125984"/>
  <pageSetup paperSize="9" orientation="portrait" r:id="rId1"/>
  <headerFooter>
    <oddHeader>&amp;L&amp;"-,Negrita"
&amp;"Arial,Normal"CÁTEDRA DE HORMIGÓN ARMADO
&amp;C&amp;"Arial,Negrita"DIAGRAMAS DE INTERACCIÓN PARA SECCIONES GENÉRICAS DE HORMIGÓN ARMADO
&amp;R
&amp;"Arial,Normal"EIC - FCEIA - UNR</oddHeader>
    <oddFooter>Página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Macro1">
                <anchor moveWithCells="1" sizeWithCells="1">
                  <from>
                    <xdr:col>4</xdr:col>
                    <xdr:colOff>222250</xdr:colOff>
                    <xdr:row>11</xdr:row>
                    <xdr:rowOff>88900</xdr:rowOff>
                  </from>
                  <to>
                    <xdr:col>6</xdr:col>
                    <xdr:colOff>660400</xdr:colOff>
                    <xdr:row>12</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2000000}">
          <x14:formula1>
            <xm:f>AUX!$A$1:$A$8</xm:f>
          </x14:formula1>
          <xm:sqref>C3</xm:sqref>
        </x14:dataValidation>
        <x14:dataValidation type="list" allowBlank="1" showInputMessage="1" showErrorMessage="1" xr:uid="{00000000-0002-0000-0100-000003000000}">
          <x14:formula1>
            <xm:f>AUX!$C$5:$C$7</xm:f>
          </x14:formula1>
          <xm:sqref>C5 E5</xm:sqref>
        </x14:dataValidation>
        <x14:dataValidation type="list" allowBlank="1" showInputMessage="1" showErrorMessage="1" xr:uid="{00000000-0002-0000-0100-000004000000}">
          <x14:formula1>
            <xm:f>AUX!$C$1:$C$2</xm:f>
          </x14:formula1>
          <xm:sqref>E9:F9</xm:sqref>
        </x14:dataValidation>
        <x14:dataValidation type="list" allowBlank="1" showInputMessage="1" showErrorMessage="1" errorTitle="Error" error="El número de contornos convexos debe estar comprendido entre 1 y 10" promptTitle="Información importante" prompt="La sección de hormigón deberá discretizarse en hasta 10 contornos convexos, de modo que las concavidades u orificios se definen como contornos de área negativa. Para mayor información recurrir a la pestaña instrucciones." xr:uid="{00000000-0002-0000-0100-000005000000}">
          <x14:formula1>
            <xm:f>AUX!$E$1:$E$10</xm:f>
          </x14:formula1>
          <xm:sqref>D13</xm:sqref>
        </x14:dataValidation>
        <x14:dataValidation type="list" allowBlank="1" showInputMessage="1" showErrorMessage="1" xr:uid="{F626E1A2-746E-4D79-BC05-D474135E70F5}">
          <x14:formula1>
            <xm:f>'AUX1'!$A$1:$A$2</xm:f>
          </x14:formula1>
          <xm:sqref>D15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E161"/>
  <sheetViews>
    <sheetView workbookViewId="0">
      <selection activeCell="B20" sqref="B20"/>
    </sheetView>
  </sheetViews>
  <sheetFormatPr defaultColWidth="10.81640625" defaultRowHeight="14.5" x14ac:dyDescent="0.35"/>
  <cols>
    <col min="1" max="1" width="5.7265625" customWidth="1"/>
    <col min="2" max="4" width="10.7265625" style="5" customWidth="1"/>
    <col min="5" max="5" width="5.7265625" style="5" customWidth="1"/>
    <col min="6" max="9" width="5.7265625" customWidth="1"/>
  </cols>
  <sheetData>
    <row r="1" spans="1:3" x14ac:dyDescent="0.35">
      <c r="A1">
        <f>+'Ingreso de Datos'!$C$3</f>
        <v>25</v>
      </c>
    </row>
    <row r="2" spans="1:3" x14ac:dyDescent="0.35">
      <c r="A2">
        <f>+IF('Ingreso de Datos'!C5="ADN 420",1,IF('Ingreso de Datos'!C5="ADN 500",2,3))</f>
        <v>1</v>
      </c>
    </row>
    <row r="3" spans="1:3" x14ac:dyDescent="0.35">
      <c r="A3">
        <f>+IF('Ingreso de Datos'!$E$9="Estribos",0,1)</f>
        <v>0</v>
      </c>
    </row>
    <row r="4" spans="1:3" x14ac:dyDescent="0.35">
      <c r="A4">
        <f>+'Ingreso de Datos'!$D$13</f>
        <v>1</v>
      </c>
    </row>
    <row r="5" spans="1:3" x14ac:dyDescent="0.35">
      <c r="A5">
        <f>'Ingreso de Datos'!$B13</f>
        <v>0</v>
      </c>
      <c r="B5" s="5">
        <f>+IF('Ingreso de Datos'!D13="Positiva ",1,-1)</f>
        <v>-1</v>
      </c>
      <c r="C5" s="5">
        <f>'Ingreso de Datos'!$G13</f>
        <v>0</v>
      </c>
    </row>
    <row r="6" spans="1:3" x14ac:dyDescent="0.35">
      <c r="A6">
        <f>'Ingreso de Datos'!$A16</f>
        <v>0</v>
      </c>
      <c r="B6" s="5">
        <f>'Ingreso de Datos'!$C16</f>
        <v>0</v>
      </c>
      <c r="C6" s="5">
        <f>'Ingreso de Datos'!$E16</f>
        <v>0</v>
      </c>
    </row>
    <row r="7" spans="1:3" x14ac:dyDescent="0.35">
      <c r="A7" t="str">
        <f>'Ingreso de Datos'!$A17</f>
        <v>Nodo nº</v>
      </c>
      <c r="B7" s="5" t="str">
        <f>'Ingreso de Datos'!$C17</f>
        <v>X</v>
      </c>
      <c r="C7" s="5" t="str">
        <f>'Ingreso de Datos'!$E17</f>
        <v>Y</v>
      </c>
    </row>
    <row r="8" spans="1:3" x14ac:dyDescent="0.35">
      <c r="A8">
        <f>'Ingreso de Datos'!$A18</f>
        <v>1</v>
      </c>
      <c r="B8" s="5">
        <f>'Ingreso de Datos'!$C18</f>
        <v>0</v>
      </c>
      <c r="C8" s="5">
        <f>'Ingreso de Datos'!$E18</f>
        <v>0</v>
      </c>
    </row>
    <row r="9" spans="1:3" x14ac:dyDescent="0.35">
      <c r="A9">
        <f>'Ingreso de Datos'!$A19</f>
        <v>2</v>
      </c>
      <c r="B9" s="5">
        <f>'Ingreso de Datos'!$C19</f>
        <v>0.25</v>
      </c>
      <c r="C9" s="5">
        <f>'Ingreso de Datos'!$E19</f>
        <v>0</v>
      </c>
    </row>
    <row r="10" spans="1:3" x14ac:dyDescent="0.35">
      <c r="A10">
        <f>'Ingreso de Datos'!$B21</f>
        <v>0</v>
      </c>
      <c r="B10" s="5">
        <f>+IF('Ingreso de Datos'!D21="Positiva ",1,-1)</f>
        <v>-1</v>
      </c>
      <c r="C10" s="5">
        <f>'Ingreso de Datos'!$G21</f>
        <v>0</v>
      </c>
    </row>
    <row r="11" spans="1:3" x14ac:dyDescent="0.35">
      <c r="A11" t="e">
        <f>'Ingreso de Datos'!#REF!</f>
        <v>#REF!</v>
      </c>
      <c r="B11" s="5" t="e">
        <f>'Ingreso de Datos'!#REF!</f>
        <v>#REF!</v>
      </c>
      <c r="C11" s="5" t="e">
        <f>'Ingreso de Datos'!#REF!</f>
        <v>#REF!</v>
      </c>
    </row>
    <row r="12" spans="1:3" x14ac:dyDescent="0.35">
      <c r="A12" t="e">
        <f>'Ingreso de Datos'!#REF!</f>
        <v>#REF!</v>
      </c>
      <c r="B12" s="5" t="e">
        <f>'Ingreso de Datos'!#REF!</f>
        <v>#REF!</v>
      </c>
      <c r="C12" s="5" t="e">
        <f>'Ingreso de Datos'!#REF!</f>
        <v>#REF!</v>
      </c>
    </row>
    <row r="13" spans="1:3" x14ac:dyDescent="0.35">
      <c r="A13" t="e">
        <f>'Ingreso de Datos'!#REF!</f>
        <v>#REF!</v>
      </c>
      <c r="B13" s="5" t="e">
        <f>'Ingreso de Datos'!#REF!</f>
        <v>#REF!</v>
      </c>
      <c r="C13" s="5" t="e">
        <f>'Ingreso de Datos'!#REF!</f>
        <v>#REF!</v>
      </c>
    </row>
    <row r="14" spans="1:3" x14ac:dyDescent="0.35">
      <c r="A14" t="e">
        <f>'Ingreso de Datos'!#REF!</f>
        <v>#REF!</v>
      </c>
      <c r="B14" s="5" t="e">
        <f>'Ingreso de Datos'!#REF!</f>
        <v>#REF!</v>
      </c>
      <c r="C14" s="5" t="e">
        <f>'Ingreso de Datos'!#REF!</f>
        <v>#REF!</v>
      </c>
    </row>
    <row r="15" spans="1:3" x14ac:dyDescent="0.35">
      <c r="A15" t="e">
        <f>'Ingreso de Datos'!#REF!</f>
        <v>#REF!</v>
      </c>
      <c r="B15" s="5" t="e">
        <f>+IF('Ingreso de Datos'!#REF!="Positiva ",1,-1)</f>
        <v>#REF!</v>
      </c>
      <c r="C15" s="5" t="e">
        <f>'Ingreso de Datos'!#REF!</f>
        <v>#REF!</v>
      </c>
    </row>
    <row r="16" spans="1:3" x14ac:dyDescent="0.35">
      <c r="A16" t="e">
        <f>'Ingreso de Datos'!#REF!</f>
        <v>#REF!</v>
      </c>
      <c r="B16" s="5" t="e">
        <f>'Ingreso de Datos'!#REF!</f>
        <v>#REF!</v>
      </c>
      <c r="C16" s="5" t="e">
        <f>'Ingreso de Datos'!#REF!</f>
        <v>#REF!</v>
      </c>
    </row>
    <row r="17" spans="1:3" x14ac:dyDescent="0.35">
      <c r="A17" t="e">
        <f>'Ingreso de Datos'!#REF!</f>
        <v>#REF!</v>
      </c>
      <c r="B17" s="5" t="e">
        <f>'Ingreso de Datos'!#REF!</f>
        <v>#REF!</v>
      </c>
      <c r="C17" s="5" t="e">
        <f>'Ingreso de Datos'!#REF!</f>
        <v>#REF!</v>
      </c>
    </row>
    <row r="18" spans="1:3" x14ac:dyDescent="0.35">
      <c r="A18" t="e">
        <f>'Ingreso de Datos'!#REF!</f>
        <v>#REF!</v>
      </c>
      <c r="B18" s="5" t="e">
        <f>'Ingreso de Datos'!#REF!</f>
        <v>#REF!</v>
      </c>
      <c r="C18" s="5" t="e">
        <f>'Ingreso de Datos'!#REF!</f>
        <v>#REF!</v>
      </c>
    </row>
    <row r="19" spans="1:3" x14ac:dyDescent="0.35">
      <c r="A19" t="e">
        <f>'Ingreso de Datos'!#REF!</f>
        <v>#REF!</v>
      </c>
      <c r="B19" s="5" t="e">
        <f>'Ingreso de Datos'!#REF!</f>
        <v>#REF!</v>
      </c>
      <c r="C19" s="5" t="e">
        <f>'Ingreso de Datos'!#REF!</f>
        <v>#REF!</v>
      </c>
    </row>
    <row r="20" spans="1:3" x14ac:dyDescent="0.35">
      <c r="A20" t="e">
        <f>'Ingreso de Datos'!#REF!</f>
        <v>#REF!</v>
      </c>
      <c r="B20" s="5" t="e">
        <f>+IF('Ingreso de Datos'!#REF!="Positiva ",1,-1)</f>
        <v>#REF!</v>
      </c>
      <c r="C20" s="5" t="e">
        <f>'Ingreso de Datos'!#REF!</f>
        <v>#REF!</v>
      </c>
    </row>
    <row r="21" spans="1:3" x14ac:dyDescent="0.35">
      <c r="A21" t="e">
        <f>'Ingreso de Datos'!#REF!</f>
        <v>#REF!</v>
      </c>
      <c r="B21" s="5" t="e">
        <f>'Ingreso de Datos'!#REF!</f>
        <v>#REF!</v>
      </c>
      <c r="C21" s="5" t="e">
        <f>'Ingreso de Datos'!#REF!</f>
        <v>#REF!</v>
      </c>
    </row>
    <row r="22" spans="1:3" x14ac:dyDescent="0.35">
      <c r="A22" t="e">
        <f>'Ingreso de Datos'!#REF!</f>
        <v>#REF!</v>
      </c>
      <c r="B22" s="5" t="e">
        <f>'Ingreso de Datos'!#REF!</f>
        <v>#REF!</v>
      </c>
      <c r="C22" s="5" t="e">
        <f>'Ingreso de Datos'!#REF!</f>
        <v>#REF!</v>
      </c>
    </row>
    <row r="23" spans="1:3" x14ac:dyDescent="0.35">
      <c r="A23" t="e">
        <f>'Ingreso de Datos'!#REF!</f>
        <v>#REF!</v>
      </c>
      <c r="B23" s="5" t="e">
        <f>'Ingreso de Datos'!#REF!</f>
        <v>#REF!</v>
      </c>
      <c r="C23" s="5" t="e">
        <f>'Ingreso de Datos'!#REF!</f>
        <v>#REF!</v>
      </c>
    </row>
    <row r="24" spans="1:3" x14ac:dyDescent="0.35">
      <c r="A24" t="e">
        <f>'Ingreso de Datos'!#REF!</f>
        <v>#REF!</v>
      </c>
      <c r="B24" s="5" t="e">
        <f>'Ingreso de Datos'!#REF!</f>
        <v>#REF!</v>
      </c>
      <c r="C24" s="5" t="e">
        <f>'Ingreso de Datos'!#REF!</f>
        <v>#REF!</v>
      </c>
    </row>
    <row r="25" spans="1:3" x14ac:dyDescent="0.35">
      <c r="A25">
        <f>'Ingreso de Datos'!$B13</f>
        <v>0</v>
      </c>
      <c r="B25" s="5">
        <f>+IF('Ingreso de Datos'!D13="Positiva ",1,-1)</f>
        <v>-1</v>
      </c>
      <c r="C25" s="5">
        <f>'Ingreso de Datos'!$G13</f>
        <v>0</v>
      </c>
    </row>
    <row r="26" spans="1:3" x14ac:dyDescent="0.35">
      <c r="A26" t="e">
        <f>'Ingreso de Datos'!#REF!</f>
        <v>#REF!</v>
      </c>
      <c r="B26" s="5" t="e">
        <f>'Ingreso de Datos'!#REF!</f>
        <v>#REF!</v>
      </c>
      <c r="C26" s="5" t="e">
        <f>'Ingreso de Datos'!#REF!</f>
        <v>#REF!</v>
      </c>
    </row>
    <row r="27" spans="1:3" x14ac:dyDescent="0.35">
      <c r="A27" t="e">
        <f>'Ingreso de Datos'!#REF!</f>
        <v>#REF!</v>
      </c>
      <c r="B27" s="5" t="e">
        <f>'Ingreso de Datos'!#REF!</f>
        <v>#REF!</v>
      </c>
      <c r="C27" s="5" t="e">
        <f>'Ingreso de Datos'!#REF!</f>
        <v>#REF!</v>
      </c>
    </row>
    <row r="28" spans="1:3" x14ac:dyDescent="0.35">
      <c r="A28" t="e">
        <f>'Ingreso de Datos'!#REF!</f>
        <v>#REF!</v>
      </c>
      <c r="B28" s="5" t="e">
        <f>'Ingreso de Datos'!#REF!</f>
        <v>#REF!</v>
      </c>
      <c r="C28" s="5" t="e">
        <f>'Ingreso de Datos'!#REF!</f>
        <v>#REF!</v>
      </c>
    </row>
    <row r="29" spans="1:3" x14ac:dyDescent="0.35">
      <c r="A29" t="e">
        <f>'Ingreso de Datos'!#REF!</f>
        <v>#REF!</v>
      </c>
      <c r="B29" s="5" t="e">
        <f>'Ingreso de Datos'!#REF!</f>
        <v>#REF!</v>
      </c>
      <c r="C29" s="5" t="e">
        <f>'Ingreso de Datos'!#REF!</f>
        <v>#REF!</v>
      </c>
    </row>
    <row r="30" spans="1:3" x14ac:dyDescent="0.35">
      <c r="A30" t="e">
        <f>'Ingreso de Datos'!#REF!</f>
        <v>#REF!</v>
      </c>
      <c r="B30" s="5" t="e">
        <f>+IF('Ingreso de Datos'!#REF!="Positiva ",1,-1)</f>
        <v>#REF!</v>
      </c>
      <c r="C30" s="5" t="e">
        <f>'Ingreso de Datos'!#REF!</f>
        <v>#REF!</v>
      </c>
    </row>
    <row r="31" spans="1:3" x14ac:dyDescent="0.35">
      <c r="A31" t="e">
        <f>'Ingreso de Datos'!#REF!</f>
        <v>#REF!</v>
      </c>
      <c r="B31" s="5" t="e">
        <f>'Ingreso de Datos'!#REF!</f>
        <v>#REF!</v>
      </c>
      <c r="C31" s="5" t="e">
        <f>'Ingreso de Datos'!#REF!</f>
        <v>#REF!</v>
      </c>
    </row>
    <row r="32" spans="1:3" x14ac:dyDescent="0.35">
      <c r="A32" t="e">
        <f>'Ingreso de Datos'!#REF!</f>
        <v>#REF!</v>
      </c>
      <c r="B32" s="5" t="e">
        <f>'Ingreso de Datos'!#REF!</f>
        <v>#REF!</v>
      </c>
      <c r="C32" s="5" t="e">
        <f>'Ingreso de Datos'!#REF!</f>
        <v>#REF!</v>
      </c>
    </row>
    <row r="33" spans="1:3" x14ac:dyDescent="0.35">
      <c r="A33" t="e">
        <f>'Ingreso de Datos'!#REF!</f>
        <v>#REF!</v>
      </c>
      <c r="B33" s="5" t="e">
        <f>'Ingreso de Datos'!#REF!</f>
        <v>#REF!</v>
      </c>
      <c r="C33" s="5" t="e">
        <f>'Ingreso de Datos'!#REF!</f>
        <v>#REF!</v>
      </c>
    </row>
    <row r="34" spans="1:3" x14ac:dyDescent="0.35">
      <c r="A34" t="e">
        <f>'Ingreso de Datos'!#REF!</f>
        <v>#REF!</v>
      </c>
      <c r="B34" s="5" t="e">
        <f>'Ingreso de Datos'!#REF!</f>
        <v>#REF!</v>
      </c>
      <c r="C34" s="5" t="e">
        <f>'Ingreso de Datos'!#REF!</f>
        <v>#REF!</v>
      </c>
    </row>
    <row r="35" spans="1:3" x14ac:dyDescent="0.35">
      <c r="A35" t="e">
        <f>'Ingreso de Datos'!#REF!</f>
        <v>#REF!</v>
      </c>
      <c r="B35" s="5" t="e">
        <f>+IF('Ingreso de Datos'!#REF!="Positiva ",1,-1)</f>
        <v>#REF!</v>
      </c>
      <c r="C35" s="5" t="e">
        <f>'Ingreso de Datos'!#REF!</f>
        <v>#REF!</v>
      </c>
    </row>
    <row r="36" spans="1:3" x14ac:dyDescent="0.35">
      <c r="A36" t="e">
        <f>'Ingreso de Datos'!#REF!</f>
        <v>#REF!</v>
      </c>
      <c r="B36" s="5" t="e">
        <f>'Ingreso de Datos'!#REF!</f>
        <v>#REF!</v>
      </c>
      <c r="C36" s="5" t="e">
        <f>'Ingreso de Datos'!#REF!</f>
        <v>#REF!</v>
      </c>
    </row>
    <row r="37" spans="1:3" x14ac:dyDescent="0.35">
      <c r="A37" t="e">
        <f>'Ingreso de Datos'!#REF!</f>
        <v>#REF!</v>
      </c>
      <c r="B37" s="5" t="e">
        <f>'Ingreso de Datos'!#REF!</f>
        <v>#REF!</v>
      </c>
      <c r="C37" s="5" t="e">
        <f>'Ingreso de Datos'!#REF!</f>
        <v>#REF!</v>
      </c>
    </row>
    <row r="38" spans="1:3" x14ac:dyDescent="0.35">
      <c r="A38" t="e">
        <f>'Ingreso de Datos'!#REF!</f>
        <v>#REF!</v>
      </c>
      <c r="B38" s="5" t="e">
        <f>'Ingreso de Datos'!#REF!</f>
        <v>#REF!</v>
      </c>
      <c r="C38" s="5" t="e">
        <f>'Ingreso de Datos'!#REF!</f>
        <v>#REF!</v>
      </c>
    </row>
    <row r="39" spans="1:3" x14ac:dyDescent="0.35">
      <c r="A39" t="e">
        <f>'Ingreso de Datos'!#REF!</f>
        <v>#REF!</v>
      </c>
      <c r="B39" s="5" t="e">
        <f>'Ingreso de Datos'!#REF!</f>
        <v>#REF!</v>
      </c>
      <c r="C39" s="5" t="e">
        <f>'Ingreso de Datos'!#REF!</f>
        <v>#REF!</v>
      </c>
    </row>
    <row r="40" spans="1:3" x14ac:dyDescent="0.35">
      <c r="A40">
        <f>'Ingreso de Datos'!$B13</f>
        <v>0</v>
      </c>
      <c r="B40" s="5">
        <f>+IF('Ingreso de Datos'!D13="Positiva ",1,-1)</f>
        <v>-1</v>
      </c>
      <c r="C40" s="5">
        <f>'Ingreso de Datos'!$G13</f>
        <v>0</v>
      </c>
    </row>
    <row r="41" spans="1:3" x14ac:dyDescent="0.35">
      <c r="A41" t="e">
        <f>'Ingreso de Datos'!#REF!</f>
        <v>#REF!</v>
      </c>
      <c r="B41" s="5" t="e">
        <f>'Ingreso de Datos'!#REF!</f>
        <v>#REF!</v>
      </c>
      <c r="C41" s="5" t="e">
        <f>'Ingreso de Datos'!#REF!</f>
        <v>#REF!</v>
      </c>
    </row>
    <row r="42" spans="1:3" x14ac:dyDescent="0.35">
      <c r="A42" t="e">
        <f>'Ingreso de Datos'!#REF!</f>
        <v>#REF!</v>
      </c>
      <c r="B42" s="5" t="e">
        <f>'Ingreso de Datos'!#REF!</f>
        <v>#REF!</v>
      </c>
      <c r="C42" s="5" t="e">
        <f>'Ingreso de Datos'!#REF!</f>
        <v>#REF!</v>
      </c>
    </row>
    <row r="43" spans="1:3" x14ac:dyDescent="0.35">
      <c r="A43" t="e">
        <f>'Ingreso de Datos'!#REF!</f>
        <v>#REF!</v>
      </c>
      <c r="B43" s="5" t="e">
        <f>'Ingreso de Datos'!#REF!</f>
        <v>#REF!</v>
      </c>
      <c r="C43" s="5" t="e">
        <f>'Ingreso de Datos'!#REF!</f>
        <v>#REF!</v>
      </c>
    </row>
    <row r="44" spans="1:3" x14ac:dyDescent="0.35">
      <c r="A44" t="e">
        <f>'Ingreso de Datos'!#REF!</f>
        <v>#REF!</v>
      </c>
      <c r="B44" s="5" t="e">
        <f>'Ingreso de Datos'!#REF!</f>
        <v>#REF!</v>
      </c>
      <c r="C44" s="5" t="e">
        <f>'Ingreso de Datos'!#REF!</f>
        <v>#REF!</v>
      </c>
    </row>
    <row r="45" spans="1:3" x14ac:dyDescent="0.35">
      <c r="A45" t="e">
        <f>'Ingreso de Datos'!#REF!</f>
        <v>#REF!</v>
      </c>
      <c r="B45" s="5" t="e">
        <f>+IF('Ingreso de Datos'!#REF!="Positiva ",1,-1)</f>
        <v>#REF!</v>
      </c>
      <c r="C45" s="5" t="e">
        <f>'Ingreso de Datos'!#REF!</f>
        <v>#REF!</v>
      </c>
    </row>
    <row r="46" spans="1:3" x14ac:dyDescent="0.35">
      <c r="A46" t="e">
        <f>'Ingreso de Datos'!#REF!</f>
        <v>#REF!</v>
      </c>
      <c r="B46" s="5" t="e">
        <f>'Ingreso de Datos'!#REF!</f>
        <v>#REF!</v>
      </c>
      <c r="C46" s="5" t="e">
        <f>'Ingreso de Datos'!#REF!</f>
        <v>#REF!</v>
      </c>
    </row>
    <row r="47" spans="1:3" x14ac:dyDescent="0.35">
      <c r="A47" t="e">
        <f>'Ingreso de Datos'!#REF!</f>
        <v>#REF!</v>
      </c>
      <c r="B47" s="5" t="e">
        <f>'Ingreso de Datos'!#REF!</f>
        <v>#REF!</v>
      </c>
      <c r="C47" s="5" t="e">
        <f>'Ingreso de Datos'!#REF!</f>
        <v>#REF!</v>
      </c>
    </row>
    <row r="48" spans="1:3" x14ac:dyDescent="0.35">
      <c r="A48" t="e">
        <f>'Ingreso de Datos'!#REF!</f>
        <v>#REF!</v>
      </c>
      <c r="B48" s="5" t="e">
        <f>'Ingreso de Datos'!#REF!</f>
        <v>#REF!</v>
      </c>
      <c r="C48" s="5" t="e">
        <f>'Ingreso de Datos'!#REF!</f>
        <v>#REF!</v>
      </c>
    </row>
    <row r="49" spans="1:3" x14ac:dyDescent="0.35">
      <c r="A49" t="e">
        <f>'Ingreso de Datos'!#REF!</f>
        <v>#REF!</v>
      </c>
      <c r="B49" s="5" t="e">
        <f>'Ingreso de Datos'!#REF!</f>
        <v>#REF!</v>
      </c>
      <c r="C49" s="5" t="e">
        <f>'Ingreso de Datos'!#REF!</f>
        <v>#REF!</v>
      </c>
    </row>
    <row r="50" spans="1:3" x14ac:dyDescent="0.35">
      <c r="A50">
        <f>'Ingreso de Datos'!$B13</f>
        <v>0</v>
      </c>
      <c r="B50" s="5">
        <f>+IF('Ingreso de Datos'!D13="Positiva ",1,-1)</f>
        <v>-1</v>
      </c>
      <c r="C50" s="5">
        <f>'Ingreso de Datos'!$G13</f>
        <v>0</v>
      </c>
    </row>
    <row r="51" spans="1:3" x14ac:dyDescent="0.35">
      <c r="A51" t="e">
        <f>'Ingreso de Datos'!#REF!</f>
        <v>#REF!</v>
      </c>
      <c r="B51" s="5" t="e">
        <f>'Ingreso de Datos'!#REF!</f>
        <v>#REF!</v>
      </c>
      <c r="C51" s="5" t="e">
        <f>'Ingreso de Datos'!#REF!</f>
        <v>#REF!</v>
      </c>
    </row>
    <row r="52" spans="1:3" x14ac:dyDescent="0.35">
      <c r="A52" t="e">
        <f>'Ingreso de Datos'!#REF!</f>
        <v>#REF!</v>
      </c>
      <c r="B52" s="5" t="e">
        <f>'Ingreso de Datos'!#REF!</f>
        <v>#REF!</v>
      </c>
      <c r="C52" s="5" t="e">
        <f>'Ingreso de Datos'!#REF!</f>
        <v>#REF!</v>
      </c>
    </row>
    <row r="53" spans="1:3" x14ac:dyDescent="0.35">
      <c r="A53" t="e">
        <f>'Ingreso de Datos'!#REF!</f>
        <v>#REF!</v>
      </c>
      <c r="B53" s="5" t="e">
        <f>'Ingreso de Datos'!#REF!</f>
        <v>#REF!</v>
      </c>
      <c r="C53" s="5" t="e">
        <f>'Ingreso de Datos'!#REF!</f>
        <v>#REF!</v>
      </c>
    </row>
    <row r="54" spans="1:3" x14ac:dyDescent="0.35">
      <c r="A54" t="e">
        <f>'Ingreso de Datos'!#REF!</f>
        <v>#REF!</v>
      </c>
      <c r="B54" s="5" t="e">
        <f>'Ingreso de Datos'!#REF!</f>
        <v>#REF!</v>
      </c>
      <c r="C54" s="5" t="e">
        <f>'Ingreso de Datos'!#REF!</f>
        <v>#REF!</v>
      </c>
    </row>
    <row r="55" spans="1:3" x14ac:dyDescent="0.35">
      <c r="A55">
        <f>'Ingreso de Datos'!$B13</f>
        <v>0</v>
      </c>
      <c r="B55" s="5">
        <f>+IF('Ingreso de Datos'!D13="Positiva ",1,-1)</f>
        <v>-1</v>
      </c>
      <c r="C55" s="5">
        <f>'Ingreso de Datos'!$G13</f>
        <v>0</v>
      </c>
    </row>
    <row r="56" spans="1:3" x14ac:dyDescent="0.35">
      <c r="A56" t="e">
        <f>'Ingreso de Datos'!#REF!</f>
        <v>#REF!</v>
      </c>
      <c r="B56" s="5" t="e">
        <f>'Ingreso de Datos'!#REF!</f>
        <v>#REF!</v>
      </c>
      <c r="C56" s="5" t="e">
        <f>'Ingreso de Datos'!#REF!</f>
        <v>#REF!</v>
      </c>
    </row>
    <row r="57" spans="1:3" x14ac:dyDescent="0.35">
      <c r="A57" t="e">
        <f>'Ingreso de Datos'!#REF!</f>
        <v>#REF!</v>
      </c>
      <c r="B57" s="5" t="e">
        <f>'Ingreso de Datos'!#REF!</f>
        <v>#REF!</v>
      </c>
      <c r="C57" s="5" t="e">
        <f>'Ingreso de Datos'!#REF!</f>
        <v>#REF!</v>
      </c>
    </row>
    <row r="58" spans="1:3" x14ac:dyDescent="0.35">
      <c r="A58" t="e">
        <f>'Ingreso de Datos'!#REF!</f>
        <v>#REF!</v>
      </c>
      <c r="B58" s="5" t="e">
        <f>'Ingreso de Datos'!#REF!</f>
        <v>#REF!</v>
      </c>
      <c r="C58" s="5" t="e">
        <f>'Ingreso de Datos'!#REF!</f>
        <v>#REF!</v>
      </c>
    </row>
    <row r="59" spans="1:3" x14ac:dyDescent="0.35">
      <c r="A59" t="e">
        <f>'Ingreso de Datos'!#REF!</f>
        <v>#REF!</v>
      </c>
      <c r="B59" s="5" t="e">
        <f>'Ingreso de Datos'!#REF!</f>
        <v>#REF!</v>
      </c>
      <c r="C59" s="5" t="e">
        <f>'Ingreso de Datos'!#REF!</f>
        <v>#REF!</v>
      </c>
    </row>
    <row r="60" spans="1:3" x14ac:dyDescent="0.35">
      <c r="A60" t="e">
        <f>'Ingreso de Datos'!#REF!</f>
        <v>#REF!</v>
      </c>
      <c r="B60" s="5" t="e">
        <f>+IF('Ingreso de Datos'!#REF!="Positiva ",1,-1)</f>
        <v>#REF!</v>
      </c>
      <c r="C60" s="5" t="e">
        <f>'Ingreso de Datos'!#REF!</f>
        <v>#REF!</v>
      </c>
    </row>
    <row r="61" spans="1:3" x14ac:dyDescent="0.35">
      <c r="A61" t="e">
        <f>'Ingreso de Datos'!#REF!</f>
        <v>#REF!</v>
      </c>
      <c r="B61" s="5" t="e">
        <f>'Ingreso de Datos'!#REF!</f>
        <v>#REF!</v>
      </c>
      <c r="C61" s="5" t="e">
        <f>'Ingreso de Datos'!#REF!</f>
        <v>#REF!</v>
      </c>
    </row>
    <row r="62" spans="1:3" x14ac:dyDescent="0.35">
      <c r="A62" t="e">
        <f>'Ingreso de Datos'!#REF!</f>
        <v>#REF!</v>
      </c>
      <c r="B62" s="5" t="e">
        <f>'Ingreso de Datos'!#REF!</f>
        <v>#REF!</v>
      </c>
      <c r="C62" s="5" t="e">
        <f>'Ingreso de Datos'!#REF!</f>
        <v>#REF!</v>
      </c>
    </row>
    <row r="63" spans="1:3" x14ac:dyDescent="0.35">
      <c r="A63" t="e">
        <f>'Ingreso de Datos'!#REF!</f>
        <v>#REF!</v>
      </c>
      <c r="B63" s="5" t="e">
        <f>'Ingreso de Datos'!#REF!</f>
        <v>#REF!</v>
      </c>
      <c r="C63" s="5" t="e">
        <f>'Ingreso de Datos'!#REF!</f>
        <v>#REF!</v>
      </c>
    </row>
    <row r="64" spans="1:3" x14ac:dyDescent="0.35">
      <c r="A64" t="e">
        <f>'Ingreso de Datos'!#REF!</f>
        <v>#REF!</v>
      </c>
      <c r="B64" s="5" t="e">
        <f>'Ingreso de Datos'!#REF!</f>
        <v>#REF!</v>
      </c>
      <c r="C64" s="5" t="e">
        <f>'Ingreso de Datos'!#REF!</f>
        <v>#REF!</v>
      </c>
    </row>
    <row r="65" spans="1:3" x14ac:dyDescent="0.35">
      <c r="A65" t="e">
        <f>'Ingreso de Datos'!#REF!</f>
        <v>#REF!</v>
      </c>
      <c r="B65" s="5" t="e">
        <f>+IF('Ingreso de Datos'!#REF!="Positiva ",1,-1)</f>
        <v>#REF!</v>
      </c>
      <c r="C65" s="5" t="e">
        <f>'Ingreso de Datos'!#REF!</f>
        <v>#REF!</v>
      </c>
    </row>
    <row r="66" spans="1:3" x14ac:dyDescent="0.35">
      <c r="A66" t="e">
        <f>'Ingreso de Datos'!#REF!</f>
        <v>#REF!</v>
      </c>
      <c r="B66" s="5" t="e">
        <f>'Ingreso de Datos'!#REF!</f>
        <v>#REF!</v>
      </c>
      <c r="C66" s="5" t="e">
        <f>'Ingreso de Datos'!#REF!</f>
        <v>#REF!</v>
      </c>
    </row>
    <row r="67" spans="1:3" x14ac:dyDescent="0.35">
      <c r="A67" t="e">
        <f>'Ingreso de Datos'!#REF!</f>
        <v>#REF!</v>
      </c>
      <c r="B67" s="5" t="e">
        <f>'Ingreso de Datos'!#REF!</f>
        <v>#REF!</v>
      </c>
      <c r="C67" s="5" t="e">
        <f>'Ingreso de Datos'!#REF!</f>
        <v>#REF!</v>
      </c>
    </row>
    <row r="68" spans="1:3" x14ac:dyDescent="0.35">
      <c r="A68" t="e">
        <f>'Ingreso de Datos'!#REF!</f>
        <v>#REF!</v>
      </c>
      <c r="B68" s="5" t="e">
        <f>'Ingreso de Datos'!#REF!</f>
        <v>#REF!</v>
      </c>
      <c r="C68" s="5" t="e">
        <f>'Ingreso de Datos'!#REF!</f>
        <v>#REF!</v>
      </c>
    </row>
    <row r="69" spans="1:3" x14ac:dyDescent="0.35">
      <c r="A69" t="e">
        <f>'Ingreso de Datos'!#REF!</f>
        <v>#REF!</v>
      </c>
      <c r="B69" s="5" t="e">
        <f>'Ingreso de Datos'!#REF!</f>
        <v>#REF!</v>
      </c>
      <c r="C69" s="5" t="e">
        <f>'Ingreso de Datos'!#REF!</f>
        <v>#REF!</v>
      </c>
    </row>
    <row r="70" spans="1:3" x14ac:dyDescent="0.35">
      <c r="A70" t="e">
        <f>'Ingreso de Datos'!#REF!</f>
        <v>#REF!</v>
      </c>
      <c r="B70" s="5" t="e">
        <f>+IF('Ingreso de Datos'!#REF!="Positiva ",1,-1)</f>
        <v>#REF!</v>
      </c>
      <c r="C70" s="5" t="e">
        <f>'Ingreso de Datos'!#REF!</f>
        <v>#REF!</v>
      </c>
    </row>
    <row r="71" spans="1:3" x14ac:dyDescent="0.35">
      <c r="A71" t="e">
        <f>'Ingreso de Datos'!#REF!</f>
        <v>#REF!</v>
      </c>
      <c r="B71" s="5" t="e">
        <f>'Ingreso de Datos'!#REF!</f>
        <v>#REF!</v>
      </c>
      <c r="C71" s="5" t="e">
        <f>'Ingreso de Datos'!#REF!</f>
        <v>#REF!</v>
      </c>
    </row>
    <row r="72" spans="1:3" x14ac:dyDescent="0.35">
      <c r="A72" t="e">
        <f>'Ingreso de Datos'!#REF!</f>
        <v>#REF!</v>
      </c>
      <c r="B72" s="5" t="e">
        <f>'Ingreso de Datos'!#REF!</f>
        <v>#REF!</v>
      </c>
      <c r="C72" s="5" t="e">
        <f>'Ingreso de Datos'!#REF!</f>
        <v>#REF!</v>
      </c>
    </row>
    <row r="73" spans="1:3" x14ac:dyDescent="0.35">
      <c r="A73" t="e">
        <f>'Ingreso de Datos'!#REF!</f>
        <v>#REF!</v>
      </c>
      <c r="B73" s="5" t="e">
        <f>'Ingreso de Datos'!#REF!</f>
        <v>#REF!</v>
      </c>
      <c r="C73" s="5" t="e">
        <f>'Ingreso de Datos'!#REF!</f>
        <v>#REF!</v>
      </c>
    </row>
    <row r="74" spans="1:3" x14ac:dyDescent="0.35">
      <c r="A74" t="e">
        <f>'Ingreso de Datos'!#REF!</f>
        <v>#REF!</v>
      </c>
      <c r="B74" s="5" t="e">
        <f>'Ingreso de Datos'!#REF!</f>
        <v>#REF!</v>
      </c>
      <c r="C74" s="5" t="e">
        <f>'Ingreso de Datos'!#REF!</f>
        <v>#REF!</v>
      </c>
    </row>
    <row r="75" spans="1:3" x14ac:dyDescent="0.35">
      <c r="A75" t="e">
        <f>'Ingreso de Datos'!#REF!</f>
        <v>#REF!</v>
      </c>
      <c r="B75" s="5" t="e">
        <f>+IF('Ingreso de Datos'!#REF!="Positiva ",1,-1)</f>
        <v>#REF!</v>
      </c>
      <c r="C75" s="5" t="e">
        <f>'Ingreso de Datos'!#REF!</f>
        <v>#REF!</v>
      </c>
    </row>
    <row r="76" spans="1:3" x14ac:dyDescent="0.35">
      <c r="A76" t="e">
        <f>'Ingreso de Datos'!#REF!</f>
        <v>#REF!</v>
      </c>
      <c r="B76" s="5" t="e">
        <f>'Ingreso de Datos'!#REF!</f>
        <v>#REF!</v>
      </c>
      <c r="C76" s="5" t="e">
        <f>'Ingreso de Datos'!#REF!</f>
        <v>#REF!</v>
      </c>
    </row>
    <row r="77" spans="1:3" x14ac:dyDescent="0.35">
      <c r="A77" t="e">
        <f>'Ingreso de Datos'!#REF!</f>
        <v>#REF!</v>
      </c>
      <c r="B77" s="5" t="e">
        <f>'Ingreso de Datos'!#REF!</f>
        <v>#REF!</v>
      </c>
      <c r="C77" s="5" t="e">
        <f>'Ingreso de Datos'!#REF!</f>
        <v>#REF!</v>
      </c>
    </row>
    <row r="78" spans="1:3" x14ac:dyDescent="0.35">
      <c r="A78" t="e">
        <f>'Ingreso de Datos'!#REF!</f>
        <v>#REF!</v>
      </c>
      <c r="B78" s="5" t="e">
        <f>'Ingreso de Datos'!#REF!</f>
        <v>#REF!</v>
      </c>
      <c r="C78" s="5" t="e">
        <f>'Ingreso de Datos'!#REF!</f>
        <v>#REF!</v>
      </c>
    </row>
    <row r="79" spans="1:3" x14ac:dyDescent="0.35">
      <c r="A79" t="e">
        <f>'Ingreso de Datos'!#REF!</f>
        <v>#REF!</v>
      </c>
      <c r="B79" s="5" t="e">
        <f>'Ingreso de Datos'!#REF!</f>
        <v>#REF!</v>
      </c>
      <c r="C79" s="5" t="e">
        <f>'Ingreso de Datos'!#REF!</f>
        <v>#REF!</v>
      </c>
    </row>
    <row r="80" spans="1:3" x14ac:dyDescent="0.35">
      <c r="A80" t="e">
        <f>'Ingreso de Datos'!#REF!</f>
        <v>#REF!</v>
      </c>
      <c r="B80" s="5" t="e">
        <f>+IF('Ingreso de Datos'!#REF!="Positiva ",1,-1)</f>
        <v>#REF!</v>
      </c>
      <c r="C80" s="5" t="e">
        <f>'Ingreso de Datos'!#REF!</f>
        <v>#REF!</v>
      </c>
    </row>
    <row r="81" spans="1:3" x14ac:dyDescent="0.35">
      <c r="A81" t="e">
        <f>'Ingreso de Datos'!#REF!</f>
        <v>#REF!</v>
      </c>
      <c r="B81" s="5" t="e">
        <f>'Ingreso de Datos'!#REF!</f>
        <v>#REF!</v>
      </c>
      <c r="C81" s="5" t="e">
        <f>'Ingreso de Datos'!#REF!</f>
        <v>#REF!</v>
      </c>
    </row>
    <row r="82" spans="1:3" x14ac:dyDescent="0.35">
      <c r="A82" t="e">
        <f>'Ingreso de Datos'!#REF!</f>
        <v>#REF!</v>
      </c>
      <c r="B82" s="5" t="e">
        <f>'Ingreso de Datos'!#REF!</f>
        <v>#REF!</v>
      </c>
      <c r="C82" s="5" t="e">
        <f>'Ingreso de Datos'!#REF!</f>
        <v>#REF!</v>
      </c>
    </row>
    <row r="83" spans="1:3" x14ac:dyDescent="0.35">
      <c r="A83" t="e">
        <f>'Ingreso de Datos'!#REF!</f>
        <v>#REF!</v>
      </c>
      <c r="B83" s="5" t="e">
        <f>'Ingreso de Datos'!#REF!</f>
        <v>#REF!</v>
      </c>
      <c r="C83" s="5" t="e">
        <f>'Ingreso de Datos'!#REF!</f>
        <v>#REF!</v>
      </c>
    </row>
    <row r="84" spans="1:3" x14ac:dyDescent="0.35">
      <c r="A84" t="e">
        <f>'Ingreso de Datos'!#REF!</f>
        <v>#REF!</v>
      </c>
      <c r="B84" s="5" t="e">
        <f>'Ingreso de Datos'!#REF!</f>
        <v>#REF!</v>
      </c>
      <c r="C84" s="5" t="e">
        <f>'Ingreso de Datos'!#REF!</f>
        <v>#REF!</v>
      </c>
    </row>
    <row r="85" spans="1:3" x14ac:dyDescent="0.35">
      <c r="A85">
        <f>'Ingreso de Datos'!$B13</f>
        <v>0</v>
      </c>
      <c r="B85" s="5">
        <f>+IF('Ingreso de Datos'!D13="Positiva ",1,-1)</f>
        <v>-1</v>
      </c>
      <c r="C85" s="5">
        <f>'Ingreso de Datos'!$G13</f>
        <v>0</v>
      </c>
    </row>
    <row r="86" spans="1:3" x14ac:dyDescent="0.35">
      <c r="A86" t="e">
        <f>'Ingreso de Datos'!#REF!</f>
        <v>#REF!</v>
      </c>
      <c r="B86" s="5" t="e">
        <f>'Ingreso de Datos'!#REF!</f>
        <v>#REF!</v>
      </c>
      <c r="C86" s="5" t="e">
        <f>'Ingreso de Datos'!#REF!</f>
        <v>#REF!</v>
      </c>
    </row>
    <row r="87" spans="1:3" x14ac:dyDescent="0.35">
      <c r="A87" t="e">
        <f>'Ingreso de Datos'!#REF!</f>
        <v>#REF!</v>
      </c>
      <c r="B87" s="5" t="e">
        <f>'Ingreso de Datos'!#REF!</f>
        <v>#REF!</v>
      </c>
      <c r="C87" s="5" t="e">
        <f>'Ingreso de Datos'!#REF!</f>
        <v>#REF!</v>
      </c>
    </row>
    <row r="88" spans="1:3" x14ac:dyDescent="0.35">
      <c r="A88" t="e">
        <f>'Ingreso de Datos'!#REF!</f>
        <v>#REF!</v>
      </c>
      <c r="B88" s="5" t="e">
        <f>'Ingreso de Datos'!#REF!</f>
        <v>#REF!</v>
      </c>
      <c r="C88" s="5" t="e">
        <f>'Ingreso de Datos'!#REF!</f>
        <v>#REF!</v>
      </c>
    </row>
    <row r="89" spans="1:3" x14ac:dyDescent="0.35">
      <c r="A89" t="e">
        <f>'Ingreso de Datos'!#REF!</f>
        <v>#REF!</v>
      </c>
      <c r="B89" s="5" t="e">
        <f>'Ingreso de Datos'!#REF!</f>
        <v>#REF!</v>
      </c>
      <c r="C89" s="5" t="e">
        <f>'Ingreso de Datos'!#REF!</f>
        <v>#REF!</v>
      </c>
    </row>
    <row r="90" spans="1:3" x14ac:dyDescent="0.35">
      <c r="A90">
        <f>'Ingreso de Datos'!$B13</f>
        <v>0</v>
      </c>
      <c r="B90" s="5">
        <f>+IF('Ingreso de Datos'!D13="Positiva ",1,-1)</f>
        <v>-1</v>
      </c>
      <c r="C90" s="5">
        <f>'Ingreso de Datos'!$G13</f>
        <v>0</v>
      </c>
    </row>
    <row r="91" spans="1:3" x14ac:dyDescent="0.35">
      <c r="A91" t="e">
        <f>'Ingreso de Datos'!#REF!</f>
        <v>#REF!</v>
      </c>
      <c r="B91" s="5" t="e">
        <f>'Ingreso de Datos'!#REF!</f>
        <v>#REF!</v>
      </c>
      <c r="C91" s="5" t="e">
        <f>'Ingreso de Datos'!#REF!</f>
        <v>#REF!</v>
      </c>
    </row>
    <row r="92" spans="1:3" x14ac:dyDescent="0.35">
      <c r="A92" t="e">
        <f>'Ingreso de Datos'!#REF!</f>
        <v>#REF!</v>
      </c>
      <c r="B92" s="5" t="e">
        <f>'Ingreso de Datos'!#REF!</f>
        <v>#REF!</v>
      </c>
      <c r="C92" s="5" t="e">
        <f>'Ingreso de Datos'!#REF!</f>
        <v>#REF!</v>
      </c>
    </row>
    <row r="93" spans="1:3" x14ac:dyDescent="0.35">
      <c r="A93" t="e">
        <f>'Ingreso de Datos'!#REF!</f>
        <v>#REF!</v>
      </c>
      <c r="B93" s="5" t="e">
        <f>'Ingreso de Datos'!#REF!</f>
        <v>#REF!</v>
      </c>
      <c r="C93" s="5" t="e">
        <f>'Ingreso de Datos'!#REF!</f>
        <v>#REF!</v>
      </c>
    </row>
    <row r="94" spans="1:3" x14ac:dyDescent="0.35">
      <c r="A94" t="e">
        <f>'Ingreso de Datos'!#REF!</f>
        <v>#REF!</v>
      </c>
      <c r="B94" s="5" t="e">
        <f>'Ingreso de Datos'!#REF!</f>
        <v>#REF!</v>
      </c>
      <c r="C94" s="5" t="e">
        <f>'Ingreso de Datos'!#REF!</f>
        <v>#REF!</v>
      </c>
    </row>
    <row r="95" spans="1:3" x14ac:dyDescent="0.35">
      <c r="A95" t="e">
        <f>'Ingreso de Datos'!#REF!</f>
        <v>#REF!</v>
      </c>
      <c r="B95" s="5" t="e">
        <f>+IF('Ingreso de Datos'!#REF!="Positiva ",1,-1)</f>
        <v>#REF!</v>
      </c>
      <c r="C95" s="5" t="e">
        <f>'Ingreso de Datos'!#REF!</f>
        <v>#REF!</v>
      </c>
    </row>
    <row r="96" spans="1:3" x14ac:dyDescent="0.35">
      <c r="A96" t="e">
        <f>'Ingreso de Datos'!#REF!</f>
        <v>#REF!</v>
      </c>
      <c r="B96" s="5" t="e">
        <f>'Ingreso de Datos'!#REF!</f>
        <v>#REF!</v>
      </c>
      <c r="C96" s="5" t="e">
        <f>'Ingreso de Datos'!#REF!</f>
        <v>#REF!</v>
      </c>
    </row>
    <row r="97" spans="1:3" x14ac:dyDescent="0.35">
      <c r="A97" t="e">
        <f>'Ingreso de Datos'!#REF!</f>
        <v>#REF!</v>
      </c>
      <c r="B97" s="5" t="e">
        <f>'Ingreso de Datos'!#REF!</f>
        <v>#REF!</v>
      </c>
      <c r="C97" s="5" t="e">
        <f>'Ingreso de Datos'!#REF!</f>
        <v>#REF!</v>
      </c>
    </row>
    <row r="98" spans="1:3" x14ac:dyDescent="0.35">
      <c r="A98" t="e">
        <f>'Ingreso de Datos'!#REF!</f>
        <v>#REF!</v>
      </c>
      <c r="B98" s="5" t="e">
        <f>'Ingreso de Datos'!#REF!</f>
        <v>#REF!</v>
      </c>
      <c r="C98" s="5" t="e">
        <f>'Ingreso de Datos'!#REF!</f>
        <v>#REF!</v>
      </c>
    </row>
    <row r="99" spans="1:3" x14ac:dyDescent="0.35">
      <c r="A99" t="e">
        <f>'Ingreso de Datos'!#REF!</f>
        <v>#REF!</v>
      </c>
      <c r="B99" s="5" t="e">
        <f>'Ingreso de Datos'!#REF!</f>
        <v>#REF!</v>
      </c>
      <c r="C99" s="5" t="e">
        <f>'Ingreso de Datos'!#REF!</f>
        <v>#REF!</v>
      </c>
    </row>
    <row r="100" spans="1:3" x14ac:dyDescent="0.35">
      <c r="A100">
        <f>'Ingreso de Datos'!$B13</f>
        <v>0</v>
      </c>
      <c r="B100" s="5">
        <f>+IF('Ingreso de Datos'!D13="Positiva ",1,-1)</f>
        <v>-1</v>
      </c>
      <c r="C100" s="5">
        <f>'Ingreso de Datos'!$G13</f>
        <v>0</v>
      </c>
    </row>
    <row r="101" spans="1:3" x14ac:dyDescent="0.35">
      <c r="A101" t="e">
        <f>'Ingreso de Datos'!#REF!</f>
        <v>#REF!</v>
      </c>
      <c r="B101" s="5" t="e">
        <f>'Ingreso de Datos'!#REF!</f>
        <v>#REF!</v>
      </c>
      <c r="C101" s="5" t="e">
        <f>'Ingreso de Datos'!#REF!</f>
        <v>#REF!</v>
      </c>
    </row>
    <row r="102" spans="1:3" x14ac:dyDescent="0.35">
      <c r="A102" t="e">
        <f>'Ingreso de Datos'!#REF!</f>
        <v>#REF!</v>
      </c>
      <c r="B102" s="5" t="e">
        <f>'Ingreso de Datos'!#REF!</f>
        <v>#REF!</v>
      </c>
      <c r="C102" s="5" t="e">
        <f>'Ingreso de Datos'!#REF!</f>
        <v>#REF!</v>
      </c>
    </row>
    <row r="103" spans="1:3" x14ac:dyDescent="0.35">
      <c r="A103" t="e">
        <f>'Ingreso de Datos'!#REF!</f>
        <v>#REF!</v>
      </c>
      <c r="B103" s="5" t="e">
        <f>'Ingreso de Datos'!#REF!</f>
        <v>#REF!</v>
      </c>
      <c r="C103" s="5" t="e">
        <f>'Ingreso de Datos'!#REF!</f>
        <v>#REF!</v>
      </c>
    </row>
    <row r="104" spans="1:3" x14ac:dyDescent="0.35">
      <c r="A104" t="e">
        <f>'Ingreso de Datos'!#REF!</f>
        <v>#REF!</v>
      </c>
      <c r="B104" s="5" t="e">
        <f>'Ingreso de Datos'!#REF!</f>
        <v>#REF!</v>
      </c>
      <c r="C104" s="5" t="e">
        <f>'Ingreso de Datos'!#REF!</f>
        <v>#REF!</v>
      </c>
    </row>
    <row r="105" spans="1:3" x14ac:dyDescent="0.35">
      <c r="A105" t="e">
        <f>'Ingreso de Datos'!#REF!</f>
        <v>#REF!</v>
      </c>
      <c r="B105" s="5" t="e">
        <f>+IF('Ingreso de Datos'!#REF!="Positiva ",1,-1)</f>
        <v>#REF!</v>
      </c>
      <c r="C105" s="5" t="e">
        <f>'Ingreso de Datos'!#REF!</f>
        <v>#REF!</v>
      </c>
    </row>
    <row r="106" spans="1:3" x14ac:dyDescent="0.35">
      <c r="A106" t="e">
        <f>'Ingreso de Datos'!#REF!</f>
        <v>#REF!</v>
      </c>
      <c r="B106" s="5" t="e">
        <f>'Ingreso de Datos'!#REF!</f>
        <v>#REF!</v>
      </c>
      <c r="C106" s="5" t="e">
        <f>'Ingreso de Datos'!#REF!</f>
        <v>#REF!</v>
      </c>
    </row>
    <row r="107" spans="1:3" x14ac:dyDescent="0.35">
      <c r="A107" t="e">
        <f>'Ingreso de Datos'!#REF!</f>
        <v>#REF!</v>
      </c>
      <c r="B107" s="5" t="e">
        <f>'Ingreso de Datos'!#REF!</f>
        <v>#REF!</v>
      </c>
      <c r="C107" s="5" t="e">
        <f>'Ingreso de Datos'!#REF!</f>
        <v>#REF!</v>
      </c>
    </row>
    <row r="108" spans="1:3" x14ac:dyDescent="0.35">
      <c r="A108" t="e">
        <f>'Ingreso de Datos'!#REF!</f>
        <v>#REF!</v>
      </c>
      <c r="B108" s="5" t="e">
        <f>'Ingreso de Datos'!#REF!</f>
        <v>#REF!</v>
      </c>
      <c r="C108" s="5" t="e">
        <f>'Ingreso de Datos'!#REF!</f>
        <v>#REF!</v>
      </c>
    </row>
    <row r="109" spans="1:3" x14ac:dyDescent="0.35">
      <c r="A109" t="e">
        <f>'Ingreso de Datos'!#REF!</f>
        <v>#REF!</v>
      </c>
      <c r="B109" s="5" t="e">
        <f>'Ingreso de Datos'!#REF!</f>
        <v>#REF!</v>
      </c>
      <c r="C109" s="5" t="e">
        <f>'Ingreso de Datos'!#REF!</f>
        <v>#REF!</v>
      </c>
    </row>
    <row r="110" spans="1:3" x14ac:dyDescent="0.35">
      <c r="A110" t="e">
        <f>'Ingreso de Datos'!#REF!</f>
        <v>#REF!</v>
      </c>
      <c r="B110" s="5" t="e">
        <f>+IF('Ingreso de Datos'!#REF!="Positiva ",1,-1)</f>
        <v>#REF!</v>
      </c>
      <c r="C110" s="5" t="e">
        <f>'Ingreso de Datos'!#REF!</f>
        <v>#REF!</v>
      </c>
    </row>
    <row r="111" spans="1:3" x14ac:dyDescent="0.35">
      <c r="A111" t="e">
        <f>'Ingreso de Datos'!#REF!</f>
        <v>#REF!</v>
      </c>
      <c r="B111" s="5" t="e">
        <f>'Ingreso de Datos'!#REF!</f>
        <v>#REF!</v>
      </c>
      <c r="C111" s="5" t="e">
        <f>'Ingreso de Datos'!#REF!</f>
        <v>#REF!</v>
      </c>
    </row>
    <row r="112" spans="1:3" x14ac:dyDescent="0.35">
      <c r="A112" t="e">
        <f>'Ingreso de Datos'!#REF!</f>
        <v>#REF!</v>
      </c>
      <c r="B112" s="5" t="e">
        <f>'Ingreso de Datos'!#REF!</f>
        <v>#REF!</v>
      </c>
      <c r="C112" s="5" t="e">
        <f>'Ingreso de Datos'!#REF!</f>
        <v>#REF!</v>
      </c>
    </row>
    <row r="113" spans="1:3" x14ac:dyDescent="0.35">
      <c r="A113" t="e">
        <f>'Ingreso de Datos'!#REF!</f>
        <v>#REF!</v>
      </c>
      <c r="B113" s="5" t="e">
        <f>'Ingreso de Datos'!#REF!</f>
        <v>#REF!</v>
      </c>
      <c r="C113" s="5" t="e">
        <f>'Ingreso de Datos'!#REF!</f>
        <v>#REF!</v>
      </c>
    </row>
    <row r="114" spans="1:3" x14ac:dyDescent="0.35">
      <c r="A114" t="e">
        <f>'Ingreso de Datos'!#REF!</f>
        <v>#REF!</v>
      </c>
      <c r="B114" s="5" t="e">
        <f>'Ingreso de Datos'!#REF!</f>
        <v>#REF!</v>
      </c>
      <c r="C114" s="5" t="e">
        <f>'Ingreso de Datos'!#REF!</f>
        <v>#REF!</v>
      </c>
    </row>
    <row r="115" spans="1:3" x14ac:dyDescent="0.35">
      <c r="A115">
        <f>'Ingreso de Datos'!$B13</f>
        <v>0</v>
      </c>
      <c r="B115" s="5">
        <f>+IF('Ingreso de Datos'!D13="Positiva ",1,-1)</f>
        <v>-1</v>
      </c>
      <c r="C115" s="5">
        <f>'Ingreso de Datos'!$G13</f>
        <v>0</v>
      </c>
    </row>
    <row r="116" spans="1:3" x14ac:dyDescent="0.35">
      <c r="A116" t="e">
        <f>'Ingreso de Datos'!#REF!</f>
        <v>#REF!</v>
      </c>
      <c r="B116" s="5" t="e">
        <f>'Ingreso de Datos'!#REF!</f>
        <v>#REF!</v>
      </c>
      <c r="C116" s="5" t="e">
        <f>'Ingreso de Datos'!#REF!</f>
        <v>#REF!</v>
      </c>
    </row>
    <row r="117" spans="1:3" x14ac:dyDescent="0.35">
      <c r="A117" t="e">
        <f>'Ingreso de Datos'!#REF!</f>
        <v>#REF!</v>
      </c>
      <c r="B117" s="5" t="e">
        <f>'Ingreso de Datos'!#REF!</f>
        <v>#REF!</v>
      </c>
      <c r="C117" s="5" t="e">
        <f>'Ingreso de Datos'!#REF!</f>
        <v>#REF!</v>
      </c>
    </row>
    <row r="118" spans="1:3" x14ac:dyDescent="0.35">
      <c r="A118" t="e">
        <f>'Ingreso de Datos'!#REF!</f>
        <v>#REF!</v>
      </c>
      <c r="B118" s="5" t="e">
        <f>'Ingreso de Datos'!#REF!</f>
        <v>#REF!</v>
      </c>
      <c r="C118" s="5" t="e">
        <f>'Ingreso de Datos'!#REF!</f>
        <v>#REF!</v>
      </c>
    </row>
    <row r="119" spans="1:3" x14ac:dyDescent="0.35">
      <c r="A119" t="e">
        <f>'Ingreso de Datos'!#REF!</f>
        <v>#REF!</v>
      </c>
      <c r="B119" s="5" t="e">
        <f>'Ingreso de Datos'!#REF!</f>
        <v>#REF!</v>
      </c>
      <c r="C119" s="5" t="e">
        <f>'Ingreso de Datos'!#REF!</f>
        <v>#REF!</v>
      </c>
    </row>
    <row r="120" spans="1:3" x14ac:dyDescent="0.35">
      <c r="A120">
        <f>'Ingreso de Datos'!$B13</f>
        <v>0</v>
      </c>
      <c r="B120" s="5">
        <f>+IF('Ingreso de Datos'!D13="Positiva ",1,-1)</f>
        <v>-1</v>
      </c>
      <c r="C120" s="5">
        <f>'Ingreso de Datos'!$G13</f>
        <v>0</v>
      </c>
    </row>
    <row r="121" spans="1:3" x14ac:dyDescent="0.35">
      <c r="A121" t="e">
        <f>'Ingreso de Datos'!#REF!</f>
        <v>#REF!</v>
      </c>
      <c r="B121" s="5" t="e">
        <f>'Ingreso de Datos'!#REF!</f>
        <v>#REF!</v>
      </c>
      <c r="C121" s="5" t="e">
        <f>'Ingreso de Datos'!#REF!</f>
        <v>#REF!</v>
      </c>
    </row>
    <row r="122" spans="1:3" x14ac:dyDescent="0.35">
      <c r="A122" t="e">
        <f>'Ingreso de Datos'!#REF!</f>
        <v>#REF!</v>
      </c>
      <c r="B122" s="5" t="e">
        <f>'Ingreso de Datos'!#REF!</f>
        <v>#REF!</v>
      </c>
      <c r="C122" s="5" t="e">
        <f>'Ingreso de Datos'!#REF!</f>
        <v>#REF!</v>
      </c>
    </row>
    <row r="123" spans="1:3" x14ac:dyDescent="0.35">
      <c r="A123" t="e">
        <f>'Ingreso de Datos'!#REF!</f>
        <v>#REF!</v>
      </c>
      <c r="B123" s="5" t="e">
        <f>'Ingreso de Datos'!#REF!</f>
        <v>#REF!</v>
      </c>
      <c r="C123" s="5" t="e">
        <f>'Ingreso de Datos'!#REF!</f>
        <v>#REF!</v>
      </c>
    </row>
    <row r="124" spans="1:3" x14ac:dyDescent="0.35">
      <c r="A124" t="e">
        <f>'Ingreso de Datos'!#REF!</f>
        <v>#REF!</v>
      </c>
      <c r="B124" s="5" t="e">
        <f>'Ingreso de Datos'!#REF!</f>
        <v>#REF!</v>
      </c>
      <c r="C124" s="5" t="e">
        <f>'Ingreso de Datos'!#REF!</f>
        <v>#REF!</v>
      </c>
    </row>
    <row r="125" spans="1:3" x14ac:dyDescent="0.35">
      <c r="A125" t="e">
        <f>'Ingreso de Datos'!#REF!</f>
        <v>#REF!</v>
      </c>
      <c r="B125" s="5" t="e">
        <f>+IF('Ingreso de Datos'!#REF!="Positiva ",1,-1)</f>
        <v>#REF!</v>
      </c>
      <c r="C125" s="5" t="e">
        <f>'Ingreso de Datos'!#REF!</f>
        <v>#REF!</v>
      </c>
    </row>
    <row r="126" spans="1:3" x14ac:dyDescent="0.35">
      <c r="A126" t="e">
        <f>'Ingreso de Datos'!#REF!</f>
        <v>#REF!</v>
      </c>
      <c r="B126" s="5" t="e">
        <f>'Ingreso de Datos'!#REF!</f>
        <v>#REF!</v>
      </c>
      <c r="C126" s="5" t="e">
        <f>'Ingreso de Datos'!#REF!</f>
        <v>#REF!</v>
      </c>
    </row>
    <row r="127" spans="1:3" x14ac:dyDescent="0.35">
      <c r="A127" t="e">
        <f>'Ingreso de Datos'!#REF!</f>
        <v>#REF!</v>
      </c>
      <c r="B127" s="5" t="e">
        <f>'Ingreso de Datos'!#REF!</f>
        <v>#REF!</v>
      </c>
      <c r="C127" s="5" t="e">
        <f>'Ingreso de Datos'!#REF!</f>
        <v>#REF!</v>
      </c>
    </row>
    <row r="128" spans="1:3" x14ac:dyDescent="0.35">
      <c r="A128" t="e">
        <f>'Ingreso de Datos'!#REF!</f>
        <v>#REF!</v>
      </c>
      <c r="B128" s="5" t="e">
        <f>'Ingreso de Datos'!#REF!</f>
        <v>#REF!</v>
      </c>
      <c r="C128" s="5" t="e">
        <f>'Ingreso de Datos'!#REF!</f>
        <v>#REF!</v>
      </c>
    </row>
    <row r="129" spans="1:3" x14ac:dyDescent="0.35">
      <c r="A129" t="e">
        <f>'Ingreso de Datos'!#REF!</f>
        <v>#REF!</v>
      </c>
      <c r="B129" s="5" t="e">
        <f>'Ingreso de Datos'!#REF!</f>
        <v>#REF!</v>
      </c>
      <c r="C129" s="5" t="e">
        <f>'Ingreso de Datos'!#REF!</f>
        <v>#REF!</v>
      </c>
    </row>
    <row r="130" spans="1:3" x14ac:dyDescent="0.35">
      <c r="A130" t="e">
        <f>'Ingreso de Datos'!#REF!</f>
        <v>#REF!</v>
      </c>
      <c r="B130" s="5" t="e">
        <f>+IF('Ingreso de Datos'!#REF!="Positiva ",1,-1)</f>
        <v>#REF!</v>
      </c>
      <c r="C130" s="5" t="e">
        <f>'Ingreso de Datos'!#REF!</f>
        <v>#REF!</v>
      </c>
    </row>
    <row r="131" spans="1:3" x14ac:dyDescent="0.35">
      <c r="A131" t="e">
        <f>'Ingreso de Datos'!#REF!</f>
        <v>#REF!</v>
      </c>
      <c r="B131" s="5" t="e">
        <f>'Ingreso de Datos'!#REF!</f>
        <v>#REF!</v>
      </c>
      <c r="C131" s="5" t="e">
        <f>'Ingreso de Datos'!#REF!</f>
        <v>#REF!</v>
      </c>
    </row>
    <row r="132" spans="1:3" x14ac:dyDescent="0.35">
      <c r="A132" t="e">
        <f>'Ingreso de Datos'!#REF!</f>
        <v>#REF!</v>
      </c>
      <c r="B132" s="5" t="e">
        <f>'Ingreso de Datos'!#REF!</f>
        <v>#REF!</v>
      </c>
      <c r="C132" s="5" t="e">
        <f>'Ingreso de Datos'!#REF!</f>
        <v>#REF!</v>
      </c>
    </row>
    <row r="133" spans="1:3" x14ac:dyDescent="0.35">
      <c r="A133" t="e">
        <f>'Ingreso de Datos'!#REF!</f>
        <v>#REF!</v>
      </c>
      <c r="B133" s="5" t="e">
        <f>'Ingreso de Datos'!#REF!</f>
        <v>#REF!</v>
      </c>
      <c r="C133" s="5" t="e">
        <f>'Ingreso de Datos'!#REF!</f>
        <v>#REF!</v>
      </c>
    </row>
    <row r="134" spans="1:3" x14ac:dyDescent="0.35">
      <c r="A134" t="e">
        <f>'Ingreso de Datos'!#REF!</f>
        <v>#REF!</v>
      </c>
      <c r="B134" s="5" t="e">
        <f>'Ingreso de Datos'!#REF!</f>
        <v>#REF!</v>
      </c>
      <c r="C134" s="5" t="e">
        <f>'Ingreso de Datos'!#REF!</f>
        <v>#REF!</v>
      </c>
    </row>
    <row r="135" spans="1:3" x14ac:dyDescent="0.35">
      <c r="A135">
        <f>'Ingreso de Datos'!$B13</f>
        <v>0</v>
      </c>
      <c r="B135" s="5">
        <f>+IF('Ingreso de Datos'!D13="Positiva ",1,-1)</f>
        <v>-1</v>
      </c>
      <c r="C135" s="5">
        <f>'Ingreso de Datos'!$G13</f>
        <v>0</v>
      </c>
    </row>
    <row r="136" spans="1:3" x14ac:dyDescent="0.35">
      <c r="A136" t="e">
        <f>'Ingreso de Datos'!#REF!</f>
        <v>#REF!</v>
      </c>
      <c r="B136" s="5" t="e">
        <f>'Ingreso de Datos'!#REF!</f>
        <v>#REF!</v>
      </c>
      <c r="C136" s="5" t="e">
        <f>'Ingreso de Datos'!#REF!</f>
        <v>#REF!</v>
      </c>
    </row>
    <row r="137" spans="1:3" x14ac:dyDescent="0.35">
      <c r="A137" t="e">
        <f>'Ingreso de Datos'!#REF!</f>
        <v>#REF!</v>
      </c>
      <c r="B137" s="5" t="e">
        <f>'Ingreso de Datos'!#REF!</f>
        <v>#REF!</v>
      </c>
      <c r="C137" s="5" t="e">
        <f>'Ingreso de Datos'!#REF!</f>
        <v>#REF!</v>
      </c>
    </row>
    <row r="138" spans="1:3" x14ac:dyDescent="0.35">
      <c r="A138" t="e">
        <f>'Ingreso de Datos'!#REF!</f>
        <v>#REF!</v>
      </c>
      <c r="B138" s="5" t="e">
        <f>'Ingreso de Datos'!#REF!</f>
        <v>#REF!</v>
      </c>
      <c r="C138" s="5" t="e">
        <f>'Ingreso de Datos'!#REF!</f>
        <v>#REF!</v>
      </c>
    </row>
    <row r="139" spans="1:3" x14ac:dyDescent="0.35">
      <c r="A139" t="e">
        <f>'Ingreso de Datos'!#REF!</f>
        <v>#REF!</v>
      </c>
      <c r="B139" s="5" t="e">
        <f>'Ingreso de Datos'!#REF!</f>
        <v>#REF!</v>
      </c>
      <c r="C139" s="5" t="e">
        <f>'Ingreso de Datos'!#REF!</f>
        <v>#REF!</v>
      </c>
    </row>
    <row r="140" spans="1:3" x14ac:dyDescent="0.35">
      <c r="A140">
        <f>'Ingreso de Datos'!$B13</f>
        <v>0</v>
      </c>
      <c r="B140" s="5">
        <f>+IF('Ingreso de Datos'!D13="Positiva ",1,-1)</f>
        <v>-1</v>
      </c>
      <c r="C140" s="5">
        <f>'Ingreso de Datos'!$G13</f>
        <v>0</v>
      </c>
    </row>
    <row r="141" spans="1:3" x14ac:dyDescent="0.35">
      <c r="A141" t="e">
        <f>'Ingreso de Datos'!#REF!</f>
        <v>#REF!</v>
      </c>
      <c r="B141" s="5" t="e">
        <f>'Ingreso de Datos'!#REF!</f>
        <v>#REF!</v>
      </c>
      <c r="C141" s="5" t="e">
        <f>'Ingreso de Datos'!#REF!</f>
        <v>#REF!</v>
      </c>
    </row>
    <row r="142" spans="1:3" x14ac:dyDescent="0.35">
      <c r="A142" t="e">
        <f>'Ingreso de Datos'!#REF!</f>
        <v>#REF!</v>
      </c>
      <c r="B142" s="5" t="e">
        <f>'Ingreso de Datos'!#REF!</f>
        <v>#REF!</v>
      </c>
      <c r="C142" s="5" t="e">
        <f>'Ingreso de Datos'!#REF!</f>
        <v>#REF!</v>
      </c>
    </row>
    <row r="143" spans="1:3" x14ac:dyDescent="0.35">
      <c r="A143" t="e">
        <f>'Ingreso de Datos'!#REF!</f>
        <v>#REF!</v>
      </c>
      <c r="B143" s="5" t="e">
        <f>'Ingreso de Datos'!#REF!</f>
        <v>#REF!</v>
      </c>
      <c r="C143" s="5" t="e">
        <f>'Ingreso de Datos'!#REF!</f>
        <v>#REF!</v>
      </c>
    </row>
    <row r="144" spans="1:3" x14ac:dyDescent="0.35">
      <c r="A144" t="e">
        <f>'Ingreso de Datos'!#REF!</f>
        <v>#REF!</v>
      </c>
      <c r="B144" s="5" t="e">
        <f>'Ingreso de Datos'!#REF!</f>
        <v>#REF!</v>
      </c>
      <c r="C144" s="5" t="e">
        <f>'Ingreso de Datos'!#REF!</f>
        <v>#REF!</v>
      </c>
    </row>
    <row r="145" spans="1:4" x14ac:dyDescent="0.35">
      <c r="A145" t="e">
        <f>'Ingreso de Datos'!#REF!</f>
        <v>#REF!</v>
      </c>
      <c r="B145" s="5" t="e">
        <f>+IF('Ingreso de Datos'!#REF!="Positiva ",1,-1)</f>
        <v>#REF!</v>
      </c>
      <c r="C145" s="5" t="e">
        <f>'Ingreso de Datos'!#REF!</f>
        <v>#REF!</v>
      </c>
    </row>
    <row r="146" spans="1:4" x14ac:dyDescent="0.35">
      <c r="A146" t="e">
        <f>'Ingreso de Datos'!#REF!</f>
        <v>#REF!</v>
      </c>
      <c r="B146" s="5" t="e">
        <f>'Ingreso de Datos'!#REF!</f>
        <v>#REF!</v>
      </c>
      <c r="C146" s="5" t="e">
        <f>'Ingreso de Datos'!#REF!</f>
        <v>#REF!</v>
      </c>
    </row>
    <row r="147" spans="1:4" x14ac:dyDescent="0.35">
      <c r="A147" t="e">
        <f>'Ingreso de Datos'!#REF!</f>
        <v>#REF!</v>
      </c>
      <c r="B147" s="5" t="e">
        <f>'Ingreso de Datos'!#REF!</f>
        <v>#REF!</v>
      </c>
      <c r="C147" s="5" t="e">
        <f>'Ingreso de Datos'!#REF!</f>
        <v>#REF!</v>
      </c>
    </row>
    <row r="148" spans="1:4" x14ac:dyDescent="0.35">
      <c r="A148" t="e">
        <f>'Ingreso de Datos'!#REF!</f>
        <v>#REF!</v>
      </c>
      <c r="B148" s="5" t="e">
        <f>'Ingreso de Datos'!#REF!</f>
        <v>#REF!</v>
      </c>
      <c r="C148" s="5" t="e">
        <f>'Ingreso de Datos'!#REF!</f>
        <v>#REF!</v>
      </c>
    </row>
    <row r="149" spans="1:4" x14ac:dyDescent="0.35">
      <c r="A149" t="e">
        <f>'Ingreso de Datos'!#REF!</f>
        <v>#REF!</v>
      </c>
      <c r="B149" s="5" t="e">
        <f>'Ingreso de Datos'!#REF!</f>
        <v>#REF!</v>
      </c>
      <c r="C149" s="5" t="e">
        <f>'Ingreso de Datos'!#REF!</f>
        <v>#REF!</v>
      </c>
    </row>
    <row r="150" spans="1:4" x14ac:dyDescent="0.35">
      <c r="A150" t="e">
        <f>+'Ingreso de Datos'!#REF!</f>
        <v>#REF!</v>
      </c>
    </row>
    <row r="151" spans="1:4" x14ac:dyDescent="0.35">
      <c r="A151" t="e">
        <f>+'Ingreso de Datos'!#REF!</f>
        <v>#REF!</v>
      </c>
      <c r="B151" s="5" t="e">
        <f>+'Ingreso de Datos'!#REF!</f>
        <v>#REF!</v>
      </c>
      <c r="C151" s="5" t="e">
        <f>+'Ingreso de Datos'!#REF!</f>
        <v>#REF!</v>
      </c>
      <c r="D151" s="5" t="e">
        <f>+'Ingreso de Datos'!#REF!</f>
        <v>#REF!</v>
      </c>
    </row>
    <row r="152" spans="1:4" x14ac:dyDescent="0.35">
      <c r="A152" t="e">
        <f>+'Ingreso de Datos'!#REF!</f>
        <v>#REF!</v>
      </c>
      <c r="B152" s="5" t="e">
        <f>+'Ingreso de Datos'!#REF!</f>
        <v>#REF!</v>
      </c>
      <c r="C152" s="5" t="e">
        <f>+'Ingreso de Datos'!#REF!</f>
        <v>#REF!</v>
      </c>
      <c r="D152" s="5" t="e">
        <f>+'Ingreso de Datos'!#REF!</f>
        <v>#REF!</v>
      </c>
    </row>
    <row r="153" spans="1:4" x14ac:dyDescent="0.35">
      <c r="A153" t="e">
        <f>+'Ingreso de Datos'!#REF!</f>
        <v>#REF!</v>
      </c>
      <c r="B153" s="5" t="e">
        <f>+'Ingreso de Datos'!#REF!</f>
        <v>#REF!</v>
      </c>
      <c r="C153" s="5" t="e">
        <f>+'Ingreso de Datos'!#REF!</f>
        <v>#REF!</v>
      </c>
      <c r="D153" s="5" t="e">
        <f>+'Ingreso de Datos'!#REF!</f>
        <v>#REF!</v>
      </c>
    </row>
    <row r="154" spans="1:4" x14ac:dyDescent="0.35">
      <c r="A154" t="e">
        <f>+'Ingreso de Datos'!#REF!</f>
        <v>#REF!</v>
      </c>
      <c r="B154" s="5" t="e">
        <f>+'Ingreso de Datos'!#REF!</f>
        <v>#REF!</v>
      </c>
      <c r="C154" s="5" t="e">
        <f>+'Ingreso de Datos'!#REF!</f>
        <v>#REF!</v>
      </c>
      <c r="D154" s="5" t="e">
        <f>+'Ingreso de Datos'!#REF!</f>
        <v>#REF!</v>
      </c>
    </row>
    <row r="155" spans="1:4" x14ac:dyDescent="0.35">
      <c r="A155" t="e">
        <f>+'Ingreso de Datos'!#REF!</f>
        <v>#REF!</v>
      </c>
      <c r="B155" s="5" t="e">
        <f>+'Ingreso de Datos'!#REF!</f>
        <v>#REF!</v>
      </c>
      <c r="C155" s="5" t="e">
        <f>+'Ingreso de Datos'!#REF!</f>
        <v>#REF!</v>
      </c>
      <c r="D155" s="5" t="e">
        <f>+'Ingreso de Datos'!#REF!</f>
        <v>#REF!</v>
      </c>
    </row>
    <row r="156" spans="1:4" x14ac:dyDescent="0.35">
      <c r="A156" t="e">
        <f>+'Ingreso de Datos'!#REF!</f>
        <v>#REF!</v>
      </c>
      <c r="B156" s="5" t="e">
        <f>+'Ingreso de Datos'!#REF!</f>
        <v>#REF!</v>
      </c>
      <c r="C156" s="5" t="e">
        <f>+'Ingreso de Datos'!#REF!</f>
        <v>#REF!</v>
      </c>
      <c r="D156" s="5" t="e">
        <f>+'Ingreso de Datos'!#REF!</f>
        <v>#REF!</v>
      </c>
    </row>
    <row r="157" spans="1:4" x14ac:dyDescent="0.35">
      <c r="A157" t="e">
        <f>+'Ingreso de Datos'!#REF!</f>
        <v>#REF!</v>
      </c>
      <c r="B157" s="5" t="e">
        <f>+'Ingreso de Datos'!#REF!</f>
        <v>#REF!</v>
      </c>
      <c r="C157" s="5" t="e">
        <f>+'Ingreso de Datos'!#REF!</f>
        <v>#REF!</v>
      </c>
      <c r="D157" s="5" t="e">
        <f>+'Ingreso de Datos'!#REF!</f>
        <v>#REF!</v>
      </c>
    </row>
    <row r="158" spans="1:4" x14ac:dyDescent="0.35">
      <c r="A158" t="e">
        <f>+'Ingreso de Datos'!#REF!</f>
        <v>#REF!</v>
      </c>
      <c r="B158" s="5" t="e">
        <f>+'Ingreso de Datos'!#REF!</f>
        <v>#REF!</v>
      </c>
      <c r="C158" s="5" t="e">
        <f>+'Ingreso de Datos'!#REF!</f>
        <v>#REF!</v>
      </c>
      <c r="D158" s="5" t="e">
        <f>+'Ingreso de Datos'!#REF!</f>
        <v>#REF!</v>
      </c>
    </row>
    <row r="159" spans="1:4" x14ac:dyDescent="0.35">
      <c r="A159" t="e">
        <f>+'Ingreso de Datos'!#REF!</f>
        <v>#REF!</v>
      </c>
      <c r="B159" s="5" t="e">
        <f>+'Ingreso de Datos'!#REF!</f>
        <v>#REF!</v>
      </c>
      <c r="C159" s="5" t="e">
        <f>+'Ingreso de Datos'!#REF!</f>
        <v>#REF!</v>
      </c>
      <c r="D159" s="5" t="e">
        <f>+'Ingreso de Datos'!#REF!</f>
        <v>#REF!</v>
      </c>
    </row>
    <row r="160" spans="1:4" x14ac:dyDescent="0.35">
      <c r="B160" s="5" t="e">
        <f>+'Ingreso de Datos'!#REF!</f>
        <v>#REF!</v>
      </c>
      <c r="C160" s="5" t="e">
        <f>+'Ingreso de Datos'!#REF!</f>
        <v>#REF!</v>
      </c>
    </row>
    <row r="161" spans="2:2" x14ac:dyDescent="0.35">
      <c r="B161" s="5" t="e">
        <f>+'Ingreso de Datos'!#REF!</f>
        <v>#REF!</v>
      </c>
    </row>
  </sheetData>
  <sheetProtection insertRows="0" deleteRows="0"/>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A1:G20"/>
  <sheetViews>
    <sheetView workbookViewId="0">
      <selection activeCell="A14" sqref="A14:G20"/>
    </sheetView>
  </sheetViews>
  <sheetFormatPr defaultColWidth="10.81640625" defaultRowHeight="14.5" x14ac:dyDescent="0.35"/>
  <cols>
    <col min="3" max="3" width="17.54296875" bestFit="1" customWidth="1"/>
  </cols>
  <sheetData>
    <row r="1" spans="1:7" ht="15" thickBot="1" x14ac:dyDescent="0.4">
      <c r="A1" s="3">
        <v>20</v>
      </c>
      <c r="C1" s="4" t="s">
        <v>34</v>
      </c>
      <c r="E1" s="3">
        <v>1</v>
      </c>
      <c r="G1" s="3">
        <v>6</v>
      </c>
    </row>
    <row r="2" spans="1:7" x14ac:dyDescent="0.35">
      <c r="A2" s="1">
        <v>25</v>
      </c>
      <c r="C2" s="3" t="s">
        <v>7</v>
      </c>
      <c r="E2" s="1">
        <v>2</v>
      </c>
      <c r="G2" s="1">
        <v>8</v>
      </c>
    </row>
    <row r="3" spans="1:7" x14ac:dyDescent="0.35">
      <c r="A3" s="1">
        <v>30</v>
      </c>
      <c r="E3" s="1">
        <v>3</v>
      </c>
      <c r="G3" s="1">
        <v>10</v>
      </c>
    </row>
    <row r="4" spans="1:7" x14ac:dyDescent="0.35">
      <c r="A4" s="1">
        <v>35</v>
      </c>
      <c r="E4" s="1">
        <v>4</v>
      </c>
      <c r="G4" s="1">
        <v>12</v>
      </c>
    </row>
    <row r="5" spans="1:7" x14ac:dyDescent="0.35">
      <c r="A5" s="1">
        <v>40</v>
      </c>
      <c r="C5" t="s">
        <v>11</v>
      </c>
      <c r="E5" s="1">
        <v>5</v>
      </c>
      <c r="G5" s="1">
        <v>16</v>
      </c>
    </row>
    <row r="6" spans="1:7" x14ac:dyDescent="0.35">
      <c r="A6" s="1">
        <v>45</v>
      </c>
      <c r="C6" t="s">
        <v>66</v>
      </c>
      <c r="E6" s="1">
        <v>6</v>
      </c>
      <c r="G6" s="1">
        <v>20</v>
      </c>
    </row>
    <row r="7" spans="1:7" x14ac:dyDescent="0.35">
      <c r="A7" s="1">
        <v>50</v>
      </c>
      <c r="C7" t="s">
        <v>67</v>
      </c>
      <c r="E7" s="1">
        <v>7</v>
      </c>
      <c r="G7" s="1">
        <v>25</v>
      </c>
    </row>
    <row r="8" spans="1:7" ht="15" thickBot="1" x14ac:dyDescent="0.4">
      <c r="A8" s="4">
        <v>60</v>
      </c>
      <c r="E8" s="1">
        <v>8</v>
      </c>
      <c r="G8" s="1">
        <v>32</v>
      </c>
    </row>
    <row r="9" spans="1:7" ht="15" thickBot="1" x14ac:dyDescent="0.4">
      <c r="C9" s="3" t="s">
        <v>8</v>
      </c>
      <c r="E9" s="1">
        <v>9</v>
      </c>
      <c r="G9" s="4">
        <v>40</v>
      </c>
    </row>
    <row r="10" spans="1:7" ht="15" thickBot="1" x14ac:dyDescent="0.4">
      <c r="C10" s="4" t="s">
        <v>9</v>
      </c>
      <c r="E10" s="4">
        <v>10</v>
      </c>
    </row>
    <row r="14" spans="1:7" x14ac:dyDescent="0.35">
      <c r="A14" s="8" t="s">
        <v>16</v>
      </c>
      <c r="B14" s="14">
        <v>1</v>
      </c>
      <c r="C14" s="13" t="s">
        <v>17</v>
      </c>
      <c r="D14" s="14" t="s">
        <v>30</v>
      </c>
      <c r="E14" s="41" t="s">
        <v>18</v>
      </c>
      <c r="F14" s="41"/>
      <c r="G14" s="14">
        <v>4</v>
      </c>
    </row>
    <row r="15" spans="1:7" x14ac:dyDescent="0.35">
      <c r="A15" s="8"/>
      <c r="B15" s="2"/>
      <c r="C15" s="2"/>
      <c r="D15" s="2"/>
      <c r="E15" s="2"/>
      <c r="F15" s="2"/>
      <c r="G15" s="2"/>
    </row>
    <row r="16" spans="1:7" x14ac:dyDescent="0.35">
      <c r="A16" s="12" t="s">
        <v>19</v>
      </c>
      <c r="B16" s="2"/>
      <c r="C16" s="13" t="s">
        <v>20</v>
      </c>
      <c r="D16" s="2"/>
      <c r="E16" s="13" t="s">
        <v>21</v>
      </c>
      <c r="F16" s="2"/>
      <c r="G16" s="2"/>
    </row>
    <row r="17" spans="1:7" x14ac:dyDescent="0.35">
      <c r="A17" s="9">
        <v>1</v>
      </c>
      <c r="B17" s="2"/>
      <c r="C17" s="10">
        <v>0</v>
      </c>
      <c r="D17" s="2"/>
      <c r="E17" s="10">
        <v>0</v>
      </c>
      <c r="F17" s="2"/>
      <c r="G17" s="2"/>
    </row>
    <row r="18" spans="1:7" x14ac:dyDescent="0.35">
      <c r="A18" s="9">
        <v>2</v>
      </c>
      <c r="B18" s="2"/>
      <c r="C18" s="10">
        <v>0</v>
      </c>
      <c r="D18" s="2"/>
      <c r="E18" s="10">
        <v>0</v>
      </c>
      <c r="F18" s="2"/>
      <c r="G18" s="2"/>
    </row>
    <row r="19" spans="1:7" x14ac:dyDescent="0.35">
      <c r="A19" s="9">
        <v>3</v>
      </c>
      <c r="B19" s="2"/>
      <c r="C19" s="10">
        <v>0</v>
      </c>
      <c r="D19" s="2"/>
      <c r="E19" s="10">
        <v>0</v>
      </c>
      <c r="F19" s="2"/>
      <c r="G19" s="2"/>
    </row>
    <row r="20" spans="1:7" x14ac:dyDescent="0.35">
      <c r="A20" s="9">
        <v>4</v>
      </c>
      <c r="C20" s="10">
        <v>0</v>
      </c>
      <c r="E20" s="10">
        <v>0</v>
      </c>
    </row>
  </sheetData>
  <sheetProtection password="DF1B" sheet="1" objects="1" scenarios="1" selectLockedCells="1" selectUnlockedCells="1"/>
  <mergeCells count="1">
    <mergeCell ref="E14:F14"/>
  </mergeCells>
  <dataValidations count="2">
    <dataValidation type="whole" allowBlank="1" showInputMessage="1" showErrorMessage="1" errorTitle="Error" error="El número de contornos convexos debe estar comprendido entre 1 y 10" sqref="B14" xr:uid="{00000000-0002-0000-0300-000000000000}">
      <formula1>1</formula1>
      <formula2>10</formula2>
    </dataValidation>
    <dataValidation type="whole" allowBlank="1" showInputMessage="1" showErrorMessage="1" errorTitle="Error" error="El número de nodos debe estar comprendido entre 1 y 500" sqref="G14 A17:A20" xr:uid="{00000000-0002-0000-0300-000001000000}">
      <formula1>1</formula1>
      <formula2>500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'AUX1'!$A$1:$A$2</xm:f>
          </x14:formula1>
          <xm:sqref>D14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A1:A2"/>
  <sheetViews>
    <sheetView workbookViewId="0">
      <selection activeCell="C11" sqref="C11"/>
    </sheetView>
  </sheetViews>
  <sheetFormatPr defaultColWidth="10.81640625" defaultRowHeight="14.5" x14ac:dyDescent="0.35"/>
  <sheetData>
    <row r="1" spans="1:1" x14ac:dyDescent="0.35">
      <c r="A1" t="s">
        <v>8</v>
      </c>
    </row>
    <row r="2" spans="1:1" x14ac:dyDescent="0.35">
      <c r="A2" t="s">
        <v>9</v>
      </c>
    </row>
  </sheetData>
  <sheetProtection password="DF1B" sheet="1" objects="1" scenarios="1" selectLockedCells="1" selectUn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P164"/>
  <sheetViews>
    <sheetView showGridLines="0" workbookViewId="0">
      <selection activeCell="I33" sqref="I33"/>
    </sheetView>
  </sheetViews>
  <sheetFormatPr defaultColWidth="10.81640625" defaultRowHeight="14.5" x14ac:dyDescent="0.35"/>
  <cols>
    <col min="3" max="4" width="11.453125" style="23"/>
    <col min="9" max="10" width="11.453125" style="21"/>
  </cols>
  <sheetData>
    <row r="1" spans="1:16" ht="15" customHeight="1" x14ac:dyDescent="0.35">
      <c r="A1" s="36" t="s">
        <v>0</v>
      </c>
      <c r="B1" s="36"/>
      <c r="C1" s="36"/>
      <c r="D1" s="36"/>
      <c r="E1" s="36"/>
      <c r="F1" s="36"/>
      <c r="G1" s="53" t="e">
        <f>+'Ingreso de Datos'!#REF!</f>
        <v>#REF!</v>
      </c>
      <c r="I1" s="51" t="s">
        <v>2</v>
      </c>
      <c r="J1" s="51" t="s">
        <v>1</v>
      </c>
      <c r="L1" s="48" t="s">
        <v>27</v>
      </c>
      <c r="M1" s="48"/>
      <c r="N1" s="48"/>
      <c r="O1" s="48"/>
      <c r="P1" s="48"/>
    </row>
    <row r="2" spans="1:16" ht="15" thickBot="1" x14ac:dyDescent="0.4">
      <c r="A2" s="36"/>
      <c r="B2" s="36"/>
      <c r="C2" s="36"/>
      <c r="D2" s="36"/>
      <c r="E2" s="36"/>
      <c r="F2" s="36"/>
      <c r="G2" s="53"/>
      <c r="I2" s="52"/>
      <c r="J2" s="52"/>
      <c r="L2" s="48"/>
      <c r="M2" s="48"/>
      <c r="N2" s="48"/>
      <c r="O2" s="48"/>
      <c r="P2" s="48"/>
    </row>
    <row r="3" spans="1:16" x14ac:dyDescent="0.35">
      <c r="C3"/>
      <c r="D3"/>
      <c r="I3" s="20"/>
      <c r="J3" s="20"/>
      <c r="L3" s="48"/>
      <c r="M3" s="48"/>
      <c r="N3" s="48"/>
      <c r="O3" s="48"/>
      <c r="P3" s="48"/>
    </row>
    <row r="4" spans="1:16" x14ac:dyDescent="0.35">
      <c r="C4"/>
      <c r="D4"/>
      <c r="I4" s="20"/>
      <c r="J4" s="20"/>
      <c r="L4" s="48"/>
      <c r="M4" s="48"/>
      <c r="N4" s="48"/>
      <c r="O4" s="48"/>
      <c r="P4" s="48"/>
    </row>
    <row r="5" spans="1:16" x14ac:dyDescent="0.35">
      <c r="C5"/>
      <c r="D5"/>
      <c r="I5" s="20"/>
      <c r="J5" s="20"/>
      <c r="L5" s="48"/>
      <c r="M5" s="48"/>
      <c r="N5" s="48"/>
      <c r="O5" s="48"/>
      <c r="P5" s="48"/>
    </row>
    <row r="6" spans="1:16" x14ac:dyDescent="0.35">
      <c r="C6"/>
      <c r="D6"/>
      <c r="I6" s="20"/>
      <c r="J6" s="20"/>
      <c r="L6" s="48"/>
      <c r="M6" s="48"/>
      <c r="N6" s="48"/>
      <c r="O6" s="48"/>
      <c r="P6" s="48"/>
    </row>
    <row r="7" spans="1:16" x14ac:dyDescent="0.35">
      <c r="C7"/>
      <c r="D7"/>
      <c r="I7" s="20"/>
      <c r="J7" s="20"/>
      <c r="L7" s="48"/>
      <c r="M7" s="48"/>
      <c r="N7" s="48"/>
      <c r="O7" s="48"/>
      <c r="P7" s="48"/>
    </row>
    <row r="8" spans="1:16" x14ac:dyDescent="0.35">
      <c r="C8"/>
      <c r="D8"/>
      <c r="I8" s="20"/>
      <c r="J8" s="20"/>
      <c r="L8" s="48"/>
      <c r="M8" s="48"/>
      <c r="N8" s="48"/>
      <c r="O8" s="48"/>
      <c r="P8" s="48"/>
    </row>
    <row r="9" spans="1:16" x14ac:dyDescent="0.35">
      <c r="C9"/>
      <c r="D9"/>
      <c r="I9" s="20"/>
      <c r="J9" s="20"/>
    </row>
    <row r="10" spans="1:16" x14ac:dyDescent="0.35">
      <c r="C10"/>
      <c r="D10"/>
      <c r="I10" s="20"/>
      <c r="J10" s="20"/>
    </row>
    <row r="11" spans="1:16" x14ac:dyDescent="0.35">
      <c r="C11"/>
      <c r="D11"/>
      <c r="I11" s="20"/>
      <c r="J11" s="20"/>
    </row>
    <row r="12" spans="1:16" x14ac:dyDescent="0.35">
      <c r="C12"/>
      <c r="D12"/>
      <c r="I12" s="20"/>
      <c r="J12" s="20"/>
    </row>
    <row r="13" spans="1:16" x14ac:dyDescent="0.35">
      <c r="C13"/>
      <c r="D13"/>
      <c r="I13" s="20"/>
      <c r="J13" s="20"/>
    </row>
    <row r="14" spans="1:16" x14ac:dyDescent="0.35">
      <c r="C14"/>
      <c r="D14"/>
      <c r="I14" s="20"/>
      <c r="J14" s="20"/>
    </row>
    <row r="15" spans="1:16" x14ac:dyDescent="0.35">
      <c r="C15"/>
      <c r="D15"/>
      <c r="I15" s="20"/>
      <c r="J15" s="20"/>
    </row>
    <row r="16" spans="1:16" x14ac:dyDescent="0.35">
      <c r="C16"/>
      <c r="D16"/>
      <c r="I16" s="20"/>
      <c r="J16" s="20"/>
    </row>
    <row r="17" spans="1:10" x14ac:dyDescent="0.35">
      <c r="C17"/>
      <c r="D17"/>
      <c r="I17" s="20"/>
      <c r="J17" s="20"/>
    </row>
    <row r="18" spans="1:10" x14ac:dyDescent="0.35">
      <c r="C18"/>
      <c r="D18"/>
      <c r="I18" s="20"/>
      <c r="J18" s="20"/>
    </row>
    <row r="19" spans="1:10" x14ac:dyDescent="0.35">
      <c r="C19"/>
      <c r="D19"/>
      <c r="I19" s="20"/>
      <c r="J19" s="20"/>
    </row>
    <row r="20" spans="1:10" x14ac:dyDescent="0.35">
      <c r="C20"/>
      <c r="D20"/>
      <c r="I20" s="20"/>
      <c r="J20" s="20"/>
    </row>
    <row r="21" spans="1:10" x14ac:dyDescent="0.35">
      <c r="C21"/>
      <c r="D21"/>
      <c r="I21" s="20"/>
      <c r="J21" s="20"/>
    </row>
    <row r="22" spans="1:10" x14ac:dyDescent="0.35">
      <c r="C22"/>
      <c r="D22"/>
      <c r="I22" s="20"/>
      <c r="J22" s="20"/>
    </row>
    <row r="23" spans="1:10" x14ac:dyDescent="0.35">
      <c r="C23"/>
      <c r="D23"/>
      <c r="I23" s="20"/>
      <c r="J23" s="20"/>
    </row>
    <row r="24" spans="1:10" x14ac:dyDescent="0.35">
      <c r="C24"/>
      <c r="D24"/>
      <c r="I24" s="20"/>
      <c r="J24" s="20"/>
    </row>
    <row r="25" spans="1:10" x14ac:dyDescent="0.35">
      <c r="C25"/>
      <c r="D25"/>
      <c r="I25" s="20"/>
      <c r="J25" s="20"/>
    </row>
    <row r="26" spans="1:10" x14ac:dyDescent="0.35">
      <c r="C26"/>
      <c r="D26"/>
      <c r="I26" s="20"/>
      <c r="J26" s="20"/>
    </row>
    <row r="27" spans="1:10" x14ac:dyDescent="0.35">
      <c r="C27"/>
      <c r="D27"/>
      <c r="I27" s="20"/>
      <c r="J27" s="20"/>
    </row>
    <row r="28" spans="1:10" x14ac:dyDescent="0.35">
      <c r="C28"/>
      <c r="D28"/>
      <c r="I28" s="20"/>
      <c r="J28" s="20"/>
    </row>
    <row r="29" spans="1:10" x14ac:dyDescent="0.35">
      <c r="C29"/>
      <c r="D29"/>
      <c r="I29" s="20"/>
      <c r="J29" s="20"/>
    </row>
    <row r="30" spans="1:10" x14ac:dyDescent="0.35">
      <c r="C30"/>
      <c r="D30"/>
      <c r="I30" s="20"/>
      <c r="J30" s="20"/>
    </row>
    <row r="31" spans="1:10" x14ac:dyDescent="0.35">
      <c r="A31" s="49" t="s">
        <v>3</v>
      </c>
      <c r="B31" s="49"/>
      <c r="C31" s="50" t="s">
        <v>36</v>
      </c>
      <c r="D31" s="50" t="s">
        <v>35</v>
      </c>
      <c r="I31" s="20"/>
      <c r="J31" s="20"/>
    </row>
    <row r="32" spans="1:10" x14ac:dyDescent="0.35">
      <c r="A32" s="49"/>
      <c r="B32" s="49"/>
      <c r="C32" s="50"/>
      <c r="D32" s="50"/>
      <c r="E32" s="54" t="s">
        <v>4</v>
      </c>
      <c r="F32" s="54"/>
      <c r="G32" s="54"/>
      <c r="I32" s="20"/>
      <c r="J32" s="20"/>
    </row>
    <row r="33" spans="3:10" x14ac:dyDescent="0.35">
      <c r="C33" s="22"/>
      <c r="D33" s="22"/>
      <c r="E33" s="54"/>
      <c r="F33" s="54"/>
      <c r="G33" s="54"/>
      <c r="I33" s="20"/>
      <c r="J33" s="20"/>
    </row>
    <row r="34" spans="3:10" x14ac:dyDescent="0.35">
      <c r="C34" s="22"/>
      <c r="D34" s="22"/>
      <c r="E34" s="54"/>
      <c r="F34" s="54"/>
      <c r="G34" s="54"/>
      <c r="I34" s="20"/>
      <c r="J34" s="20"/>
    </row>
    <row r="35" spans="3:10" x14ac:dyDescent="0.35">
      <c r="C35" s="22"/>
      <c r="D35" s="22"/>
      <c r="E35" s="54"/>
      <c r="F35" s="54"/>
      <c r="G35" s="54"/>
      <c r="I35" s="20"/>
      <c r="J35" s="20"/>
    </row>
    <row r="36" spans="3:10" x14ac:dyDescent="0.35">
      <c r="C36" s="22"/>
      <c r="D36" s="22"/>
      <c r="E36" s="54"/>
      <c r="F36" s="54"/>
      <c r="G36" s="54"/>
      <c r="I36" s="20"/>
      <c r="J36" s="20"/>
    </row>
    <row r="37" spans="3:10" x14ac:dyDescent="0.35">
      <c r="C37" s="22"/>
      <c r="D37" s="22"/>
      <c r="I37" s="20"/>
      <c r="J37" s="20"/>
    </row>
    <row r="38" spans="3:10" x14ac:dyDescent="0.35">
      <c r="C38" s="22"/>
      <c r="D38" s="22"/>
      <c r="I38" s="20"/>
      <c r="J38" s="20"/>
    </row>
    <row r="39" spans="3:10" x14ac:dyDescent="0.35">
      <c r="C39" s="22"/>
      <c r="D39" s="22"/>
      <c r="I39" s="20"/>
      <c r="J39" s="20"/>
    </row>
    <row r="40" spans="3:10" x14ac:dyDescent="0.35">
      <c r="C40" s="22"/>
      <c r="D40" s="22"/>
      <c r="I40" s="20"/>
      <c r="J40" s="20"/>
    </row>
    <row r="41" spans="3:10" x14ac:dyDescent="0.35">
      <c r="C41" s="22"/>
      <c r="D41" s="22"/>
      <c r="I41" s="20"/>
      <c r="J41" s="20"/>
    </row>
    <row r="42" spans="3:10" x14ac:dyDescent="0.35">
      <c r="C42" s="22"/>
      <c r="D42" s="22"/>
      <c r="I42" s="20"/>
      <c r="J42" s="20"/>
    </row>
    <row r="43" spans="3:10" x14ac:dyDescent="0.35">
      <c r="C43" s="22"/>
      <c r="D43" s="22"/>
      <c r="I43" s="20"/>
      <c r="J43" s="20"/>
    </row>
    <row r="44" spans="3:10" x14ac:dyDescent="0.35">
      <c r="C44" s="22"/>
      <c r="D44" s="22"/>
      <c r="I44" s="20"/>
      <c r="J44" s="20"/>
    </row>
    <row r="45" spans="3:10" x14ac:dyDescent="0.35">
      <c r="C45" s="22"/>
      <c r="D45" s="22"/>
      <c r="I45" s="20"/>
      <c r="J45" s="20"/>
    </row>
    <row r="46" spans="3:10" x14ac:dyDescent="0.35">
      <c r="C46" s="22"/>
      <c r="D46" s="22"/>
      <c r="I46" s="20"/>
      <c r="J46" s="20"/>
    </row>
    <row r="47" spans="3:10" x14ac:dyDescent="0.35">
      <c r="C47" s="22"/>
      <c r="D47" s="22"/>
      <c r="I47" s="20"/>
      <c r="J47" s="20"/>
    </row>
    <row r="48" spans="3:10" x14ac:dyDescent="0.35">
      <c r="C48" s="22"/>
      <c r="D48" s="22"/>
      <c r="I48" s="20"/>
      <c r="J48" s="20"/>
    </row>
    <row r="49" spans="3:10" x14ac:dyDescent="0.35">
      <c r="C49" s="22"/>
      <c r="D49" s="22"/>
      <c r="I49" s="20"/>
      <c r="J49" s="20"/>
    </row>
    <row r="50" spans="3:10" x14ac:dyDescent="0.35">
      <c r="C50" s="22"/>
      <c r="D50" s="22"/>
      <c r="I50" s="20"/>
      <c r="J50" s="20"/>
    </row>
    <row r="51" spans="3:10" x14ac:dyDescent="0.35">
      <c r="I51" s="20"/>
      <c r="J51" s="20"/>
    </row>
    <row r="52" spans="3:10" x14ac:dyDescent="0.35">
      <c r="I52" s="20"/>
      <c r="J52" s="20"/>
    </row>
    <row r="53" spans="3:10" x14ac:dyDescent="0.35">
      <c r="I53" s="20"/>
      <c r="J53" s="20"/>
    </row>
    <row r="54" spans="3:10" x14ac:dyDescent="0.35">
      <c r="I54" s="20"/>
      <c r="J54" s="20"/>
    </row>
    <row r="55" spans="3:10" x14ac:dyDescent="0.35">
      <c r="I55" s="20"/>
      <c r="J55" s="20"/>
    </row>
    <row r="56" spans="3:10" x14ac:dyDescent="0.35">
      <c r="I56" s="20"/>
      <c r="J56" s="20"/>
    </row>
    <row r="57" spans="3:10" x14ac:dyDescent="0.35">
      <c r="I57" s="20"/>
      <c r="J57" s="20"/>
    </row>
    <row r="58" spans="3:10" x14ac:dyDescent="0.35">
      <c r="I58" s="20"/>
      <c r="J58" s="20"/>
    </row>
    <row r="59" spans="3:10" x14ac:dyDescent="0.35">
      <c r="I59" s="20"/>
      <c r="J59" s="20"/>
    </row>
    <row r="60" spans="3:10" x14ac:dyDescent="0.35">
      <c r="I60" s="20"/>
      <c r="J60" s="20"/>
    </row>
    <row r="61" spans="3:10" x14ac:dyDescent="0.35">
      <c r="I61" s="20"/>
      <c r="J61" s="20"/>
    </row>
    <row r="62" spans="3:10" x14ac:dyDescent="0.35">
      <c r="I62" s="20"/>
      <c r="J62" s="20"/>
    </row>
    <row r="63" spans="3:10" x14ac:dyDescent="0.35">
      <c r="I63" s="20"/>
      <c r="J63" s="20"/>
    </row>
    <row r="64" spans="3:10" x14ac:dyDescent="0.35">
      <c r="I64" s="20"/>
      <c r="J64" s="20"/>
    </row>
    <row r="65" spans="9:10" x14ac:dyDescent="0.35">
      <c r="I65" s="20"/>
      <c r="J65" s="20"/>
    </row>
    <row r="66" spans="9:10" x14ac:dyDescent="0.35">
      <c r="I66" s="20"/>
      <c r="J66" s="20"/>
    </row>
    <row r="67" spans="9:10" x14ac:dyDescent="0.35">
      <c r="I67" s="20"/>
      <c r="J67" s="20"/>
    </row>
    <row r="68" spans="9:10" x14ac:dyDescent="0.35">
      <c r="I68" s="20"/>
      <c r="J68" s="20"/>
    </row>
    <row r="69" spans="9:10" x14ac:dyDescent="0.35">
      <c r="I69" s="20"/>
      <c r="J69" s="20"/>
    </row>
    <row r="70" spans="9:10" x14ac:dyDescent="0.35">
      <c r="I70" s="20"/>
      <c r="J70" s="20"/>
    </row>
    <row r="71" spans="9:10" x14ac:dyDescent="0.35">
      <c r="I71" s="20"/>
      <c r="J71" s="20"/>
    </row>
    <row r="72" spans="9:10" x14ac:dyDescent="0.35">
      <c r="I72" s="20"/>
      <c r="J72" s="20"/>
    </row>
    <row r="73" spans="9:10" x14ac:dyDescent="0.35">
      <c r="I73" s="20"/>
      <c r="J73" s="20"/>
    </row>
    <row r="74" spans="9:10" x14ac:dyDescent="0.35">
      <c r="I74" s="20"/>
      <c r="J74" s="20"/>
    </row>
    <row r="75" spans="9:10" x14ac:dyDescent="0.35">
      <c r="I75" s="20"/>
      <c r="J75" s="20"/>
    </row>
    <row r="76" spans="9:10" x14ac:dyDescent="0.35">
      <c r="I76" s="20"/>
      <c r="J76" s="20"/>
    </row>
    <row r="77" spans="9:10" x14ac:dyDescent="0.35">
      <c r="I77" s="20"/>
      <c r="J77" s="20"/>
    </row>
    <row r="78" spans="9:10" x14ac:dyDescent="0.35">
      <c r="I78" s="20"/>
      <c r="J78" s="20"/>
    </row>
    <row r="79" spans="9:10" x14ac:dyDescent="0.35">
      <c r="I79" s="20"/>
      <c r="J79" s="20"/>
    </row>
    <row r="80" spans="9:10" x14ac:dyDescent="0.35">
      <c r="I80" s="20"/>
      <c r="J80" s="20"/>
    </row>
    <row r="81" spans="9:10" x14ac:dyDescent="0.35">
      <c r="I81" s="20"/>
      <c r="J81" s="20"/>
    </row>
    <row r="82" spans="9:10" x14ac:dyDescent="0.35">
      <c r="I82" s="20"/>
      <c r="J82" s="20"/>
    </row>
    <row r="83" spans="9:10" x14ac:dyDescent="0.35">
      <c r="I83" s="20"/>
      <c r="J83" s="20"/>
    </row>
    <row r="84" spans="9:10" x14ac:dyDescent="0.35">
      <c r="I84" s="20"/>
      <c r="J84" s="20"/>
    </row>
    <row r="85" spans="9:10" x14ac:dyDescent="0.35">
      <c r="I85" s="20"/>
      <c r="J85" s="20"/>
    </row>
    <row r="86" spans="9:10" x14ac:dyDescent="0.35">
      <c r="I86" s="20"/>
      <c r="J86" s="20"/>
    </row>
    <row r="87" spans="9:10" x14ac:dyDescent="0.35">
      <c r="I87" s="20"/>
      <c r="J87" s="20"/>
    </row>
    <row r="88" spans="9:10" x14ac:dyDescent="0.35">
      <c r="I88" s="20"/>
      <c r="J88" s="20"/>
    </row>
    <row r="89" spans="9:10" x14ac:dyDescent="0.35">
      <c r="I89" s="20"/>
      <c r="J89" s="20"/>
    </row>
    <row r="90" spans="9:10" x14ac:dyDescent="0.35">
      <c r="I90" s="20"/>
      <c r="J90" s="20"/>
    </row>
    <row r="91" spans="9:10" x14ac:dyDescent="0.35">
      <c r="I91" s="20"/>
      <c r="J91" s="20"/>
    </row>
    <row r="92" spans="9:10" x14ac:dyDescent="0.35">
      <c r="I92" s="20"/>
      <c r="J92" s="20"/>
    </row>
    <row r="93" spans="9:10" x14ac:dyDescent="0.35">
      <c r="I93" s="20"/>
      <c r="J93" s="20"/>
    </row>
    <row r="94" spans="9:10" x14ac:dyDescent="0.35">
      <c r="I94" s="20"/>
      <c r="J94" s="20"/>
    </row>
    <row r="95" spans="9:10" x14ac:dyDescent="0.35">
      <c r="I95" s="20"/>
      <c r="J95" s="20"/>
    </row>
    <row r="96" spans="9:10" x14ac:dyDescent="0.35">
      <c r="I96" s="20"/>
      <c r="J96" s="20"/>
    </row>
    <row r="97" spans="9:10" x14ac:dyDescent="0.35">
      <c r="I97" s="20"/>
      <c r="J97" s="20"/>
    </row>
    <row r="98" spans="9:10" x14ac:dyDescent="0.35">
      <c r="I98" s="20"/>
      <c r="J98" s="20"/>
    </row>
    <row r="99" spans="9:10" x14ac:dyDescent="0.35">
      <c r="I99" s="20"/>
      <c r="J99" s="20"/>
    </row>
    <row r="100" spans="9:10" x14ac:dyDescent="0.35">
      <c r="I100" s="20"/>
      <c r="J100" s="20"/>
    </row>
    <row r="101" spans="9:10" x14ac:dyDescent="0.35">
      <c r="I101" s="20"/>
      <c r="J101" s="20"/>
    </row>
    <row r="102" spans="9:10" x14ac:dyDescent="0.35">
      <c r="I102" s="20"/>
      <c r="J102" s="20"/>
    </row>
    <row r="103" spans="9:10" x14ac:dyDescent="0.35">
      <c r="I103" s="20"/>
      <c r="J103" s="20"/>
    </row>
    <row r="104" spans="9:10" x14ac:dyDescent="0.35">
      <c r="I104" s="20"/>
      <c r="J104" s="20"/>
    </row>
    <row r="105" spans="9:10" x14ac:dyDescent="0.35">
      <c r="I105" s="20"/>
      <c r="J105" s="20"/>
    </row>
    <row r="106" spans="9:10" x14ac:dyDescent="0.35">
      <c r="I106" s="20"/>
      <c r="J106" s="20"/>
    </row>
    <row r="107" spans="9:10" x14ac:dyDescent="0.35">
      <c r="I107" s="20"/>
      <c r="J107" s="20"/>
    </row>
    <row r="108" spans="9:10" x14ac:dyDescent="0.35">
      <c r="I108" s="20"/>
      <c r="J108" s="20"/>
    </row>
    <row r="109" spans="9:10" x14ac:dyDescent="0.35">
      <c r="I109" s="20"/>
      <c r="J109" s="20"/>
    </row>
    <row r="110" spans="9:10" x14ac:dyDescent="0.35">
      <c r="I110" s="20"/>
      <c r="J110" s="20"/>
    </row>
    <row r="111" spans="9:10" x14ac:dyDescent="0.35">
      <c r="I111" s="20"/>
      <c r="J111" s="20"/>
    </row>
    <row r="112" spans="9:10" x14ac:dyDescent="0.35">
      <c r="I112" s="20"/>
      <c r="J112" s="20"/>
    </row>
    <row r="113" spans="9:10" x14ac:dyDescent="0.35">
      <c r="I113" s="20"/>
      <c r="J113" s="20"/>
    </row>
    <row r="114" spans="9:10" x14ac:dyDescent="0.35">
      <c r="I114" s="20"/>
      <c r="J114" s="20"/>
    </row>
    <row r="115" spans="9:10" x14ac:dyDescent="0.35">
      <c r="I115" s="20"/>
      <c r="J115" s="20"/>
    </row>
    <row r="116" spans="9:10" x14ac:dyDescent="0.35">
      <c r="I116" s="20"/>
      <c r="J116" s="20"/>
    </row>
    <row r="117" spans="9:10" x14ac:dyDescent="0.35">
      <c r="I117" s="20"/>
      <c r="J117" s="20"/>
    </row>
    <row r="118" spans="9:10" x14ac:dyDescent="0.35">
      <c r="I118" s="20"/>
      <c r="J118" s="20"/>
    </row>
    <row r="119" spans="9:10" x14ac:dyDescent="0.35">
      <c r="I119" s="20"/>
      <c r="J119" s="20"/>
    </row>
    <row r="120" spans="9:10" x14ac:dyDescent="0.35">
      <c r="I120" s="20"/>
      <c r="J120" s="20"/>
    </row>
    <row r="121" spans="9:10" x14ac:dyDescent="0.35">
      <c r="I121" s="20"/>
      <c r="J121" s="20"/>
    </row>
    <row r="122" spans="9:10" x14ac:dyDescent="0.35">
      <c r="I122" s="20"/>
      <c r="J122" s="20"/>
    </row>
    <row r="123" spans="9:10" x14ac:dyDescent="0.35">
      <c r="I123" s="20"/>
      <c r="J123" s="20"/>
    </row>
    <row r="124" spans="9:10" x14ac:dyDescent="0.35">
      <c r="I124" s="20"/>
      <c r="J124" s="20"/>
    </row>
    <row r="125" spans="9:10" x14ac:dyDescent="0.35">
      <c r="I125" s="20"/>
      <c r="J125" s="20"/>
    </row>
    <row r="126" spans="9:10" x14ac:dyDescent="0.35">
      <c r="I126" s="20"/>
      <c r="J126" s="20"/>
    </row>
    <row r="127" spans="9:10" x14ac:dyDescent="0.35">
      <c r="I127" s="20"/>
      <c r="J127" s="20"/>
    </row>
    <row r="128" spans="9:10" x14ac:dyDescent="0.35">
      <c r="I128" s="20"/>
      <c r="J128" s="20"/>
    </row>
    <row r="129" spans="9:10" x14ac:dyDescent="0.35">
      <c r="I129" s="20"/>
      <c r="J129" s="20"/>
    </row>
    <row r="130" spans="9:10" x14ac:dyDescent="0.35">
      <c r="I130" s="20"/>
      <c r="J130" s="20"/>
    </row>
    <row r="131" spans="9:10" x14ac:dyDescent="0.35">
      <c r="I131" s="20"/>
      <c r="J131" s="20"/>
    </row>
    <row r="132" spans="9:10" x14ac:dyDescent="0.35">
      <c r="I132" s="20"/>
      <c r="J132" s="20"/>
    </row>
    <row r="133" spans="9:10" x14ac:dyDescent="0.35">
      <c r="I133" s="20"/>
      <c r="J133" s="20"/>
    </row>
    <row r="134" spans="9:10" x14ac:dyDescent="0.35">
      <c r="I134" s="20"/>
      <c r="J134" s="20"/>
    </row>
    <row r="135" spans="9:10" x14ac:dyDescent="0.35">
      <c r="I135" s="20"/>
      <c r="J135" s="20"/>
    </row>
    <row r="136" spans="9:10" x14ac:dyDescent="0.35">
      <c r="I136" s="20"/>
      <c r="J136" s="20"/>
    </row>
    <row r="137" spans="9:10" x14ac:dyDescent="0.35">
      <c r="I137" s="20"/>
      <c r="J137" s="20"/>
    </row>
    <row r="138" spans="9:10" x14ac:dyDescent="0.35">
      <c r="I138" s="20"/>
      <c r="J138" s="20"/>
    </row>
    <row r="139" spans="9:10" x14ac:dyDescent="0.35">
      <c r="I139" s="20"/>
      <c r="J139" s="20"/>
    </row>
    <row r="140" spans="9:10" x14ac:dyDescent="0.35">
      <c r="I140" s="20"/>
      <c r="J140" s="20"/>
    </row>
    <row r="141" spans="9:10" x14ac:dyDescent="0.35">
      <c r="I141" s="20"/>
      <c r="J141" s="20"/>
    </row>
    <row r="142" spans="9:10" x14ac:dyDescent="0.35">
      <c r="I142" s="20"/>
      <c r="J142" s="20"/>
    </row>
    <row r="143" spans="9:10" x14ac:dyDescent="0.35">
      <c r="I143" s="20"/>
      <c r="J143" s="20"/>
    </row>
    <row r="144" spans="9:10" x14ac:dyDescent="0.35">
      <c r="I144" s="20"/>
      <c r="J144" s="20"/>
    </row>
    <row r="145" spans="9:10" x14ac:dyDescent="0.35">
      <c r="I145" s="20"/>
      <c r="J145" s="20"/>
    </row>
    <row r="146" spans="9:10" x14ac:dyDescent="0.35">
      <c r="I146" s="20"/>
      <c r="J146" s="20"/>
    </row>
    <row r="147" spans="9:10" x14ac:dyDescent="0.35">
      <c r="I147" s="20"/>
      <c r="J147" s="20"/>
    </row>
    <row r="148" spans="9:10" x14ac:dyDescent="0.35">
      <c r="I148" s="20"/>
      <c r="J148" s="20"/>
    </row>
    <row r="149" spans="9:10" x14ac:dyDescent="0.35">
      <c r="I149" s="20"/>
      <c r="J149" s="20"/>
    </row>
    <row r="150" spans="9:10" x14ac:dyDescent="0.35">
      <c r="I150" s="20"/>
      <c r="J150" s="20"/>
    </row>
    <row r="151" spans="9:10" x14ac:dyDescent="0.35">
      <c r="I151" s="20"/>
      <c r="J151" s="20"/>
    </row>
    <row r="152" spans="9:10" x14ac:dyDescent="0.35">
      <c r="I152" s="20"/>
      <c r="J152" s="20"/>
    </row>
    <row r="153" spans="9:10" x14ac:dyDescent="0.35">
      <c r="I153" s="20"/>
      <c r="J153" s="20"/>
    </row>
    <row r="154" spans="9:10" x14ac:dyDescent="0.35">
      <c r="I154" s="20"/>
      <c r="J154" s="20"/>
    </row>
    <row r="155" spans="9:10" x14ac:dyDescent="0.35">
      <c r="I155" s="20"/>
      <c r="J155" s="20"/>
    </row>
    <row r="156" spans="9:10" x14ac:dyDescent="0.35">
      <c r="I156" s="20"/>
      <c r="J156" s="20"/>
    </row>
    <row r="157" spans="9:10" x14ac:dyDescent="0.35">
      <c r="I157" s="20"/>
      <c r="J157" s="20"/>
    </row>
    <row r="158" spans="9:10" x14ac:dyDescent="0.35">
      <c r="I158" s="20"/>
      <c r="J158" s="20"/>
    </row>
    <row r="159" spans="9:10" x14ac:dyDescent="0.35">
      <c r="I159" s="20"/>
      <c r="J159" s="20"/>
    </row>
    <row r="160" spans="9:10" x14ac:dyDescent="0.35">
      <c r="I160" s="20"/>
      <c r="J160" s="20"/>
    </row>
    <row r="161" spans="9:10" x14ac:dyDescent="0.35">
      <c r="I161" s="20"/>
      <c r="J161" s="20"/>
    </row>
    <row r="162" spans="9:10" x14ac:dyDescent="0.35">
      <c r="I162" s="20"/>
      <c r="J162" s="20"/>
    </row>
    <row r="163" spans="9:10" x14ac:dyDescent="0.35">
      <c r="I163" s="20"/>
      <c r="J163" s="20"/>
    </row>
    <row r="164" spans="9:10" x14ac:dyDescent="0.35">
      <c r="I164" s="20"/>
      <c r="J164" s="20"/>
    </row>
  </sheetData>
  <mergeCells count="9">
    <mergeCell ref="L1:P8"/>
    <mergeCell ref="A31:B32"/>
    <mergeCell ref="C31:C32"/>
    <mergeCell ref="D31:D32"/>
    <mergeCell ref="I1:I2"/>
    <mergeCell ref="J1:J2"/>
    <mergeCell ref="A1:F2"/>
    <mergeCell ref="G1:G2"/>
    <mergeCell ref="E32:G36"/>
  </mergeCells>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Instrucciones</vt:lpstr>
      <vt:lpstr>Ingreso de Datos</vt:lpstr>
      <vt:lpstr>DATOS</vt:lpstr>
      <vt:lpstr>AUX</vt:lpstr>
      <vt:lpstr>AUX1</vt:lpstr>
      <vt:lpstr>Diagrama de Interacción</vt:lpstr>
      <vt:lpstr>'Diagrama de Interacción'!Print_Area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Mauro</dc:creator>
  <cp:lastModifiedBy>Facundo Leguizamón</cp:lastModifiedBy>
  <cp:lastPrinted>2013-02-26T11:59:14Z</cp:lastPrinted>
  <dcterms:created xsi:type="dcterms:W3CDTF">2013-02-19T12:39:24Z</dcterms:created>
  <dcterms:modified xsi:type="dcterms:W3CDTF">2022-11-23T13:45:55Z</dcterms:modified>
</cp:coreProperties>
</file>