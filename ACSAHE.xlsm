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6" codeName="{3D1A710C-6663-3D7B-7F91-EC182F24A4BC}"/>
  <workbookPr codeName="ThisWorkbook" defaultThemeVersion="166925"/>
  <mc:AlternateContent xmlns:mc="http://schemas.openxmlformats.org/markup-compatibility/2006">
    <mc:Choice Requires="x15">
      <x15ac:absPath xmlns:x15ac="http://schemas.microsoft.com/office/spreadsheetml/2010/11/ac" url="H:\PC Facundo L Pfeffer - Drive Backup\Ingeniería Civil - FCEIA\03 - Investigaciones\01 - Automatización de Diagramas de Interacción\01 - Archivos\ACSAHE\"/>
    </mc:Choice>
  </mc:AlternateContent>
  <xr:revisionPtr revIDLastSave="0" documentId="13_ncr:1_{6BC0D1FC-1217-4728-A4D5-0A784BC26071}" xr6:coauthVersionLast="36" xr6:coauthVersionMax="36" xr10:uidLastSave="{00000000-0000-0000-0000-000000000000}"/>
  <bookViews>
    <workbookView xWindow="-105" yWindow="-105" windowWidth="5430" windowHeight="7500" xr2:uid="{6C1792F0-6D7B-40E4-BF39-E06A9BBFB0A4}"/>
  </bookViews>
  <sheets>
    <sheet name="Instrucciones" sheetId="12" r:id="rId1"/>
    <sheet name="Ingreso de Datos" sheetId="1" r:id="rId2"/>
    <sheet name="Armaduras Pasivas" sheetId="3" r:id="rId3"/>
    <sheet name="Armaduras Activas" sheetId="4" r:id="rId4"/>
    <sheet name="Resultados 2D" sheetId="14" state="hidden" r:id="rId5"/>
    <sheet name="Resultados 3D" sheetId="16" state="hidden" r:id="rId6"/>
    <sheet name="BACKUP Ingreso de Datos" sheetId="11" state="hidden" r:id="rId7"/>
    <sheet name="AUX" sheetId="5" state="hidden" r:id="rId8"/>
  </sheets>
  <functionGroups builtInGroupCount="19"/>
  <definedNames>
    <definedName name="_xlnm.Print_Area" localSheetId="4">'Resultados 2D'!$A$2:$G$51</definedName>
    <definedName name="X_P_NoLimitado" comment="X (ΦMn) que exceden el valor de Pn de acuerdo al inciso 22.4.2.1 CIRSOC 201-2024." localSheetId="4">IF('Resultados 2D'!$L$4:$L4994="V", 'Resultados 2D'!$J$4:$J4994, NA())</definedName>
    <definedName name="X_P_nominal" comment="X (ΦMn) que NO se limitan de acuerdo al inciso 22.4.2.1 CIRSOC 201-2024." localSheetId="4">IF('Resultados 2D'!$L$4:$L4994="F", 'Resultados 2D'!$J$4:$J4994, NA())</definedName>
    <definedName name="Y_P_NoLimitado" comment="Y (ΦPn) que exceden el valor de Pn de acuerdo al inciso 22.4.2.1 CIRSOC 201-2024." localSheetId="4">IF('Resultados 2D'!$L$4:$L4994="V", 'Resultados 2D'!$I$4:$I4994, NA())</definedName>
    <definedName name="Y_P_nominal" comment="X (ΦPn) que NO se limitan de acuerdo al inciso 22.4.2.1 CIRSOC 201-2024." localSheetId="4">IF('Resultados 2D'!$L$4:$L4994="F", 'Resultados 2D'!$I$4:$I4994, NA())</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2" i="1" l="1"/>
  <c r="A22" i="11" l="1"/>
  <c r="AH3" i="4" l="1"/>
  <c r="AH4" i="4"/>
  <c r="AH5" i="4"/>
  <c r="AH6" i="4"/>
  <c r="AH7" i="4"/>
  <c r="AH8" i="4"/>
  <c r="AH9" i="4"/>
  <c r="AH10" i="4"/>
  <c r="AH11" i="4"/>
  <c r="AH12" i="4"/>
  <c r="AH13" i="4"/>
  <c r="AH14" i="4"/>
  <c r="AH15" i="4"/>
  <c r="AH16" i="4"/>
  <c r="AH17" i="4"/>
  <c r="AH18" i="4"/>
  <c r="AH19" i="4"/>
  <c r="AH20" i="4"/>
  <c r="AH21" i="4"/>
  <c r="AH22" i="4"/>
  <c r="AH23" i="4"/>
  <c r="AH24" i="4"/>
  <c r="AH25" i="4"/>
  <c r="AH26" i="4"/>
  <c r="AH27" i="4"/>
  <c r="AH28" i="4"/>
  <c r="AH29" i="4"/>
  <c r="AH30" i="4"/>
  <c r="AH31" i="4"/>
  <c r="AH32" i="4"/>
  <c r="AH33" i="4"/>
  <c r="AH34" i="4"/>
  <c r="AH35" i="4"/>
  <c r="AH36" i="4"/>
  <c r="AH37" i="4"/>
  <c r="AH38" i="4"/>
  <c r="AH39" i="4"/>
  <c r="AH40" i="4"/>
  <c r="AH41" i="4"/>
  <c r="AH42" i="4"/>
  <c r="AH43" i="4"/>
  <c r="AH44" i="4"/>
  <c r="AH45" i="4"/>
  <c r="AH46" i="4"/>
  <c r="AH47" i="4"/>
  <c r="AH48" i="4"/>
  <c r="AH49" i="4"/>
  <c r="AH50" i="4"/>
  <c r="AH51" i="4"/>
  <c r="AH52" i="4"/>
  <c r="AH53" i="4"/>
  <c r="AH54" i="4"/>
  <c r="AH55" i="4"/>
  <c r="AH56" i="4"/>
  <c r="AH57" i="4"/>
  <c r="AH58" i="4"/>
  <c r="AH59" i="4"/>
  <c r="AH60" i="4"/>
  <c r="AH61" i="4"/>
  <c r="AH62" i="4"/>
  <c r="AH63" i="4"/>
  <c r="AH64" i="4"/>
  <c r="AH65" i="4"/>
  <c r="AH66" i="4"/>
  <c r="AH67" i="4"/>
  <c r="AH68" i="4"/>
  <c r="AH69" i="4"/>
  <c r="AH70" i="4"/>
  <c r="AH71" i="4"/>
  <c r="AH72" i="4"/>
  <c r="AH73" i="4"/>
  <c r="AH74" i="4"/>
  <c r="AH75" i="4"/>
  <c r="AH76" i="4"/>
  <c r="AH77" i="4"/>
  <c r="AH78" i="4"/>
  <c r="AH79" i="4"/>
  <c r="AH80" i="4"/>
  <c r="AH81" i="4"/>
  <c r="AH82" i="4"/>
  <c r="AH83" i="4"/>
  <c r="AH84" i="4"/>
  <c r="AH85" i="4"/>
  <c r="AH86" i="4"/>
  <c r="AH87" i="4"/>
  <c r="AH88" i="4"/>
  <c r="AH89" i="4"/>
  <c r="AH90" i="4"/>
  <c r="AH91" i="4"/>
  <c r="AH92" i="4"/>
  <c r="AH93" i="4"/>
  <c r="AH94" i="4"/>
  <c r="AH95" i="4"/>
  <c r="AH96" i="4"/>
  <c r="AH97" i="4"/>
  <c r="AH98" i="4"/>
  <c r="AH99" i="4"/>
  <c r="AH100" i="4"/>
  <c r="AH101" i="4"/>
  <c r="AH102" i="4"/>
  <c r="AH103" i="4"/>
  <c r="AH104" i="4"/>
  <c r="AH105" i="4"/>
  <c r="AH106" i="4"/>
  <c r="AH107" i="4"/>
  <c r="AH108" i="4"/>
  <c r="AH109" i="4"/>
  <c r="AH110" i="4"/>
  <c r="AH111" i="4"/>
  <c r="AH112" i="4"/>
  <c r="AH113" i="4"/>
  <c r="AH114" i="4"/>
  <c r="AH115" i="4"/>
  <c r="AH116" i="4"/>
  <c r="AH117" i="4"/>
  <c r="AH118" i="4"/>
  <c r="AH119" i="4"/>
  <c r="AH120" i="4"/>
  <c r="AH121" i="4"/>
  <c r="AH122" i="4"/>
  <c r="AH123" i="4"/>
  <c r="AH124" i="4"/>
  <c r="AH125" i="4"/>
  <c r="AH126" i="4"/>
  <c r="AH127" i="4"/>
  <c r="AH128" i="4"/>
  <c r="AH129" i="4"/>
  <c r="AH130" i="4"/>
  <c r="AH131" i="4"/>
  <c r="AH132" i="4"/>
  <c r="AH133" i="4"/>
  <c r="AH134" i="4"/>
  <c r="AH135" i="4"/>
  <c r="AH136" i="4"/>
  <c r="AH137" i="4"/>
  <c r="AH138" i="4"/>
  <c r="AH139" i="4"/>
  <c r="AH140" i="4"/>
  <c r="AH141" i="4"/>
  <c r="AH142" i="4"/>
  <c r="AH143" i="4"/>
  <c r="AH144" i="4"/>
  <c r="AH145" i="4"/>
  <c r="AH146" i="4"/>
  <c r="AH147" i="4"/>
  <c r="AH148" i="4"/>
  <c r="AH149" i="4"/>
  <c r="AH150" i="4"/>
  <c r="AH151" i="4"/>
  <c r="AH152" i="4"/>
  <c r="AH153" i="4"/>
  <c r="AH154" i="4"/>
  <c r="AH155" i="4"/>
  <c r="AH156" i="4"/>
  <c r="AH157" i="4"/>
  <c r="AH158" i="4"/>
  <c r="AH159" i="4"/>
  <c r="AH160" i="4"/>
  <c r="AH161" i="4"/>
  <c r="AH162" i="4"/>
  <c r="AH163" i="4"/>
  <c r="AH164" i="4"/>
  <c r="AH165" i="4"/>
  <c r="AH166" i="4"/>
  <c r="AH167" i="4"/>
  <c r="AH168" i="4"/>
  <c r="AH169" i="4"/>
  <c r="AH170" i="4"/>
  <c r="AH171" i="4"/>
  <c r="AH172" i="4"/>
  <c r="AH173" i="4"/>
  <c r="AH174" i="4"/>
  <c r="AH175" i="4"/>
  <c r="AH176" i="4"/>
  <c r="AH177" i="4"/>
  <c r="AH178" i="4"/>
  <c r="AH179" i="4"/>
  <c r="AH180" i="4"/>
  <c r="AH181" i="4"/>
  <c r="AH182" i="4"/>
  <c r="AH183" i="4"/>
  <c r="AH184" i="4"/>
  <c r="AH185" i="4"/>
  <c r="AH186" i="4"/>
  <c r="AH187" i="4"/>
  <c r="AH188" i="4"/>
  <c r="AH189" i="4"/>
  <c r="AH190" i="4"/>
  <c r="AH191" i="4"/>
  <c r="AH192" i="4"/>
  <c r="AH193" i="4"/>
  <c r="AH194" i="4"/>
  <c r="AH195" i="4"/>
  <c r="AH196" i="4"/>
  <c r="AH197" i="4"/>
  <c r="AH198" i="4"/>
  <c r="AH199" i="4"/>
  <c r="AH200" i="4"/>
  <c r="AH201" i="4"/>
  <c r="AH202" i="4"/>
  <c r="AH2" i="4"/>
  <c r="AD3" i="4"/>
  <c r="AB3" i="4"/>
  <c r="AB4" i="4" s="1"/>
  <c r="AB5" i="4" s="1"/>
  <c r="AB6" i="4" s="1"/>
  <c r="AB7" i="4" s="1"/>
  <c r="AB8" i="4" s="1"/>
  <c r="AB9" i="4" s="1"/>
  <c r="AB10" i="4" s="1"/>
  <c r="AB11" i="4" s="1"/>
  <c r="AB12" i="4" s="1"/>
  <c r="AB13" i="4" s="1"/>
  <c r="AB14" i="4" s="1"/>
  <c r="AB15" i="4" s="1"/>
  <c r="AB16" i="4" s="1"/>
  <c r="AB17" i="4" s="1"/>
  <c r="AB18" i="4" s="1"/>
  <c r="AB19" i="4" s="1"/>
  <c r="AB20" i="4" s="1"/>
  <c r="AB21" i="4" s="1"/>
  <c r="AB22" i="4" s="1"/>
  <c r="AB23" i="4" s="1"/>
  <c r="AB24" i="4" s="1"/>
  <c r="AB25" i="4" s="1"/>
  <c r="AB26" i="4" s="1"/>
  <c r="AB27" i="4" s="1"/>
  <c r="AB28" i="4" s="1"/>
  <c r="AB29" i="4" s="1"/>
  <c r="AB30" i="4" s="1"/>
  <c r="AB31" i="4" s="1"/>
  <c r="AB32" i="4" s="1"/>
  <c r="AB33" i="4" s="1"/>
  <c r="AB34" i="4" s="1"/>
  <c r="AB35" i="4" s="1"/>
  <c r="AB36" i="4" s="1"/>
  <c r="AB37" i="4" s="1"/>
  <c r="AB38" i="4" s="1"/>
  <c r="AB39" i="4" s="1"/>
  <c r="AB40" i="4" s="1"/>
  <c r="AB41" i="4" s="1"/>
  <c r="AB42" i="4" s="1"/>
  <c r="AB43" i="4" s="1"/>
  <c r="AB44" i="4" s="1"/>
  <c r="AB45" i="4" s="1"/>
  <c r="AB46" i="4" s="1"/>
  <c r="AB47" i="4" s="1"/>
  <c r="AB48" i="4" s="1"/>
  <c r="AB49" i="4" s="1"/>
  <c r="AB50" i="4" s="1"/>
  <c r="AB51" i="4" s="1"/>
  <c r="AB52" i="4" s="1"/>
  <c r="AB53" i="4" s="1"/>
  <c r="AB54" i="4" s="1"/>
  <c r="AB55" i="4" s="1"/>
  <c r="AB56" i="4" s="1"/>
  <c r="AB57" i="4" s="1"/>
  <c r="AB58" i="4" s="1"/>
  <c r="AB59" i="4" s="1"/>
  <c r="AB60" i="4" s="1"/>
  <c r="AB61" i="4" s="1"/>
  <c r="AB62" i="4" s="1"/>
  <c r="AB63" i="4" s="1"/>
  <c r="AB64" i="4" s="1"/>
  <c r="AB65" i="4" s="1"/>
  <c r="AB66" i="4" s="1"/>
  <c r="AB67" i="4" s="1"/>
  <c r="AB68" i="4" s="1"/>
  <c r="AB69" i="4" s="1"/>
  <c r="AB70" i="4" s="1"/>
  <c r="AB71" i="4" s="1"/>
  <c r="AB72" i="4" s="1"/>
  <c r="AB73" i="4" s="1"/>
  <c r="AB74" i="4" s="1"/>
  <c r="AB75" i="4" s="1"/>
  <c r="AB76" i="4" s="1"/>
  <c r="AB77" i="4" s="1"/>
  <c r="AB78" i="4" s="1"/>
  <c r="AB79" i="4" s="1"/>
  <c r="AB80" i="4" s="1"/>
  <c r="AB81" i="4" s="1"/>
  <c r="AB82" i="4" s="1"/>
  <c r="AB83" i="4" s="1"/>
  <c r="AB84" i="4" s="1"/>
  <c r="AB85" i="4" s="1"/>
  <c r="AB86" i="4" s="1"/>
  <c r="AB87" i="4" s="1"/>
  <c r="AB88" i="4" s="1"/>
  <c r="AB89" i="4" s="1"/>
  <c r="AB90" i="4" s="1"/>
  <c r="AB91" i="4" s="1"/>
  <c r="AB92" i="4" s="1"/>
  <c r="AB93" i="4" s="1"/>
  <c r="AB94" i="4" s="1"/>
  <c r="AB95" i="4" s="1"/>
  <c r="AB96" i="4" s="1"/>
  <c r="AB97" i="4" s="1"/>
  <c r="AB98" i="4" s="1"/>
  <c r="AB99" i="4" s="1"/>
  <c r="AB100" i="4" s="1"/>
  <c r="AB101" i="4" s="1"/>
  <c r="AB102" i="4" s="1"/>
  <c r="AB103" i="4" s="1"/>
  <c r="AB104" i="4" s="1"/>
  <c r="AB105" i="4" s="1"/>
  <c r="AB106" i="4" s="1"/>
  <c r="AB107" i="4" s="1"/>
  <c r="AB108" i="4" s="1"/>
  <c r="AB109" i="4" s="1"/>
  <c r="AB110" i="4" s="1"/>
  <c r="AB111" i="4" s="1"/>
  <c r="AB112" i="4" s="1"/>
  <c r="AB113" i="4" s="1"/>
  <c r="AB114" i="4" s="1"/>
  <c r="AB115" i="4" s="1"/>
  <c r="AB116" i="4" s="1"/>
  <c r="AB117" i="4" s="1"/>
  <c r="AB118" i="4" s="1"/>
  <c r="AB119" i="4" s="1"/>
  <c r="AB120" i="4" s="1"/>
  <c r="AB121" i="4" s="1"/>
  <c r="AB122" i="4" s="1"/>
  <c r="AB123" i="4" s="1"/>
  <c r="AB124" i="4" s="1"/>
  <c r="AB125" i="4" s="1"/>
  <c r="AB126" i="4" s="1"/>
  <c r="AB127" i="4" s="1"/>
  <c r="AB128" i="4" s="1"/>
  <c r="AB129" i="4" s="1"/>
  <c r="AB130" i="4" s="1"/>
  <c r="AB131" i="4" s="1"/>
  <c r="AB132" i="4" s="1"/>
  <c r="AB133" i="4" s="1"/>
  <c r="AB134" i="4" s="1"/>
  <c r="AB135" i="4" s="1"/>
  <c r="AB136" i="4" s="1"/>
  <c r="AB137" i="4" s="1"/>
  <c r="AB138" i="4" s="1"/>
  <c r="AB139" i="4" s="1"/>
  <c r="AB140" i="4" s="1"/>
  <c r="AB141" i="4" s="1"/>
  <c r="AB142" i="4" s="1"/>
  <c r="AB143" i="4" s="1"/>
  <c r="AB144" i="4" s="1"/>
  <c r="AB145" i="4" s="1"/>
  <c r="AB146" i="4" s="1"/>
  <c r="AB147" i="4" s="1"/>
  <c r="AB148" i="4" s="1"/>
  <c r="AB149" i="4" s="1"/>
  <c r="AB150" i="4" s="1"/>
  <c r="AB151" i="4" s="1"/>
  <c r="AB152" i="4" s="1"/>
  <c r="AB153" i="4" s="1"/>
  <c r="AB154" i="4" s="1"/>
  <c r="AB155" i="4" s="1"/>
  <c r="AB156" i="4" s="1"/>
  <c r="AB157" i="4" s="1"/>
  <c r="AB158" i="4" s="1"/>
  <c r="AB159" i="4" s="1"/>
  <c r="AB160" i="4" s="1"/>
  <c r="AB161" i="4" s="1"/>
  <c r="AB162" i="4" s="1"/>
  <c r="AB163" i="4" s="1"/>
  <c r="AB164" i="4" s="1"/>
  <c r="AB165" i="4" s="1"/>
  <c r="AB166" i="4" s="1"/>
  <c r="AB167" i="4" s="1"/>
  <c r="AB168" i="4" s="1"/>
  <c r="AB169" i="4" s="1"/>
  <c r="AB170" i="4" s="1"/>
  <c r="AB171" i="4" s="1"/>
  <c r="AB172" i="4" s="1"/>
  <c r="AB173" i="4" s="1"/>
  <c r="AB174" i="4" s="1"/>
  <c r="AB175" i="4" s="1"/>
  <c r="AB176" i="4" s="1"/>
  <c r="AB177" i="4" s="1"/>
  <c r="AB178" i="4" s="1"/>
  <c r="AB179" i="4" s="1"/>
  <c r="AB180" i="4" s="1"/>
  <c r="AB181" i="4" s="1"/>
  <c r="AB182" i="4" s="1"/>
  <c r="AB183" i="4" s="1"/>
  <c r="AB184" i="4" s="1"/>
  <c r="AB185" i="4" s="1"/>
  <c r="AB186" i="4" s="1"/>
  <c r="AB187" i="4" s="1"/>
  <c r="AB188" i="4" s="1"/>
  <c r="AB189" i="4" s="1"/>
  <c r="AB190" i="4" s="1"/>
  <c r="AB191" i="4" s="1"/>
  <c r="AB192" i="4" s="1"/>
  <c r="AB193" i="4" s="1"/>
  <c r="AB194" i="4" s="1"/>
  <c r="AB195" i="4" s="1"/>
  <c r="AB196" i="4" s="1"/>
  <c r="AB197" i="4" s="1"/>
  <c r="AB198" i="4" s="1"/>
  <c r="AB199" i="4" s="1"/>
  <c r="AB200" i="4" s="1"/>
  <c r="AB201" i="4" s="1"/>
  <c r="AB202" i="4" s="1"/>
  <c r="AF202" i="4" s="1"/>
  <c r="AC3" i="4"/>
  <c r="AC4" i="4" s="1"/>
  <c r="AC5" i="4" s="1"/>
  <c r="AC6" i="4" s="1"/>
  <c r="AC7" i="4" s="1"/>
  <c r="AC8" i="4" s="1"/>
  <c r="AC9" i="4" s="1"/>
  <c r="AC10" i="4" s="1"/>
  <c r="AC11" i="4" s="1"/>
  <c r="AC12" i="4" s="1"/>
  <c r="AC13" i="4" s="1"/>
  <c r="AC14" i="4" s="1"/>
  <c r="AC15" i="4" s="1"/>
  <c r="AC16" i="4" s="1"/>
  <c r="AC17" i="4" s="1"/>
  <c r="AC18" i="4" s="1"/>
  <c r="AC19" i="4" s="1"/>
  <c r="AC20" i="4" s="1"/>
  <c r="AC21" i="4" s="1"/>
  <c r="AC22" i="4" s="1"/>
  <c r="AC23" i="4" s="1"/>
  <c r="AC24" i="4" s="1"/>
  <c r="AC25" i="4" s="1"/>
  <c r="AC26" i="4" s="1"/>
  <c r="AC27" i="4" s="1"/>
  <c r="AC28" i="4" s="1"/>
  <c r="AC29" i="4" s="1"/>
  <c r="AC30" i="4" s="1"/>
  <c r="AC31" i="4" s="1"/>
  <c r="AC32" i="4" s="1"/>
  <c r="AC33" i="4" s="1"/>
  <c r="AC34" i="4" s="1"/>
  <c r="AC35" i="4" s="1"/>
  <c r="AC36" i="4" s="1"/>
  <c r="AC37" i="4" s="1"/>
  <c r="AC38" i="4" s="1"/>
  <c r="AC39" i="4" s="1"/>
  <c r="AC40" i="4" s="1"/>
  <c r="AC41" i="4" s="1"/>
  <c r="AC42" i="4" s="1"/>
  <c r="AC43" i="4" s="1"/>
  <c r="AC44" i="4" s="1"/>
  <c r="AC45" i="4" s="1"/>
  <c r="AC46" i="4" s="1"/>
  <c r="AC47" i="4" s="1"/>
  <c r="AC48" i="4" s="1"/>
  <c r="AC49" i="4" s="1"/>
  <c r="AC50" i="4" s="1"/>
  <c r="AC51" i="4" s="1"/>
  <c r="AC52" i="4" s="1"/>
  <c r="AC53" i="4" s="1"/>
  <c r="AC54" i="4" s="1"/>
  <c r="AC55" i="4" s="1"/>
  <c r="AC56" i="4" s="1"/>
  <c r="AC57" i="4" s="1"/>
  <c r="AC58" i="4" s="1"/>
  <c r="AC59" i="4" s="1"/>
  <c r="AC60" i="4" s="1"/>
  <c r="AC61" i="4" s="1"/>
  <c r="AC62" i="4" s="1"/>
  <c r="AC63" i="4" s="1"/>
  <c r="AC64" i="4" s="1"/>
  <c r="AC65" i="4" s="1"/>
  <c r="AC66" i="4" s="1"/>
  <c r="AC67" i="4" s="1"/>
  <c r="AC68" i="4" s="1"/>
  <c r="AC69" i="4" s="1"/>
  <c r="AC70" i="4" s="1"/>
  <c r="AC71" i="4" s="1"/>
  <c r="AC72" i="4" s="1"/>
  <c r="AC73" i="4" s="1"/>
  <c r="AC74" i="4" s="1"/>
  <c r="AC75" i="4" s="1"/>
  <c r="AC76" i="4" s="1"/>
  <c r="AC77" i="4" s="1"/>
  <c r="AC78" i="4" s="1"/>
  <c r="AC79" i="4" s="1"/>
  <c r="AC80" i="4" s="1"/>
  <c r="AC81" i="4" s="1"/>
  <c r="AC82" i="4" s="1"/>
  <c r="AC83" i="4" s="1"/>
  <c r="AC84" i="4" s="1"/>
  <c r="AC85" i="4" s="1"/>
  <c r="AC86" i="4" s="1"/>
  <c r="AC87" i="4" s="1"/>
  <c r="AC88" i="4" s="1"/>
  <c r="AC89" i="4" s="1"/>
  <c r="AC90" i="4" s="1"/>
  <c r="AC91" i="4" s="1"/>
  <c r="AC92" i="4" s="1"/>
  <c r="AC93" i="4" s="1"/>
  <c r="AC94" i="4" s="1"/>
  <c r="AC95" i="4" s="1"/>
  <c r="AC96" i="4" s="1"/>
  <c r="AC97" i="4" s="1"/>
  <c r="AC98" i="4" s="1"/>
  <c r="AC99" i="4" s="1"/>
  <c r="AC100" i="4" s="1"/>
  <c r="AC101" i="4" s="1"/>
  <c r="AC102" i="4" s="1"/>
  <c r="AC103" i="4" s="1"/>
  <c r="AC104" i="4" s="1"/>
  <c r="AC105" i="4" s="1"/>
  <c r="AC106" i="4" s="1"/>
  <c r="AC107" i="4" s="1"/>
  <c r="AC108" i="4" s="1"/>
  <c r="AC109" i="4" s="1"/>
  <c r="AC110" i="4" s="1"/>
  <c r="AC111" i="4" s="1"/>
  <c r="AC112" i="4" s="1"/>
  <c r="AC113" i="4" s="1"/>
  <c r="AC114" i="4" s="1"/>
  <c r="AC115" i="4" s="1"/>
  <c r="AC116" i="4" s="1"/>
  <c r="AC117" i="4" s="1"/>
  <c r="AC118" i="4" s="1"/>
  <c r="AC119" i="4" s="1"/>
  <c r="AC120" i="4" s="1"/>
  <c r="AC121" i="4" s="1"/>
  <c r="AC122" i="4" s="1"/>
  <c r="AC123" i="4" s="1"/>
  <c r="AC124" i="4" s="1"/>
  <c r="AC125" i="4" s="1"/>
  <c r="AC126" i="4" s="1"/>
  <c r="AC127" i="4" s="1"/>
  <c r="AC128" i="4" s="1"/>
  <c r="AC129" i="4" s="1"/>
  <c r="AC130" i="4" s="1"/>
  <c r="AC131" i="4" s="1"/>
  <c r="AC132" i="4" s="1"/>
  <c r="AC133" i="4" s="1"/>
  <c r="AC134" i="4" s="1"/>
  <c r="AC135" i="4" s="1"/>
  <c r="AC136" i="4" s="1"/>
  <c r="AC137" i="4" s="1"/>
  <c r="AC138" i="4" s="1"/>
  <c r="AC139" i="4" s="1"/>
  <c r="AC140" i="4" s="1"/>
  <c r="AC141" i="4" s="1"/>
  <c r="AC142" i="4" s="1"/>
  <c r="AC143" i="4" s="1"/>
  <c r="AC144" i="4" s="1"/>
  <c r="AC145" i="4" s="1"/>
  <c r="AC146" i="4" s="1"/>
  <c r="AC147" i="4" s="1"/>
  <c r="AC148" i="4" s="1"/>
  <c r="AC149" i="4" s="1"/>
  <c r="AC150" i="4" s="1"/>
  <c r="AC151" i="4" s="1"/>
  <c r="AC152" i="4" s="1"/>
  <c r="AC153" i="4" s="1"/>
  <c r="AC154" i="4" s="1"/>
  <c r="AC155" i="4" s="1"/>
  <c r="AC156" i="4" s="1"/>
  <c r="AC157" i="4" s="1"/>
  <c r="AC158" i="4" s="1"/>
  <c r="AC159" i="4" s="1"/>
  <c r="AC160" i="4" s="1"/>
  <c r="AC161" i="4" s="1"/>
  <c r="AC162" i="4" s="1"/>
  <c r="AC163" i="4" s="1"/>
  <c r="AC164" i="4" s="1"/>
  <c r="AC165" i="4" s="1"/>
  <c r="AC166" i="4" s="1"/>
  <c r="AC167" i="4" s="1"/>
  <c r="AC168" i="4" s="1"/>
  <c r="AC169" i="4" s="1"/>
  <c r="AC170" i="4" s="1"/>
  <c r="AC171" i="4" s="1"/>
  <c r="AC172" i="4" s="1"/>
  <c r="AC173" i="4" s="1"/>
  <c r="AC174" i="4" s="1"/>
  <c r="AC175" i="4" s="1"/>
  <c r="AC176" i="4" s="1"/>
  <c r="AC177" i="4" s="1"/>
  <c r="AC178" i="4" s="1"/>
  <c r="AC179" i="4" s="1"/>
  <c r="AC180" i="4" s="1"/>
  <c r="AC181" i="4" s="1"/>
  <c r="AC182" i="4" s="1"/>
  <c r="AC183" i="4" s="1"/>
  <c r="AC184" i="4" s="1"/>
  <c r="AC185" i="4" s="1"/>
  <c r="AC186" i="4" s="1"/>
  <c r="AC187" i="4" s="1"/>
  <c r="AC188" i="4" s="1"/>
  <c r="AC189" i="4" s="1"/>
  <c r="AC190" i="4" s="1"/>
  <c r="AC191" i="4" s="1"/>
  <c r="AC192" i="4" s="1"/>
  <c r="AC193" i="4" s="1"/>
  <c r="AC194" i="4" s="1"/>
  <c r="AC195" i="4" s="1"/>
  <c r="AC196" i="4" s="1"/>
  <c r="AC197" i="4" s="1"/>
  <c r="AC198" i="4" s="1"/>
  <c r="AC199" i="4" s="1"/>
  <c r="AC200" i="4" s="1"/>
  <c r="AC201" i="4" s="1"/>
  <c r="AC202" i="4" s="1"/>
  <c r="AG202" i="4" s="1"/>
  <c r="AA3" i="4"/>
  <c r="AA4" i="4" s="1"/>
  <c r="AA5" i="4" s="1"/>
  <c r="AA6" i="4" s="1"/>
  <c r="AA7" i="4" s="1"/>
  <c r="AA8" i="4" s="1"/>
  <c r="AA9" i="4" s="1"/>
  <c r="AA10" i="4" s="1"/>
  <c r="AA11" i="4" s="1"/>
  <c r="AA12" i="4" s="1"/>
  <c r="AA13" i="4" s="1"/>
  <c r="AA14" i="4" s="1"/>
  <c r="AA15" i="4" s="1"/>
  <c r="AA16" i="4" s="1"/>
  <c r="AA17" i="4" s="1"/>
  <c r="AA18" i="4" s="1"/>
  <c r="AA19" i="4" s="1"/>
  <c r="AA20" i="4" s="1"/>
  <c r="AA21" i="4" s="1"/>
  <c r="AA22" i="4" s="1"/>
  <c r="AA23" i="4" s="1"/>
  <c r="AA24" i="4" s="1"/>
  <c r="AA25" i="4" s="1"/>
  <c r="AA26" i="4" s="1"/>
  <c r="AA27" i="4" s="1"/>
  <c r="AA28" i="4" s="1"/>
  <c r="AA29" i="4" s="1"/>
  <c r="AA30" i="4" s="1"/>
  <c r="AA31" i="4" s="1"/>
  <c r="AA32" i="4" s="1"/>
  <c r="AA33" i="4" s="1"/>
  <c r="AA34" i="4" s="1"/>
  <c r="AA35" i="4" s="1"/>
  <c r="AA36" i="4" s="1"/>
  <c r="AA37" i="4" s="1"/>
  <c r="AA38" i="4" s="1"/>
  <c r="AA39" i="4" s="1"/>
  <c r="AA40" i="4" s="1"/>
  <c r="AA41" i="4" s="1"/>
  <c r="AA42" i="4" s="1"/>
  <c r="AA43" i="4" s="1"/>
  <c r="AA44" i="4" s="1"/>
  <c r="AA45" i="4" s="1"/>
  <c r="AA46" i="4" s="1"/>
  <c r="AA47" i="4" s="1"/>
  <c r="AA48" i="4" s="1"/>
  <c r="AA49" i="4" s="1"/>
  <c r="AA50" i="4" s="1"/>
  <c r="AA51" i="4" s="1"/>
  <c r="AA52" i="4" s="1"/>
  <c r="AA53" i="4" s="1"/>
  <c r="AA54" i="4" s="1"/>
  <c r="AA55" i="4" s="1"/>
  <c r="AA56" i="4" s="1"/>
  <c r="AA57" i="4" s="1"/>
  <c r="AA58" i="4" s="1"/>
  <c r="AA59" i="4" s="1"/>
  <c r="AA60" i="4" s="1"/>
  <c r="AA61" i="4" s="1"/>
  <c r="AA62" i="4" s="1"/>
  <c r="AA63" i="4" s="1"/>
  <c r="AA64" i="4" s="1"/>
  <c r="AA65" i="4" s="1"/>
  <c r="AA66" i="4" s="1"/>
  <c r="AA67" i="4" s="1"/>
  <c r="AA68" i="4" s="1"/>
  <c r="AA69" i="4" s="1"/>
  <c r="AA70" i="4" s="1"/>
  <c r="AA71" i="4" s="1"/>
  <c r="AA72" i="4" s="1"/>
  <c r="AA73" i="4" s="1"/>
  <c r="AA74" i="4" s="1"/>
  <c r="AA75" i="4" s="1"/>
  <c r="AA76" i="4" s="1"/>
  <c r="AA77" i="4" s="1"/>
  <c r="AA78" i="4" s="1"/>
  <c r="AA79" i="4" s="1"/>
  <c r="AA80" i="4" s="1"/>
  <c r="AA81" i="4" s="1"/>
  <c r="AA82" i="4" s="1"/>
  <c r="AA83" i="4" s="1"/>
  <c r="AA84" i="4" s="1"/>
  <c r="AA85" i="4" s="1"/>
  <c r="AA86" i="4" s="1"/>
  <c r="AA87" i="4" s="1"/>
  <c r="AA88" i="4" s="1"/>
  <c r="AA89" i="4" s="1"/>
  <c r="AA90" i="4" s="1"/>
  <c r="AA91" i="4" s="1"/>
  <c r="AA92" i="4" s="1"/>
  <c r="AA93" i="4" s="1"/>
  <c r="AA94" i="4" s="1"/>
  <c r="AA95" i="4" s="1"/>
  <c r="AA96" i="4" s="1"/>
  <c r="AA97" i="4" s="1"/>
  <c r="AA98" i="4" s="1"/>
  <c r="AA99" i="4" s="1"/>
  <c r="AA100" i="4" s="1"/>
  <c r="AA101" i="4" s="1"/>
  <c r="AA102" i="4" s="1"/>
  <c r="AA103" i="4" s="1"/>
  <c r="AA104" i="4" s="1"/>
  <c r="AA105" i="4" s="1"/>
  <c r="AA106" i="4" s="1"/>
  <c r="AA107" i="4" s="1"/>
  <c r="AA108" i="4" s="1"/>
  <c r="AA109" i="4" s="1"/>
  <c r="AA110" i="4" s="1"/>
  <c r="AA111" i="4" s="1"/>
  <c r="AA112" i="4" s="1"/>
  <c r="AA113" i="4" s="1"/>
  <c r="AA114" i="4" s="1"/>
  <c r="AA115" i="4" s="1"/>
  <c r="AA116" i="4" s="1"/>
  <c r="AA117" i="4" s="1"/>
  <c r="AA118" i="4" s="1"/>
  <c r="AA119" i="4" s="1"/>
  <c r="AA120" i="4" s="1"/>
  <c r="AA121" i="4" s="1"/>
  <c r="AA122" i="4" s="1"/>
  <c r="AA123" i="4" s="1"/>
  <c r="AA124" i="4" s="1"/>
  <c r="AA125" i="4" s="1"/>
  <c r="AA126" i="4" s="1"/>
  <c r="AA127" i="4" s="1"/>
  <c r="AA128" i="4" s="1"/>
  <c r="AA129" i="4" s="1"/>
  <c r="AA130" i="4" s="1"/>
  <c r="AA131" i="4" s="1"/>
  <c r="AA132" i="4" s="1"/>
  <c r="AA133" i="4" s="1"/>
  <c r="AA134" i="4" s="1"/>
  <c r="AA135" i="4" s="1"/>
  <c r="AA136" i="4" s="1"/>
  <c r="AA137" i="4" s="1"/>
  <c r="AA138" i="4" s="1"/>
  <c r="AA139" i="4" s="1"/>
  <c r="AA140" i="4" s="1"/>
  <c r="AA141" i="4" s="1"/>
  <c r="AA142" i="4" s="1"/>
  <c r="AA143" i="4" s="1"/>
  <c r="AA144" i="4" s="1"/>
  <c r="AA145" i="4" s="1"/>
  <c r="AA146" i="4" s="1"/>
  <c r="AA147" i="4" s="1"/>
  <c r="AA148" i="4" s="1"/>
  <c r="AA149" i="4" s="1"/>
  <c r="AA150" i="4" s="1"/>
  <c r="AA151" i="4" s="1"/>
  <c r="AA152" i="4" s="1"/>
  <c r="AA153" i="4" s="1"/>
  <c r="AA154" i="4" s="1"/>
  <c r="AA155" i="4" s="1"/>
  <c r="AA156" i="4" s="1"/>
  <c r="AA157" i="4" s="1"/>
  <c r="AA158" i="4" s="1"/>
  <c r="AA159" i="4" s="1"/>
  <c r="AA160" i="4" s="1"/>
  <c r="AA161" i="4" s="1"/>
  <c r="AA162" i="4" s="1"/>
  <c r="AA163" i="4" s="1"/>
  <c r="AA164" i="4" s="1"/>
  <c r="AA165" i="4" s="1"/>
  <c r="AA166" i="4" s="1"/>
  <c r="AA167" i="4" s="1"/>
  <c r="AA168" i="4" s="1"/>
  <c r="AA169" i="4" s="1"/>
  <c r="AA170" i="4" s="1"/>
  <c r="AA171" i="4" s="1"/>
  <c r="AA172" i="4" s="1"/>
  <c r="AA173" i="4" s="1"/>
  <c r="AA174" i="4" s="1"/>
  <c r="AA175" i="4" s="1"/>
  <c r="AA176" i="4" s="1"/>
  <c r="AA177" i="4" s="1"/>
  <c r="AA178" i="4" s="1"/>
  <c r="AA179" i="4" s="1"/>
  <c r="AA180" i="4" s="1"/>
  <c r="AA181" i="4" s="1"/>
  <c r="AA182" i="4" s="1"/>
  <c r="AA183" i="4" s="1"/>
  <c r="AA184" i="4" s="1"/>
  <c r="AA185" i="4" s="1"/>
  <c r="AA186" i="4" s="1"/>
  <c r="AA187" i="4" s="1"/>
  <c r="AA188" i="4" s="1"/>
  <c r="AA189" i="4" s="1"/>
  <c r="AA190" i="4" s="1"/>
  <c r="AA191" i="4" s="1"/>
  <c r="AA192" i="4" s="1"/>
  <c r="AA193" i="4" s="1"/>
  <c r="AA194" i="4" s="1"/>
  <c r="AA195" i="4" s="1"/>
  <c r="AA196" i="4" s="1"/>
  <c r="AA197" i="4" s="1"/>
  <c r="AA198" i="4" s="1"/>
  <c r="AA199" i="4" s="1"/>
  <c r="AA200" i="4" s="1"/>
  <c r="AA201" i="4" s="1"/>
  <c r="AA202" i="4" s="1"/>
  <c r="AF2" i="4"/>
  <c r="AG2" i="4"/>
  <c r="AE2" i="4"/>
  <c r="AG3" i="4" l="1"/>
  <c r="AD4" i="4"/>
  <c r="AF3" i="4"/>
  <c r="AF4" i="4"/>
  <c r="AF44" i="4"/>
  <c r="AF40" i="4"/>
  <c r="AF36" i="4"/>
  <c r="AF32" i="4"/>
  <c r="AF12" i="4"/>
  <c r="AF8" i="4"/>
  <c r="AF28" i="4"/>
  <c r="AF56" i="4"/>
  <c r="AF24" i="4"/>
  <c r="AF52" i="4"/>
  <c r="AF20" i="4"/>
  <c r="AF48" i="4"/>
  <c r="AF16" i="4"/>
  <c r="AF196" i="4"/>
  <c r="AF176" i="4"/>
  <c r="AF152" i="4"/>
  <c r="AF132" i="4"/>
  <c r="AF104" i="4"/>
  <c r="AF88" i="4"/>
  <c r="AF68" i="4"/>
  <c r="AF201" i="4"/>
  <c r="AF197" i="4"/>
  <c r="AF193" i="4"/>
  <c r="AF189" i="4"/>
  <c r="AF185" i="4"/>
  <c r="AF181" i="4"/>
  <c r="AF177" i="4"/>
  <c r="AF173" i="4"/>
  <c r="AF169" i="4"/>
  <c r="AF165" i="4"/>
  <c r="AF161" i="4"/>
  <c r="AF157" i="4"/>
  <c r="AF153" i="4"/>
  <c r="AF149" i="4"/>
  <c r="AF145" i="4"/>
  <c r="AF141" i="4"/>
  <c r="AF137" i="4"/>
  <c r="AF133" i="4"/>
  <c r="AF129" i="4"/>
  <c r="AF125" i="4"/>
  <c r="AF121" i="4"/>
  <c r="AF117" i="4"/>
  <c r="AF113" i="4"/>
  <c r="AF109" i="4"/>
  <c r="AF105" i="4"/>
  <c r="AF101" i="4"/>
  <c r="AF97" i="4"/>
  <c r="AF93" i="4"/>
  <c r="AF89" i="4"/>
  <c r="AF85" i="4"/>
  <c r="AF81" i="4"/>
  <c r="AF77" i="4"/>
  <c r="AF73" i="4"/>
  <c r="AF69" i="4"/>
  <c r="AF65" i="4"/>
  <c r="AF61" i="4"/>
  <c r="AF57" i="4"/>
  <c r="AF53" i="4"/>
  <c r="AF49" i="4"/>
  <c r="AF45" i="4"/>
  <c r="AF41" i="4"/>
  <c r="AF37" i="4"/>
  <c r="AF33" i="4"/>
  <c r="AF29" i="4"/>
  <c r="AF25" i="4"/>
  <c r="AF21" i="4"/>
  <c r="AF17" i="4"/>
  <c r="AF13" i="4"/>
  <c r="AF9" i="4"/>
  <c r="AF5" i="4"/>
  <c r="AG172" i="4"/>
  <c r="AG144" i="4"/>
  <c r="AG140" i="4"/>
  <c r="AG112" i="4"/>
  <c r="AG108" i="4"/>
  <c r="AG80" i="4"/>
  <c r="AG76" i="4"/>
  <c r="AG48" i="4"/>
  <c r="AG44" i="4"/>
  <c r="AG40" i="4"/>
  <c r="AG36" i="4"/>
  <c r="AG32" i="4"/>
  <c r="AG28" i="4"/>
  <c r="AG24" i="4"/>
  <c r="AG20" i="4"/>
  <c r="AG16" i="4"/>
  <c r="AG12" i="4"/>
  <c r="AG8" i="4"/>
  <c r="AG4" i="4"/>
  <c r="AF188" i="4"/>
  <c r="AF172" i="4"/>
  <c r="AF156" i="4"/>
  <c r="AF140" i="4"/>
  <c r="AF120" i="4"/>
  <c r="AF92" i="4"/>
  <c r="AF76" i="4"/>
  <c r="AG111" i="4"/>
  <c r="AG95" i="4"/>
  <c r="AG75" i="4"/>
  <c r="AG59" i="4"/>
  <c r="AG55" i="4"/>
  <c r="AG47" i="4"/>
  <c r="AG43" i="4"/>
  <c r="AG35" i="4"/>
  <c r="AG31" i="4"/>
  <c r="AG27" i="4"/>
  <c r="AG23" i="4"/>
  <c r="AG19" i="4"/>
  <c r="AF199" i="4"/>
  <c r="AF195" i="4"/>
  <c r="AF191" i="4"/>
  <c r="AF187" i="4"/>
  <c r="AF183" i="4"/>
  <c r="AF179" i="4"/>
  <c r="AF175" i="4"/>
  <c r="AF171" i="4"/>
  <c r="AF167" i="4"/>
  <c r="AF163" i="4"/>
  <c r="AF159" i="4"/>
  <c r="AF155" i="4"/>
  <c r="AF151" i="4"/>
  <c r="AF147" i="4"/>
  <c r="AF143" i="4"/>
  <c r="AF139" i="4"/>
  <c r="AF135" i="4"/>
  <c r="AF131" i="4"/>
  <c r="AF127" i="4"/>
  <c r="AF123" i="4"/>
  <c r="AF119" i="4"/>
  <c r="AF115" i="4"/>
  <c r="AF111" i="4"/>
  <c r="AF107" i="4"/>
  <c r="AF103" i="4"/>
  <c r="AF99" i="4"/>
  <c r="AF95" i="4"/>
  <c r="AF91" i="4"/>
  <c r="AF87" i="4"/>
  <c r="AF83" i="4"/>
  <c r="AF79" i="4"/>
  <c r="AF75" i="4"/>
  <c r="AF71" i="4"/>
  <c r="AF67" i="4"/>
  <c r="AF63" i="4"/>
  <c r="AF59" i="4"/>
  <c r="AF55" i="4"/>
  <c r="AF51" i="4"/>
  <c r="AF47" i="4"/>
  <c r="AF43" i="4"/>
  <c r="AF39" i="4"/>
  <c r="AF35" i="4"/>
  <c r="AF31" i="4"/>
  <c r="AF27" i="4"/>
  <c r="AF23" i="4"/>
  <c r="AF19" i="4"/>
  <c r="AF15" i="4"/>
  <c r="AF11" i="4"/>
  <c r="AF7" i="4"/>
  <c r="AF180" i="4"/>
  <c r="AF160" i="4"/>
  <c r="AF148" i="4"/>
  <c r="AF128" i="4"/>
  <c r="AF116" i="4"/>
  <c r="AF96" i="4"/>
  <c r="AF72" i="4"/>
  <c r="AF64" i="4"/>
  <c r="AG167" i="4"/>
  <c r="AG151" i="4"/>
  <c r="AG87" i="4"/>
  <c r="AG63" i="4"/>
  <c r="AG15" i="4"/>
  <c r="AG194" i="4"/>
  <c r="AG166" i="4"/>
  <c r="AG162" i="4"/>
  <c r="AG134" i="4"/>
  <c r="AG130" i="4"/>
  <c r="AG102" i="4"/>
  <c r="AG98" i="4"/>
  <c r="AG94" i="4"/>
  <c r="AG90" i="4"/>
  <c r="AG86" i="4"/>
  <c r="AG82" i="4"/>
  <c r="AG78" i="4"/>
  <c r="AG74" i="4"/>
  <c r="AG70" i="4"/>
  <c r="AG66" i="4"/>
  <c r="AG62" i="4"/>
  <c r="AG58" i="4"/>
  <c r="AG54" i="4"/>
  <c r="AG50" i="4"/>
  <c r="AG46" i="4"/>
  <c r="AG42" i="4"/>
  <c r="AG38" i="4"/>
  <c r="AG34" i="4"/>
  <c r="AG30" i="4"/>
  <c r="AG26" i="4"/>
  <c r="AG22" i="4"/>
  <c r="AG18" i="4"/>
  <c r="AG14" i="4"/>
  <c r="AG10" i="4"/>
  <c r="AG6" i="4"/>
  <c r="AF200" i="4"/>
  <c r="AF184" i="4"/>
  <c r="AF168" i="4"/>
  <c r="AF144" i="4"/>
  <c r="AF124" i="4"/>
  <c r="AF112" i="4"/>
  <c r="AF100" i="4"/>
  <c r="AF80" i="4"/>
  <c r="AF60" i="4"/>
  <c r="AG119" i="4"/>
  <c r="AG107" i="4"/>
  <c r="AG91" i="4"/>
  <c r="AG71" i="4"/>
  <c r="AG7" i="4"/>
  <c r="AF198" i="4"/>
  <c r="AF194" i="4"/>
  <c r="AF190" i="4"/>
  <c r="AF186" i="4"/>
  <c r="AF182" i="4"/>
  <c r="AF178" i="4"/>
  <c r="AF174" i="4"/>
  <c r="AF170" i="4"/>
  <c r="AF166" i="4"/>
  <c r="AF162" i="4"/>
  <c r="AF158" i="4"/>
  <c r="AF154" i="4"/>
  <c r="AF150" i="4"/>
  <c r="AF146" i="4"/>
  <c r="AF142" i="4"/>
  <c r="AF138" i="4"/>
  <c r="AF134" i="4"/>
  <c r="AF130" i="4"/>
  <c r="AF126" i="4"/>
  <c r="AF122" i="4"/>
  <c r="AF118" i="4"/>
  <c r="AF114" i="4"/>
  <c r="AF110" i="4"/>
  <c r="AF106" i="4"/>
  <c r="AF102" i="4"/>
  <c r="AF98" i="4"/>
  <c r="AF94" i="4"/>
  <c r="AF90" i="4"/>
  <c r="AF86" i="4"/>
  <c r="AF82" i="4"/>
  <c r="AF78" i="4"/>
  <c r="AF74" i="4"/>
  <c r="AF70" i="4"/>
  <c r="AF66" i="4"/>
  <c r="AF62" i="4"/>
  <c r="AF58" i="4"/>
  <c r="AF54" i="4"/>
  <c r="AF50" i="4"/>
  <c r="AF46" i="4"/>
  <c r="AF42" i="4"/>
  <c r="AF38" i="4"/>
  <c r="AF34" i="4"/>
  <c r="AF30" i="4"/>
  <c r="AF26" i="4"/>
  <c r="AF22" i="4"/>
  <c r="AF18" i="4"/>
  <c r="AF14" i="4"/>
  <c r="AF10" i="4"/>
  <c r="AF6" i="4"/>
  <c r="AF192" i="4"/>
  <c r="AF164" i="4"/>
  <c r="AF136" i="4"/>
  <c r="AF108" i="4"/>
  <c r="AF84" i="4"/>
  <c r="AG123" i="4"/>
  <c r="AG99" i="4"/>
  <c r="AG79" i="4"/>
  <c r="AG67" i="4"/>
  <c r="AG51" i="4"/>
  <c r="AG39" i="4"/>
  <c r="AG11" i="4"/>
  <c r="AG185" i="4"/>
  <c r="AG181" i="4"/>
  <c r="AG153" i="4"/>
  <c r="AG149" i="4"/>
  <c r="AG141" i="4"/>
  <c r="AG133" i="4"/>
  <c r="AG129" i="4"/>
  <c r="AG125" i="4"/>
  <c r="AG121" i="4"/>
  <c r="AG117" i="4"/>
  <c r="AG113" i="4"/>
  <c r="AG109" i="4"/>
  <c r="AG105" i="4"/>
  <c r="AG101" i="4"/>
  <c r="AG97" i="4"/>
  <c r="AG93" i="4"/>
  <c r="AG89" i="4"/>
  <c r="AG85" i="4"/>
  <c r="AG81" i="4"/>
  <c r="AG77" i="4"/>
  <c r="AG73" i="4"/>
  <c r="AG69" i="4"/>
  <c r="AG65" i="4"/>
  <c r="AG61" i="4"/>
  <c r="AG57" i="4"/>
  <c r="AG53" i="4"/>
  <c r="AG49" i="4"/>
  <c r="AG45" i="4"/>
  <c r="AG41" i="4"/>
  <c r="AG37" i="4"/>
  <c r="AG33" i="4"/>
  <c r="AG29" i="4"/>
  <c r="AG25" i="4"/>
  <c r="AG21" i="4"/>
  <c r="AG17" i="4"/>
  <c r="AG13" i="4"/>
  <c r="AG9" i="4"/>
  <c r="AG5" i="4"/>
  <c r="AE3" i="4"/>
  <c r="E6" i="3"/>
  <c r="D6" i="3"/>
  <c r="AG2" i="3" s="1"/>
  <c r="AH2" i="3" l="1"/>
  <c r="AD5" i="4"/>
  <c r="AG157" i="4"/>
  <c r="AG189" i="4"/>
  <c r="AG106" i="4"/>
  <c r="AG138" i="4"/>
  <c r="AG170" i="4"/>
  <c r="AG183" i="4"/>
  <c r="AG127" i="4"/>
  <c r="AG52" i="4"/>
  <c r="AG84" i="4"/>
  <c r="AG116" i="4"/>
  <c r="AG148" i="4"/>
  <c r="AG180" i="4"/>
  <c r="AG179" i="4"/>
  <c r="AG161" i="4"/>
  <c r="AG193" i="4"/>
  <c r="AG135" i="4"/>
  <c r="AG110" i="4"/>
  <c r="AG142" i="4"/>
  <c r="AG174" i="4"/>
  <c r="AG199" i="4"/>
  <c r="AG143" i="4"/>
  <c r="AG56" i="4"/>
  <c r="AG88" i="4"/>
  <c r="AG120" i="4"/>
  <c r="AG152" i="4"/>
  <c r="AG184" i="4"/>
  <c r="AG165" i="4"/>
  <c r="AG197" i="4"/>
  <c r="AG147" i="4"/>
  <c r="AG114" i="4"/>
  <c r="AG146" i="4"/>
  <c r="AG178" i="4"/>
  <c r="AG155" i="4"/>
  <c r="AG60" i="4"/>
  <c r="AG92" i="4"/>
  <c r="AG124" i="4"/>
  <c r="AG156" i="4"/>
  <c r="AG188" i="4"/>
  <c r="AG176" i="4"/>
  <c r="AG137" i="4"/>
  <c r="AG169" i="4"/>
  <c r="AG201" i="4"/>
  <c r="AG139" i="4"/>
  <c r="AG159" i="4"/>
  <c r="AG118" i="4"/>
  <c r="AG150" i="4"/>
  <c r="AG182" i="4"/>
  <c r="AG103" i="4"/>
  <c r="AG171" i="4"/>
  <c r="AG64" i="4"/>
  <c r="AG96" i="4"/>
  <c r="AG128" i="4"/>
  <c r="AG160" i="4"/>
  <c r="AG192" i="4"/>
  <c r="AG173" i="4"/>
  <c r="AG163" i="4"/>
  <c r="AG175" i="4"/>
  <c r="AG122" i="4"/>
  <c r="AG154" i="4"/>
  <c r="AG186" i="4"/>
  <c r="AG115" i="4"/>
  <c r="AG187" i="4"/>
  <c r="AG68" i="4"/>
  <c r="AG100" i="4"/>
  <c r="AG132" i="4"/>
  <c r="AG164" i="4"/>
  <c r="AG196" i="4"/>
  <c r="AG198" i="4"/>
  <c r="AG145" i="4"/>
  <c r="AG177" i="4"/>
  <c r="AG191" i="4"/>
  <c r="AG195" i="4"/>
  <c r="AG126" i="4"/>
  <c r="AG158" i="4"/>
  <c r="AG190" i="4"/>
  <c r="AG131" i="4"/>
  <c r="AG83" i="4"/>
  <c r="AG72" i="4"/>
  <c r="AG104" i="4"/>
  <c r="AG136" i="4"/>
  <c r="AG168" i="4"/>
  <c r="AG200" i="4"/>
  <c r="AE4" i="4"/>
  <c r="H62" i="5"/>
  <c r="AH29" i="3" l="1"/>
  <c r="AH18" i="3"/>
  <c r="AH49" i="3"/>
  <c r="AH33" i="3"/>
  <c r="AH7" i="3"/>
  <c r="AH26" i="3"/>
  <c r="AH19" i="3"/>
  <c r="AH48" i="3"/>
  <c r="AH12" i="3"/>
  <c r="AH38" i="3"/>
  <c r="AH4" i="3"/>
  <c r="AH45" i="3"/>
  <c r="AH154" i="3"/>
  <c r="AH193" i="3"/>
  <c r="AH147" i="3"/>
  <c r="AH68" i="3"/>
  <c r="AH82" i="3"/>
  <c r="AH112" i="3"/>
  <c r="AH157" i="3"/>
  <c r="AH116" i="3"/>
  <c r="AH130" i="3"/>
  <c r="AH145" i="3"/>
  <c r="AH175" i="3"/>
  <c r="AH201" i="3"/>
  <c r="AH16" i="3"/>
  <c r="AH14" i="3"/>
  <c r="AH123" i="3"/>
  <c r="AH125" i="3"/>
  <c r="AH108" i="3"/>
  <c r="AH44" i="3"/>
  <c r="AH186" i="3"/>
  <c r="AH122" i="3"/>
  <c r="AH58" i="3"/>
  <c r="AH101" i="3"/>
  <c r="AH121" i="3"/>
  <c r="AH176" i="3"/>
  <c r="AH72" i="3"/>
  <c r="AH167" i="3"/>
  <c r="AH103" i="3"/>
  <c r="AH39" i="3"/>
  <c r="AH185" i="3"/>
  <c r="AH57" i="3"/>
  <c r="AH120" i="3"/>
  <c r="AH198" i="3"/>
  <c r="AH134" i="3"/>
  <c r="AH70" i="3"/>
  <c r="AH6" i="3"/>
  <c r="AH133" i="3"/>
  <c r="AH5" i="3"/>
  <c r="AH179" i="3"/>
  <c r="AH115" i="3"/>
  <c r="AH51" i="3"/>
  <c r="AH90" i="3"/>
  <c r="AH199" i="3"/>
  <c r="AH200" i="3"/>
  <c r="AH140" i="3"/>
  <c r="AH127" i="3"/>
  <c r="AH149" i="3"/>
  <c r="AH52" i="3"/>
  <c r="AH66" i="3"/>
  <c r="AH192" i="3"/>
  <c r="AH111" i="3"/>
  <c r="AH73" i="3"/>
  <c r="AH142" i="3"/>
  <c r="AH181" i="3"/>
  <c r="AH187" i="3"/>
  <c r="AH59" i="3"/>
  <c r="AH53" i="3"/>
  <c r="AH100" i="3"/>
  <c r="AH36" i="3"/>
  <c r="AH178" i="3"/>
  <c r="AH114" i="3"/>
  <c r="AH50" i="3"/>
  <c r="AH105" i="3"/>
  <c r="AH97" i="3"/>
  <c r="AH168" i="3"/>
  <c r="AH56" i="3"/>
  <c r="AH159" i="3"/>
  <c r="AH95" i="3"/>
  <c r="AH31" i="3"/>
  <c r="AH169" i="3"/>
  <c r="AH41" i="3"/>
  <c r="AH104" i="3"/>
  <c r="AH190" i="3"/>
  <c r="AH126" i="3"/>
  <c r="AH62" i="3"/>
  <c r="AH189" i="3"/>
  <c r="AH109" i="3"/>
  <c r="AH196" i="3"/>
  <c r="AH171" i="3"/>
  <c r="AH107" i="3"/>
  <c r="AH43" i="3"/>
  <c r="AH188" i="3"/>
  <c r="AH92" i="3"/>
  <c r="AH28" i="3"/>
  <c r="AH170" i="3"/>
  <c r="AH106" i="3"/>
  <c r="AH42" i="3"/>
  <c r="AH165" i="3"/>
  <c r="AH81" i="3"/>
  <c r="AH152" i="3"/>
  <c r="AH40" i="3"/>
  <c r="AH151" i="3"/>
  <c r="AH87" i="3"/>
  <c r="AH23" i="3"/>
  <c r="AH153" i="3"/>
  <c r="AH25" i="3"/>
  <c r="AH80" i="3"/>
  <c r="AH182" i="3"/>
  <c r="AH118" i="3"/>
  <c r="AH54" i="3"/>
  <c r="AH141" i="3"/>
  <c r="AH69" i="3"/>
  <c r="AH180" i="3"/>
  <c r="AH163" i="3"/>
  <c r="AH99" i="3"/>
  <c r="AH35" i="3"/>
  <c r="AH156" i="3"/>
  <c r="AH135" i="3"/>
  <c r="AH129" i="3"/>
  <c r="AH102" i="3"/>
  <c r="AH132" i="3"/>
  <c r="AH146" i="3"/>
  <c r="AH63" i="3"/>
  <c r="AH194" i="3"/>
  <c r="AH173" i="3"/>
  <c r="AH88" i="3"/>
  <c r="AH47" i="3"/>
  <c r="AH136" i="3"/>
  <c r="AH78" i="3"/>
  <c r="AH13" i="3"/>
  <c r="AH172" i="3"/>
  <c r="AH84" i="3"/>
  <c r="AH20" i="3"/>
  <c r="AH162" i="3"/>
  <c r="AH98" i="3"/>
  <c r="AH34" i="3"/>
  <c r="AH85" i="3"/>
  <c r="AH65" i="3"/>
  <c r="AH144" i="3"/>
  <c r="AH8" i="3"/>
  <c r="AH143" i="3"/>
  <c r="AH79" i="3"/>
  <c r="AH15" i="3"/>
  <c r="AH137" i="3"/>
  <c r="AH17" i="3"/>
  <c r="AH64" i="3"/>
  <c r="AH174" i="3"/>
  <c r="AH110" i="3"/>
  <c r="AH46" i="3"/>
  <c r="AH117" i="3"/>
  <c r="AH61" i="3"/>
  <c r="AH164" i="3"/>
  <c r="AH155" i="3"/>
  <c r="AH91" i="3"/>
  <c r="AH27" i="3"/>
  <c r="AH83" i="3"/>
  <c r="AH128" i="3"/>
  <c r="AH76" i="3"/>
  <c r="AH71" i="3"/>
  <c r="AH166" i="3"/>
  <c r="AH77" i="3"/>
  <c r="AH177" i="3"/>
  <c r="AH191" i="3"/>
  <c r="AH113" i="3"/>
  <c r="AH184" i="3"/>
  <c r="AH32" i="3"/>
  <c r="AH158" i="3"/>
  <c r="AH94" i="3"/>
  <c r="AH30" i="3"/>
  <c r="AH37" i="3"/>
  <c r="AH139" i="3"/>
  <c r="AH75" i="3"/>
  <c r="AH11" i="3"/>
  <c r="AH197" i="3"/>
  <c r="AH124" i="3"/>
  <c r="AH60" i="3"/>
  <c r="AH138" i="3"/>
  <c r="AH74" i="3"/>
  <c r="AH10" i="3"/>
  <c r="AH161" i="3"/>
  <c r="AH9" i="3"/>
  <c r="AH96" i="3"/>
  <c r="AH183" i="3"/>
  <c r="AH119" i="3"/>
  <c r="AH55" i="3"/>
  <c r="AH93" i="3"/>
  <c r="AH89" i="3"/>
  <c r="AH160" i="3"/>
  <c r="AH24" i="3"/>
  <c r="AH150" i="3"/>
  <c r="AH86" i="3"/>
  <c r="AH22" i="3"/>
  <c r="AH148" i="3"/>
  <c r="AH21" i="3"/>
  <c r="AH195" i="3"/>
  <c r="AH131" i="3"/>
  <c r="AH67" i="3"/>
  <c r="AH3" i="3"/>
  <c r="AD6" i="4"/>
  <c r="AE5" i="4"/>
  <c r="A7" i="5"/>
  <c r="B6" i="3"/>
  <c r="C6" i="3"/>
  <c r="AF2" i="3" s="1"/>
  <c r="AE2" i="3" l="1"/>
  <c r="AA3" i="3"/>
  <c r="AB3" i="3"/>
  <c r="AC3" i="3"/>
  <c r="AD3" i="3"/>
  <c r="AD4" i="3" s="1"/>
  <c r="AD5" i="3" s="1"/>
  <c r="AD6" i="3" s="1"/>
  <c r="AD7" i="3" s="1"/>
  <c r="AD8" i="3" s="1"/>
  <c r="AD9" i="3" s="1"/>
  <c r="AD10" i="3" s="1"/>
  <c r="AD11" i="3" s="1"/>
  <c r="AD12" i="3" s="1"/>
  <c r="AD13" i="3" s="1"/>
  <c r="AD14" i="3" s="1"/>
  <c r="AD15" i="3" s="1"/>
  <c r="AD16" i="3" s="1"/>
  <c r="AD17" i="3" s="1"/>
  <c r="AD18" i="3" s="1"/>
  <c r="AD19" i="3" s="1"/>
  <c r="AD20" i="3" s="1"/>
  <c r="AD21" i="3" s="1"/>
  <c r="AD22" i="3" s="1"/>
  <c r="AD23" i="3" s="1"/>
  <c r="AD24" i="3" s="1"/>
  <c r="AD25" i="3" s="1"/>
  <c r="AD26" i="3" s="1"/>
  <c r="AD27" i="3" s="1"/>
  <c r="AD28" i="3" s="1"/>
  <c r="AD29" i="3" s="1"/>
  <c r="AD30" i="3" s="1"/>
  <c r="AD31" i="3" s="1"/>
  <c r="AD32" i="3" s="1"/>
  <c r="AD33" i="3" s="1"/>
  <c r="AD34" i="3" s="1"/>
  <c r="AD35" i="3" s="1"/>
  <c r="AD36" i="3" s="1"/>
  <c r="AD37" i="3" s="1"/>
  <c r="AD38" i="3" s="1"/>
  <c r="AD39" i="3" s="1"/>
  <c r="AD40" i="3" s="1"/>
  <c r="AD41" i="3" s="1"/>
  <c r="AD42" i="3" s="1"/>
  <c r="AD43" i="3" s="1"/>
  <c r="AD44" i="3" s="1"/>
  <c r="AD45" i="3" s="1"/>
  <c r="AD46" i="3" s="1"/>
  <c r="AD47" i="3" s="1"/>
  <c r="AD48" i="3" s="1"/>
  <c r="AD49" i="3" s="1"/>
  <c r="AD50" i="3" s="1"/>
  <c r="AD51" i="3" s="1"/>
  <c r="AD52" i="3" s="1"/>
  <c r="AD53" i="3" s="1"/>
  <c r="AD54" i="3" s="1"/>
  <c r="AD55" i="3" s="1"/>
  <c r="AD56" i="3" s="1"/>
  <c r="AD57" i="3" s="1"/>
  <c r="AD58" i="3" s="1"/>
  <c r="AD59" i="3" s="1"/>
  <c r="AD60" i="3" s="1"/>
  <c r="AD61" i="3" s="1"/>
  <c r="AD62" i="3" s="1"/>
  <c r="AD63" i="3" s="1"/>
  <c r="AD64" i="3" s="1"/>
  <c r="AD65" i="3" s="1"/>
  <c r="AD66" i="3" s="1"/>
  <c r="AD67" i="3" s="1"/>
  <c r="AD68" i="3" s="1"/>
  <c r="AD69" i="3" s="1"/>
  <c r="AD70" i="3" s="1"/>
  <c r="AD71" i="3" s="1"/>
  <c r="AD72" i="3" s="1"/>
  <c r="AD73" i="3" s="1"/>
  <c r="AD74" i="3" s="1"/>
  <c r="AD75" i="3" s="1"/>
  <c r="AD76" i="3" s="1"/>
  <c r="AD77" i="3" s="1"/>
  <c r="AD78" i="3" s="1"/>
  <c r="AD79" i="3" s="1"/>
  <c r="AD80" i="3" s="1"/>
  <c r="AD81" i="3" s="1"/>
  <c r="AD82" i="3" s="1"/>
  <c r="AD83" i="3" s="1"/>
  <c r="AD84" i="3" s="1"/>
  <c r="AD85" i="3" s="1"/>
  <c r="AD86" i="3" s="1"/>
  <c r="AD87" i="3" s="1"/>
  <c r="AD88" i="3" s="1"/>
  <c r="AD89" i="3" s="1"/>
  <c r="AD90" i="3" s="1"/>
  <c r="AD91" i="3" s="1"/>
  <c r="AD92" i="3" s="1"/>
  <c r="AD93" i="3" s="1"/>
  <c r="AD94" i="3" s="1"/>
  <c r="AD95" i="3" s="1"/>
  <c r="AD96" i="3" s="1"/>
  <c r="AD97" i="3" s="1"/>
  <c r="AD98" i="3" s="1"/>
  <c r="AD99" i="3" s="1"/>
  <c r="AD100" i="3" s="1"/>
  <c r="AD101" i="3" s="1"/>
  <c r="AD102" i="3" s="1"/>
  <c r="AD103" i="3" s="1"/>
  <c r="AD104" i="3" s="1"/>
  <c r="AD105" i="3" s="1"/>
  <c r="AD106" i="3" s="1"/>
  <c r="AD107" i="3" s="1"/>
  <c r="AD108" i="3" s="1"/>
  <c r="AD109" i="3" s="1"/>
  <c r="AD110" i="3" s="1"/>
  <c r="AD111" i="3" s="1"/>
  <c r="AD112" i="3" s="1"/>
  <c r="AD113" i="3" s="1"/>
  <c r="AD114" i="3" s="1"/>
  <c r="AD115" i="3" s="1"/>
  <c r="AD116" i="3" s="1"/>
  <c r="AD117" i="3" s="1"/>
  <c r="AD118" i="3" s="1"/>
  <c r="AD119" i="3" s="1"/>
  <c r="AD120" i="3" s="1"/>
  <c r="AD121" i="3" s="1"/>
  <c r="AD122" i="3" s="1"/>
  <c r="AD123" i="3" s="1"/>
  <c r="AD124" i="3" s="1"/>
  <c r="AD125" i="3" s="1"/>
  <c r="AD126" i="3" s="1"/>
  <c r="AD127" i="3" s="1"/>
  <c r="AD128" i="3" s="1"/>
  <c r="AD129" i="3" s="1"/>
  <c r="AD130" i="3" s="1"/>
  <c r="AD131" i="3" s="1"/>
  <c r="AD132" i="3" s="1"/>
  <c r="AD133" i="3" s="1"/>
  <c r="AD134" i="3" s="1"/>
  <c r="AD135" i="3" s="1"/>
  <c r="AD136" i="3" s="1"/>
  <c r="AD137" i="3" s="1"/>
  <c r="AD138" i="3" s="1"/>
  <c r="AD139" i="3" s="1"/>
  <c r="AD140" i="3" s="1"/>
  <c r="AD141" i="3" s="1"/>
  <c r="AD142" i="3" s="1"/>
  <c r="AD143" i="3" s="1"/>
  <c r="AD144" i="3" s="1"/>
  <c r="AD145" i="3" s="1"/>
  <c r="AD146" i="3" s="1"/>
  <c r="AD147" i="3" s="1"/>
  <c r="AD148" i="3" s="1"/>
  <c r="AD149" i="3" s="1"/>
  <c r="AD150" i="3" s="1"/>
  <c r="AD151" i="3" s="1"/>
  <c r="AD152" i="3" s="1"/>
  <c r="AD153" i="3" s="1"/>
  <c r="AD154" i="3" s="1"/>
  <c r="AD155" i="3" s="1"/>
  <c r="AD156" i="3" s="1"/>
  <c r="AD157" i="3" s="1"/>
  <c r="AD158" i="3" s="1"/>
  <c r="AD159" i="3" s="1"/>
  <c r="AD160" i="3" s="1"/>
  <c r="AD161" i="3" s="1"/>
  <c r="AD162" i="3" s="1"/>
  <c r="AD163" i="3" s="1"/>
  <c r="AD164" i="3" s="1"/>
  <c r="AD165" i="3" s="1"/>
  <c r="AD166" i="3" s="1"/>
  <c r="AD167" i="3" s="1"/>
  <c r="AD168" i="3" s="1"/>
  <c r="AD169" i="3" s="1"/>
  <c r="AD170" i="3" s="1"/>
  <c r="AD171" i="3" s="1"/>
  <c r="AD172" i="3" s="1"/>
  <c r="AD173" i="3" s="1"/>
  <c r="AD174" i="3" s="1"/>
  <c r="AD175" i="3" s="1"/>
  <c r="AD176" i="3" s="1"/>
  <c r="AD177" i="3" s="1"/>
  <c r="AD178" i="3" s="1"/>
  <c r="AD179" i="3" s="1"/>
  <c r="AD180" i="3" s="1"/>
  <c r="AD181" i="3" s="1"/>
  <c r="AD182" i="3" s="1"/>
  <c r="AD183" i="3" s="1"/>
  <c r="AD184" i="3" s="1"/>
  <c r="AD185" i="3" s="1"/>
  <c r="AD186" i="3" s="1"/>
  <c r="AD187" i="3" s="1"/>
  <c r="AD188" i="3" s="1"/>
  <c r="AD189" i="3" s="1"/>
  <c r="AD190" i="3" s="1"/>
  <c r="AD191" i="3" s="1"/>
  <c r="AD192" i="3" s="1"/>
  <c r="AD193" i="3" s="1"/>
  <c r="AD194" i="3" s="1"/>
  <c r="AD195" i="3" s="1"/>
  <c r="AD196" i="3" s="1"/>
  <c r="AD197" i="3" s="1"/>
  <c r="AD198" i="3" s="1"/>
  <c r="AD199" i="3" s="1"/>
  <c r="AD200" i="3" s="1"/>
  <c r="AD201" i="3" s="1"/>
  <c r="AD202" i="3" s="1"/>
  <c r="AH202" i="3" s="1"/>
  <c r="AD7" i="4"/>
  <c r="AE6" i="4"/>
  <c r="AB4" i="3" l="1"/>
  <c r="AF3" i="3"/>
  <c r="AG3" i="3"/>
  <c r="AC4" i="3"/>
  <c r="AE3" i="3"/>
  <c r="AA4" i="3"/>
  <c r="AD8" i="4"/>
  <c r="AE7" i="4"/>
  <c r="AG4" i="3" l="1"/>
  <c r="AC5" i="3"/>
  <c r="AA5" i="3"/>
  <c r="AE4" i="3"/>
  <c r="AF4" i="3"/>
  <c r="AB5" i="3"/>
  <c r="AD9" i="4"/>
  <c r="AE8" i="4"/>
  <c r="AG5" i="3" l="1"/>
  <c r="AC6" i="3"/>
  <c r="AB6" i="3"/>
  <c r="AF5" i="3"/>
  <c r="AE5" i="3"/>
  <c r="AA6" i="3"/>
  <c r="AD10" i="4"/>
  <c r="AE9" i="4"/>
  <c r="AE6" i="3" l="1"/>
  <c r="AA7" i="3"/>
  <c r="AG6" i="3"/>
  <c r="AC7" i="3"/>
  <c r="AB7" i="3"/>
  <c r="AF6" i="3"/>
  <c r="AD11" i="4"/>
  <c r="AE10" i="4"/>
  <c r="AC8" i="3" l="1"/>
  <c r="AG7" i="3"/>
  <c r="AA8" i="3"/>
  <c r="AE7" i="3"/>
  <c r="AF7" i="3"/>
  <c r="AB8" i="3"/>
  <c r="AD12" i="4"/>
  <c r="AE11" i="4"/>
  <c r="AA9" i="3" l="1"/>
  <c r="AE8" i="3"/>
  <c r="AB9" i="3"/>
  <c r="AF8" i="3"/>
  <c r="AG8" i="3"/>
  <c r="AC9" i="3"/>
  <c r="AD13" i="4"/>
  <c r="AE12" i="4"/>
  <c r="AA10" i="3" l="1"/>
  <c r="AE9" i="3"/>
  <c r="AG9" i="3"/>
  <c r="AC10" i="3"/>
  <c r="AB10" i="3"/>
  <c r="AF9" i="3"/>
  <c r="AD14" i="4"/>
  <c r="AE13" i="4"/>
  <c r="AC11" i="3" l="1"/>
  <c r="AG10" i="3"/>
  <c r="AF10" i="3"/>
  <c r="AB11" i="3"/>
  <c r="AE10" i="3"/>
  <c r="AA11" i="3"/>
  <c r="AD15" i="4"/>
  <c r="AE14" i="4"/>
  <c r="AF11" i="3" l="1"/>
  <c r="AB12" i="3"/>
  <c r="AE11" i="3"/>
  <c r="AA12" i="3"/>
  <c r="AC12" i="3"/>
  <c r="AG11" i="3"/>
  <c r="AD16" i="4"/>
  <c r="AE15" i="4"/>
  <c r="AG12" i="3" l="1"/>
  <c r="AC13" i="3"/>
  <c r="AA13" i="3"/>
  <c r="AE12" i="3"/>
  <c r="AB13" i="3"/>
  <c r="AF12" i="3"/>
  <c r="AD17" i="4"/>
  <c r="AE16" i="4"/>
  <c r="AB14" i="3" l="1"/>
  <c r="AF13" i="3"/>
  <c r="AA14" i="3"/>
  <c r="AE13" i="3"/>
  <c r="AC14" i="3"/>
  <c r="AG13" i="3"/>
  <c r="AD18" i="4"/>
  <c r="AE17" i="4"/>
  <c r="AG14" i="3" l="1"/>
  <c r="AC15" i="3"/>
  <c r="AA15" i="3"/>
  <c r="AE14" i="3"/>
  <c r="AF14" i="3"/>
  <c r="AB15" i="3"/>
  <c r="AD19" i="4"/>
  <c r="AE18" i="4"/>
  <c r="AB16" i="3" l="1"/>
  <c r="AF15" i="3"/>
  <c r="AA16" i="3"/>
  <c r="AE15" i="3"/>
  <c r="AC16" i="3"/>
  <c r="AG15" i="3"/>
  <c r="AD20" i="4"/>
  <c r="AE19" i="4"/>
  <c r="AA17" i="3" l="1"/>
  <c r="AE16" i="3"/>
  <c r="AC17" i="3"/>
  <c r="AG16" i="3"/>
  <c r="AB17" i="3"/>
  <c r="AF16" i="3"/>
  <c r="AD21" i="4"/>
  <c r="AE20" i="4"/>
  <c r="AB18" i="3" l="1"/>
  <c r="AF17" i="3"/>
  <c r="AA18" i="3"/>
  <c r="AE17" i="3"/>
  <c r="AC18" i="3"/>
  <c r="AG17" i="3"/>
  <c r="AD22" i="4"/>
  <c r="AE21" i="4"/>
  <c r="AG18" i="3" l="1"/>
  <c r="AC19" i="3"/>
  <c r="AA19" i="3"/>
  <c r="AE18" i="3"/>
  <c r="AF18" i="3"/>
  <c r="AB19" i="3"/>
  <c r="AD23" i="4"/>
  <c r="AE22" i="4"/>
  <c r="AB20" i="3" l="1"/>
  <c r="AF19" i="3"/>
  <c r="AE19" i="3"/>
  <c r="AA20" i="3"/>
  <c r="AC20" i="3"/>
  <c r="AG19" i="3"/>
  <c r="AD24" i="4"/>
  <c r="AE23" i="4"/>
  <c r="AC21" i="3" l="1"/>
  <c r="AG20" i="3"/>
  <c r="AE20" i="3"/>
  <c r="AA21" i="3"/>
  <c r="AB21" i="3"/>
  <c r="AF20" i="3"/>
  <c r="AD25" i="4"/>
  <c r="AE24" i="4"/>
  <c r="AA22" i="3" l="1"/>
  <c r="AE21" i="3"/>
  <c r="AB22" i="3"/>
  <c r="AF21" i="3"/>
  <c r="AG21" i="3"/>
  <c r="AC22" i="3"/>
  <c r="AD26" i="4"/>
  <c r="AE25" i="4"/>
  <c r="AG22" i="3" l="1"/>
  <c r="AC23" i="3"/>
  <c r="AB23" i="3"/>
  <c r="AF22" i="3"/>
  <c r="AA23" i="3"/>
  <c r="AE22" i="3"/>
  <c r="AD27" i="4"/>
  <c r="AE26" i="4"/>
  <c r="AA24" i="3" l="1"/>
  <c r="AE23" i="3"/>
  <c r="AG23" i="3"/>
  <c r="AC24" i="3"/>
  <c r="AB24" i="3"/>
  <c r="AF23" i="3"/>
  <c r="AD28" i="4"/>
  <c r="AE27" i="4"/>
  <c r="AB25" i="3" l="1"/>
  <c r="AF24" i="3"/>
  <c r="AG24" i="3"/>
  <c r="AC25" i="3"/>
  <c r="AE24" i="3"/>
  <c r="AA25" i="3"/>
  <c r="AD29" i="4"/>
  <c r="AE28" i="4"/>
  <c r="AE25" i="3" l="1"/>
  <c r="AA26" i="3"/>
  <c r="AC26" i="3"/>
  <c r="AG25" i="3"/>
  <c r="AB26" i="3"/>
  <c r="AF25" i="3"/>
  <c r="AD30" i="4"/>
  <c r="AE29" i="4"/>
  <c r="AC27" i="3" l="1"/>
  <c r="AG26" i="3"/>
  <c r="AA27" i="3"/>
  <c r="AE26" i="3"/>
  <c r="AB27" i="3"/>
  <c r="AF26" i="3"/>
  <c r="AD31" i="4"/>
  <c r="AE30" i="4"/>
  <c r="AB28" i="3" l="1"/>
  <c r="AF27" i="3"/>
  <c r="AE27" i="3"/>
  <c r="AA28" i="3"/>
  <c r="AC28" i="3"/>
  <c r="AG27" i="3"/>
  <c r="AD32" i="4"/>
  <c r="AE31" i="4"/>
  <c r="AC29" i="3" l="1"/>
  <c r="AG28" i="3"/>
  <c r="AE28" i="3"/>
  <c r="AA29" i="3"/>
  <c r="AF28" i="3"/>
  <c r="AB29" i="3"/>
  <c r="AD33" i="4"/>
  <c r="AE32" i="4"/>
  <c r="AB30" i="3" l="1"/>
  <c r="AF29" i="3"/>
  <c r="AE29" i="3"/>
  <c r="AA30" i="3"/>
  <c r="AG29" i="3"/>
  <c r="AC30" i="3"/>
  <c r="AD34" i="4"/>
  <c r="AE33" i="4"/>
  <c r="AA31" i="3" l="1"/>
  <c r="AE30" i="3"/>
  <c r="AG30" i="3"/>
  <c r="AC31" i="3"/>
  <c r="AB31" i="3"/>
  <c r="AF30" i="3"/>
  <c r="AD35" i="4"/>
  <c r="AE34" i="4"/>
  <c r="AB32" i="3" l="1"/>
  <c r="AF31" i="3"/>
  <c r="AG31" i="3"/>
  <c r="AC32" i="3"/>
  <c r="AE31" i="3"/>
  <c r="AA32" i="3"/>
  <c r="AD36" i="4"/>
  <c r="AE35" i="4"/>
  <c r="AG32" i="3" l="1"/>
  <c r="AC33" i="3"/>
  <c r="AA33" i="3"/>
  <c r="AE32" i="3"/>
  <c r="AB33" i="3"/>
  <c r="AF32" i="3"/>
  <c r="AD37" i="4"/>
  <c r="AE36" i="4"/>
  <c r="AB34" i="3" l="1"/>
  <c r="AF33" i="3"/>
  <c r="AA34" i="3"/>
  <c r="AE33" i="3"/>
  <c r="AC34" i="3"/>
  <c r="AG33" i="3"/>
  <c r="AD38" i="4"/>
  <c r="AE37" i="4"/>
  <c r="AC35" i="3" l="1"/>
  <c r="AG34" i="3"/>
  <c r="AA35" i="3"/>
  <c r="AE34" i="3"/>
  <c r="AF34" i="3"/>
  <c r="AB35" i="3"/>
  <c r="AD39" i="4"/>
  <c r="AE38" i="4"/>
  <c r="AB36" i="3" l="1"/>
  <c r="AF35" i="3"/>
  <c r="AE35" i="3"/>
  <c r="AA36" i="3"/>
  <c r="AG35" i="3"/>
  <c r="AC36" i="3"/>
  <c r="AD40" i="4"/>
  <c r="AE39" i="4"/>
  <c r="AC37" i="3" l="1"/>
  <c r="AG36" i="3"/>
  <c r="AE36" i="3"/>
  <c r="AA37" i="3"/>
  <c r="AB37" i="3"/>
  <c r="AF36" i="3"/>
  <c r="AD41" i="4"/>
  <c r="AE40" i="4"/>
  <c r="AA38" i="3" l="1"/>
  <c r="AE37" i="3"/>
  <c r="AB38" i="3"/>
  <c r="AF37" i="3"/>
  <c r="AC38" i="3"/>
  <c r="AG37" i="3"/>
  <c r="AD42" i="4"/>
  <c r="AE41" i="4"/>
  <c r="AC39" i="3" l="1"/>
  <c r="AG38" i="3"/>
  <c r="AE38" i="3"/>
  <c r="AA39" i="3"/>
  <c r="AB39" i="3"/>
  <c r="AF38" i="3"/>
  <c r="AD43" i="4"/>
  <c r="AE42" i="4"/>
  <c r="AC40" i="3" l="1"/>
  <c r="AG39" i="3"/>
  <c r="AB40" i="3"/>
  <c r="AF39" i="3"/>
  <c r="AA40" i="3"/>
  <c r="AE39" i="3"/>
  <c r="AD44" i="4"/>
  <c r="AE43" i="4"/>
  <c r="AA41" i="3" l="1"/>
  <c r="AE40" i="3"/>
  <c r="AF40" i="3"/>
  <c r="AB41" i="3"/>
  <c r="AG40" i="3"/>
  <c r="AC41" i="3"/>
  <c r="AD45" i="4"/>
  <c r="AE44" i="4"/>
  <c r="AB42" i="3" l="1"/>
  <c r="AF41" i="3"/>
  <c r="AG41" i="3"/>
  <c r="AC42" i="3"/>
  <c r="AA42" i="3"/>
  <c r="AE41" i="3"/>
  <c r="AD46" i="4"/>
  <c r="AE45" i="4"/>
  <c r="AA43" i="3" l="1"/>
  <c r="AE42" i="3"/>
  <c r="AC43" i="3"/>
  <c r="AG42" i="3"/>
  <c r="AB43" i="3"/>
  <c r="AF42" i="3"/>
  <c r="AD47" i="4"/>
  <c r="AE46" i="4"/>
  <c r="AG43" i="3" l="1"/>
  <c r="AC44" i="3"/>
  <c r="AF43" i="3"/>
  <c r="AB44" i="3"/>
  <c r="AA44" i="3"/>
  <c r="AE43" i="3"/>
  <c r="AD48" i="4"/>
  <c r="AE47" i="4"/>
  <c r="AA45" i="3" l="1"/>
  <c r="AE44" i="3"/>
  <c r="AG44" i="3"/>
  <c r="AC45" i="3"/>
  <c r="AB45" i="3"/>
  <c r="AF44" i="3"/>
  <c r="AD49" i="4"/>
  <c r="AE48" i="4"/>
  <c r="AG45" i="3" l="1"/>
  <c r="AC46" i="3"/>
  <c r="AB46" i="3"/>
  <c r="AF45" i="3"/>
  <c r="AA46" i="3"/>
  <c r="AE45" i="3"/>
  <c r="AD50" i="4"/>
  <c r="AE49" i="4"/>
  <c r="AF46" i="3" l="1"/>
  <c r="AB47" i="3"/>
  <c r="AC47" i="3"/>
  <c r="AG46" i="3"/>
  <c r="AA47" i="3"/>
  <c r="AE46" i="3"/>
  <c r="AD51" i="4"/>
  <c r="AE50" i="4"/>
  <c r="AA48" i="3" l="1"/>
  <c r="AE47" i="3"/>
  <c r="AG47" i="3"/>
  <c r="AC48" i="3"/>
  <c r="AB48" i="3"/>
  <c r="AF47" i="3"/>
  <c r="AD52" i="4"/>
  <c r="AE51" i="4"/>
  <c r="AC49" i="3" l="1"/>
  <c r="AG48" i="3"/>
  <c r="AB49" i="3"/>
  <c r="AF48" i="3"/>
  <c r="AA49" i="3"/>
  <c r="AE48" i="3"/>
  <c r="AD53" i="4"/>
  <c r="AE52" i="4"/>
  <c r="AE49" i="3" l="1"/>
  <c r="AA50" i="3"/>
  <c r="AF49" i="3"/>
  <c r="AB50" i="3"/>
  <c r="AG49" i="3"/>
  <c r="AC50" i="3"/>
  <c r="AD54" i="4"/>
  <c r="AE53" i="4"/>
  <c r="AC51" i="3" l="1"/>
  <c r="AG50" i="3"/>
  <c r="AB51" i="3"/>
  <c r="AF50" i="3"/>
  <c r="AE50" i="3"/>
  <c r="AA51" i="3"/>
  <c r="AD55" i="4"/>
  <c r="AE54" i="4"/>
  <c r="AE51" i="3" l="1"/>
  <c r="AA52" i="3"/>
  <c r="AB52" i="3"/>
  <c r="AF51" i="3"/>
  <c r="AG51" i="3"/>
  <c r="AC52" i="3"/>
  <c r="AD56" i="4"/>
  <c r="AE55" i="4"/>
  <c r="AC53" i="3" l="1"/>
  <c r="AG52" i="3"/>
  <c r="AB53" i="3"/>
  <c r="AF52" i="3"/>
  <c r="AA53" i="3"/>
  <c r="AE52" i="3"/>
  <c r="AD57" i="4"/>
  <c r="AE56" i="4"/>
  <c r="AA54" i="3" l="1"/>
  <c r="AE53" i="3"/>
  <c r="AB54" i="3"/>
  <c r="AF53" i="3"/>
  <c r="AC54" i="3"/>
  <c r="AG53" i="3"/>
  <c r="AD58" i="4"/>
  <c r="AE57" i="4"/>
  <c r="AF54" i="3" l="1"/>
  <c r="AB55" i="3"/>
  <c r="AG54" i="3"/>
  <c r="AC55" i="3"/>
  <c r="AA55" i="3"/>
  <c r="AE54" i="3"/>
  <c r="AD59" i="4"/>
  <c r="AE58" i="4"/>
  <c r="AC56" i="3" l="1"/>
  <c r="AG55" i="3"/>
  <c r="AB56" i="3"/>
  <c r="AF55" i="3"/>
  <c r="AA56" i="3"/>
  <c r="AE55" i="3"/>
  <c r="AD60" i="4"/>
  <c r="AE59" i="4"/>
  <c r="AA57" i="3" l="1"/>
  <c r="AE56" i="3"/>
  <c r="AB57" i="3"/>
  <c r="AF56" i="3"/>
  <c r="AG56" i="3"/>
  <c r="AC57" i="3"/>
  <c r="AD61" i="4"/>
  <c r="AE60" i="4"/>
  <c r="AG57" i="3" l="1"/>
  <c r="AC58" i="3"/>
  <c r="AF57" i="3"/>
  <c r="AB58" i="3"/>
  <c r="AA58" i="3"/>
  <c r="AE57" i="3"/>
  <c r="AD62" i="4"/>
  <c r="AE61" i="4"/>
  <c r="AB59" i="3" l="1"/>
  <c r="AF58" i="3"/>
  <c r="AE58" i="3"/>
  <c r="AA59" i="3"/>
  <c r="AC59" i="3"/>
  <c r="AG58" i="3"/>
  <c r="AD63" i="4"/>
  <c r="AE62" i="4"/>
  <c r="AA60" i="3" l="1"/>
  <c r="AE59" i="3"/>
  <c r="AG59" i="3"/>
  <c r="AC60" i="3"/>
  <c r="AB60" i="3"/>
  <c r="AF59" i="3"/>
  <c r="AD64" i="4"/>
  <c r="AE63" i="4"/>
  <c r="AF60" i="3" l="1"/>
  <c r="AB61" i="3"/>
  <c r="AC61" i="3"/>
  <c r="AG60" i="3"/>
  <c r="AA61" i="3"/>
  <c r="AE60" i="3"/>
  <c r="AD65" i="4"/>
  <c r="AE64" i="4"/>
  <c r="AA62" i="3" l="1"/>
  <c r="AE61" i="3"/>
  <c r="AF61" i="3"/>
  <c r="AB62" i="3"/>
  <c r="AG61" i="3"/>
  <c r="AC62" i="3"/>
  <c r="AD66" i="4"/>
  <c r="AE65" i="4"/>
  <c r="AB63" i="3" l="1"/>
  <c r="AF62" i="3"/>
  <c r="AG62" i="3"/>
  <c r="AC63" i="3"/>
  <c r="AA63" i="3"/>
  <c r="AE62" i="3"/>
  <c r="AD67" i="4"/>
  <c r="AE66" i="4"/>
  <c r="AC64" i="3" l="1"/>
  <c r="AG63" i="3"/>
  <c r="AA64" i="3"/>
  <c r="AE63" i="3"/>
  <c r="AF63" i="3"/>
  <c r="AB64" i="3"/>
  <c r="AD68" i="4"/>
  <c r="AE67" i="4"/>
  <c r="AA65" i="3" l="1"/>
  <c r="AE64" i="3"/>
  <c r="AB65" i="3"/>
  <c r="AF64" i="3"/>
  <c r="AC65" i="3"/>
  <c r="AG64" i="3"/>
  <c r="AD69" i="4"/>
  <c r="AE68" i="4"/>
  <c r="AF65" i="3" l="1"/>
  <c r="AB66" i="3"/>
  <c r="AG65" i="3"/>
  <c r="AC66" i="3"/>
  <c r="AA66" i="3"/>
  <c r="AE65" i="3"/>
  <c r="AD70" i="4"/>
  <c r="AE69" i="4"/>
  <c r="AC67" i="3" l="1"/>
  <c r="AG66" i="3"/>
  <c r="AB67" i="3"/>
  <c r="AF66" i="3"/>
  <c r="AA67" i="3"/>
  <c r="AE66" i="3"/>
  <c r="AD71" i="4"/>
  <c r="AE70" i="4"/>
  <c r="AB68" i="3" l="1"/>
  <c r="AF67" i="3"/>
  <c r="AA68" i="3"/>
  <c r="AE67" i="3"/>
  <c r="AG67" i="3"/>
  <c r="AC68" i="3"/>
  <c r="AD72" i="4"/>
  <c r="AE71" i="4"/>
  <c r="AC69" i="3" l="1"/>
  <c r="AG68" i="3"/>
  <c r="AA69" i="3"/>
  <c r="AE68" i="3"/>
  <c r="AB69" i="3"/>
  <c r="AF68" i="3"/>
  <c r="AD73" i="4"/>
  <c r="AE72" i="4"/>
  <c r="AB70" i="3" l="1"/>
  <c r="AF69" i="3"/>
  <c r="AA70" i="3"/>
  <c r="AE69" i="3"/>
  <c r="AG69" i="3"/>
  <c r="AC70" i="3"/>
  <c r="AD74" i="4"/>
  <c r="AE73" i="4"/>
  <c r="AC71" i="3" l="1"/>
  <c r="AG70" i="3"/>
  <c r="AE70" i="3"/>
  <c r="AA71" i="3"/>
  <c r="AB71" i="3"/>
  <c r="AF70" i="3"/>
  <c r="AD75" i="4"/>
  <c r="AE74" i="4"/>
  <c r="AE71" i="3" l="1"/>
  <c r="AA72" i="3"/>
  <c r="AB72" i="3"/>
  <c r="AF71" i="3"/>
  <c r="AC72" i="3"/>
  <c r="AG71" i="3"/>
  <c r="AD76" i="4"/>
  <c r="AE75" i="4"/>
  <c r="AE72" i="3" l="1"/>
  <c r="AA73" i="3"/>
  <c r="AG72" i="3"/>
  <c r="AC73" i="3"/>
  <c r="AB73" i="3"/>
  <c r="AF72" i="3"/>
  <c r="AD77" i="4"/>
  <c r="AE76" i="4"/>
  <c r="AB74" i="3" l="1"/>
  <c r="AF73" i="3"/>
  <c r="AC74" i="3"/>
  <c r="AG73" i="3"/>
  <c r="AA74" i="3"/>
  <c r="AE73" i="3"/>
  <c r="AD78" i="4"/>
  <c r="AE77" i="4"/>
  <c r="AA75" i="3" l="1"/>
  <c r="AE74" i="3"/>
  <c r="AG74" i="3"/>
  <c r="AC75" i="3"/>
  <c r="AB75" i="3"/>
  <c r="AF74" i="3"/>
  <c r="AD79" i="4"/>
  <c r="AE78" i="4"/>
  <c r="AB76" i="3" l="1"/>
  <c r="AF75" i="3"/>
  <c r="AC76" i="3"/>
  <c r="AG75" i="3"/>
  <c r="AA76" i="3"/>
  <c r="AE75" i="3"/>
  <c r="AD80" i="4"/>
  <c r="AE79" i="4"/>
  <c r="AA77" i="3" l="1"/>
  <c r="AE76" i="3"/>
  <c r="AG76" i="3"/>
  <c r="AC77" i="3"/>
  <c r="AF76" i="3"/>
  <c r="AB77" i="3"/>
  <c r="AD81" i="4"/>
  <c r="AE80" i="4"/>
  <c r="AC78" i="3" l="1"/>
  <c r="AG77" i="3"/>
  <c r="AB78" i="3"/>
  <c r="AF77" i="3"/>
  <c r="AA78" i="3"/>
  <c r="AE77" i="3"/>
  <c r="AD82" i="4"/>
  <c r="AE81" i="4"/>
  <c r="AA79" i="3" l="1"/>
  <c r="AE78" i="3"/>
  <c r="AB79" i="3"/>
  <c r="AF78" i="3"/>
  <c r="AG78" i="3"/>
  <c r="AC79" i="3"/>
  <c r="AD83" i="4"/>
  <c r="AE82" i="4"/>
  <c r="AB80" i="3" l="1"/>
  <c r="AF79" i="3"/>
  <c r="AG79" i="3"/>
  <c r="AC80" i="3"/>
  <c r="AE79" i="3"/>
  <c r="AA80" i="3"/>
  <c r="AD84" i="4"/>
  <c r="AE83" i="4"/>
  <c r="AG80" i="3" l="1"/>
  <c r="AC81" i="3"/>
  <c r="AA81" i="3"/>
  <c r="AE80" i="3"/>
  <c r="AB81" i="3"/>
  <c r="AF80" i="3"/>
  <c r="AD85" i="4"/>
  <c r="AE84" i="4"/>
  <c r="AE81" i="3" l="1"/>
  <c r="AA82" i="3"/>
  <c r="AB82" i="3"/>
  <c r="AF81" i="3"/>
  <c r="AC82" i="3"/>
  <c r="AG81" i="3"/>
  <c r="AD86" i="4"/>
  <c r="AE85" i="4"/>
  <c r="AG82" i="3" l="1"/>
  <c r="AC83" i="3"/>
  <c r="AB83" i="3"/>
  <c r="AF82" i="3"/>
  <c r="AA83" i="3"/>
  <c r="AE82" i="3"/>
  <c r="AD87" i="4"/>
  <c r="AE86" i="4"/>
  <c r="AA84" i="3" l="1"/>
  <c r="AE83" i="3"/>
  <c r="AB84" i="3"/>
  <c r="AF83" i="3"/>
  <c r="AC84" i="3"/>
  <c r="AG83" i="3"/>
  <c r="AD88" i="4"/>
  <c r="AE87" i="4"/>
  <c r="AC85" i="3" l="1"/>
  <c r="AG84" i="3"/>
  <c r="AB85" i="3"/>
  <c r="AF84" i="3"/>
  <c r="AE84" i="3"/>
  <c r="AA85" i="3"/>
  <c r="AD89" i="4"/>
  <c r="AE88" i="4"/>
  <c r="AA86" i="3" l="1"/>
  <c r="AE85" i="3"/>
  <c r="AB86" i="3"/>
  <c r="AF85" i="3"/>
  <c r="AC86" i="3"/>
  <c r="AG85" i="3"/>
  <c r="AD90" i="4"/>
  <c r="AE89" i="4"/>
  <c r="AG86" i="3" l="1"/>
  <c r="AC87" i="3"/>
  <c r="AB87" i="3"/>
  <c r="AF86" i="3"/>
  <c r="AA87" i="3"/>
  <c r="AE86" i="3"/>
  <c r="AD91" i="4"/>
  <c r="AE90" i="4"/>
  <c r="AB88" i="3" l="1"/>
  <c r="AF87" i="3"/>
  <c r="AC88" i="3"/>
  <c r="AG87" i="3"/>
  <c r="AA88" i="3"/>
  <c r="AE87" i="3"/>
  <c r="AD92" i="4"/>
  <c r="AE91" i="4"/>
  <c r="AC89" i="3" l="1"/>
  <c r="AG88" i="3"/>
  <c r="AE88" i="3"/>
  <c r="AA89" i="3"/>
  <c r="AB89" i="3"/>
  <c r="AF88" i="3"/>
  <c r="AD93" i="4"/>
  <c r="AE92" i="4"/>
  <c r="AB90" i="3" l="1"/>
  <c r="AF89" i="3"/>
  <c r="AA90" i="3"/>
  <c r="AE89" i="3"/>
  <c r="AG89" i="3"/>
  <c r="AC90" i="3"/>
  <c r="AD94" i="4"/>
  <c r="AE93" i="4"/>
  <c r="AA91" i="3" l="1"/>
  <c r="AE90" i="3"/>
  <c r="AC91" i="3"/>
  <c r="AG90" i="3"/>
  <c r="AB91" i="3"/>
  <c r="AF90" i="3"/>
  <c r="AD95" i="4"/>
  <c r="AE94" i="4"/>
  <c r="AB92" i="3" l="1"/>
  <c r="AF91" i="3"/>
  <c r="AG91" i="3"/>
  <c r="AC92" i="3"/>
  <c r="AE91" i="3"/>
  <c r="AA92" i="3"/>
  <c r="AD96" i="4"/>
  <c r="AE95" i="4"/>
  <c r="AG92" i="3" l="1"/>
  <c r="AC93" i="3"/>
  <c r="AA93" i="3"/>
  <c r="AE92" i="3"/>
  <c r="AB93" i="3"/>
  <c r="AF92" i="3"/>
  <c r="AD97" i="4"/>
  <c r="AE96" i="4"/>
  <c r="AA94" i="3" l="1"/>
  <c r="AE93" i="3"/>
  <c r="AG93" i="3"/>
  <c r="AC94" i="3"/>
  <c r="AB94" i="3"/>
  <c r="AF93" i="3"/>
  <c r="AD98" i="4"/>
  <c r="AE97" i="4"/>
  <c r="AB95" i="3" l="1"/>
  <c r="AF94" i="3"/>
  <c r="AC95" i="3"/>
  <c r="AG94" i="3"/>
  <c r="AA95" i="3"/>
  <c r="AE94" i="3"/>
  <c r="AD99" i="4"/>
  <c r="AE98" i="4"/>
  <c r="AA96" i="3" l="1"/>
  <c r="AE95" i="3"/>
  <c r="AG95" i="3"/>
  <c r="AC96" i="3"/>
  <c r="AB96" i="3"/>
  <c r="AF95" i="3"/>
  <c r="AD100" i="4"/>
  <c r="AE99" i="4"/>
  <c r="AG96" i="3" l="1"/>
  <c r="AC97" i="3"/>
  <c r="AF96" i="3"/>
  <c r="AB97" i="3"/>
  <c r="AA97" i="3"/>
  <c r="AE96" i="3"/>
  <c r="AD101" i="4"/>
  <c r="AE100" i="4"/>
  <c r="AB98" i="3" l="1"/>
  <c r="AF97" i="3"/>
  <c r="AG97" i="3"/>
  <c r="AC98" i="3"/>
  <c r="AA98" i="3"/>
  <c r="AE97" i="3"/>
  <c r="AD102" i="4"/>
  <c r="AE101" i="4"/>
  <c r="AG98" i="3" l="1"/>
  <c r="AC99" i="3"/>
  <c r="AA99" i="3"/>
  <c r="AE98" i="3"/>
  <c r="AB99" i="3"/>
  <c r="AF98" i="3"/>
  <c r="AD103" i="4"/>
  <c r="AE102" i="4"/>
  <c r="AA100" i="3" l="1"/>
  <c r="AE99" i="3"/>
  <c r="AC100" i="3"/>
  <c r="AG99" i="3"/>
  <c r="AB100" i="3"/>
  <c r="AF99" i="3"/>
  <c r="AD104" i="4"/>
  <c r="AE103" i="4"/>
  <c r="AG100" i="3" l="1"/>
  <c r="AC101" i="3"/>
  <c r="AB101" i="3"/>
  <c r="AF100" i="3"/>
  <c r="AA101" i="3"/>
  <c r="AE100" i="3"/>
  <c r="AD105" i="4"/>
  <c r="AE104" i="4"/>
  <c r="AB102" i="3" l="1"/>
  <c r="AF101" i="3"/>
  <c r="AA102" i="3"/>
  <c r="AE101" i="3"/>
  <c r="AG101" i="3"/>
  <c r="AC102" i="3"/>
  <c r="AD106" i="4"/>
  <c r="AE105" i="4"/>
  <c r="AG102" i="3" l="1"/>
  <c r="AC103" i="3"/>
  <c r="AA103" i="3"/>
  <c r="AE102" i="3"/>
  <c r="AB103" i="3"/>
  <c r="AF102" i="3"/>
  <c r="AD107" i="4"/>
  <c r="AE106" i="4"/>
  <c r="AB104" i="3" l="1"/>
  <c r="AF103" i="3"/>
  <c r="AA104" i="3"/>
  <c r="AE103" i="3"/>
  <c r="AG103" i="3"/>
  <c r="AC104" i="3"/>
  <c r="AD108" i="4"/>
  <c r="AE107" i="4"/>
  <c r="AC105" i="3" l="1"/>
  <c r="AG104" i="3"/>
  <c r="AE104" i="3"/>
  <c r="AA105" i="3"/>
  <c r="AF104" i="3"/>
  <c r="AB105" i="3"/>
  <c r="AD109" i="4"/>
  <c r="AE108" i="4"/>
  <c r="AB106" i="3" l="1"/>
  <c r="AF105" i="3"/>
  <c r="AE105" i="3"/>
  <c r="AA106" i="3"/>
  <c r="AG105" i="3"/>
  <c r="AC106" i="3"/>
  <c r="AD110" i="4"/>
  <c r="AE109" i="4"/>
  <c r="AG106" i="3" l="1"/>
  <c r="AC107" i="3"/>
  <c r="AB107" i="3"/>
  <c r="AF106" i="3"/>
  <c r="AA107" i="3"/>
  <c r="AE106" i="3"/>
  <c r="AD111" i="4"/>
  <c r="AE110" i="4"/>
  <c r="AA108" i="3" l="1"/>
  <c r="AE107" i="3"/>
  <c r="AC108" i="3"/>
  <c r="AG107" i="3"/>
  <c r="AB108" i="3"/>
  <c r="AF107" i="3"/>
  <c r="AD112" i="4"/>
  <c r="AE111" i="4"/>
  <c r="AB109" i="3" l="1"/>
  <c r="AF108" i="3"/>
  <c r="AC109" i="3"/>
  <c r="AG108" i="3"/>
  <c r="AE108" i="3"/>
  <c r="AA109" i="3"/>
  <c r="AD113" i="4"/>
  <c r="AE112" i="4"/>
  <c r="AG109" i="3" l="1"/>
  <c r="AC110" i="3"/>
  <c r="AA110" i="3"/>
  <c r="AE109" i="3"/>
  <c r="AB110" i="3"/>
  <c r="AF109" i="3"/>
  <c r="AD114" i="4"/>
  <c r="AE113" i="4"/>
  <c r="AC111" i="3" l="1"/>
  <c r="AG110" i="3"/>
  <c r="AB111" i="3"/>
  <c r="AF110" i="3"/>
  <c r="AA111" i="3"/>
  <c r="AE110" i="3"/>
  <c r="AD115" i="4"/>
  <c r="AE114" i="4"/>
  <c r="AE111" i="3" l="1"/>
  <c r="AA112" i="3"/>
  <c r="AF111" i="3"/>
  <c r="AB112" i="3"/>
  <c r="AC112" i="3"/>
  <c r="AG111" i="3"/>
  <c r="AD116" i="4"/>
  <c r="AE115" i="4"/>
  <c r="AB113" i="3" l="1"/>
  <c r="AF112" i="3"/>
  <c r="AC113" i="3"/>
  <c r="AG112" i="3"/>
  <c r="AA113" i="3"/>
  <c r="AE112" i="3"/>
  <c r="AD117" i="4"/>
  <c r="AE116" i="4"/>
  <c r="AC114" i="3" l="1"/>
  <c r="AG113" i="3"/>
  <c r="AA114" i="3"/>
  <c r="AE113" i="3"/>
  <c r="AB114" i="3"/>
  <c r="AF113" i="3"/>
  <c r="AD118" i="4"/>
  <c r="AE117" i="4"/>
  <c r="AA115" i="3" l="1"/>
  <c r="AE114" i="3"/>
  <c r="AB115" i="3"/>
  <c r="AF114" i="3"/>
  <c r="AC115" i="3"/>
  <c r="AG114" i="3"/>
  <c r="AD119" i="4"/>
  <c r="AE118" i="4"/>
  <c r="AB116" i="3" l="1"/>
  <c r="AF115" i="3"/>
  <c r="AG115" i="3"/>
  <c r="AC116" i="3"/>
  <c r="AA116" i="3"/>
  <c r="AE115" i="3"/>
  <c r="AD120" i="4"/>
  <c r="AE119" i="4"/>
  <c r="AA117" i="3" l="1"/>
  <c r="AE116" i="3"/>
  <c r="AG116" i="3"/>
  <c r="AC117" i="3"/>
  <c r="AB117" i="3"/>
  <c r="AF116" i="3"/>
  <c r="AD121" i="4"/>
  <c r="AE120" i="4"/>
  <c r="AF117" i="3" l="1"/>
  <c r="AB118" i="3"/>
  <c r="AC118" i="3"/>
  <c r="AG117" i="3"/>
  <c r="AA118" i="3"/>
  <c r="AE117" i="3"/>
  <c r="AD122" i="4"/>
  <c r="AE121" i="4"/>
  <c r="AC119" i="3" l="1"/>
  <c r="AG118" i="3"/>
  <c r="AA119" i="3"/>
  <c r="AE118" i="3"/>
  <c r="AB119" i="3"/>
  <c r="AF118" i="3"/>
  <c r="AD123" i="4"/>
  <c r="AE122" i="4"/>
  <c r="AA120" i="3" l="1"/>
  <c r="AE119" i="3"/>
  <c r="AF119" i="3"/>
  <c r="AB120" i="3"/>
  <c r="AC120" i="3"/>
  <c r="AG119" i="3"/>
  <c r="AD124" i="4"/>
  <c r="AE123" i="4"/>
  <c r="AF120" i="3" l="1"/>
  <c r="AB121" i="3"/>
  <c r="AG120" i="3"/>
  <c r="AC121" i="3"/>
  <c r="AA121" i="3"/>
  <c r="AE120" i="3"/>
  <c r="AD125" i="4"/>
  <c r="AE124" i="4"/>
  <c r="AA122" i="3" l="1"/>
  <c r="AE121" i="3"/>
  <c r="AC122" i="3"/>
  <c r="AG121" i="3"/>
  <c r="AB122" i="3"/>
  <c r="AF121" i="3"/>
  <c r="AD126" i="4"/>
  <c r="AE125" i="4"/>
  <c r="AF122" i="3" l="1"/>
  <c r="AB123" i="3"/>
  <c r="AG122" i="3"/>
  <c r="AC123" i="3"/>
  <c r="AA123" i="3"/>
  <c r="AE122" i="3"/>
  <c r="AD127" i="4"/>
  <c r="AE126" i="4"/>
  <c r="AA124" i="3" l="1"/>
  <c r="AE123" i="3"/>
  <c r="AC124" i="3"/>
  <c r="AG123" i="3"/>
  <c r="AF123" i="3"/>
  <c r="AB124" i="3"/>
  <c r="AD128" i="4"/>
  <c r="AE127" i="4"/>
  <c r="AB125" i="3" l="1"/>
  <c r="AF124" i="3"/>
  <c r="AG124" i="3"/>
  <c r="AC125" i="3"/>
  <c r="AA125" i="3"/>
  <c r="AE124" i="3"/>
  <c r="AD129" i="4"/>
  <c r="AE128" i="4"/>
  <c r="AA126" i="3" l="1"/>
  <c r="AE125" i="3"/>
  <c r="AG125" i="3"/>
  <c r="AC126" i="3"/>
  <c r="AF125" i="3"/>
  <c r="AB126" i="3"/>
  <c r="AD130" i="4"/>
  <c r="AE129" i="4"/>
  <c r="AF126" i="3" l="1"/>
  <c r="AB127" i="3"/>
  <c r="AC127" i="3"/>
  <c r="AG126" i="3"/>
  <c r="AA127" i="3"/>
  <c r="AE126" i="3"/>
  <c r="AD131" i="4"/>
  <c r="AE130" i="4"/>
  <c r="AA128" i="3" l="1"/>
  <c r="AE127" i="3"/>
  <c r="AG127" i="3"/>
  <c r="AC128" i="3"/>
  <c r="AB128" i="3"/>
  <c r="AF127" i="3"/>
  <c r="AD132" i="4"/>
  <c r="AE131" i="4"/>
  <c r="AB129" i="3" l="1"/>
  <c r="AF128" i="3"/>
  <c r="AC129" i="3"/>
  <c r="AG128" i="3"/>
  <c r="AA129" i="3"/>
  <c r="AE128" i="3"/>
  <c r="AD133" i="4"/>
  <c r="AE132" i="4"/>
  <c r="AC130" i="3" l="1"/>
  <c r="AG129" i="3"/>
  <c r="AA130" i="3"/>
  <c r="AE129" i="3"/>
  <c r="AB130" i="3"/>
  <c r="AF129" i="3"/>
  <c r="AD134" i="4"/>
  <c r="AE133" i="4"/>
  <c r="AB131" i="3" l="1"/>
  <c r="AF130" i="3"/>
  <c r="AE130" i="3"/>
  <c r="AA131" i="3"/>
  <c r="AC131" i="3"/>
  <c r="AG130" i="3"/>
  <c r="AD135" i="4"/>
  <c r="AE134" i="4"/>
  <c r="AG131" i="3" l="1"/>
  <c r="AC132" i="3"/>
  <c r="AE131" i="3"/>
  <c r="AA132" i="3"/>
  <c r="AF131" i="3"/>
  <c r="AB132" i="3"/>
  <c r="AD136" i="4"/>
  <c r="AE135" i="4"/>
  <c r="AB133" i="3" l="1"/>
  <c r="AF132" i="3"/>
  <c r="AC133" i="3"/>
  <c r="AG132" i="3"/>
  <c r="AA133" i="3"/>
  <c r="AE132" i="3"/>
  <c r="AD137" i="4"/>
  <c r="AE136" i="4"/>
  <c r="AC134" i="3" l="1"/>
  <c r="AG133" i="3"/>
  <c r="AA134" i="3"/>
  <c r="AE133" i="3"/>
  <c r="AF133" i="3"/>
  <c r="AB134" i="3"/>
  <c r="AD138" i="4"/>
  <c r="AE137" i="4"/>
  <c r="AB135" i="3" l="1"/>
  <c r="AF134" i="3"/>
  <c r="AA135" i="3"/>
  <c r="AE134" i="3"/>
  <c r="AC135" i="3"/>
  <c r="AG134" i="3"/>
  <c r="AD139" i="4"/>
  <c r="AE138" i="4"/>
  <c r="AA136" i="3" l="1"/>
  <c r="AE135" i="3"/>
  <c r="AG135" i="3"/>
  <c r="AC136" i="3"/>
  <c r="AB136" i="3"/>
  <c r="AF135" i="3"/>
  <c r="AD140" i="4"/>
  <c r="AE139" i="4"/>
  <c r="AB137" i="3" l="1"/>
  <c r="AF136" i="3"/>
  <c r="AG136" i="3"/>
  <c r="AC137" i="3"/>
  <c r="AA137" i="3"/>
  <c r="AE136" i="3"/>
  <c r="AD141" i="4"/>
  <c r="AE140" i="4"/>
  <c r="AG137" i="3" l="1"/>
  <c r="AC138" i="3"/>
  <c r="AE137" i="3"/>
  <c r="AA138" i="3"/>
  <c r="AB138" i="3"/>
  <c r="AF137" i="3"/>
  <c r="AD142" i="4"/>
  <c r="AE141" i="4"/>
  <c r="AG138" i="3" l="1"/>
  <c r="AC139" i="3"/>
  <c r="AB139" i="3"/>
  <c r="AF138" i="3"/>
  <c r="AA139" i="3"/>
  <c r="AE138" i="3"/>
  <c r="AD143" i="4"/>
  <c r="AE142" i="4"/>
  <c r="AF139" i="3" l="1"/>
  <c r="AB140" i="3"/>
  <c r="AG139" i="3"/>
  <c r="AC140" i="3"/>
  <c r="AA140" i="3"/>
  <c r="AE139" i="3"/>
  <c r="AD144" i="4"/>
  <c r="AE143" i="4"/>
  <c r="AA141" i="3" l="1"/>
  <c r="AE140" i="3"/>
  <c r="AB141" i="3"/>
  <c r="AF140" i="3"/>
  <c r="AC141" i="3"/>
  <c r="AG140" i="3"/>
  <c r="AD145" i="4"/>
  <c r="AE144" i="4"/>
  <c r="AC142" i="3" l="1"/>
  <c r="AG141" i="3"/>
  <c r="AF141" i="3"/>
  <c r="AB142" i="3"/>
  <c r="AA142" i="3"/>
  <c r="AE141" i="3"/>
  <c r="AD146" i="4"/>
  <c r="AE145" i="4"/>
  <c r="AA143" i="3" l="1"/>
  <c r="AE142" i="3"/>
  <c r="AB143" i="3"/>
  <c r="AF142" i="3"/>
  <c r="AG142" i="3"/>
  <c r="AC143" i="3"/>
  <c r="AD147" i="4"/>
  <c r="AE146" i="4"/>
  <c r="AG143" i="3" l="1"/>
  <c r="AC144" i="3"/>
  <c r="AF143" i="3"/>
  <c r="AB144" i="3"/>
  <c r="AA144" i="3"/>
  <c r="AE143" i="3"/>
  <c r="AD148" i="4"/>
  <c r="AE147" i="4"/>
  <c r="AB145" i="3" l="1"/>
  <c r="AF144" i="3"/>
  <c r="AA145" i="3"/>
  <c r="AE144" i="3"/>
  <c r="AC145" i="3"/>
  <c r="AG144" i="3"/>
  <c r="AD149" i="4"/>
  <c r="AE148" i="4"/>
  <c r="AG145" i="3" l="1"/>
  <c r="AC146" i="3"/>
  <c r="AA146" i="3"/>
  <c r="AE145" i="3"/>
  <c r="AB146" i="3"/>
  <c r="AF145" i="3"/>
  <c r="AD150" i="4"/>
  <c r="AE149" i="4"/>
  <c r="AB147" i="3" l="1"/>
  <c r="AF146" i="3"/>
  <c r="AC147" i="3"/>
  <c r="AG146" i="3"/>
  <c r="AA147" i="3"/>
  <c r="AE146" i="3"/>
  <c r="AD151" i="4"/>
  <c r="AE150" i="4"/>
  <c r="AA148" i="3" l="1"/>
  <c r="AE147" i="3"/>
  <c r="AC148" i="3"/>
  <c r="AG147" i="3"/>
  <c r="AB148" i="3"/>
  <c r="AF147" i="3"/>
  <c r="AD152" i="4"/>
  <c r="AE151" i="4"/>
  <c r="AB149" i="3" l="1"/>
  <c r="AF148" i="3"/>
  <c r="AG148" i="3"/>
  <c r="AC149" i="3"/>
  <c r="AA149" i="3"/>
  <c r="AE148" i="3"/>
  <c r="AD153" i="4"/>
  <c r="AE152" i="4"/>
  <c r="AC150" i="3" l="1"/>
  <c r="AG149" i="3"/>
  <c r="AE149" i="3"/>
  <c r="AA150" i="3"/>
  <c r="AB150" i="3"/>
  <c r="AF149" i="3"/>
  <c r="AD154" i="4"/>
  <c r="AE153" i="4"/>
  <c r="AA151" i="3" l="1"/>
  <c r="AE150" i="3"/>
  <c r="AF150" i="3"/>
  <c r="AB151" i="3"/>
  <c r="AG150" i="3"/>
  <c r="AC151" i="3"/>
  <c r="AD155" i="4"/>
  <c r="AE154" i="4"/>
  <c r="AG151" i="3" l="1"/>
  <c r="AC152" i="3"/>
  <c r="AB152" i="3"/>
  <c r="AF151" i="3"/>
  <c r="AA152" i="3"/>
  <c r="AE151" i="3"/>
  <c r="AD156" i="4"/>
  <c r="AE155" i="4"/>
  <c r="AG152" i="3" l="1"/>
  <c r="AC153" i="3"/>
  <c r="AA153" i="3"/>
  <c r="AE152" i="3"/>
  <c r="AF152" i="3"/>
  <c r="AB153" i="3"/>
  <c r="AD157" i="4"/>
  <c r="AE156" i="4"/>
  <c r="AF153" i="3" l="1"/>
  <c r="AB154" i="3"/>
  <c r="AA154" i="3"/>
  <c r="AE153" i="3"/>
  <c r="AG153" i="3"/>
  <c r="AC154" i="3"/>
  <c r="AD158" i="4"/>
  <c r="AE157" i="4"/>
  <c r="AA155" i="3" l="1"/>
  <c r="AE154" i="3"/>
  <c r="AB155" i="3"/>
  <c r="AF154" i="3"/>
  <c r="AC155" i="3"/>
  <c r="AG154" i="3"/>
  <c r="AD159" i="4"/>
  <c r="AE158" i="4"/>
  <c r="AG155" i="3" l="1"/>
  <c r="AC156" i="3"/>
  <c r="AB156" i="3"/>
  <c r="AF155" i="3"/>
  <c r="AA156" i="3"/>
  <c r="AE155" i="3"/>
  <c r="AD160" i="4"/>
  <c r="AE159" i="4"/>
  <c r="AB157" i="3" l="1"/>
  <c r="AF156" i="3"/>
  <c r="AA157" i="3"/>
  <c r="AE156" i="3"/>
  <c r="AC157" i="3"/>
  <c r="AG156" i="3"/>
  <c r="AD161" i="4"/>
  <c r="AE160" i="4"/>
  <c r="AG157" i="3" l="1"/>
  <c r="AC158" i="3"/>
  <c r="AA158" i="3"/>
  <c r="AE157" i="3"/>
  <c r="AF157" i="3"/>
  <c r="AB158" i="3"/>
  <c r="AD162" i="4"/>
  <c r="AE161" i="4"/>
  <c r="AC159" i="3" l="1"/>
  <c r="AG158" i="3"/>
  <c r="AB159" i="3"/>
  <c r="AF158" i="3"/>
  <c r="AA159" i="3"/>
  <c r="AE158" i="3"/>
  <c r="AD163" i="4"/>
  <c r="AE162" i="4"/>
  <c r="AB160" i="3" l="1"/>
  <c r="AF159" i="3"/>
  <c r="AA160" i="3"/>
  <c r="AE159" i="3"/>
  <c r="AC160" i="3"/>
  <c r="AG159" i="3"/>
  <c r="AD164" i="4"/>
  <c r="AE163" i="4"/>
  <c r="AG160" i="3" l="1"/>
  <c r="AC161" i="3"/>
  <c r="AA161" i="3"/>
  <c r="AE160" i="3"/>
  <c r="AF160" i="3"/>
  <c r="AB161" i="3"/>
  <c r="AD165" i="4"/>
  <c r="AE164" i="4"/>
  <c r="AB162" i="3" l="1"/>
  <c r="AF161" i="3"/>
  <c r="AC162" i="3"/>
  <c r="AG161" i="3"/>
  <c r="AA162" i="3"/>
  <c r="AE161" i="3"/>
  <c r="AD166" i="4"/>
  <c r="AE165" i="4"/>
  <c r="AC163" i="3" l="1"/>
  <c r="AG162" i="3"/>
  <c r="AA163" i="3"/>
  <c r="AE162" i="3"/>
  <c r="AB163" i="3"/>
  <c r="AF162" i="3"/>
  <c r="AD167" i="4"/>
  <c r="AE166" i="4"/>
  <c r="AF163" i="3" l="1"/>
  <c r="AB164" i="3"/>
  <c r="AE163" i="3"/>
  <c r="AA164" i="3"/>
  <c r="AG163" i="3"/>
  <c r="AC164" i="3"/>
  <c r="AD168" i="4"/>
  <c r="AE167" i="4"/>
  <c r="AB165" i="3" l="1"/>
  <c r="AF164" i="3"/>
  <c r="AC165" i="3"/>
  <c r="AG164" i="3"/>
  <c r="AE164" i="3"/>
  <c r="AA165" i="3"/>
  <c r="AD169" i="4"/>
  <c r="AE168" i="4"/>
  <c r="AE165" i="3" l="1"/>
  <c r="AA166" i="3"/>
  <c r="AC166" i="3"/>
  <c r="AG165" i="3"/>
  <c r="AB166" i="3"/>
  <c r="AF165" i="3"/>
  <c r="AD170" i="4"/>
  <c r="AE169" i="4"/>
  <c r="AC167" i="3" l="1"/>
  <c r="AG166" i="3"/>
  <c r="AA167" i="3"/>
  <c r="AE166" i="3"/>
  <c r="AB167" i="3"/>
  <c r="AF166" i="3"/>
  <c r="AD171" i="4"/>
  <c r="AE170" i="4"/>
  <c r="AB168" i="3" l="1"/>
  <c r="AF167" i="3"/>
  <c r="AA168" i="3"/>
  <c r="AE167" i="3"/>
  <c r="AG167" i="3"/>
  <c r="AC168" i="3"/>
  <c r="AD172" i="4"/>
  <c r="AE171" i="4"/>
  <c r="AG168" i="3" l="1"/>
  <c r="AC169" i="3"/>
  <c r="AA169" i="3"/>
  <c r="AE168" i="3"/>
  <c r="AB169" i="3"/>
  <c r="AF168" i="3"/>
  <c r="AD173" i="4"/>
  <c r="AE172" i="4"/>
  <c r="AA170" i="3" l="1"/>
  <c r="AE169" i="3"/>
  <c r="AB170" i="3"/>
  <c r="AF169" i="3"/>
  <c r="AG169" i="3"/>
  <c r="AC170" i="3"/>
  <c r="AD174" i="4"/>
  <c r="AE173" i="4"/>
  <c r="AG170" i="3" l="1"/>
  <c r="AC171" i="3"/>
  <c r="AB171" i="3"/>
  <c r="AF170" i="3"/>
  <c r="AA171" i="3"/>
  <c r="AE170" i="3"/>
  <c r="AD175" i="4"/>
  <c r="AE174" i="4"/>
  <c r="AC172" i="3" l="1"/>
  <c r="AG171" i="3"/>
  <c r="AA172" i="3"/>
  <c r="AE171" i="3"/>
  <c r="AB172" i="3"/>
  <c r="AF171" i="3"/>
  <c r="AD176" i="4"/>
  <c r="AE175" i="4"/>
  <c r="AA173" i="3" l="1"/>
  <c r="AE172" i="3"/>
  <c r="AB173" i="3"/>
  <c r="AF172" i="3"/>
  <c r="AC173" i="3"/>
  <c r="AG172" i="3"/>
  <c r="AD177" i="4"/>
  <c r="AE176" i="4"/>
  <c r="AG173" i="3" l="1"/>
  <c r="AC174" i="3"/>
  <c r="AB174" i="3"/>
  <c r="AF173" i="3"/>
  <c r="AE173" i="3"/>
  <c r="AA174" i="3"/>
  <c r="AD178" i="4"/>
  <c r="AE177" i="4"/>
  <c r="AB175" i="3" l="1"/>
  <c r="AF174" i="3"/>
  <c r="AE174" i="3"/>
  <c r="AA175" i="3"/>
  <c r="AG174" i="3"/>
  <c r="AC175" i="3"/>
  <c r="AD179" i="4"/>
  <c r="AE178" i="4"/>
  <c r="AA176" i="3" l="1"/>
  <c r="AE175" i="3"/>
  <c r="AG175" i="3"/>
  <c r="AC176" i="3"/>
  <c r="AB176" i="3"/>
  <c r="AF175" i="3"/>
  <c r="AD180" i="4"/>
  <c r="AE179" i="4"/>
  <c r="AC177" i="3" l="1"/>
  <c r="AG176" i="3"/>
  <c r="AB177" i="3"/>
  <c r="AF176" i="3"/>
  <c r="AA177" i="3"/>
  <c r="AE176" i="3"/>
  <c r="AD181" i="4"/>
  <c r="AE180" i="4"/>
  <c r="AA178" i="3" l="1"/>
  <c r="AE177" i="3"/>
  <c r="AF177" i="3"/>
  <c r="AB178" i="3"/>
  <c r="AG177" i="3"/>
  <c r="AC178" i="3"/>
  <c r="AD182" i="4"/>
  <c r="AE181" i="4"/>
  <c r="AB179" i="3" l="1"/>
  <c r="AF178" i="3"/>
  <c r="AG178" i="3"/>
  <c r="AC179" i="3"/>
  <c r="AA179" i="3"/>
  <c r="AE178" i="3"/>
  <c r="AD183" i="4"/>
  <c r="AE182" i="4"/>
  <c r="AC180" i="3" l="1"/>
  <c r="AG179" i="3"/>
  <c r="AA180" i="3"/>
  <c r="AE179" i="3"/>
  <c r="AB180" i="3"/>
  <c r="AF179" i="3"/>
  <c r="AD184" i="4"/>
  <c r="AE183" i="4"/>
  <c r="AA181" i="3" l="1"/>
  <c r="AE180" i="3"/>
  <c r="AF180" i="3"/>
  <c r="AB181" i="3"/>
  <c r="AC181" i="3"/>
  <c r="AG180" i="3"/>
  <c r="AD185" i="4"/>
  <c r="AE184" i="4"/>
  <c r="AG181" i="3" l="1"/>
  <c r="AC182" i="3"/>
  <c r="AB182" i="3"/>
  <c r="AF181" i="3"/>
  <c r="AA182" i="3"/>
  <c r="AE181" i="3"/>
  <c r="AD186" i="4"/>
  <c r="AE185" i="4"/>
  <c r="AG182" i="3" l="1"/>
  <c r="AC183" i="3"/>
  <c r="AA183" i="3"/>
  <c r="AE182" i="3"/>
  <c r="AF182" i="3"/>
  <c r="AB183" i="3"/>
  <c r="AD187" i="4"/>
  <c r="AE186" i="4"/>
  <c r="AF183" i="3" l="1"/>
  <c r="AB184" i="3"/>
  <c r="AA184" i="3"/>
  <c r="AE183" i="3"/>
  <c r="AC184" i="3"/>
  <c r="AG183" i="3"/>
  <c r="AD188" i="4"/>
  <c r="AE187" i="4"/>
  <c r="AF184" i="3" l="1"/>
  <c r="AB185" i="3"/>
  <c r="AC185" i="3"/>
  <c r="AG184" i="3"/>
  <c r="AE184" i="3"/>
  <c r="AA185" i="3"/>
  <c r="AD189" i="4"/>
  <c r="AE188" i="4"/>
  <c r="AC186" i="3" l="1"/>
  <c r="AG185" i="3"/>
  <c r="AF185" i="3"/>
  <c r="AB186" i="3"/>
  <c r="AE185" i="3"/>
  <c r="AA186" i="3"/>
  <c r="AD190" i="4"/>
  <c r="AE189" i="4"/>
  <c r="AA187" i="3" l="1"/>
  <c r="AE186" i="3"/>
  <c r="AF186" i="3"/>
  <c r="AB187" i="3"/>
  <c r="AC187" i="3"/>
  <c r="AG186" i="3"/>
  <c r="AD191" i="4"/>
  <c r="AE190" i="4"/>
  <c r="AG187" i="3" l="1"/>
  <c r="AC188" i="3"/>
  <c r="AB188" i="3"/>
  <c r="AF187" i="3"/>
  <c r="AA188" i="3"/>
  <c r="AE187" i="3"/>
  <c r="AD192" i="4"/>
  <c r="AE191" i="4"/>
  <c r="AE188" i="3" l="1"/>
  <c r="AA189" i="3"/>
  <c r="AB189" i="3"/>
  <c r="AF188" i="3"/>
  <c r="AC189" i="3"/>
  <c r="AG188" i="3"/>
  <c r="AD193" i="4"/>
  <c r="AE192" i="4"/>
  <c r="AB190" i="3" l="1"/>
  <c r="AF189" i="3"/>
  <c r="AA190" i="3"/>
  <c r="AE189" i="3"/>
  <c r="AG189" i="3"/>
  <c r="AC190" i="3"/>
  <c r="AD194" i="4"/>
  <c r="AE193" i="4"/>
  <c r="AG190" i="3" l="1"/>
  <c r="AC191" i="3"/>
  <c r="AA191" i="3"/>
  <c r="AE190" i="3"/>
  <c r="AB191" i="3"/>
  <c r="AF190" i="3"/>
  <c r="AD195" i="4"/>
  <c r="AE194" i="4"/>
  <c r="AE191" i="3" l="1"/>
  <c r="AA192" i="3"/>
  <c r="AG191" i="3"/>
  <c r="AC192" i="3"/>
  <c r="AB192" i="3"/>
  <c r="AF191" i="3"/>
  <c r="AD196" i="4"/>
  <c r="AE195" i="4"/>
  <c r="AB193" i="3" l="1"/>
  <c r="AF192" i="3"/>
  <c r="AC193" i="3"/>
  <c r="AG192" i="3"/>
  <c r="AA193" i="3"/>
  <c r="AE192" i="3"/>
  <c r="AD197" i="4"/>
  <c r="AE196" i="4"/>
  <c r="AA194" i="3" l="1"/>
  <c r="AE193" i="3"/>
  <c r="AC194" i="3"/>
  <c r="AG193" i="3"/>
  <c r="AF193" i="3"/>
  <c r="AB194" i="3"/>
  <c r="AD198" i="4"/>
  <c r="AE197" i="4"/>
  <c r="AC195" i="3" l="1"/>
  <c r="AG194" i="3"/>
  <c r="AB195" i="3"/>
  <c r="AF194" i="3"/>
  <c r="AA195" i="3"/>
  <c r="AE194" i="3"/>
  <c r="AD199" i="4"/>
  <c r="AE198" i="4"/>
  <c r="AA196" i="3" l="1"/>
  <c r="AE195" i="3"/>
  <c r="AB196" i="3"/>
  <c r="AF195" i="3"/>
  <c r="AC196" i="3"/>
  <c r="AG195" i="3"/>
  <c r="AD200" i="4"/>
  <c r="AE199" i="4"/>
  <c r="AB197" i="3" l="1"/>
  <c r="AF196" i="3"/>
  <c r="AG196" i="3"/>
  <c r="AC197" i="3"/>
  <c r="AA197" i="3"/>
  <c r="AE196" i="3"/>
  <c r="AD201" i="4"/>
  <c r="AE200" i="4"/>
  <c r="AC198" i="3" l="1"/>
  <c r="AG197" i="3"/>
  <c r="AA198" i="3"/>
  <c r="AE197" i="3"/>
  <c r="AB198" i="3"/>
  <c r="AF197" i="3"/>
  <c r="AD202" i="4"/>
  <c r="AE202" i="4"/>
  <c r="AE201" i="4"/>
  <c r="AE198" i="3" l="1"/>
  <c r="AA199" i="3"/>
  <c r="AF198" i="3"/>
  <c r="AB199" i="3"/>
  <c r="AC199" i="3"/>
  <c r="AG198" i="3"/>
  <c r="AA200" i="3" l="1"/>
  <c r="AE199" i="3"/>
  <c r="AG199" i="3"/>
  <c r="AC200" i="3"/>
  <c r="AB200" i="3"/>
  <c r="AF199" i="3"/>
  <c r="AB201" i="3" l="1"/>
  <c r="AF200" i="3"/>
  <c r="AG200" i="3"/>
  <c r="AC201" i="3"/>
  <c r="AE200" i="3"/>
  <c r="AA201" i="3"/>
  <c r="AG201" i="3" l="1"/>
  <c r="AC202" i="3"/>
  <c r="AG202" i="3" s="1"/>
  <c r="AA202" i="3"/>
  <c r="AE202" i="3" s="1"/>
  <c r="AE201" i="3"/>
  <c r="AF201" i="3"/>
  <c r="AB202" i="3"/>
  <c r="AF20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Facundo L. Pfeffer</author>
    <author>Facundo Leguizamón</author>
  </authors>
  <commentList>
    <comment ref="A14" authorId="0" shapeId="0" xr:uid="{C02ED6DD-F720-47DE-B541-BD635A4B5C54}">
      <text>
        <r>
          <rPr>
            <b/>
            <sz val="9"/>
            <color indexed="81"/>
            <rFont val="Tahoma"/>
            <family val="2"/>
          </rPr>
          <t>Facundo L. Pfeffer:</t>
        </r>
        <r>
          <rPr>
            <sz val="9"/>
            <color indexed="81"/>
            <rFont val="Tahoma"/>
            <family val="2"/>
          </rPr>
          <t xml:space="preserve">
La geometría se puede definir a través de contornos poligonales </t>
        </r>
        <r>
          <rPr>
            <b/>
            <sz val="9"/>
            <color indexed="81"/>
            <rFont val="Tahoma"/>
            <family val="2"/>
          </rPr>
          <t>convexos</t>
        </r>
        <r>
          <rPr>
            <sz val="9"/>
            <color indexed="81"/>
            <rFont val="Tahoma"/>
            <family val="2"/>
          </rPr>
          <t xml:space="preserve"> y contornos circulares.</t>
        </r>
      </text>
    </comment>
    <comment ref="C48" authorId="1" shapeId="0" xr:uid="{4CAB11D7-3198-4462-B7F8-C39BA89A28E8}">
      <text>
        <r>
          <rPr>
            <sz val="9"/>
            <color indexed="81"/>
            <rFont val="Tahoma"/>
            <family val="2"/>
          </rPr>
          <t>Un resultado tipo 2D representa la resistencia de la sección para un único plano de carga o, lo que es equivalente, para una única dirección del vector momento flector.
Un resultado tipo 3D representa la resistencia de la sección para múltiples planos de carga. El momento se describe por sus componentes cartesianas Mx y My.</t>
        </r>
      </text>
    </comment>
    <comment ref="C50" authorId="1" shapeId="0" xr:uid="{71CCD132-C39E-43DE-A2D6-D08E35BFFED4}">
      <text>
        <r>
          <rPr>
            <sz val="9"/>
            <color indexed="81"/>
            <rFont val="Tahoma"/>
            <family val="2"/>
          </rPr>
          <t xml:space="preserve">Se consulta si se desea incorporar al cálculo de resultados:
1. Un factor de minoración de resistencia </t>
        </r>
        <r>
          <rPr>
            <b/>
            <i/>
            <sz val="9"/>
            <color indexed="81"/>
            <rFont val="Tahoma"/>
            <family val="2"/>
          </rPr>
          <t>ϕ</t>
        </r>
        <r>
          <rPr>
            <sz val="9"/>
            <color indexed="81"/>
            <rFont val="Tahoma"/>
            <family val="2"/>
          </rPr>
          <t xml:space="preserve"> </t>
        </r>
        <r>
          <rPr>
            <b/>
            <sz val="9"/>
            <color indexed="81"/>
            <rFont val="Tahoma"/>
            <family val="2"/>
          </rPr>
          <t>variable</t>
        </r>
        <r>
          <rPr>
            <sz val="9"/>
            <color indexed="81"/>
            <rFont val="Tahoma"/>
            <family val="2"/>
          </rPr>
          <t xml:space="preserve"> según el artículo 9.3.2. del CIRSOC 201-2005.
2. Un factor de minoración de resistencia </t>
        </r>
        <r>
          <rPr>
            <b/>
            <i/>
            <sz val="9"/>
            <color indexed="81"/>
            <rFont val="Tahoma"/>
            <family val="2"/>
          </rPr>
          <t>ϕ variable</t>
        </r>
        <r>
          <rPr>
            <sz val="9"/>
            <color indexed="81"/>
            <rFont val="Tahoma"/>
            <family val="2"/>
          </rPr>
          <t xml:space="preserve"> según el artículo 21.2.2. del CIRSOC 201-2024 / ACI 318-19.
3. Un factor de minoración </t>
        </r>
        <r>
          <rPr>
            <b/>
            <i/>
            <sz val="9"/>
            <color indexed="81"/>
            <rFont val="Tahoma"/>
            <family val="2"/>
          </rPr>
          <t>ϕ</t>
        </r>
        <r>
          <rPr>
            <b/>
            <sz val="9"/>
            <color indexed="81"/>
            <rFont val="Tahoma"/>
            <family val="2"/>
          </rPr>
          <t xml:space="preserve"> constante</t>
        </r>
        <r>
          <rPr>
            <sz val="9"/>
            <color indexed="81"/>
            <rFont val="Tahoma"/>
            <family val="2"/>
          </rPr>
          <t xml:space="preserve"> (igual para todos los puntos). Se debe ingresar el valor en la misma celda.</t>
        </r>
      </text>
    </comment>
    <comment ref="C52" authorId="1" shapeId="0" xr:uid="{F0C6C8EA-617E-49BD-84E1-CA88C38D5610}">
      <text>
        <r>
          <rPr>
            <sz val="9"/>
            <color indexed="81"/>
            <rFont val="Tahoma"/>
            <family val="2"/>
          </rPr>
          <t>Pregunta si además de graficar el Diagrama de Interacción para el  λ ingresado, se quiere ingresar estados de carga a verificar con el diagrama. 
Require ingreso manual de estados de carga.</t>
        </r>
      </text>
    </comment>
    <comment ref="C54" authorId="0" shapeId="0" xr:uid="{7C5EA7C4-086D-47A1-ADE1-B61C64C75872}">
      <text>
        <r>
          <rPr>
            <sz val="9"/>
            <color indexed="81"/>
            <rFont val="Tahoma"/>
            <family val="2"/>
          </rPr>
          <t xml:space="preserve">Además de mostrar el resultado en una ventana HTML, se pregunta si se desea que el programa plasme los resultados numéricos </t>
        </r>
        <r>
          <rPr>
            <b/>
            <sz val="9"/>
            <color indexed="81"/>
            <rFont val="Tahoma"/>
            <family val="2"/>
          </rPr>
          <t>dentro de la planilla</t>
        </r>
        <r>
          <rPr>
            <sz val="9"/>
            <color indexed="81"/>
            <rFont val="Tahoma"/>
            <family val="2"/>
          </rPr>
          <t xml:space="preserve">.
</t>
        </r>
        <r>
          <rPr>
            <b/>
            <sz val="9"/>
            <color indexed="81"/>
            <rFont val="Tahoma"/>
            <family val="2"/>
          </rPr>
          <t>Se habilatá una nueva hoja</t>
        </r>
        <r>
          <rPr>
            <sz val="9"/>
            <color indexed="81"/>
            <rFont val="Tahoma"/>
            <family val="2"/>
          </rPr>
          <t xml:space="preserve"> 'RESULTADOS 2D' o 'RESULTADOS 3D', según corresponda.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Facundo L. Pfeffer</author>
    <author>Facundo Leguizamón</author>
  </authors>
  <commentList>
    <comment ref="A14" authorId="0" shapeId="0" xr:uid="{081FC454-3257-4D9D-BDB6-3AC3A16BC253}">
      <text>
        <r>
          <rPr>
            <b/>
            <sz val="9"/>
            <color indexed="81"/>
            <rFont val="Tahoma"/>
            <family val="2"/>
          </rPr>
          <t>Facundo L. Pfeffer:</t>
        </r>
        <r>
          <rPr>
            <sz val="9"/>
            <color indexed="81"/>
            <rFont val="Tahoma"/>
            <family val="2"/>
          </rPr>
          <t xml:space="preserve">
La geometría se puede definir a través de contornos poligonales </t>
        </r>
        <r>
          <rPr>
            <b/>
            <sz val="9"/>
            <color indexed="81"/>
            <rFont val="Tahoma"/>
            <family val="2"/>
          </rPr>
          <t>convexos</t>
        </r>
        <r>
          <rPr>
            <sz val="9"/>
            <color indexed="81"/>
            <rFont val="Tahoma"/>
            <family val="2"/>
          </rPr>
          <t xml:space="preserve"> y contornos circulares.</t>
        </r>
      </text>
    </comment>
    <comment ref="C48" authorId="1" shapeId="0" xr:uid="{4FC46DB7-F241-44D8-A228-C54240424E94}">
      <text>
        <r>
          <rPr>
            <sz val="9"/>
            <color indexed="81"/>
            <rFont val="Tahoma"/>
            <family val="2"/>
          </rPr>
          <t>Un resultado tipo 2D representa la resistencia de la sección para un único plano de carga o, lo que es equivalente, para una única dirección del vector momento flector.
Un resultado tipo 3D representa la resistencia de la sección para múltiples planos de carga. El momento se describe por sus componentes cartesianas Mx y My.</t>
        </r>
      </text>
    </comment>
    <comment ref="C50" authorId="1" shapeId="0" xr:uid="{2BA50648-1F96-4915-93C1-A7D9EF9B0EB1}">
      <text>
        <r>
          <rPr>
            <sz val="9"/>
            <color indexed="81"/>
            <rFont val="Tahoma"/>
            <family val="2"/>
          </rPr>
          <t xml:space="preserve">Se consulta si se desea incorporar al cálculo de resultados:
1. Un factor de minoración de resistencia </t>
        </r>
        <r>
          <rPr>
            <b/>
            <i/>
            <sz val="9"/>
            <color indexed="81"/>
            <rFont val="Tahoma"/>
            <family val="2"/>
          </rPr>
          <t>ϕ</t>
        </r>
        <r>
          <rPr>
            <sz val="9"/>
            <color indexed="81"/>
            <rFont val="Tahoma"/>
            <family val="2"/>
          </rPr>
          <t xml:space="preserve"> </t>
        </r>
        <r>
          <rPr>
            <b/>
            <sz val="9"/>
            <color indexed="81"/>
            <rFont val="Tahoma"/>
            <family val="2"/>
          </rPr>
          <t>variable</t>
        </r>
        <r>
          <rPr>
            <sz val="9"/>
            <color indexed="81"/>
            <rFont val="Tahoma"/>
            <family val="2"/>
          </rPr>
          <t xml:space="preserve"> según el artículo 9.3.2. del CIRSOC 201-2005.
2. Un factor de minoración de resistencia </t>
        </r>
        <r>
          <rPr>
            <b/>
            <i/>
            <sz val="9"/>
            <color indexed="81"/>
            <rFont val="Tahoma"/>
            <family val="2"/>
          </rPr>
          <t>ϕ variable</t>
        </r>
        <r>
          <rPr>
            <sz val="9"/>
            <color indexed="81"/>
            <rFont val="Tahoma"/>
            <family val="2"/>
          </rPr>
          <t xml:space="preserve"> según el artículo 21.2.2. del CIRSOC 201-2024 / ACI 318-19.
3. Un factor de minoración </t>
        </r>
        <r>
          <rPr>
            <b/>
            <i/>
            <sz val="9"/>
            <color indexed="81"/>
            <rFont val="Tahoma"/>
            <family val="2"/>
          </rPr>
          <t>ϕ</t>
        </r>
        <r>
          <rPr>
            <b/>
            <sz val="9"/>
            <color indexed="81"/>
            <rFont val="Tahoma"/>
            <family val="2"/>
          </rPr>
          <t xml:space="preserve"> constante</t>
        </r>
        <r>
          <rPr>
            <sz val="9"/>
            <color indexed="81"/>
            <rFont val="Tahoma"/>
            <family val="2"/>
          </rPr>
          <t xml:space="preserve"> (igual para todos los puntos). Se debe ingresar el valor en la misma celda.</t>
        </r>
      </text>
    </comment>
    <comment ref="C52" authorId="1" shapeId="0" xr:uid="{0A923EE6-FB24-4D9C-8E4D-AD23287112AB}">
      <text>
        <r>
          <rPr>
            <sz val="9"/>
            <color indexed="81"/>
            <rFont val="Tahoma"/>
            <family val="2"/>
          </rPr>
          <t>Pregunta si además de graficar el Diagrama de Interacción para el  λ ingresado, se quiere ingresar estados de carga a verificar con el diagrama. 
Require ingreso manual de estados de carga.</t>
        </r>
      </text>
    </comment>
    <comment ref="C54" authorId="0" shapeId="0" xr:uid="{9CD954E3-1D43-4CC9-9E25-D462FCE3BB0A}">
      <text>
        <r>
          <rPr>
            <sz val="9"/>
            <color indexed="81"/>
            <rFont val="Tahoma"/>
            <family val="2"/>
          </rPr>
          <t xml:space="preserve">Además de mostrar el resultado en una ventana HTML, se pregunta si se desea que el programa plasme los resultados numéricos </t>
        </r>
        <r>
          <rPr>
            <b/>
            <sz val="9"/>
            <color indexed="81"/>
            <rFont val="Tahoma"/>
            <family val="2"/>
          </rPr>
          <t>dentro de la planilla</t>
        </r>
        <r>
          <rPr>
            <sz val="9"/>
            <color indexed="81"/>
            <rFont val="Tahoma"/>
            <family val="2"/>
          </rPr>
          <t xml:space="preserve">.
</t>
        </r>
        <r>
          <rPr>
            <b/>
            <sz val="9"/>
            <color indexed="81"/>
            <rFont val="Tahoma"/>
            <family val="2"/>
          </rPr>
          <t>Se habilatá una nueva hoja</t>
        </r>
        <r>
          <rPr>
            <sz val="9"/>
            <color indexed="81"/>
            <rFont val="Tahoma"/>
            <family val="2"/>
          </rPr>
          <t xml:space="preserve"> 'RESULTADOS 2D' o 'RESULTADOS 3D', según corresponda.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Facundo Leguizamón</author>
    <author>Facundo L. Pfeffer</author>
  </authors>
  <commentList>
    <comment ref="C28" authorId="0" shapeId="0" xr:uid="{C0B09E89-A568-44D8-AB4D-92EB250D919F}">
      <text>
        <r>
          <rPr>
            <sz val="9"/>
            <color indexed="81"/>
            <rFont val="Tahoma"/>
            <family val="2"/>
          </rPr>
          <t xml:space="preserve">Se consulta si se desea incorporar al cálculo de resultados:
1. Un factor de minoración de resistencia </t>
        </r>
        <r>
          <rPr>
            <b/>
            <i/>
            <sz val="9"/>
            <color indexed="81"/>
            <rFont val="Tahoma"/>
            <family val="2"/>
          </rPr>
          <t>ϕ</t>
        </r>
        <r>
          <rPr>
            <sz val="9"/>
            <color indexed="81"/>
            <rFont val="Tahoma"/>
            <family val="2"/>
          </rPr>
          <t xml:space="preserve"> </t>
        </r>
        <r>
          <rPr>
            <b/>
            <sz val="9"/>
            <color indexed="81"/>
            <rFont val="Tahoma"/>
            <family val="2"/>
          </rPr>
          <t>variable</t>
        </r>
        <r>
          <rPr>
            <sz val="9"/>
            <color indexed="81"/>
            <rFont val="Tahoma"/>
            <family val="2"/>
          </rPr>
          <t xml:space="preserve"> según el artículo 9.3.2. del CIRSOC 201-2005.
2. Un factor de minoración de resistencia </t>
        </r>
        <r>
          <rPr>
            <b/>
            <i/>
            <sz val="9"/>
            <color indexed="81"/>
            <rFont val="Tahoma"/>
            <family val="2"/>
          </rPr>
          <t>ϕ variable</t>
        </r>
        <r>
          <rPr>
            <sz val="9"/>
            <color indexed="81"/>
            <rFont val="Tahoma"/>
            <family val="2"/>
          </rPr>
          <t xml:space="preserve"> según el artículo 21.2.2. del CIRSOC 201-2024 / ACI 318-19.
3. Un factor de minoración </t>
        </r>
        <r>
          <rPr>
            <b/>
            <i/>
            <sz val="9"/>
            <color indexed="81"/>
            <rFont val="Tahoma"/>
            <family val="2"/>
          </rPr>
          <t>ϕ</t>
        </r>
        <r>
          <rPr>
            <b/>
            <sz val="9"/>
            <color indexed="81"/>
            <rFont val="Tahoma"/>
            <family val="2"/>
          </rPr>
          <t xml:space="preserve"> constante</t>
        </r>
        <r>
          <rPr>
            <sz val="9"/>
            <color indexed="81"/>
            <rFont val="Tahoma"/>
            <family val="2"/>
          </rPr>
          <t xml:space="preserve"> (igual para todos los puntos). Se debe ingresar el valor en la misma celda.</t>
        </r>
      </text>
    </comment>
    <comment ref="C30" authorId="0" shapeId="0" xr:uid="{AFBC40AA-5EE1-4733-9334-EF743BB1185D}">
      <text>
        <r>
          <rPr>
            <sz val="9"/>
            <color indexed="81"/>
            <rFont val="Tahoma"/>
            <family val="2"/>
          </rPr>
          <t>Pregunta si además de graficar el Diagrama de Interacción para el  λ ingresado, se quiere ingresar estados de carga a verificar con el diagrama. 
Require ingreso manual de estados de carga.</t>
        </r>
      </text>
    </comment>
    <comment ref="C32" authorId="1" shapeId="0" xr:uid="{DE9778E4-DE8C-4360-8E64-5B2E6944A24F}">
      <text>
        <r>
          <rPr>
            <sz val="9"/>
            <color indexed="81"/>
            <rFont val="Tahoma"/>
            <family val="2"/>
          </rPr>
          <t xml:space="preserve">Además de mostrar el resultado en una ventana HTML, se pregunta si se desea que el programa plasme los resultados numéricos </t>
        </r>
        <r>
          <rPr>
            <b/>
            <sz val="9"/>
            <color indexed="81"/>
            <rFont val="Tahoma"/>
            <family val="2"/>
          </rPr>
          <t>dentro de la planilla</t>
        </r>
        <r>
          <rPr>
            <sz val="9"/>
            <color indexed="81"/>
            <rFont val="Tahoma"/>
            <family val="2"/>
          </rPr>
          <t xml:space="preserve">.
</t>
        </r>
        <r>
          <rPr>
            <b/>
            <sz val="9"/>
            <color indexed="81"/>
            <rFont val="Tahoma"/>
            <family val="2"/>
          </rPr>
          <t>Se habilatá una nueva hoja</t>
        </r>
        <r>
          <rPr>
            <sz val="9"/>
            <color indexed="81"/>
            <rFont val="Tahoma"/>
            <family val="2"/>
          </rPr>
          <t xml:space="preserve"> 'RESULTADOS 2D' o 'RESULTADOS 3D', según corresponda.</t>
        </r>
      </text>
    </comment>
    <comment ref="C34" authorId="0" shapeId="0" xr:uid="{49985700-0A31-48E3-8B8B-B3B5C788B9A8}">
      <text>
        <r>
          <rPr>
            <sz val="9"/>
            <color indexed="81"/>
            <rFont val="Tahoma"/>
            <family val="2"/>
          </rPr>
          <t>Determina las filas debajo. Planos de Carga a Dibugar en Diagrama 3D.
Si además se agregan estados de verificación, se agregaran a los ingresados en esta sección.</t>
        </r>
      </text>
    </comment>
    <comment ref="C40" authorId="0" shapeId="0" xr:uid="{DFD9499D-B289-4B89-A180-8D13EAB3D8AD}">
      <text>
        <r>
          <rPr>
            <sz val="9"/>
            <color indexed="81"/>
            <rFont val="Tahoma"/>
            <family val="2"/>
          </rPr>
          <t xml:space="preserve">Se consulta si se desea incorporar al cálculo de resultados:
1. Un factor de minoración de resistencia </t>
        </r>
        <r>
          <rPr>
            <b/>
            <i/>
            <sz val="9"/>
            <color indexed="81"/>
            <rFont val="Tahoma"/>
            <family val="2"/>
          </rPr>
          <t>ϕ</t>
        </r>
        <r>
          <rPr>
            <sz val="9"/>
            <color indexed="81"/>
            <rFont val="Tahoma"/>
            <family val="2"/>
          </rPr>
          <t xml:space="preserve"> </t>
        </r>
        <r>
          <rPr>
            <b/>
            <sz val="9"/>
            <color indexed="81"/>
            <rFont val="Tahoma"/>
            <family val="2"/>
          </rPr>
          <t>variable</t>
        </r>
        <r>
          <rPr>
            <sz val="9"/>
            <color indexed="81"/>
            <rFont val="Tahoma"/>
            <family val="2"/>
          </rPr>
          <t xml:space="preserve"> según el artículo 9.3.2. del CIRSOC 201-2005.
2. Un factor de minoración de resistencia </t>
        </r>
        <r>
          <rPr>
            <b/>
            <i/>
            <sz val="9"/>
            <color indexed="81"/>
            <rFont val="Tahoma"/>
            <family val="2"/>
          </rPr>
          <t>ϕ variable</t>
        </r>
        <r>
          <rPr>
            <sz val="9"/>
            <color indexed="81"/>
            <rFont val="Tahoma"/>
            <family val="2"/>
          </rPr>
          <t xml:space="preserve"> según el artículo 21.2.2. del CIRSOC 201-2024 / ACI 318-19.
3. Un factor de minoración </t>
        </r>
        <r>
          <rPr>
            <b/>
            <i/>
            <sz val="9"/>
            <color indexed="81"/>
            <rFont val="Tahoma"/>
            <family val="2"/>
          </rPr>
          <t>ϕ</t>
        </r>
        <r>
          <rPr>
            <b/>
            <sz val="9"/>
            <color indexed="81"/>
            <rFont val="Tahoma"/>
            <family val="2"/>
          </rPr>
          <t xml:space="preserve"> constante</t>
        </r>
        <r>
          <rPr>
            <sz val="9"/>
            <color indexed="81"/>
            <rFont val="Tahoma"/>
            <family val="2"/>
          </rPr>
          <t xml:space="preserve"> (igual para todos los puntos). Se debe ingresar el valor en la misma celda.</t>
        </r>
      </text>
    </comment>
    <comment ref="C42" authorId="0" shapeId="0" xr:uid="{51B10EE8-09EC-41EF-980D-098803F70C1F}">
      <text>
        <r>
          <rPr>
            <sz val="9"/>
            <color indexed="81"/>
            <rFont val="Tahoma"/>
            <family val="2"/>
          </rPr>
          <t>Pregunta si además de graficar el Diagrama de Interacción para el  λ ingresado, se quiere ingresar estados de carga a verificar con el diagrama. 
Require ingreso manual de estados de carga.</t>
        </r>
      </text>
    </comment>
    <comment ref="C44" authorId="1" shapeId="0" xr:uid="{BAF127C0-93EE-4D45-A3AE-B2B2F4A4E4FB}">
      <text>
        <r>
          <rPr>
            <sz val="9"/>
            <color indexed="81"/>
            <rFont val="Tahoma"/>
            <family val="2"/>
          </rPr>
          <t xml:space="preserve">Además de mostrar el resultado en una ventana HTML, se pregunta si se desea que el programa plasme los resultados numéricos </t>
        </r>
        <r>
          <rPr>
            <b/>
            <sz val="9"/>
            <color indexed="81"/>
            <rFont val="Tahoma"/>
            <family val="2"/>
          </rPr>
          <t>dentro de la planilla</t>
        </r>
        <r>
          <rPr>
            <sz val="9"/>
            <color indexed="81"/>
            <rFont val="Tahoma"/>
            <family val="2"/>
          </rPr>
          <t xml:space="preserve">.
</t>
        </r>
        <r>
          <rPr>
            <b/>
            <sz val="9"/>
            <color indexed="81"/>
            <rFont val="Tahoma"/>
            <family val="2"/>
          </rPr>
          <t>Se habilatá una nueva hoja</t>
        </r>
        <r>
          <rPr>
            <sz val="9"/>
            <color indexed="81"/>
            <rFont val="Tahoma"/>
            <family val="2"/>
          </rPr>
          <t xml:space="preserve"> 'RESULTADOS 2D' o 'RESULTADOS 3D', según corresponda.</t>
        </r>
      </text>
    </comment>
    <comment ref="C52" authorId="0" shapeId="0" xr:uid="{003F0EF7-D292-47F5-9B8A-115D32EAC2BC}">
      <text>
        <r>
          <rPr>
            <sz val="9"/>
            <color indexed="81"/>
            <rFont val="Tahoma"/>
            <family val="2"/>
          </rPr>
          <t>(Filas que se insertaran debajo. El momento M se corresponde con el plano de carga λ ingresado)</t>
        </r>
      </text>
    </comment>
    <comment ref="C54" authorId="0" shapeId="0" xr:uid="{DDC277FE-847B-4111-8DFB-F66EC12134A6}">
      <text>
        <r>
          <rPr>
            <sz val="9"/>
            <color indexed="81"/>
            <rFont val="Tahoma"/>
            <family val="2"/>
          </rPr>
          <t xml:space="preserve">Positivo = Compresión
</t>
        </r>
      </text>
    </comment>
    <comment ref="E54" authorId="0" shapeId="0" xr:uid="{0806204E-1C6B-46CB-B859-9D95A52D7C19}">
      <text>
        <r>
          <rPr>
            <b/>
            <sz val="9"/>
            <color indexed="81"/>
            <rFont val="Tahoma"/>
            <family val="2"/>
          </rPr>
          <t>Facundo L. Pfeffer:</t>
        </r>
        <r>
          <rPr>
            <sz val="9"/>
            <color indexed="81"/>
            <rFont val="Tahoma"/>
            <family val="2"/>
          </rPr>
          <t xml:space="preserve">
El momento es positivo si representa tracción en las fibras inferiores o, lo que es lo mismo, si el 'vector momento' se encuentra en los cuadrantes II o III (valores de x negativos).
Para mayor aclaración, por favor referirse al informe.</t>
        </r>
      </text>
    </comment>
    <comment ref="C59" authorId="0" shapeId="0" xr:uid="{5D3C5495-CF18-4D39-BA1C-D36F5FAB2B40}">
      <text>
        <r>
          <rPr>
            <sz val="9"/>
            <color indexed="81"/>
            <rFont val="Tahoma"/>
            <family val="2"/>
          </rPr>
          <t>Filas que se insertaran debajo.Se graficarán en el Diagrama de Interacción 3D, los planos de carga determinados por las componentes Mx y My ingresadas</t>
        </r>
      </text>
    </comment>
    <comment ref="C61" authorId="0" shapeId="0" xr:uid="{4F5A4333-DD47-4EB9-8227-A5A71BE74501}">
      <text>
        <r>
          <rPr>
            <sz val="9"/>
            <color indexed="81"/>
            <rFont val="Tahoma"/>
            <family val="2"/>
          </rPr>
          <t xml:space="preserve">Positivo = Compresión
</t>
        </r>
      </text>
    </comment>
    <comment ref="E61" authorId="0" shapeId="0" xr:uid="{C49ABB86-6534-423D-A2F5-C8A4672997DB}">
      <text>
        <r>
          <rPr>
            <b/>
            <sz val="9"/>
            <color indexed="81"/>
            <rFont val="Tahoma"/>
            <family val="2"/>
          </rPr>
          <t>Facundo Leguizamón:</t>
        </r>
        <r>
          <rPr>
            <sz val="9"/>
            <color indexed="81"/>
            <rFont val="Tahoma"/>
            <family val="2"/>
          </rPr>
          <t xml:space="preserve">
El momento es positivo si representa tracción en las fibras inferiores o, lo que es lo mismo, si el 'vector momento x' se encuentra apuntando en el sentido opuesto al eje X.
Para mayor aclaración, por favor referirse al informe.</t>
        </r>
      </text>
    </comment>
    <comment ref="G61" authorId="0" shapeId="0" xr:uid="{C1044E2C-3275-473C-AC28-791815DC35CD}">
      <text>
        <r>
          <rPr>
            <b/>
            <sz val="9"/>
            <color indexed="81"/>
            <rFont val="Tahoma"/>
            <family val="2"/>
          </rPr>
          <t>Facundo Leguizamón:</t>
        </r>
        <r>
          <rPr>
            <sz val="9"/>
            <color indexed="81"/>
            <rFont val="Tahoma"/>
            <family val="2"/>
          </rPr>
          <t xml:space="preserve">
El momento es positivo si representa tracción en las fibras derechas o, lo que es lo mismo, si el 'vector momento y' se encuentra apuntando en el sentido opuesto al eje Y.
Para mayor aclaración, por favor referirse al informe.</t>
        </r>
      </text>
    </comment>
  </commentList>
</comments>
</file>

<file path=xl/sharedStrings.xml><?xml version="1.0" encoding="utf-8"?>
<sst xmlns="http://schemas.openxmlformats.org/spreadsheetml/2006/main" count="1190" uniqueCount="157">
  <si>
    <t>Calidad/Tipo</t>
  </si>
  <si>
    <t>Hormigón Calidad  H -</t>
  </si>
  <si>
    <t>Acero Pasivo Tipo</t>
  </si>
  <si>
    <t>ADN 420</t>
  </si>
  <si>
    <t>Acero Pretensado Tipo</t>
  </si>
  <si>
    <t>Def. efectiva</t>
  </si>
  <si>
    <t>Estribos</t>
  </si>
  <si>
    <t>GEOMETRÍA DE LA SECCIÓN DE HORMIGÓN</t>
  </si>
  <si>
    <t>Cantidad de Nodos</t>
  </si>
  <si>
    <t>X [cm]</t>
  </si>
  <si>
    <t>Y [cm]</t>
  </si>
  <si>
    <t>ARMADURAS PASIVAS (H°- Armado)</t>
  </si>
  <si>
    <t>Cantidad de barras</t>
  </si>
  <si>
    <t>Barra nº</t>
  </si>
  <si>
    <t>ARMADURAS ACTIVAS (H°- Pretensado)</t>
  </si>
  <si>
    <t>Área [cm²]</t>
  </si>
  <si>
    <t>DISCRETIZACIÓN DE LA SECCIÓN</t>
  </si>
  <si>
    <t>AL 220</t>
  </si>
  <si>
    <t>ADN 500</t>
  </si>
  <si>
    <t>Propiedades</t>
  </si>
  <si>
    <t>Provisto por Usuario</t>
  </si>
  <si>
    <t>fy: Tensión de Fluencia [MPa]</t>
  </si>
  <si>
    <t>ARMADURAS PASIVAS</t>
  </si>
  <si>
    <t>BARRAS
1050</t>
  </si>
  <si>
    <t>TRENZAS
C1650</t>
  </si>
  <si>
    <t>TRENZAS
C1900</t>
  </si>
  <si>
    <t>fpy: Tensión de Fluencia [MPa]</t>
  </si>
  <si>
    <t>fpu: Tensión de Rotura [MPa]</t>
  </si>
  <si>
    <t>N</t>
  </si>
  <si>
    <t>K</t>
  </si>
  <si>
    <t>Q</t>
  </si>
  <si>
    <t>ARMADURAS ACTIVAS</t>
  </si>
  <si>
    <t>(Recomendado ≈ 5‰)</t>
  </si>
  <si>
    <t>εy: Alargamiento
 de fluencia</t>
  </si>
  <si>
    <t>εu: Alargamiento
de rotura</t>
  </si>
  <si>
    <t>εpu: Alargamiento
de rotura</t>
  </si>
  <si>
    <t>Nodo Nº</t>
  </si>
  <si>
    <t>Contorno</t>
  </si>
  <si>
    <t>Positivo</t>
  </si>
  <si>
    <t>Poligonal</t>
  </si>
  <si>
    <t>Circular</t>
  </si>
  <si>
    <t>Nodo Centroº</t>
  </si>
  <si>
    <t>Radio Interno [cm]</t>
  </si>
  <si>
    <t>Radio Externo [cm]</t>
  </si>
  <si>
    <t>Ángulo Inicial [°]</t>
  </si>
  <si>
    <t>Ángulo Final [°]</t>
  </si>
  <si>
    <t>Nodo Centro</t>
  </si>
  <si>
    <t>Los ángulos se definen con respecto al eje x en sentido antihorario</t>
  </si>
  <si>
    <t>Tipo</t>
  </si>
  <si>
    <t>Signo</t>
  </si>
  <si>
    <t>Contorno 1</t>
  </si>
  <si>
    <t>Nivel de Discretización</t>
  </si>
  <si>
    <t>Ángulo plano de carga λ =</t>
  </si>
  <si>
    <t>Región Circular</t>
  </si>
  <si>
    <t>RESULTADOS</t>
  </si>
  <si>
    <t>del tipo "Circular", la discretización del radio</t>
  </si>
  <si>
    <t>Nota: En el caso de ingresar elemento</t>
  </si>
  <si>
    <t>Diámetro [mm]</t>
  </si>
  <si>
    <t>ΔX [cm] =</t>
  </si>
  <si>
    <t>ESCUELA DE INGENIERÍA CIVIL</t>
  </si>
  <si>
    <t>INTRODUCCIÓN</t>
  </si>
  <si>
    <t>→</t>
  </si>
  <si>
    <t>INGRESO DE DATOS</t>
  </si>
  <si>
    <t>EJECUCIÓN DEL PROGRAMA</t>
  </si>
  <si>
    <t>Universidad Nacional de Rosario</t>
  </si>
  <si>
    <t>Facultad de Ciencias Exactas, Ingeniería y Agrimensura</t>
  </si>
  <si>
    <t>DEPARTAMENTO DE ESTRUCTURAS</t>
  </si>
  <si>
    <t>C17 Estructuras de Hormigón I</t>
  </si>
  <si>
    <r>
      <rPr>
        <i/>
        <sz val="14"/>
        <color theme="1"/>
        <rFont val="Times New Roman"/>
        <family val="1"/>
      </rPr>
      <t>AUTOMATIZACIÓN DEL CÁLCULO DE LA RESISTENCIA DE SECCIONES ARBITRARIAS DE HORMIGÓN ESTRUCTURAL</t>
    </r>
    <r>
      <rPr>
        <sz val="16"/>
        <color theme="1"/>
        <rFont val="Times New Roman"/>
        <family val="1"/>
      </rPr>
      <t xml:space="preserve"> </t>
    </r>
  </si>
  <si>
    <t>ACSAHE</t>
  </si>
  <si>
    <r>
      <rPr>
        <b/>
        <sz val="11"/>
        <color theme="1"/>
        <rFont val="Times New Roman"/>
        <family val="1"/>
      </rPr>
      <t>Dirección de la adscripción</t>
    </r>
    <r>
      <rPr>
        <sz val="11"/>
        <color theme="1"/>
        <rFont val="Times New Roman"/>
        <family val="1"/>
      </rPr>
      <t>: Dr. Ing. Oscar Möller</t>
    </r>
  </si>
  <si>
    <t xml:space="preserve">se encuentren </t>
  </si>
  <si>
    <t>2. GEOMETRÍA DE LA SECCIÓN DE HORMIGÓN</t>
  </si>
  <si>
    <t>Armaduras Transversales con</t>
  </si>
  <si>
    <t>CARACTERÍSTICAS DE LOS MATERIALES</t>
  </si>
  <si>
    <t>1. CARACTERÍSTICAS DE LOS MATERIALES</t>
  </si>
  <si>
    <t xml:space="preserve">       A continuación, se  muestra cómo descomponer una sección con concavidades y orificios en una serie de contornos convexos.</t>
  </si>
  <si>
    <t>No</t>
  </si>
  <si>
    <t>(ej: 1.2D+1.6L)</t>
  </si>
  <si>
    <t>Cantidad de Estados</t>
  </si>
  <si>
    <t>λ [°]</t>
  </si>
  <si>
    <t>Cantidad de Planos de Carga</t>
  </si>
  <si>
    <t>Verificación de Estados</t>
  </si>
  <si>
    <t>SI VERIFICACION DE ESTADOS ES SI Y RESULTADOS EN 2D:</t>
  </si>
  <si>
    <t>SI VERIFICACION DE ESTADOS ES SI Y RESULTADOS EN 3D:</t>
  </si>
  <si>
    <t>Media</t>
  </si>
  <si>
    <t xml:space="preserve">       Para realizar los procesos iterativos el programa discretiza la sección de hormigón en elementos rectangulares de dimensiones ΔX y ΔY para contornos poligonales o  Δθ y Δr para contornos circulares. Los valores pueden ser elegidos por el usuario o bien pueden ser determinados eligiendo un nivel de discretización predefinido. Entiendasé que una discretización más "fina" se traducirá en resultados más precisos y diagramas de interacción más "suaves" (sin puntos faltantes), a cambio de un mayor costo computacional en la ejecución del programa.</t>
  </si>
  <si>
    <r>
      <t xml:space="preserve">(el resto </t>
    </r>
    <r>
      <rPr>
        <b/>
        <sz val="11"/>
        <color theme="1"/>
        <rFont val="Times New Roman"/>
        <family val="1"/>
      </rPr>
      <t>NO</t>
    </r>
    <r>
      <rPr>
        <sz val="11"/>
        <color theme="1"/>
        <rFont val="Times New Roman"/>
        <family val="1"/>
      </rPr>
      <t xml:space="preserve"> deben modificarse).</t>
    </r>
  </si>
  <si>
    <t>ΔY [cm] =</t>
  </si>
  <si>
    <t xml:space="preserve">se tomará en funciòn de los valores de </t>
  </si>
  <si>
    <t>ΔX y ΔY</t>
  </si>
  <si>
    <t>Δθ [°] =</t>
  </si>
  <si>
    <t>Pegar resultados en planilla</t>
  </si>
  <si>
    <t xml:space="preserve"> BLOQUE BÁSICO DE RESULTADOS 2D:</t>
  </si>
  <si>
    <r>
      <t xml:space="preserve">Los </t>
    </r>
    <r>
      <rPr>
        <b/>
        <sz val="11"/>
        <color theme="1"/>
        <rFont val="Times New Roman"/>
        <family val="1"/>
      </rPr>
      <t xml:space="preserve">requisitos necesarios </t>
    </r>
    <r>
      <rPr>
        <sz val="11"/>
        <color theme="1"/>
        <rFont val="Times New Roman"/>
        <family val="1"/>
      </rPr>
      <t>para correr el programa son:</t>
    </r>
  </si>
  <si>
    <t>sombreadas</t>
  </si>
  <si>
    <r>
      <t xml:space="preserve">      El ingreso de datos del programa se realiza a través de la hoja </t>
    </r>
    <r>
      <rPr>
        <b/>
        <sz val="11"/>
        <color rgb="FF002060"/>
        <rFont val="Times New Roman"/>
        <family val="1"/>
      </rPr>
      <t>'Ingreso de Datos'</t>
    </r>
    <r>
      <rPr>
        <sz val="11"/>
        <color theme="1"/>
        <rFont val="Times New Roman"/>
        <family val="1"/>
      </rPr>
      <t xml:space="preserve"> de formato fijo en esta planilla Excel. Al finalizar la lectura de este instructivo se encontrará una hoja de Ingreso de Datos en la cual se deberá completar solamente aquellas celdas que se encuentren</t>
    </r>
  </si>
  <si>
    <t xml:space="preserve">       En primer lugar se deberán ingresar las características de los materiales y el tipo de armadura transversal, es decir si posee estribos o zunchos en espiral. El programa incluye los tipos más comunes de acero pasivo y pretensado como opciones precargadas.
</t>
  </si>
  <si>
    <t>Cantidad de contornos</t>
  </si>
  <si>
    <t xml:space="preserve">       Luego se introduce la geometría de la sección de hormigón, para lo cual se deberá dividir la sección en contornos poligonales convexos o circulares. Un contorno poligonal es convexo cuando el segmento que une dos puntos cualesquiera dentro del contorno, permanece en su totalidad dentro del contorno. Una forma fácil de verificar esta condicón es cuidando que todos los ángulos internos del contorno sean menores a 180º. De esta manera tanto las concavidades como los orificios que pueda tener la sección se obtienen ingresando contornos de área negativa.</t>
  </si>
  <si>
    <t>https://www.youtube.com/playlist?list=PL2vqHDQzjyupe7ISb2vA9EGn0Qr31nW7g</t>
  </si>
  <si>
    <t>2D</t>
  </si>
  <si>
    <t>Pu [kN]</t>
  </si>
  <si>
    <t>Muλ [kNm]</t>
  </si>
  <si>
    <t>Mux [kNm]</t>
  </si>
  <si>
    <t>Muy [kNm]</t>
  </si>
  <si>
    <t>E [MPa]</t>
  </si>
  <si>
    <t>Eps [MPa]</t>
  </si>
  <si>
    <t xml:space="preserve"> BLOQUE BÁSICO DE RESULTADOS 3D:</t>
  </si>
  <si>
    <r>
      <rPr>
        <i/>
        <sz val="12"/>
        <color theme="1"/>
        <rFont val="Arial"/>
        <family val="2"/>
      </rPr>
      <t>ϕ</t>
    </r>
    <r>
      <rPr>
        <sz val="11"/>
        <color theme="1"/>
        <rFont val="Arial"/>
        <family val="2"/>
      </rPr>
      <t xml:space="preserve">
Factor de Minoración de Resistencia</t>
    </r>
  </si>
  <si>
    <t>https://chromewebstore.google.com/detail/gofullpage-full-page-scre/fdpohaocaechififmbbbbbknoalclacl</t>
  </si>
  <si>
    <t xml:space="preserve">      ACSAHE es un programa de cálculo numérico que permite al usuario construir el diagrama de interacción de resistencia de diseño Momento Flector - Esfuerzo Nomal para secciones de hormigón armado o pretensado, de forma y armadura arbitraria. 
El cálculo puede ser realizado para cualquier plano de carga, siendo su principal aplicación la de verificar estados límites de resistencia frente a flexión oblicua compuesta.</t>
  </si>
  <si>
    <t xml:space="preserve">      - Microsoft Excel versión 2016 o superior.
      - La planilla de Excel a utilizarse debe estar en la misma carpeta que las carpetas
        "dist" y "build" que usted ha descargado junto con este programa. Puede cambiar
         el nombre de la planilla. Se recomienda siempre crear copias utilizando la función
         "Guardar como" y dejar una la planilla base sin modificación.
Al finalizar la lectura de este instructivo se encontrará una hoja de Ingreso de Datos en la cual se deberá completar solamente aquellas celdas que </t>
  </si>
  <si>
    <t xml:space="preserve">       Cada uno de los contornos deberá ser ingresado a través de las coordenadas de sus nodos, expresadas en centímetros en cualquier órden en particular. Si los mismos son circulares, se deberán ingresar los radios externo e interno (si corresponde). Los ejes X e Y, donde se refieren las coordenadas, se pueden colocar en una posición arbitraria. El programa los trasladará al baricentro de la sección de hormigón durante el procesamiento.</t>
  </si>
  <si>
    <t>3. DISCRETIZACIÓN</t>
  </si>
  <si>
    <t>4. RESULTADOS</t>
  </si>
  <si>
    <t>Se trata a continuación los detalles de las distintas secciones que posee esta hoja:</t>
  </si>
  <si>
    <r>
      <t xml:space="preserve"> Si el usuario desea utilizar un material distinto a los anteriores, puede hacerlo eligiendo la opción </t>
    </r>
    <r>
      <rPr>
        <b/>
        <sz val="11"/>
        <color theme="1"/>
        <rFont val="Times New Roman"/>
        <family val="1"/>
      </rPr>
      <t>"Provisto por Usuario"</t>
    </r>
    <r>
      <rPr>
        <sz val="11"/>
        <color theme="1"/>
        <rFont val="Times New Roman"/>
        <family val="1"/>
      </rPr>
      <t xml:space="preserve"> y detallando los valores característicos a utilizar en sus relaciones constitutivas en las hojas "Armaduras Pasivas" o "Armaduras Activas". Para el acero de pretensado debe introducirse además la deformación esperada en la armadura una vez producida las pérdidas de pretensado </t>
    </r>
    <r>
      <rPr>
        <b/>
        <sz val="11"/>
        <color theme="1"/>
        <rFont val="Times New Roman"/>
        <family val="1"/>
      </rPr>
      <t>"Def. efectiva"</t>
    </r>
    <r>
      <rPr>
        <sz val="11"/>
        <color theme="1"/>
        <rFont val="Times New Roman"/>
        <family val="1"/>
      </rPr>
      <t>. Para más detalles referirse al informe.</t>
    </r>
  </si>
  <si>
    <t xml:space="preserve">       Luego se debe proceder con los datos de las armaduras, para lo cual se debe ingresar la cantidad de barras, y para cada una de ellas, las coordenadas X e Y (referidas al mismo sistema de referencia arbitrario elegido en el punto anterior), el diámetro comercial en milímetros (para armaduras pasivas) y el área efectiva en centímetros cuadrados (para armaduras activas).</t>
  </si>
  <si>
    <t xml:space="preserve">       Se entiende por ángulo de inclinación del plano de carga al ángulo tomado respecto al eje Y, en sentido horario, por el cual se desplaza la carga solicitante P generado momentos My y Mx (se recomienda referirse a la primera imagen para una visualización de lo descripto). Por lo tanto, tenemos que λ = arctan(My/Mx) = arctan(ex/ey). Por convención 0°&lt; λ &lt;180°.</t>
  </si>
  <si>
    <r>
      <t xml:space="preserve">       El problema tiene como opciones la generación de diagramas en 2 y 3 dimensiones. Para lo cual se debe seleccionar en la celda </t>
    </r>
    <r>
      <rPr>
        <b/>
        <sz val="11"/>
        <color theme="1"/>
        <rFont val="Times New Roman"/>
        <family val="1"/>
      </rPr>
      <t>"Tipo"</t>
    </r>
    <r>
      <rPr>
        <sz val="11"/>
        <color theme="1"/>
        <rFont val="Times New Roman"/>
        <family val="1"/>
      </rPr>
      <t xml:space="preserve">.
       Para el primer caso, se debe ingresar el (único) ángulo λ de inclinación del plano de carga para el cual se desea obtener el diagrama de interacción de resistencia. 
       Se puede asimismo ingresar estados de combinaciones momento/normal para graficar en conjunto con el resultado y así realizar la verificación reglamentaria. Para esto habrá que tildar la opción </t>
    </r>
    <r>
      <rPr>
        <b/>
        <sz val="11"/>
        <color theme="1"/>
        <rFont val="Times New Roman"/>
        <family val="1"/>
      </rPr>
      <t xml:space="preserve">"Verificación de Estados", </t>
    </r>
    <r>
      <rPr>
        <sz val="11"/>
        <color theme="1"/>
        <rFont val="Times New Roman"/>
        <family val="1"/>
      </rPr>
      <t xml:space="preserve">para lo cual se habilitará una tabla en donde podrán ingresarse los mismos.
 </t>
    </r>
  </si>
  <si>
    <r>
      <t xml:space="preserve">       Para el caso tridimensional, la solución se calculará para más de un de plano de carga diferente. El diagrama tridimensional tiene coordenadas del tipo (Mx, My, P) y representa el espectro resistivo de la sección a flexocompresión para todas las combinaciones planteadas. 
       El usuario tiene la opción de ingresar manualmente cuales planos de carga quiere ver reflejado en el diagrama final, pero además se graficaran aquellos valores de λ que se correspondan con las combinaciones </t>
    </r>
    <r>
      <rPr>
        <i/>
        <sz val="11"/>
        <color theme="1"/>
        <rFont val="Times New Roman"/>
        <family val="1"/>
      </rPr>
      <t>Mx, My</t>
    </r>
    <r>
      <rPr>
        <sz val="11"/>
        <color theme="1"/>
        <rFont val="Times New Roman"/>
        <family val="1"/>
      </rPr>
      <t xml:space="preserve"> planteadas en los estados a verificar (si los hubiera). Para este caso también se debe tildar la opción "</t>
    </r>
    <r>
      <rPr>
        <b/>
        <sz val="11"/>
        <color theme="1"/>
        <rFont val="Times New Roman"/>
        <family val="1"/>
      </rPr>
      <t>Verificación de Estados".</t>
    </r>
  </si>
  <si>
    <t xml:space="preserve">       Para guardar los resultados mostrados en el navegador y poder visualizarlos más tarde, el usuario puede presionar la combinación de teclas "Ctrl + S" en el navegador para lo cual se podrá guardar un archivo de extensión .html, que podrá reabrirse posteriormente.
       Para exportar los diagramas individualmente, en la esquina superior de los mismos aparecerá un logo de una cámara el cual puede utilizarse para descargar las imágenes en formato png.
       Para exportar la página de resultados en su totalidad, por ejemplo, para la inclusión en un informe, se recomienda el uso de una extensión de navegador que permita guardar la página .html en .pdf. como la que se encuentra en el siguiente enlace: 
</t>
  </si>
  <si>
    <t xml:space="preserve">       Finalmente y para más información, se recomienda la visualización de la siguiente lista de reproducción, donde se irán publicando diferentes tutoriales y ejemplos de aplicación sobre el uso del programa:</t>
  </si>
  <si>
    <t>Una vez ingresados todos los datos, se recomienda verificar que: 
- No existan números de contornos, nodos o barras repetidos. 
- Se respetan las unidades planteadas para las diferentes variables a lo largo de la planilla.
- Verificar la geometría ingresada sea coincidente con el gráfico de la sección que se obtiene como resultado del programa (de manera de poder visualizar la interpretación por el programa).
       Habiendo cumplido estos pasos, se deberá presionar un botón como el siguiente para ejecutar el programa, que se encuentra al final de la hoja 'Ingreso de Datos':</t>
  </si>
  <si>
    <r>
      <t xml:space="preserve">       Los resultados se mostrarán en una ventana emergente que se abrirá en el </t>
    </r>
    <r>
      <rPr>
        <b/>
        <sz val="11"/>
        <color theme="1"/>
        <rFont val="Times New Roman"/>
        <family val="1"/>
      </rPr>
      <t>navegador predeterminado del equipo en donde se corra el programa</t>
    </r>
    <r>
      <rPr>
        <sz val="11"/>
        <color theme="1"/>
        <rFont val="Times New Roman"/>
        <family val="1"/>
      </rPr>
      <t xml:space="preserve"> (por ejemplo Google Chrome, Mozilla Firefox y similares). Este tipo de archivo .html permite una navegación dinámica por los resultados, pudiendo rotar y manipular los diferentes diagramas.
</t>
    </r>
  </si>
  <si>
    <t>Identificador del Estado</t>
  </si>
  <si>
    <t>AÑO 2023-2025</t>
  </si>
  <si>
    <t>Cordones C1900</t>
  </si>
  <si>
    <t>Sí</t>
  </si>
  <si>
    <t xml:space="preserve">      Las hipótesis simplifcativos utilizado para los calculos, las ecuaciones constitutivas de los materiales, así como también los factores de reducción de resistencia "ϕ" utilizados en el programa son los correspondientes al reglamento CIRSOC 201-2005 en vigencia. Asimismo se encuentra disponible la opción de utilizar el reglamento CIRSOC 201-2024 en discusión para los valores de ϕ o de introducir un valor constante para el factor.</t>
  </si>
  <si>
    <r>
      <t xml:space="preserve">       Como alternativa, se podrán obtener los valores numéricos de los resultados dentro de la misma planilla. Tildando la opción "</t>
    </r>
    <r>
      <rPr>
        <b/>
        <sz val="11"/>
        <color theme="1"/>
        <rFont val="Times New Roman"/>
        <family val="1"/>
      </rPr>
      <t>Pegar resultados en planilla"</t>
    </r>
    <r>
      <rPr>
        <sz val="11"/>
        <color theme="1"/>
        <rFont val="Times New Roman"/>
        <family val="1"/>
      </rPr>
      <t>, se habilatará así una hoja nueva 'Resultados 2D' o 'Resultados 3D' dependiendo del problema que se busque resolver. En estas hojas se encontrarán los resultados numéricos.</t>
    </r>
  </si>
  <si>
    <t>Diagrama de interacción  con inclinación del plano de carga λ =</t>
  </si>
  <si>
    <t>ΦMnλ [KNm]</t>
  </si>
  <si>
    <t>Φ</t>
  </si>
  <si>
    <t>Pu
[KN]</t>
  </si>
  <si>
    <t>Muλ   [KNm]</t>
  </si>
  <si>
    <t>λ= 0.0 °</t>
  </si>
  <si>
    <r>
      <rPr>
        <b/>
        <i/>
        <sz val="11"/>
        <color theme="1"/>
        <rFont val="Arial"/>
        <family val="2"/>
      </rPr>
      <t>Φ</t>
    </r>
    <r>
      <rPr>
        <b/>
        <sz val="11"/>
        <color theme="1"/>
        <rFont val="Arial"/>
        <family val="2"/>
      </rPr>
      <t>Mnx [KNm]</t>
    </r>
  </si>
  <si>
    <r>
      <rPr>
        <b/>
        <i/>
        <sz val="11"/>
        <color theme="1"/>
        <rFont val="Arial"/>
        <family val="2"/>
      </rPr>
      <t>Φ</t>
    </r>
    <r>
      <rPr>
        <b/>
        <sz val="11"/>
        <color theme="1"/>
        <rFont val="Arial"/>
        <family val="2"/>
      </rPr>
      <t>Mny [KNm]</t>
    </r>
  </si>
  <si>
    <r>
      <rPr>
        <b/>
        <i/>
        <sz val="11"/>
        <color theme="1"/>
        <rFont val="Arial"/>
        <family val="2"/>
      </rPr>
      <t>Φ</t>
    </r>
    <r>
      <rPr>
        <b/>
        <sz val="11"/>
        <color theme="1"/>
        <rFont val="Arial"/>
        <family val="2"/>
      </rPr>
      <t>Pn    [KN]</t>
    </r>
  </si>
  <si>
    <t>Seleccionar
criterio</t>
  </si>
  <si>
    <t>ΦPn
[KN]</t>
  </si>
  <si>
    <t>Resultados ACSAHE</t>
  </si>
  <si>
    <t>V</t>
  </si>
  <si>
    <t>F</t>
  </si>
  <si>
    <t>Pn excede el valor de 22.4.2.1 C201-2024</t>
  </si>
  <si>
    <t xml:space="preserve">   Puntos a verificar</t>
  </si>
  <si>
    <t>ΦMnλ es el momento compuesto en dirección perpendicular al plano de carga λ.
Se obtiene a partir de:
ΦMnλ = √(ΦMnx²+ΦMny²).
Se considera positivo cuando:
- ΦMnx es positivo.
-  Si ΦMnx es 0, se considera positivo si ΦMny es positivo.</t>
  </si>
  <si>
    <t>λ= 22.5 °</t>
  </si>
  <si>
    <t>λ= 45.0 °</t>
  </si>
  <si>
    <t>λ= 67.5 °</t>
  </si>
  <si>
    <t>λ= 90.0 °</t>
  </si>
  <si>
    <t>λ= 112.5 °</t>
  </si>
  <si>
    <t>λ= 135.0 °</t>
  </si>
  <si>
    <t>λ= 157.5 °</t>
  </si>
  <si>
    <r>
      <rPr>
        <b/>
        <sz val="11"/>
        <color theme="1"/>
        <rFont val="Times New Roman"/>
        <family val="1"/>
      </rPr>
      <t>Adscripto</t>
    </r>
    <r>
      <rPr>
        <sz val="11"/>
        <color theme="1"/>
        <rFont val="Times New Roman"/>
        <family val="1"/>
      </rPr>
      <t>: Facundo Leguizamón Pfeffer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</si>
</sst>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 &quot;‰&quot;"/>
    <numFmt numFmtId="165" formatCode="0.0"/>
    <numFmt numFmtId="166" formatCode="0.000"/>
    <numFmt numFmtId="167" formatCode="00\º.0"/>
  </numFmts>
  <fonts count="38" x14ac:knownFonts="1">
    <font>
      <sz val="11"/>
      <color theme="1"/>
      <name val="Calibri"/>
      <family val="2"/>
      <scheme val="minor"/>
    </font>
    <font>
      <sz val="11"/>
      <color theme="1"/>
      <name val="Calibri"/>
      <family val="2"/>
      <scheme val="minor"/>
    </font>
    <font>
      <b/>
      <u/>
      <sz val="11"/>
      <color theme="1"/>
      <name val="Arial"/>
      <family val="2"/>
    </font>
    <font>
      <b/>
      <i/>
      <sz val="11"/>
      <color rgb="FFFF0000"/>
      <name val="Arial"/>
      <family val="2"/>
    </font>
    <font>
      <sz val="11"/>
      <color theme="1"/>
      <name val="Arial"/>
      <family val="2"/>
    </font>
    <font>
      <u/>
      <sz val="11"/>
      <color theme="1"/>
      <name val="Arial"/>
      <family val="2"/>
    </font>
    <font>
      <sz val="10"/>
      <color theme="1"/>
      <name val="Arial"/>
      <family val="2"/>
    </font>
    <font>
      <b/>
      <sz val="11"/>
      <color theme="1"/>
      <name val="Arial"/>
      <family val="2"/>
    </font>
    <font>
      <sz val="11"/>
      <color rgb="FF000000"/>
      <name val="Calibri"/>
      <family val="2"/>
    </font>
    <font>
      <sz val="11"/>
      <color theme="0"/>
      <name val="Calibri"/>
      <family val="2"/>
      <scheme val="minor"/>
    </font>
    <font>
      <sz val="11"/>
      <color rgb="FF000000"/>
      <name val="Arial"/>
      <family val="2"/>
    </font>
    <font>
      <b/>
      <sz val="11"/>
      <color rgb="FF000000"/>
      <name val="Calibri"/>
      <family val="2"/>
    </font>
    <font>
      <b/>
      <sz val="22"/>
      <color theme="1"/>
      <name val="Arial Black"/>
      <family val="2"/>
    </font>
    <font>
      <b/>
      <sz val="11"/>
      <color theme="1"/>
      <name val="Calibri"/>
      <family val="2"/>
    </font>
    <font>
      <b/>
      <sz val="11"/>
      <color theme="1"/>
      <name val="Times New Roman"/>
      <family val="1"/>
    </font>
    <font>
      <sz val="11"/>
      <color theme="1"/>
      <name val="Times New Roman"/>
      <family val="1"/>
    </font>
    <font>
      <sz val="14"/>
      <color theme="1"/>
      <name val="Times New Roman"/>
      <family val="1"/>
    </font>
    <font>
      <b/>
      <sz val="14"/>
      <color theme="1"/>
      <name val="Times New Roman"/>
      <family val="1"/>
    </font>
    <font>
      <b/>
      <sz val="18"/>
      <color theme="1"/>
      <name val="Times New Roman"/>
      <family val="1"/>
    </font>
    <font>
      <b/>
      <sz val="16"/>
      <color theme="1"/>
      <name val="Times New Roman"/>
      <family val="1"/>
    </font>
    <font>
      <sz val="16"/>
      <color theme="1"/>
      <name val="Times New Roman"/>
      <family val="1"/>
    </font>
    <font>
      <i/>
      <sz val="14"/>
      <color theme="1"/>
      <name val="Times New Roman"/>
      <family val="1"/>
    </font>
    <font>
      <i/>
      <sz val="11"/>
      <color theme="1"/>
      <name val="Times New Roman"/>
      <family val="1"/>
    </font>
    <font>
      <sz val="9"/>
      <color indexed="81"/>
      <name val="Tahoma"/>
      <family val="2"/>
    </font>
    <font>
      <b/>
      <sz val="9"/>
      <color indexed="81"/>
      <name val="Tahoma"/>
      <family val="2"/>
    </font>
    <font>
      <sz val="11"/>
      <color rgb="FFFFFFFF"/>
      <name val="Arial"/>
      <family val="2"/>
    </font>
    <font>
      <sz val="11"/>
      <color theme="0"/>
      <name val="Arial"/>
      <family val="2"/>
    </font>
    <font>
      <u/>
      <sz val="11"/>
      <color theme="10"/>
      <name val="Calibri"/>
      <family val="2"/>
      <scheme val="minor"/>
    </font>
    <font>
      <b/>
      <sz val="11"/>
      <color rgb="FF002060"/>
      <name val="Times New Roman"/>
      <family val="1"/>
    </font>
    <font>
      <i/>
      <sz val="12"/>
      <color theme="1"/>
      <name val="Arial"/>
      <family val="2"/>
    </font>
    <font>
      <b/>
      <i/>
      <sz val="9"/>
      <color indexed="81"/>
      <name val="Tahoma"/>
      <family val="2"/>
    </font>
    <font>
      <sz val="11"/>
      <name val="Calibri"/>
      <family val="2"/>
      <scheme val="minor"/>
    </font>
    <font>
      <sz val="11"/>
      <name val="Arial"/>
      <family val="2"/>
    </font>
    <font>
      <i/>
      <u/>
      <sz val="11"/>
      <color theme="10"/>
      <name val="Calibri"/>
      <family val="2"/>
      <scheme val="minor"/>
    </font>
    <font>
      <i/>
      <sz val="10"/>
      <color theme="1"/>
      <name val="Arial"/>
      <family val="2"/>
    </font>
    <font>
      <sz val="10"/>
      <color theme="1"/>
      <name val="Times New Roman"/>
      <family val="1"/>
    </font>
    <font>
      <b/>
      <i/>
      <sz val="11"/>
      <color theme="1"/>
      <name val="Arial"/>
      <family val="2"/>
    </font>
    <font>
      <sz val="11"/>
      <color rgb="FF000000"/>
      <name val="Calibri"/>
      <family val="2"/>
      <scheme val="minor"/>
    </font>
  </fonts>
  <fills count="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rgb="FFD9D9D9"/>
        <bgColor indexed="64"/>
      </patternFill>
    </fill>
  </fills>
  <borders count="50">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medium">
        <color theme="1"/>
      </left>
      <right/>
      <top/>
      <bottom/>
      <diagonal/>
    </border>
    <border>
      <left/>
      <right style="medium">
        <color theme="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ck">
        <color indexed="64"/>
      </top>
      <bottom style="thick">
        <color indexed="64"/>
      </bottom>
      <diagonal/>
    </border>
    <border>
      <left/>
      <right/>
      <top/>
      <bottom style="dashed">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ck">
        <color indexed="64"/>
      </top>
      <bottom style="thick">
        <color indexed="64"/>
      </bottom>
      <diagonal/>
    </border>
    <border>
      <left/>
      <right style="medium">
        <color indexed="64"/>
      </right>
      <top style="thick">
        <color indexed="64"/>
      </top>
      <bottom style="thick">
        <color indexed="64"/>
      </bottom>
      <diagonal/>
    </border>
    <border>
      <left style="medium">
        <color indexed="64"/>
      </left>
      <right/>
      <top/>
      <bottom/>
      <diagonal/>
    </border>
    <border>
      <left/>
      <right style="medium">
        <color indexed="64"/>
      </right>
      <top/>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theme="0"/>
      </top>
      <bottom style="thin">
        <color theme="0"/>
      </bottom>
      <diagonal/>
    </border>
    <border>
      <left style="thin">
        <color theme="0"/>
      </left>
      <right/>
      <top style="thin">
        <color theme="0" tint="-0.34998626667073579"/>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medium">
        <color theme="0"/>
      </left>
      <right style="medium">
        <color theme="0"/>
      </right>
      <top style="medium">
        <color theme="0"/>
      </top>
      <bottom style="medium">
        <color theme="0"/>
      </bottom>
      <diagonal/>
    </border>
    <border>
      <left style="thin">
        <color rgb="FFFFFFFF"/>
      </left>
      <right style="thin">
        <color rgb="FFFFFFFF"/>
      </right>
      <top style="thin">
        <color rgb="FFFFFFFF"/>
      </top>
      <bottom style="thin">
        <color rgb="FFFFFFFF"/>
      </bottom>
      <diagonal/>
    </border>
    <border>
      <left/>
      <right/>
      <top/>
      <bottom style="double">
        <color indexed="64"/>
      </bottom>
      <diagonal/>
    </border>
    <border>
      <left/>
      <right/>
      <top style="double">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rgb="FF000000"/>
      </left>
      <right style="medium">
        <color rgb="FF000000"/>
      </right>
      <top style="thin">
        <color rgb="FF000000"/>
      </top>
      <bottom/>
      <diagonal/>
    </border>
    <border>
      <left style="medium">
        <color rgb="FF000000"/>
      </left>
      <right style="thin">
        <color rgb="FF000000"/>
      </right>
      <top style="thin">
        <color rgb="FF000000"/>
      </top>
      <bottom style="thin">
        <color indexed="64"/>
      </bottom>
      <diagonal/>
    </border>
    <border>
      <left style="thin">
        <color rgb="FF000000"/>
      </left>
      <right style="thin">
        <color rgb="FF000000"/>
      </right>
      <top style="thin">
        <color rgb="FF000000"/>
      </top>
      <bottom/>
      <diagonal/>
    </border>
  </borders>
  <cellStyleXfs count="3">
    <xf numFmtId="0" fontId="0" fillId="0" borderId="0"/>
    <xf numFmtId="9" fontId="1" fillId="0" borderId="0" applyFont="0" applyFill="0" applyBorder="0" applyAlignment="0" applyProtection="0"/>
    <xf numFmtId="0" fontId="27" fillId="0" borderId="0" applyNumberFormat="0" applyFill="0" applyBorder="0" applyAlignment="0" applyProtection="0"/>
  </cellStyleXfs>
  <cellXfs count="236">
    <xf numFmtId="0" fontId="0" fillId="0" borderId="0" xfId="0"/>
    <xf numFmtId="0" fontId="4" fillId="2" borderId="0" xfId="0" applyFont="1" applyFill="1" applyAlignment="1">
      <alignment horizontal="center" vertical="center"/>
    </xf>
    <xf numFmtId="0" fontId="4" fillId="2" borderId="0" xfId="0" applyFont="1" applyFill="1" applyAlignment="1">
      <alignment horizontal="center"/>
    </xf>
    <xf numFmtId="0" fontId="4" fillId="0" borderId="1" xfId="0" applyFont="1" applyBorder="1" applyAlignment="1">
      <alignment vertical="center"/>
    </xf>
    <xf numFmtId="0" fontId="4" fillId="0" borderId="1" xfId="0" applyFont="1" applyBorder="1"/>
    <xf numFmtId="165" fontId="4" fillId="2" borderId="1" xfId="0" applyNumberFormat="1" applyFont="1" applyFill="1" applyBorder="1" applyAlignment="1">
      <alignment horizontal="center"/>
    </xf>
    <xf numFmtId="0" fontId="0" fillId="0" borderId="1" xfId="0" applyBorder="1"/>
    <xf numFmtId="165" fontId="4" fillId="0" borderId="1" xfId="0" applyNumberFormat="1" applyFont="1" applyBorder="1"/>
    <xf numFmtId="167" fontId="4" fillId="2" borderId="1" xfId="0" applyNumberFormat="1" applyFont="1" applyFill="1" applyBorder="1" applyAlignment="1">
      <alignment horizontal="center"/>
    </xf>
    <xf numFmtId="166" fontId="4" fillId="2" borderId="4" xfId="0" applyNumberFormat="1" applyFont="1" applyFill="1" applyBorder="1" applyAlignment="1">
      <alignment horizontal="center"/>
    </xf>
    <xf numFmtId="0" fontId="4" fillId="3" borderId="0" xfId="0" applyFont="1" applyFill="1" applyAlignment="1">
      <alignment horizontal="center" vertical="center"/>
    </xf>
    <xf numFmtId="0" fontId="4" fillId="3" borderId="7" xfId="0" applyFont="1" applyFill="1" applyBorder="1" applyAlignment="1">
      <alignment horizontal="center" vertical="center"/>
    </xf>
    <xf numFmtId="0" fontId="4" fillId="3" borderId="7" xfId="0" applyFont="1" applyFill="1" applyBorder="1" applyAlignment="1">
      <alignment horizontal="center" vertical="center" wrapText="1"/>
    </xf>
    <xf numFmtId="0" fontId="4" fillId="2" borderId="8" xfId="0" applyFont="1" applyFill="1" applyBorder="1" applyAlignment="1">
      <alignment horizontal="center" vertical="center"/>
    </xf>
    <xf numFmtId="0" fontId="4" fillId="3" borderId="12" xfId="0" applyFont="1" applyFill="1" applyBorder="1" applyAlignment="1">
      <alignment horizontal="center" vertical="center"/>
    </xf>
    <xf numFmtId="0" fontId="4" fillId="3" borderId="13" xfId="0" applyFont="1" applyFill="1" applyBorder="1" applyAlignment="1">
      <alignment horizontal="center" vertical="center"/>
    </xf>
    <xf numFmtId="0" fontId="4" fillId="2" borderId="14" xfId="0" applyFont="1" applyFill="1" applyBorder="1" applyAlignment="1">
      <alignment horizontal="center" vertical="center" wrapText="1"/>
    </xf>
    <xf numFmtId="166" fontId="4" fillId="3" borderId="0" xfId="1" applyNumberFormat="1" applyFont="1" applyFill="1" applyBorder="1" applyAlignment="1">
      <alignment horizontal="center" vertical="center"/>
    </xf>
    <xf numFmtId="0" fontId="4" fillId="3" borderId="15" xfId="0" applyFont="1" applyFill="1" applyBorder="1" applyAlignment="1">
      <alignment horizontal="center" vertical="center" wrapText="1"/>
    </xf>
    <xf numFmtId="10" fontId="4" fillId="3" borderId="16" xfId="1" applyNumberFormat="1" applyFont="1" applyFill="1" applyBorder="1" applyAlignment="1">
      <alignment horizontal="center" vertical="center"/>
    </xf>
    <xf numFmtId="0" fontId="4" fillId="3" borderId="20" xfId="0" applyFont="1" applyFill="1" applyBorder="1" applyAlignment="1">
      <alignment horizontal="center" vertical="center"/>
    </xf>
    <xf numFmtId="0" fontId="4" fillId="2" borderId="21" xfId="0" applyFont="1" applyFill="1" applyBorder="1" applyAlignment="1">
      <alignment horizontal="center" vertical="center" wrapText="1"/>
    </xf>
    <xf numFmtId="0" fontId="4" fillId="3" borderId="22" xfId="0" applyFont="1" applyFill="1" applyBorder="1" applyAlignment="1">
      <alignment horizontal="center" vertical="center"/>
    </xf>
    <xf numFmtId="0" fontId="4" fillId="2" borderId="23" xfId="0" applyFont="1" applyFill="1" applyBorder="1" applyAlignment="1">
      <alignment horizontal="center" vertical="center" wrapText="1"/>
    </xf>
    <xf numFmtId="0" fontId="4" fillId="3" borderId="22" xfId="0" applyFont="1" applyFill="1" applyBorder="1" applyAlignment="1">
      <alignment horizontal="center" vertical="center" wrapText="1"/>
    </xf>
    <xf numFmtId="0" fontId="4" fillId="2" borderId="23" xfId="0" applyFont="1" applyFill="1" applyBorder="1" applyAlignment="1">
      <alignment horizontal="center" vertical="center"/>
    </xf>
    <xf numFmtId="0" fontId="4" fillId="3" borderId="24" xfId="0" applyFont="1" applyFill="1" applyBorder="1" applyAlignment="1">
      <alignment horizontal="center" vertical="center" wrapText="1"/>
    </xf>
    <xf numFmtId="10" fontId="4" fillId="2" borderId="25" xfId="0" applyNumberFormat="1" applyFont="1" applyFill="1" applyBorder="1" applyAlignment="1">
      <alignment horizontal="center" vertical="center"/>
    </xf>
    <xf numFmtId="0" fontId="4" fillId="3" borderId="26" xfId="0" applyFont="1" applyFill="1" applyBorder="1" applyAlignment="1">
      <alignment horizontal="center" vertical="center"/>
    </xf>
    <xf numFmtId="0" fontId="4" fillId="0" borderId="5" xfId="0" applyFont="1" applyBorder="1" applyAlignment="1">
      <alignment vertical="center"/>
    </xf>
    <xf numFmtId="0" fontId="4" fillId="0" borderId="6" xfId="0" applyFont="1" applyBorder="1" applyAlignment="1">
      <alignment vertical="center"/>
    </xf>
    <xf numFmtId="165" fontId="4" fillId="2" borderId="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0" borderId="2" xfId="0" applyFont="1" applyBorder="1" applyAlignment="1">
      <alignment vertical="center"/>
    </xf>
    <xf numFmtId="0" fontId="4" fillId="2" borderId="30" xfId="0" applyFont="1" applyFill="1" applyBorder="1" applyAlignment="1">
      <alignment horizontal="center" vertical="center"/>
    </xf>
    <xf numFmtId="0" fontId="4" fillId="0" borderId="4" xfId="0" applyFont="1" applyBorder="1" applyAlignment="1">
      <alignment horizontal="center" vertical="center"/>
    </xf>
    <xf numFmtId="0" fontId="4" fillId="0" borderId="2" xfId="0" applyFont="1" applyBorder="1" applyAlignment="1">
      <alignment horizontal="center" vertical="center"/>
    </xf>
    <xf numFmtId="0" fontId="4" fillId="3" borderId="0" xfId="0" applyFont="1" applyFill="1" applyAlignment="1">
      <alignment horizontal="center" vertical="center" wrapText="1"/>
    </xf>
    <xf numFmtId="0" fontId="4" fillId="3" borderId="0" xfId="0" applyFont="1" applyFill="1" applyAlignment="1">
      <alignment vertical="center"/>
    </xf>
    <xf numFmtId="0" fontId="4" fillId="3" borderId="36" xfId="0" applyFont="1" applyFill="1" applyBorder="1" applyAlignment="1">
      <alignment vertical="center"/>
    </xf>
    <xf numFmtId="0" fontId="4" fillId="3" borderId="2" xfId="0" applyFont="1" applyFill="1" applyBorder="1" applyAlignment="1">
      <alignment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2" fontId="4" fillId="2" borderId="1" xfId="0" applyNumberFormat="1" applyFont="1" applyFill="1" applyBorder="1" applyAlignment="1">
      <alignment horizontal="center"/>
    </xf>
    <xf numFmtId="0" fontId="4" fillId="2" borderId="3" xfId="0" applyFont="1" applyFill="1" applyBorder="1" applyAlignment="1">
      <alignment horizontal="center" vertical="center"/>
    </xf>
    <xf numFmtId="2" fontId="4" fillId="0" borderId="1" xfId="0" applyNumberFormat="1" applyFont="1" applyBorder="1" applyAlignment="1">
      <alignment vertical="center"/>
    </xf>
    <xf numFmtId="165" fontId="4" fillId="2" borderId="0" xfId="0" applyNumberFormat="1" applyFont="1" applyFill="1" applyAlignment="1">
      <alignment horizontal="center" vertical="center"/>
    </xf>
    <xf numFmtId="0" fontId="4" fillId="0" borderId="29"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0" fontId="4" fillId="0" borderId="3" xfId="0" applyFont="1" applyBorder="1" applyAlignment="1">
      <alignment horizontal="left" vertical="center"/>
    </xf>
    <xf numFmtId="0" fontId="4" fillId="0" borderId="31" xfId="0" applyFont="1" applyBorder="1" applyAlignment="1">
      <alignment horizontal="center" vertical="center"/>
    </xf>
    <xf numFmtId="0" fontId="4" fillId="0" borderId="0" xfId="0" applyFont="1" applyAlignment="1">
      <alignment horizontal="left" wrapText="1"/>
    </xf>
    <xf numFmtId="0" fontId="4" fillId="0" borderId="0" xfId="0" applyFont="1" applyAlignment="1">
      <alignment wrapText="1"/>
    </xf>
    <xf numFmtId="0" fontId="4" fillId="0" borderId="0" xfId="0" applyFont="1"/>
    <xf numFmtId="0" fontId="4" fillId="2" borderId="0" xfId="0" applyFont="1" applyFill="1"/>
    <xf numFmtId="0" fontId="7" fillId="0" borderId="0" xfId="0" applyFont="1" applyAlignment="1">
      <alignment horizontal="center" wrapText="1"/>
    </xf>
    <xf numFmtId="0" fontId="0" fillId="2" borderId="0" xfId="0" applyFill="1"/>
    <xf numFmtId="0" fontId="13" fillId="0" borderId="0" xfId="0" applyFont="1" applyAlignment="1">
      <alignment horizontal="left"/>
    </xf>
    <xf numFmtId="0" fontId="15" fillId="0" borderId="0" xfId="0" applyFont="1" applyAlignment="1">
      <alignment horizontal="left" wrapText="1"/>
    </xf>
    <xf numFmtId="0" fontId="15" fillId="0" borderId="0" xfId="0" applyFont="1" applyAlignment="1">
      <alignment wrapText="1"/>
    </xf>
    <xf numFmtId="0" fontId="15" fillId="0" borderId="0" xfId="0" applyFont="1" applyAlignment="1">
      <alignment vertical="center" wrapText="1"/>
    </xf>
    <xf numFmtId="0" fontId="7" fillId="0" borderId="0" xfId="0" applyFont="1" applyAlignment="1">
      <alignment wrapText="1"/>
    </xf>
    <xf numFmtId="0" fontId="20" fillId="0" borderId="0" xfId="0" applyFont="1" applyAlignment="1">
      <alignment wrapText="1"/>
    </xf>
    <xf numFmtId="0" fontId="19" fillId="0" borderId="0" xfId="0" applyFont="1" applyAlignment="1">
      <alignment horizontal="center" wrapText="1"/>
    </xf>
    <xf numFmtId="0" fontId="15" fillId="0" borderId="0" xfId="0" applyFont="1" applyAlignment="1">
      <alignment horizontal="center" wrapText="1"/>
    </xf>
    <xf numFmtId="0" fontId="15" fillId="0" borderId="0" xfId="0" applyFont="1"/>
    <xf numFmtId="2" fontId="4" fillId="2" borderId="5" xfId="0" applyNumberFormat="1" applyFont="1" applyFill="1" applyBorder="1" applyAlignment="1">
      <alignment horizontal="center"/>
    </xf>
    <xf numFmtId="167" fontId="4" fillId="3" borderId="1" xfId="0" applyNumberFormat="1" applyFont="1" applyFill="1" applyBorder="1" applyAlignment="1">
      <alignment horizontal="center"/>
    </xf>
    <xf numFmtId="0" fontId="6" fillId="0" borderId="5" xfId="0" applyFont="1" applyBorder="1" applyAlignment="1">
      <alignment horizontal="left"/>
    </xf>
    <xf numFmtId="0" fontId="6" fillId="0" borderId="1" xfId="0" applyFont="1" applyBorder="1"/>
    <xf numFmtId="0" fontId="15" fillId="0" borderId="0" xfId="0" applyFont="1" applyAlignment="1">
      <alignment horizontal="justify" vertical="top"/>
    </xf>
    <xf numFmtId="0" fontId="4" fillId="3" borderId="27" xfId="0" applyFont="1" applyFill="1" applyBorder="1" applyAlignment="1">
      <alignment horizontal="center" vertical="center" wrapText="1"/>
    </xf>
    <xf numFmtId="10" fontId="4" fillId="3" borderId="27" xfId="1" applyNumberFormat="1" applyFont="1" applyFill="1" applyBorder="1" applyAlignment="1">
      <alignment horizontal="center" vertical="center"/>
    </xf>
    <xf numFmtId="10" fontId="4" fillId="3" borderId="28" xfId="1" applyNumberFormat="1" applyFont="1" applyFill="1" applyBorder="1" applyAlignment="1">
      <alignment horizontal="center" vertical="center"/>
    </xf>
    <xf numFmtId="9" fontId="4" fillId="2" borderId="23" xfId="1" applyFont="1" applyFill="1" applyBorder="1" applyAlignment="1">
      <alignment horizontal="center" vertical="center"/>
    </xf>
    <xf numFmtId="9" fontId="4" fillId="2" borderId="0" xfId="1" applyFont="1" applyFill="1" applyBorder="1" applyAlignment="1">
      <alignment horizontal="center" vertical="center"/>
    </xf>
    <xf numFmtId="0" fontId="2" fillId="0" borderId="1" xfId="0" applyFont="1" applyBorder="1" applyAlignment="1">
      <alignment vertical="center"/>
    </xf>
    <xf numFmtId="0" fontId="3" fillId="0" borderId="1" xfId="0" applyFont="1" applyBorder="1" applyAlignment="1">
      <alignment vertical="center"/>
    </xf>
    <xf numFmtId="0" fontId="2" fillId="0" borderId="1" xfId="0" applyFont="1" applyBorder="1" applyAlignment="1">
      <alignment horizontal="left" vertical="center"/>
    </xf>
    <xf numFmtId="0" fontId="3" fillId="0" borderId="1" xfId="0" applyFont="1" applyBorder="1" applyAlignment="1">
      <alignment horizontal="center" vertical="center"/>
    </xf>
    <xf numFmtId="0" fontId="4" fillId="0" borderId="1" xfId="0" applyFont="1" applyBorder="1" applyAlignment="1">
      <alignment horizontal="center" vertical="center" wrapText="1"/>
    </xf>
    <xf numFmtId="0" fontId="5" fillId="0" borderId="1" xfId="0" applyFont="1" applyBorder="1" applyAlignment="1">
      <alignment vertical="center"/>
    </xf>
    <xf numFmtId="0" fontId="6" fillId="0" borderId="1" xfId="0" applyFont="1" applyBorder="1" applyAlignment="1">
      <alignment vertical="center" wrapText="1"/>
    </xf>
    <xf numFmtId="0" fontId="4" fillId="0" borderId="1" xfId="0" applyFont="1" applyBorder="1" applyAlignment="1">
      <alignment vertical="center" wrapText="1"/>
    </xf>
    <xf numFmtId="0" fontId="2" fillId="0" borderId="1" xfId="0" applyFont="1" applyBorder="1"/>
    <xf numFmtId="0" fontId="2" fillId="0" borderId="5" xfId="0" applyFont="1" applyBorder="1"/>
    <xf numFmtId="0" fontId="2" fillId="0" borderId="29" xfId="0" applyFont="1" applyBorder="1"/>
    <xf numFmtId="0" fontId="2" fillId="0" borderId="6" xfId="0" applyFont="1" applyBorder="1"/>
    <xf numFmtId="0" fontId="10" fillId="0" borderId="38" xfId="0" applyFont="1" applyBorder="1" applyAlignment="1">
      <alignment horizontal="center"/>
    </xf>
    <xf numFmtId="0" fontId="25" fillId="0" borderId="1" xfId="0" applyFont="1" applyBorder="1"/>
    <xf numFmtId="0" fontId="4" fillId="2" borderId="1" xfId="0" applyFont="1" applyFill="1" applyBorder="1" applyAlignment="1" applyProtection="1">
      <alignment horizontal="center" vertical="center"/>
      <protection locked="0"/>
    </xf>
    <xf numFmtId="0" fontId="4" fillId="2" borderId="0" xfId="0" applyFont="1" applyFill="1" applyAlignment="1" applyProtection="1">
      <alignment horizontal="center" vertical="center"/>
      <protection locked="0"/>
    </xf>
    <xf numFmtId="10" fontId="4" fillId="3" borderId="1" xfId="1" applyNumberFormat="1" applyFont="1" applyFill="1" applyBorder="1" applyAlignment="1" applyProtection="1">
      <alignment horizontal="center" vertical="center"/>
      <protection locked="0"/>
    </xf>
    <xf numFmtId="164" fontId="4" fillId="2" borderId="1" xfId="1" applyNumberFormat="1" applyFont="1" applyFill="1" applyBorder="1" applyAlignment="1" applyProtection="1">
      <alignment horizontal="center" vertical="center"/>
      <protection locked="0"/>
    </xf>
    <xf numFmtId="0" fontId="4" fillId="2" borderId="1" xfId="0"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165" fontId="4" fillId="3" borderId="6" xfId="0" applyNumberFormat="1" applyFont="1" applyFill="1" applyBorder="1" applyProtection="1">
      <protection locked="0"/>
    </xf>
    <xf numFmtId="0" fontId="15" fillId="0" borderId="0" xfId="0" applyFont="1" applyAlignment="1">
      <alignment vertical="top" wrapText="1"/>
    </xf>
    <xf numFmtId="49" fontId="15" fillId="0" borderId="0" xfId="0" applyNumberFormat="1" applyFont="1" applyAlignment="1">
      <alignment vertical="top" wrapText="1"/>
    </xf>
    <xf numFmtId="0" fontId="4" fillId="3" borderId="0" xfId="0" applyFont="1" applyFill="1"/>
    <xf numFmtId="0" fontId="25" fillId="0" borderId="2" xfId="0" applyFont="1" applyBorder="1" applyAlignment="1">
      <alignment vertical="center"/>
    </xf>
    <xf numFmtId="0" fontId="26" fillId="0" borderId="1" xfId="0" applyFont="1" applyBorder="1" applyAlignment="1">
      <alignment vertical="center"/>
    </xf>
    <xf numFmtId="0" fontId="4" fillId="2" borderId="28" xfId="0" applyFont="1" applyFill="1" applyBorder="1" applyAlignment="1">
      <alignment horizontal="center" vertical="center"/>
    </xf>
    <xf numFmtId="0" fontId="4" fillId="0" borderId="1" xfId="0" applyFont="1" applyBorder="1" applyAlignment="1">
      <alignment horizontal="center" vertical="center"/>
    </xf>
    <xf numFmtId="0" fontId="4" fillId="0" borderId="6" xfId="0" applyFont="1" applyBorder="1" applyAlignment="1">
      <alignment horizontal="center" vertical="center"/>
    </xf>
    <xf numFmtId="0" fontId="4" fillId="0" borderId="0" xfId="0" applyFont="1" applyAlignment="1">
      <alignment horizontal="center" vertical="center"/>
    </xf>
    <xf numFmtId="0" fontId="4" fillId="0" borderId="34" xfId="0" applyFont="1" applyBorder="1" applyAlignment="1">
      <alignment horizontal="center" vertical="center"/>
    </xf>
    <xf numFmtId="0" fontId="4" fillId="2" borderId="1" xfId="0" applyFont="1" applyFill="1" applyBorder="1" applyAlignment="1">
      <alignment horizontal="center"/>
    </xf>
    <xf numFmtId="0" fontId="4" fillId="0" borderId="4" xfId="0" applyFont="1" applyBorder="1" applyAlignment="1">
      <alignment horizontal="center"/>
    </xf>
    <xf numFmtId="0" fontId="4" fillId="0" borderId="37" xfId="0" applyFont="1" applyBorder="1"/>
    <xf numFmtId="0" fontId="7" fillId="0" borderId="0" xfId="0" applyFont="1"/>
    <xf numFmtId="0" fontId="4" fillId="0" borderId="5" xfId="0" applyFont="1" applyBorder="1" applyAlignment="1">
      <alignment horizontal="left"/>
    </xf>
    <xf numFmtId="0" fontId="4" fillId="0" borderId="32" xfId="0" applyFont="1" applyBorder="1"/>
    <xf numFmtId="165" fontId="4" fillId="2" borderId="1" xfId="0" applyNumberFormat="1" applyFont="1" applyFill="1" applyBorder="1" applyAlignment="1">
      <alignment horizontal="center" vertical="center" wrapText="1"/>
    </xf>
    <xf numFmtId="0" fontId="26" fillId="3" borderId="0" xfId="0" applyFont="1" applyFill="1" applyAlignment="1">
      <alignment horizontal="center" vertical="center"/>
    </xf>
    <xf numFmtId="10" fontId="26" fillId="3" borderId="0" xfId="1" applyNumberFormat="1" applyFont="1" applyFill="1" applyAlignment="1">
      <alignment horizontal="center" vertical="center"/>
    </xf>
    <xf numFmtId="0" fontId="31" fillId="0" borderId="0" xfId="0" applyFont="1"/>
    <xf numFmtId="0" fontId="32" fillId="3" borderId="0" xfId="0" applyFont="1" applyFill="1" applyAlignment="1">
      <alignment horizontal="center" vertical="center"/>
    </xf>
    <xf numFmtId="166" fontId="4" fillId="3" borderId="0" xfId="0" applyNumberFormat="1" applyFont="1" applyFill="1" applyAlignment="1">
      <alignment horizontal="center" vertical="center"/>
    </xf>
    <xf numFmtId="166" fontId="4" fillId="3" borderId="27" xfId="0" applyNumberFormat="1" applyFont="1" applyFill="1" applyBorder="1" applyAlignment="1">
      <alignment horizontal="center" vertical="center"/>
    </xf>
    <xf numFmtId="49" fontId="15" fillId="0" borderId="0" xfId="0" applyNumberFormat="1" applyFont="1" applyAlignment="1">
      <alignment horizontal="center" vertical="top" wrapText="1"/>
    </xf>
    <xf numFmtId="165" fontId="4" fillId="2" borderId="4" xfId="0" applyNumberFormat="1" applyFont="1" applyFill="1" applyBorder="1" applyAlignment="1">
      <alignment horizontal="center"/>
    </xf>
    <xf numFmtId="49" fontId="15" fillId="0" borderId="0" xfId="0" applyNumberFormat="1" applyFont="1" applyAlignment="1">
      <alignment horizontal="left" vertical="center" wrapText="1"/>
    </xf>
    <xf numFmtId="49" fontId="27" fillId="0" borderId="0" xfId="2" applyNumberFormat="1" applyAlignment="1">
      <alignment horizontal="center" vertical="center" wrapText="1"/>
    </xf>
    <xf numFmtId="0" fontId="15" fillId="0" borderId="0" xfId="0" applyFont="1" applyAlignment="1">
      <alignment horizontal="left"/>
    </xf>
    <xf numFmtId="0" fontId="2" fillId="0" borderId="0" xfId="0" applyFont="1"/>
    <xf numFmtId="0" fontId="14" fillId="3" borderId="0" xfId="0" applyFont="1" applyFill="1" applyAlignment="1">
      <alignment horizontal="center"/>
    </xf>
    <xf numFmtId="0" fontId="15" fillId="0" borderId="0" xfId="0" applyFont="1" applyAlignment="1">
      <alignment horizontal="left" vertical="top" wrapText="1"/>
    </xf>
    <xf numFmtId="0" fontId="4" fillId="0" borderId="1" xfId="0" applyFont="1" applyBorder="1" applyAlignment="1">
      <alignment horizontal="center" vertical="center"/>
    </xf>
    <xf numFmtId="0" fontId="4" fillId="0" borderId="5" xfId="0" applyFont="1" applyBorder="1" applyAlignment="1">
      <alignment horizontal="center"/>
    </xf>
    <xf numFmtId="0" fontId="4" fillId="0" borderId="6" xfId="0" applyFont="1" applyBorder="1" applyAlignment="1">
      <alignment horizontal="center"/>
    </xf>
    <xf numFmtId="0" fontId="4" fillId="0" borderId="1" xfId="0" applyFont="1" applyBorder="1" applyAlignment="1">
      <alignment horizontal="center"/>
    </xf>
    <xf numFmtId="0" fontId="4" fillId="0" borderId="5" xfId="0" applyFont="1" applyBorder="1" applyAlignment="1">
      <alignment horizontal="center"/>
    </xf>
    <xf numFmtId="0" fontId="4" fillId="0" borderId="6" xfId="0" applyFont="1" applyBorder="1" applyAlignment="1">
      <alignment horizontal="center"/>
    </xf>
    <xf numFmtId="0" fontId="4" fillId="0" borderId="0" xfId="0" applyFont="1" applyBorder="1"/>
    <xf numFmtId="0" fontId="34" fillId="0" borderId="0" xfId="0" applyFont="1" applyAlignment="1">
      <alignment vertical="top" wrapText="1"/>
    </xf>
    <xf numFmtId="0" fontId="35" fillId="0" borderId="0" xfId="0" applyFont="1"/>
    <xf numFmtId="0" fontId="0" fillId="0" borderId="0" xfId="0" applyProtection="1">
      <protection locked="0"/>
    </xf>
    <xf numFmtId="0" fontId="4" fillId="0" borderId="1" xfId="0" applyFont="1" applyBorder="1" applyAlignment="1">
      <alignment horizontal="center"/>
    </xf>
    <xf numFmtId="0" fontId="4" fillId="0" borderId="1" xfId="0" applyFont="1" applyBorder="1" applyAlignment="1">
      <alignment horizontal="center" vertical="center"/>
    </xf>
    <xf numFmtId="0" fontId="4" fillId="0" borderId="5" xfId="0" applyFont="1" applyBorder="1" applyAlignment="1">
      <alignment horizontal="center"/>
    </xf>
    <xf numFmtId="0" fontId="4" fillId="0" borderId="6" xfId="0" applyFont="1" applyBorder="1" applyAlignment="1">
      <alignment horizontal="center"/>
    </xf>
    <xf numFmtId="167" fontId="4" fillId="4" borderId="0" xfId="0" applyNumberFormat="1" applyFont="1" applyFill="1" applyAlignment="1">
      <alignment horizontal="center" vertical="center"/>
    </xf>
    <xf numFmtId="0" fontId="4" fillId="0" borderId="43" xfId="0" applyFont="1" applyBorder="1"/>
    <xf numFmtId="0" fontId="4" fillId="0" borderId="43" xfId="0" applyFont="1" applyBorder="1" applyProtection="1">
      <protection locked="0"/>
    </xf>
    <xf numFmtId="0" fontId="7" fillId="0" borderId="26" xfId="0" applyFont="1" applyBorder="1" applyAlignment="1" applyProtection="1">
      <alignment horizontal="center"/>
      <protection locked="0"/>
    </xf>
    <xf numFmtId="0" fontId="7" fillId="0" borderId="27" xfId="0" applyFont="1" applyBorder="1" applyAlignment="1" applyProtection="1">
      <alignment horizontal="center"/>
      <protection locked="0"/>
    </xf>
    <xf numFmtId="0" fontId="15" fillId="0" borderId="40" xfId="0" applyFont="1" applyBorder="1" applyAlignment="1">
      <alignment vertical="center" wrapText="1"/>
    </xf>
    <xf numFmtId="0" fontId="15" fillId="0" borderId="0" xfId="0" applyFont="1" applyAlignment="1">
      <alignment vertical="center" wrapText="1"/>
    </xf>
    <xf numFmtId="0" fontId="15" fillId="0" borderId="0" xfId="0" applyFont="1" applyAlignment="1">
      <alignment horizontal="left" vertical="top" wrapText="1"/>
    </xf>
    <xf numFmtId="0" fontId="17" fillId="0" borderId="0" xfId="0" applyFont="1" applyAlignment="1">
      <alignment horizontal="center" vertical="center"/>
    </xf>
    <xf numFmtId="0" fontId="17" fillId="0" borderId="39" xfId="0" applyFont="1" applyBorder="1" applyAlignment="1">
      <alignment horizontal="center" vertical="center"/>
    </xf>
    <xf numFmtId="0" fontId="15" fillId="0" borderId="0" xfId="0" applyFont="1" applyAlignment="1">
      <alignment horizontal="center" vertical="center" wrapText="1"/>
    </xf>
    <xf numFmtId="0" fontId="15" fillId="0" borderId="0" xfId="0" applyFont="1" applyAlignment="1">
      <alignment horizontal="left" vertical="center" wrapText="1"/>
    </xf>
    <xf numFmtId="0" fontId="14" fillId="2" borderId="0" xfId="0" applyFont="1" applyFill="1" applyAlignment="1">
      <alignment horizontal="center"/>
    </xf>
    <xf numFmtId="0" fontId="15" fillId="0" borderId="0" xfId="0" applyFont="1" applyAlignment="1">
      <alignment horizontal="left"/>
    </xf>
    <xf numFmtId="49" fontId="33" fillId="0" borderId="0" xfId="2" applyNumberFormat="1" applyFont="1" applyAlignment="1">
      <alignment horizontal="center" vertical="top" wrapText="1"/>
    </xf>
    <xf numFmtId="0" fontId="15" fillId="3" borderId="0" xfId="0" applyFont="1" applyFill="1" applyAlignment="1">
      <alignment horizontal="left" wrapText="1"/>
    </xf>
    <xf numFmtId="0" fontId="2" fillId="0" borderId="0" xfId="0" applyFont="1" applyAlignment="1">
      <alignment horizontal="left"/>
    </xf>
    <xf numFmtId="0" fontId="15" fillId="0" borderId="0" xfId="0" applyFont="1" applyAlignment="1">
      <alignment horizontal="justify" vertical="center"/>
    </xf>
    <xf numFmtId="49" fontId="15" fillId="0" borderId="0" xfId="0" applyNumberFormat="1" applyFont="1" applyAlignment="1">
      <alignment horizontal="left" vertical="center" wrapText="1"/>
    </xf>
    <xf numFmtId="2" fontId="15" fillId="0" borderId="0" xfId="0" applyNumberFormat="1" applyFont="1" applyAlignment="1">
      <alignment horizontal="left" vertical="top" wrapText="1"/>
    </xf>
    <xf numFmtId="0" fontId="15" fillId="3" borderId="0" xfId="0" applyFont="1" applyFill="1" applyAlignment="1">
      <alignment horizontal="left" vertical="top" wrapText="1"/>
    </xf>
    <xf numFmtId="49" fontId="15" fillId="0" borderId="0" xfId="0" applyNumberFormat="1" applyFont="1" applyAlignment="1">
      <alignment horizontal="left" vertical="top" wrapText="1"/>
    </xf>
    <xf numFmtId="0" fontId="16" fillId="0" borderId="0" xfId="0" applyFont="1" applyAlignment="1">
      <alignment horizontal="center" wrapText="1"/>
    </xf>
    <xf numFmtId="0" fontId="17" fillId="0" borderId="0" xfId="0" applyFont="1" applyAlignment="1">
      <alignment horizontal="center" wrapText="1"/>
    </xf>
    <xf numFmtId="0" fontId="16" fillId="0" borderId="0" xfId="0" applyFont="1" applyAlignment="1">
      <alignment horizontal="center" vertical="center" wrapText="1"/>
    </xf>
    <xf numFmtId="0" fontId="14" fillId="0" borderId="0" xfId="0" applyFont="1" applyAlignment="1">
      <alignment horizontal="center" vertical="center" wrapText="1"/>
    </xf>
    <xf numFmtId="0" fontId="18" fillId="0" borderId="0" xfId="0" applyFont="1" applyAlignment="1">
      <alignment horizontal="center" vertical="center" wrapText="1"/>
    </xf>
    <xf numFmtId="0" fontId="12" fillId="0" borderId="0" xfId="0" applyFont="1" applyAlignment="1">
      <alignment horizontal="center" vertical="center" wrapText="1"/>
    </xf>
    <xf numFmtId="0" fontId="15" fillId="0" borderId="0" xfId="0" applyFont="1" applyAlignment="1">
      <alignment horizontal="center" wrapText="1"/>
    </xf>
    <xf numFmtId="0" fontId="19" fillId="0" borderId="0" xfId="0" applyFont="1" applyAlignment="1">
      <alignment horizontal="center" wrapText="1"/>
    </xf>
    <xf numFmtId="0" fontId="7" fillId="0" borderId="0" xfId="0" applyFont="1" applyAlignment="1">
      <alignment horizontal="center" wrapText="1"/>
    </xf>
    <xf numFmtId="0" fontId="20" fillId="0" borderId="0" xfId="0" applyFont="1" applyAlignment="1">
      <alignment horizontal="center" wrapText="1"/>
    </xf>
    <xf numFmtId="0" fontId="2" fillId="0" borderId="0" xfId="0" applyFont="1" applyAlignment="1">
      <alignment horizontal="left" vertical="center"/>
    </xf>
    <xf numFmtId="0" fontId="14" fillId="0" borderId="0" xfId="0" applyFont="1" applyAlignment="1">
      <alignment horizontal="center"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5" xfId="0" applyFont="1" applyBorder="1" applyAlignment="1">
      <alignment horizontal="center"/>
    </xf>
    <xf numFmtId="0" fontId="4" fillId="0" borderId="6" xfId="0" applyFont="1" applyBorder="1" applyAlignment="1">
      <alignment horizontal="center"/>
    </xf>
    <xf numFmtId="0" fontId="4" fillId="0" borderId="1" xfId="0" applyFont="1" applyBorder="1" applyAlignment="1">
      <alignment horizontal="center"/>
    </xf>
    <xf numFmtId="0" fontId="4" fillId="0" borderId="1" xfId="0" applyFont="1" applyBorder="1" applyAlignment="1">
      <alignment horizontal="center" vertical="center"/>
    </xf>
    <xf numFmtId="0" fontId="4" fillId="0" borderId="5" xfId="0" applyFont="1" applyBorder="1" applyAlignment="1">
      <alignment horizontal="center" vertical="center"/>
    </xf>
    <xf numFmtId="0" fontId="4" fillId="0" borderId="29" xfId="0" applyFont="1" applyBorder="1" applyAlignment="1">
      <alignment horizontal="center" vertical="center"/>
    </xf>
    <xf numFmtId="0" fontId="4" fillId="0" borderId="6" xfId="0" applyFont="1" applyBorder="1" applyAlignment="1">
      <alignment horizontal="center" vertical="center"/>
    </xf>
    <xf numFmtId="0" fontId="4" fillId="0" borderId="29" xfId="0" applyFont="1" applyBorder="1" applyAlignment="1">
      <alignment horizontal="center"/>
    </xf>
    <xf numFmtId="0" fontId="9" fillId="3" borderId="34" xfId="0" applyFont="1" applyFill="1" applyBorder="1" applyAlignment="1" applyProtection="1">
      <alignment horizontal="center"/>
      <protection locked="0"/>
    </xf>
    <xf numFmtId="0" fontId="9" fillId="3" borderId="35" xfId="0" applyFont="1" applyFill="1" applyBorder="1" applyAlignment="1" applyProtection="1">
      <alignment horizontal="center"/>
      <protection locked="0"/>
    </xf>
    <xf numFmtId="0" fontId="9" fillId="3" borderId="36" xfId="0" applyFont="1" applyFill="1" applyBorder="1" applyAlignment="1" applyProtection="1">
      <alignment horizontal="center"/>
      <protection locked="0"/>
    </xf>
    <xf numFmtId="165" fontId="4" fillId="2" borderId="29" xfId="0" applyNumberFormat="1" applyFont="1" applyFill="1" applyBorder="1" applyAlignment="1" applyProtection="1">
      <alignment horizontal="center"/>
      <protection locked="0"/>
    </xf>
    <xf numFmtId="0" fontId="7" fillId="3" borderId="9" xfId="0" applyFont="1" applyFill="1" applyBorder="1" applyAlignment="1">
      <alignment horizontal="center" vertical="center"/>
    </xf>
    <xf numFmtId="0" fontId="7" fillId="3" borderId="10"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17" xfId="0" applyFont="1" applyFill="1" applyBorder="1" applyAlignment="1">
      <alignment horizontal="center" vertical="center"/>
    </xf>
    <xf numFmtId="0" fontId="7" fillId="3" borderId="18" xfId="0" applyFont="1" applyFill="1" applyBorder="1" applyAlignment="1">
      <alignment horizontal="center" vertical="center"/>
    </xf>
    <xf numFmtId="0" fontId="7" fillId="3" borderId="19" xfId="0" applyFont="1" applyFill="1" applyBorder="1" applyAlignment="1">
      <alignment horizontal="center" vertical="center"/>
    </xf>
    <xf numFmtId="0" fontId="7" fillId="0" borderId="4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0" xfId="0" applyFont="1" applyAlignment="1">
      <alignment horizontal="center" vertical="center" wrapText="1"/>
    </xf>
    <xf numFmtId="0" fontId="7" fillId="0" borderId="12" xfId="0" applyFont="1" applyBorder="1" applyAlignment="1">
      <alignment horizontal="center"/>
    </xf>
    <xf numFmtId="0" fontId="7" fillId="0" borderId="13" xfId="0" applyFont="1" applyBorder="1" applyAlignment="1">
      <alignment horizontal="center"/>
    </xf>
    <xf numFmtId="0" fontId="7" fillId="0" borderId="14" xfId="0" applyFont="1" applyBorder="1" applyAlignment="1">
      <alignment horizontal="center"/>
    </xf>
    <xf numFmtId="0" fontId="36" fillId="0" borderId="41" xfId="0" applyFont="1" applyBorder="1" applyAlignment="1">
      <alignment horizontal="center" vertical="center" wrapText="1"/>
    </xf>
    <xf numFmtId="0" fontId="36" fillId="0" borderId="42" xfId="0" applyFont="1" applyBorder="1" applyAlignment="1">
      <alignment horizontal="center" vertical="center" wrapText="1"/>
    </xf>
    <xf numFmtId="0" fontId="6" fillId="0" borderId="5" xfId="0" applyFont="1" applyBorder="1" applyAlignment="1">
      <alignment horizontal="center"/>
    </xf>
    <xf numFmtId="0" fontId="6" fillId="0" borderId="6" xfId="0" applyFont="1" applyBorder="1" applyAlignment="1">
      <alignment horizontal="center"/>
    </xf>
    <xf numFmtId="0" fontId="4" fillId="0" borderId="31" xfId="0" applyFont="1" applyBorder="1" applyAlignment="1">
      <alignment horizontal="center" vertical="center" wrapText="1"/>
    </xf>
    <xf numFmtId="0" fontId="4" fillId="0" borderId="32" xfId="0" applyFont="1" applyBorder="1" applyAlignment="1">
      <alignment horizontal="center" vertical="center" wrapText="1"/>
    </xf>
    <xf numFmtId="0" fontId="4" fillId="0" borderId="33" xfId="0" applyFont="1" applyBorder="1" applyAlignment="1">
      <alignment horizontal="center" vertical="center" wrapText="1"/>
    </xf>
    <xf numFmtId="0" fontId="4" fillId="0" borderId="34" xfId="0" applyFont="1" applyBorder="1" applyAlignment="1">
      <alignment horizontal="center" vertical="center" wrapText="1"/>
    </xf>
    <xf numFmtId="0" fontId="4" fillId="0" borderId="35" xfId="0" applyFont="1" applyBorder="1" applyAlignment="1">
      <alignment horizontal="center" vertical="center" wrapText="1"/>
    </xf>
    <xf numFmtId="0" fontId="4" fillId="0" borderId="36" xfId="0" applyFont="1" applyBorder="1" applyAlignment="1">
      <alignment horizontal="center" vertical="center" wrapText="1"/>
    </xf>
    <xf numFmtId="0" fontId="2" fillId="0" borderId="5" xfId="0" applyFont="1" applyBorder="1" applyAlignment="1">
      <alignment horizontal="left"/>
    </xf>
    <xf numFmtId="0" fontId="2" fillId="0" borderId="29" xfId="0" applyFont="1" applyBorder="1" applyAlignment="1">
      <alignment horizontal="left"/>
    </xf>
    <xf numFmtId="0" fontId="2" fillId="0" borderId="6" xfId="0" applyFont="1" applyBorder="1" applyAlignment="1">
      <alignment horizontal="left"/>
    </xf>
    <xf numFmtId="0" fontId="0" fillId="0" borderId="22" xfId="0" applyBorder="1"/>
    <xf numFmtId="0" fontId="7" fillId="0" borderId="27" xfId="0" applyFont="1" applyBorder="1" applyAlignment="1" applyProtection="1">
      <protection locked="0"/>
    </xf>
    <xf numFmtId="2" fontId="7" fillId="0" borderId="26" xfId="0" applyNumberFormat="1" applyFont="1" applyBorder="1" applyAlignment="1"/>
    <xf numFmtId="2" fontId="7" fillId="0" borderId="28" xfId="0" applyNumberFormat="1" applyFont="1" applyBorder="1" applyAlignment="1"/>
    <xf numFmtId="0" fontId="2" fillId="0" borderId="0" xfId="0" applyFont="1" applyAlignment="1">
      <alignment vertical="center"/>
    </xf>
    <xf numFmtId="0" fontId="7" fillId="0" borderId="0" xfId="0" applyFont="1" applyAlignment="1">
      <alignment vertical="center" wrapText="1"/>
    </xf>
    <xf numFmtId="167" fontId="4" fillId="0" borderId="0" xfId="0" applyNumberFormat="1" applyFont="1" applyFill="1" applyAlignment="1">
      <alignment vertical="center"/>
    </xf>
    <xf numFmtId="2" fontId="10" fillId="0" borderId="47" xfId="0" applyNumberFormat="1" applyFont="1" applyFill="1" applyBorder="1" applyAlignment="1">
      <alignment horizontal="center"/>
    </xf>
    <xf numFmtId="2" fontId="4" fillId="0" borderId="43" xfId="0" applyNumberFormat="1" applyFont="1" applyBorder="1" applyAlignment="1">
      <alignment horizontal="center"/>
    </xf>
    <xf numFmtId="2" fontId="4" fillId="0" borderId="43" xfId="0" applyNumberFormat="1" applyFont="1" applyBorder="1" applyAlignment="1" applyProtection="1">
      <alignment horizontal="center"/>
      <protection locked="0"/>
    </xf>
    <xf numFmtId="2" fontId="10" fillId="5" borderId="48" xfId="0" applyNumberFormat="1" applyFont="1" applyFill="1" applyBorder="1" applyAlignment="1" applyProtection="1">
      <alignment horizontal="center" vertical="center"/>
      <protection locked="0"/>
    </xf>
    <xf numFmtId="2" fontId="4" fillId="2" borderId="46" xfId="0" applyNumberFormat="1" applyFont="1" applyFill="1" applyBorder="1" applyAlignment="1" applyProtection="1">
      <alignment horizontal="center" vertical="center"/>
      <protection locked="0"/>
    </xf>
    <xf numFmtId="2" fontId="4" fillId="2" borderId="45" xfId="0" applyNumberFormat="1" applyFont="1" applyFill="1" applyBorder="1" applyAlignment="1" applyProtection="1">
      <alignment horizontal="center" vertical="center"/>
      <protection locked="0"/>
    </xf>
    <xf numFmtId="2" fontId="4" fillId="0" borderId="22" xfId="0" applyNumberFormat="1" applyFont="1" applyBorder="1" applyAlignment="1">
      <alignment horizontal="center" vertical="center"/>
    </xf>
    <xf numFmtId="2" fontId="4" fillId="0" borderId="23" xfId="0" applyNumberFormat="1" applyFont="1" applyBorder="1" applyAlignment="1">
      <alignment horizontal="center" vertical="center"/>
    </xf>
    <xf numFmtId="0" fontId="34" fillId="0" borderId="44" xfId="0" applyFont="1" applyBorder="1" applyAlignment="1">
      <alignment vertical="top" wrapText="1"/>
    </xf>
    <xf numFmtId="0" fontId="34" fillId="0" borderId="22" xfId="0" applyFont="1" applyBorder="1" applyAlignment="1">
      <alignment horizontal="left" vertical="top" wrapText="1"/>
    </xf>
    <xf numFmtId="0" fontId="34" fillId="0" borderId="0" xfId="0" applyFont="1" applyBorder="1" applyAlignment="1">
      <alignment horizontal="left" vertical="top" wrapText="1"/>
    </xf>
    <xf numFmtId="0" fontId="37" fillId="0" borderId="49" xfId="0" applyNumberFormat="1" applyFont="1" applyFill="1" applyBorder="1" applyAlignment="1"/>
  </cellXfs>
  <cellStyles count="3">
    <cellStyle name="Hyperlink" xfId="2" builtinId="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r>
              <a:rPr lang="en-US" b="1" u="sng">
                <a:ln>
                  <a:noFill/>
                </a:ln>
                <a:solidFill>
                  <a:schemeClr val="tx1"/>
                </a:solidFill>
              </a:rPr>
              <a:t>Relaciones Constitutivas de Aceros Pasivo - ACSAHE</a:t>
            </a:r>
          </a:p>
          <a:p>
            <a:pPr>
              <a:defRPr>
                <a:ln>
                  <a:noFill/>
                </a:ln>
                <a:solidFill>
                  <a:schemeClr val="tx1"/>
                </a:solidFill>
              </a:defRPr>
            </a:pPr>
            <a:r>
              <a:rPr lang="en-US" i="1">
                <a:ln>
                  <a:noFill/>
                </a:ln>
                <a:solidFill>
                  <a:schemeClr val="tx1"/>
                </a:solidFill>
              </a:rPr>
              <a:t>Relación Bilineal</a:t>
            </a:r>
          </a:p>
        </c:rich>
      </c:tx>
      <c:overlay val="0"/>
      <c:spPr>
        <a:noFill/>
        <a:ln>
          <a:noFill/>
        </a:ln>
        <a:effectLst/>
      </c:spPr>
      <c:txPr>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endParaRPr lang="es-AR"/>
        </a:p>
      </c:txPr>
    </c:title>
    <c:autoTitleDeleted val="0"/>
    <c:plotArea>
      <c:layout/>
      <c:scatterChart>
        <c:scatterStyle val="lineMarker"/>
        <c:varyColors val="0"/>
        <c:ser>
          <c:idx val="0"/>
          <c:order val="0"/>
          <c:tx>
            <c:strRef>
              <c:f>'Armaduras Pasivas'!$B$2</c:f>
              <c:strCache>
                <c:ptCount val="1"/>
                <c:pt idx="0">
                  <c:v>ADN 420</c:v>
                </c:pt>
              </c:strCache>
            </c:strRef>
          </c:tx>
          <c:spPr>
            <a:ln w="25400" cap="rnd">
              <a:solidFill>
                <a:schemeClr val="accent6"/>
              </a:solidFill>
              <a:round/>
            </a:ln>
            <a:effectLst/>
          </c:spPr>
          <c:marker>
            <c:symbol val="none"/>
          </c:marker>
          <c:xVal>
            <c:numRef>
              <c:f>'Armaduras Pasivas'!$AA$2:$AA$202</c:f>
              <c:numCache>
                <c:formatCode>0.00%</c:formatCode>
                <c:ptCount val="201"/>
                <c:pt idx="0">
                  <c:v>0</c:v>
                </c:pt>
                <c:pt idx="1">
                  <c:v>2.5000000000000001E-5</c:v>
                </c:pt>
                <c:pt idx="2">
                  <c:v>5.0000000000000002E-5</c:v>
                </c:pt>
                <c:pt idx="3">
                  <c:v>7.5000000000000007E-5</c:v>
                </c:pt>
                <c:pt idx="4">
                  <c:v>1E-4</c:v>
                </c:pt>
                <c:pt idx="5">
                  <c:v>1.25E-4</c:v>
                </c:pt>
                <c:pt idx="6">
                  <c:v>1.5000000000000001E-4</c:v>
                </c:pt>
                <c:pt idx="7">
                  <c:v>1.7500000000000003E-4</c:v>
                </c:pt>
                <c:pt idx="8">
                  <c:v>2.0000000000000004E-4</c:v>
                </c:pt>
                <c:pt idx="9">
                  <c:v>2.2500000000000005E-4</c:v>
                </c:pt>
                <c:pt idx="10">
                  <c:v>2.5000000000000006E-4</c:v>
                </c:pt>
                <c:pt idx="11">
                  <c:v>2.7500000000000007E-4</c:v>
                </c:pt>
                <c:pt idx="12">
                  <c:v>3.0000000000000008E-4</c:v>
                </c:pt>
                <c:pt idx="13">
                  <c:v>3.2500000000000009E-4</c:v>
                </c:pt>
                <c:pt idx="14">
                  <c:v>3.500000000000001E-4</c:v>
                </c:pt>
                <c:pt idx="15">
                  <c:v>3.7500000000000012E-4</c:v>
                </c:pt>
                <c:pt idx="16">
                  <c:v>4.0000000000000013E-4</c:v>
                </c:pt>
                <c:pt idx="17">
                  <c:v>4.2500000000000014E-4</c:v>
                </c:pt>
                <c:pt idx="18">
                  <c:v>4.5000000000000015E-4</c:v>
                </c:pt>
                <c:pt idx="19">
                  <c:v>4.7500000000000016E-4</c:v>
                </c:pt>
                <c:pt idx="20">
                  <c:v>5.0000000000000012E-4</c:v>
                </c:pt>
                <c:pt idx="21">
                  <c:v>5.2500000000000008E-4</c:v>
                </c:pt>
                <c:pt idx="22">
                  <c:v>5.5000000000000003E-4</c:v>
                </c:pt>
                <c:pt idx="23">
                  <c:v>5.7499999999999999E-4</c:v>
                </c:pt>
                <c:pt idx="24">
                  <c:v>5.9999999999999995E-4</c:v>
                </c:pt>
                <c:pt idx="25">
                  <c:v>6.249999999999999E-4</c:v>
                </c:pt>
                <c:pt idx="26">
                  <c:v>6.4999999999999986E-4</c:v>
                </c:pt>
                <c:pt idx="27">
                  <c:v>6.7499999999999982E-4</c:v>
                </c:pt>
                <c:pt idx="28">
                  <c:v>6.9999999999999978E-4</c:v>
                </c:pt>
                <c:pt idx="29">
                  <c:v>7.2499999999999973E-4</c:v>
                </c:pt>
                <c:pt idx="30">
                  <c:v>7.4999999999999969E-4</c:v>
                </c:pt>
                <c:pt idx="31">
                  <c:v>7.7499999999999965E-4</c:v>
                </c:pt>
                <c:pt idx="32">
                  <c:v>7.999999999999996E-4</c:v>
                </c:pt>
                <c:pt idx="33">
                  <c:v>8.2499999999999956E-4</c:v>
                </c:pt>
                <c:pt idx="34">
                  <c:v>8.4999999999999952E-4</c:v>
                </c:pt>
                <c:pt idx="35">
                  <c:v>8.7499999999999948E-4</c:v>
                </c:pt>
                <c:pt idx="36">
                  <c:v>8.9999999999999943E-4</c:v>
                </c:pt>
                <c:pt idx="37">
                  <c:v>9.2499999999999939E-4</c:v>
                </c:pt>
                <c:pt idx="38">
                  <c:v>9.4999999999999935E-4</c:v>
                </c:pt>
                <c:pt idx="39">
                  <c:v>9.749999999999993E-4</c:v>
                </c:pt>
                <c:pt idx="40">
                  <c:v>9.9999999999999937E-4</c:v>
                </c:pt>
                <c:pt idx="41">
                  <c:v>1.0249999999999994E-3</c:v>
                </c:pt>
                <c:pt idx="42">
                  <c:v>1.0499999999999995E-3</c:v>
                </c:pt>
                <c:pt idx="43">
                  <c:v>1.0749999999999996E-3</c:v>
                </c:pt>
                <c:pt idx="44">
                  <c:v>1.0999999999999996E-3</c:v>
                </c:pt>
                <c:pt idx="45">
                  <c:v>1.1249999999999997E-3</c:v>
                </c:pt>
                <c:pt idx="46">
                  <c:v>1.1499999999999998E-3</c:v>
                </c:pt>
                <c:pt idx="47">
                  <c:v>1.1749999999999998E-3</c:v>
                </c:pt>
                <c:pt idx="48">
                  <c:v>1.1999999999999999E-3</c:v>
                </c:pt>
                <c:pt idx="49">
                  <c:v>1.225E-3</c:v>
                </c:pt>
                <c:pt idx="50">
                  <c:v>1.25E-3</c:v>
                </c:pt>
                <c:pt idx="51">
                  <c:v>1.2750000000000001E-3</c:v>
                </c:pt>
                <c:pt idx="52">
                  <c:v>1.3000000000000002E-3</c:v>
                </c:pt>
                <c:pt idx="53">
                  <c:v>1.3250000000000002E-3</c:v>
                </c:pt>
                <c:pt idx="54">
                  <c:v>1.3500000000000003E-3</c:v>
                </c:pt>
                <c:pt idx="55">
                  <c:v>1.3750000000000004E-3</c:v>
                </c:pt>
                <c:pt idx="56">
                  <c:v>1.4000000000000004E-3</c:v>
                </c:pt>
                <c:pt idx="57">
                  <c:v>1.4250000000000005E-3</c:v>
                </c:pt>
                <c:pt idx="58">
                  <c:v>1.4500000000000006E-3</c:v>
                </c:pt>
                <c:pt idx="59">
                  <c:v>1.4750000000000006E-3</c:v>
                </c:pt>
                <c:pt idx="60">
                  <c:v>1.5000000000000007E-3</c:v>
                </c:pt>
                <c:pt idx="61">
                  <c:v>1.5250000000000007E-3</c:v>
                </c:pt>
                <c:pt idx="62">
                  <c:v>1.5500000000000008E-3</c:v>
                </c:pt>
                <c:pt idx="63">
                  <c:v>1.5750000000000009E-3</c:v>
                </c:pt>
                <c:pt idx="64">
                  <c:v>1.6000000000000009E-3</c:v>
                </c:pt>
                <c:pt idx="65">
                  <c:v>1.625000000000001E-3</c:v>
                </c:pt>
                <c:pt idx="66">
                  <c:v>1.6500000000000011E-3</c:v>
                </c:pt>
                <c:pt idx="67">
                  <c:v>1.6750000000000011E-3</c:v>
                </c:pt>
                <c:pt idx="68">
                  <c:v>1.7000000000000012E-3</c:v>
                </c:pt>
                <c:pt idx="69">
                  <c:v>1.7250000000000013E-3</c:v>
                </c:pt>
                <c:pt idx="70">
                  <c:v>1.7500000000000013E-3</c:v>
                </c:pt>
                <c:pt idx="71">
                  <c:v>1.7750000000000014E-3</c:v>
                </c:pt>
                <c:pt idx="72">
                  <c:v>1.8000000000000015E-3</c:v>
                </c:pt>
                <c:pt idx="73">
                  <c:v>1.8250000000000015E-3</c:v>
                </c:pt>
                <c:pt idx="74">
                  <c:v>1.8500000000000016E-3</c:v>
                </c:pt>
                <c:pt idx="75">
                  <c:v>1.8750000000000017E-3</c:v>
                </c:pt>
                <c:pt idx="76">
                  <c:v>1.9000000000000017E-3</c:v>
                </c:pt>
                <c:pt idx="77">
                  <c:v>1.9250000000000018E-3</c:v>
                </c:pt>
                <c:pt idx="78">
                  <c:v>1.9500000000000019E-3</c:v>
                </c:pt>
                <c:pt idx="79">
                  <c:v>1.9750000000000019E-3</c:v>
                </c:pt>
                <c:pt idx="80">
                  <c:v>2.0000000000000018E-3</c:v>
                </c:pt>
                <c:pt idx="81">
                  <c:v>2.0250000000000016E-3</c:v>
                </c:pt>
                <c:pt idx="82">
                  <c:v>2.0500000000000015E-3</c:v>
                </c:pt>
                <c:pt idx="83">
                  <c:v>2.0750000000000013E-3</c:v>
                </c:pt>
                <c:pt idx="84">
                  <c:v>2.1000000000000012E-3</c:v>
                </c:pt>
                <c:pt idx="85">
                  <c:v>2.125000000000001E-3</c:v>
                </c:pt>
                <c:pt idx="86">
                  <c:v>2.1500000000000009E-3</c:v>
                </c:pt>
                <c:pt idx="87">
                  <c:v>2.1750000000000007E-3</c:v>
                </c:pt>
                <c:pt idx="88">
                  <c:v>2.2000000000000006E-3</c:v>
                </c:pt>
                <c:pt idx="89">
                  <c:v>2.2250000000000004E-3</c:v>
                </c:pt>
                <c:pt idx="90">
                  <c:v>2.2500000000000003E-3</c:v>
                </c:pt>
                <c:pt idx="91">
                  <c:v>2.2750000000000001E-3</c:v>
                </c:pt>
                <c:pt idx="92">
                  <c:v>2.3E-3</c:v>
                </c:pt>
                <c:pt idx="93">
                  <c:v>2.3249999999999998E-3</c:v>
                </c:pt>
                <c:pt idx="94">
                  <c:v>2.3499999999999997E-3</c:v>
                </c:pt>
                <c:pt idx="95">
                  <c:v>2.3749999999999995E-3</c:v>
                </c:pt>
                <c:pt idx="96">
                  <c:v>2.3999999999999994E-3</c:v>
                </c:pt>
                <c:pt idx="97">
                  <c:v>2.4249999999999992E-3</c:v>
                </c:pt>
                <c:pt idx="98">
                  <c:v>2.4499999999999991E-3</c:v>
                </c:pt>
                <c:pt idx="99">
                  <c:v>2.4749999999999989E-3</c:v>
                </c:pt>
                <c:pt idx="100">
                  <c:v>2.4999999999999988E-3</c:v>
                </c:pt>
                <c:pt idx="101">
                  <c:v>2.5249999999999986E-3</c:v>
                </c:pt>
                <c:pt idx="102">
                  <c:v>2.5499999999999984E-3</c:v>
                </c:pt>
                <c:pt idx="103">
                  <c:v>2.5749999999999983E-3</c:v>
                </c:pt>
                <c:pt idx="104">
                  <c:v>2.5999999999999981E-3</c:v>
                </c:pt>
                <c:pt idx="105">
                  <c:v>2.624999999999998E-3</c:v>
                </c:pt>
                <c:pt idx="106">
                  <c:v>2.6499999999999978E-3</c:v>
                </c:pt>
                <c:pt idx="107">
                  <c:v>2.6749999999999977E-3</c:v>
                </c:pt>
                <c:pt idx="108">
                  <c:v>2.6999999999999975E-3</c:v>
                </c:pt>
                <c:pt idx="109">
                  <c:v>2.7249999999999974E-3</c:v>
                </c:pt>
                <c:pt idx="110">
                  <c:v>2.7499999999999972E-3</c:v>
                </c:pt>
                <c:pt idx="111">
                  <c:v>2.7749999999999971E-3</c:v>
                </c:pt>
                <c:pt idx="112">
                  <c:v>2.7999999999999969E-3</c:v>
                </c:pt>
                <c:pt idx="113">
                  <c:v>2.8249999999999968E-3</c:v>
                </c:pt>
                <c:pt idx="114">
                  <c:v>2.8499999999999966E-3</c:v>
                </c:pt>
                <c:pt idx="115">
                  <c:v>2.8749999999999965E-3</c:v>
                </c:pt>
                <c:pt idx="116">
                  <c:v>2.8999999999999963E-3</c:v>
                </c:pt>
                <c:pt idx="117">
                  <c:v>2.9249999999999962E-3</c:v>
                </c:pt>
                <c:pt idx="118">
                  <c:v>2.949999999999996E-3</c:v>
                </c:pt>
                <c:pt idx="119">
                  <c:v>2.9749999999999959E-3</c:v>
                </c:pt>
                <c:pt idx="120">
                  <c:v>2.9999999999999957E-3</c:v>
                </c:pt>
                <c:pt idx="121">
                  <c:v>3.0249999999999956E-3</c:v>
                </c:pt>
                <c:pt idx="122">
                  <c:v>3.0499999999999954E-3</c:v>
                </c:pt>
                <c:pt idx="123">
                  <c:v>3.0749999999999953E-3</c:v>
                </c:pt>
                <c:pt idx="124">
                  <c:v>3.0999999999999951E-3</c:v>
                </c:pt>
                <c:pt idx="125">
                  <c:v>3.124999999999995E-3</c:v>
                </c:pt>
                <c:pt idx="126">
                  <c:v>3.1499999999999948E-3</c:v>
                </c:pt>
                <c:pt idx="127">
                  <c:v>3.1749999999999947E-3</c:v>
                </c:pt>
                <c:pt idx="128">
                  <c:v>3.1999999999999945E-3</c:v>
                </c:pt>
                <c:pt idx="129">
                  <c:v>3.2249999999999944E-3</c:v>
                </c:pt>
                <c:pt idx="130">
                  <c:v>3.2499999999999942E-3</c:v>
                </c:pt>
                <c:pt idx="131">
                  <c:v>3.2749999999999941E-3</c:v>
                </c:pt>
                <c:pt idx="132">
                  <c:v>3.2999999999999939E-3</c:v>
                </c:pt>
                <c:pt idx="133">
                  <c:v>3.3249999999999938E-3</c:v>
                </c:pt>
                <c:pt idx="134">
                  <c:v>3.3499999999999936E-3</c:v>
                </c:pt>
                <c:pt idx="135">
                  <c:v>3.3749999999999935E-3</c:v>
                </c:pt>
                <c:pt idx="136">
                  <c:v>3.3999999999999933E-3</c:v>
                </c:pt>
                <c:pt idx="137">
                  <c:v>3.4249999999999932E-3</c:v>
                </c:pt>
                <c:pt idx="138">
                  <c:v>3.449999999999993E-3</c:v>
                </c:pt>
                <c:pt idx="139">
                  <c:v>3.4749999999999929E-3</c:v>
                </c:pt>
                <c:pt idx="140">
                  <c:v>3.4999999999999927E-3</c:v>
                </c:pt>
                <c:pt idx="141">
                  <c:v>3.5249999999999925E-3</c:v>
                </c:pt>
                <c:pt idx="142">
                  <c:v>3.5499999999999924E-3</c:v>
                </c:pt>
                <c:pt idx="143">
                  <c:v>3.5749999999999922E-3</c:v>
                </c:pt>
                <c:pt idx="144">
                  <c:v>3.5999999999999921E-3</c:v>
                </c:pt>
                <c:pt idx="145">
                  <c:v>3.6249999999999919E-3</c:v>
                </c:pt>
                <c:pt idx="146">
                  <c:v>3.6499999999999918E-3</c:v>
                </c:pt>
                <c:pt idx="147">
                  <c:v>3.6749999999999916E-3</c:v>
                </c:pt>
                <c:pt idx="148">
                  <c:v>3.6999999999999915E-3</c:v>
                </c:pt>
                <c:pt idx="149">
                  <c:v>3.7249999999999913E-3</c:v>
                </c:pt>
                <c:pt idx="150">
                  <c:v>3.7499999999999912E-3</c:v>
                </c:pt>
                <c:pt idx="151">
                  <c:v>3.774999999999991E-3</c:v>
                </c:pt>
                <c:pt idx="152">
                  <c:v>3.7999999999999909E-3</c:v>
                </c:pt>
                <c:pt idx="153">
                  <c:v>3.8249999999999907E-3</c:v>
                </c:pt>
                <c:pt idx="154">
                  <c:v>3.8499999999999906E-3</c:v>
                </c:pt>
                <c:pt idx="155">
                  <c:v>3.8749999999999904E-3</c:v>
                </c:pt>
                <c:pt idx="156">
                  <c:v>3.8999999999999903E-3</c:v>
                </c:pt>
                <c:pt idx="157">
                  <c:v>3.9249999999999901E-3</c:v>
                </c:pt>
                <c:pt idx="158">
                  <c:v>3.94999999999999E-3</c:v>
                </c:pt>
                <c:pt idx="159">
                  <c:v>3.9749999999999898E-3</c:v>
                </c:pt>
                <c:pt idx="160">
                  <c:v>3.9999999999999897E-3</c:v>
                </c:pt>
                <c:pt idx="161">
                  <c:v>4.0249999999999895E-3</c:v>
                </c:pt>
                <c:pt idx="162">
                  <c:v>4.0499999999999894E-3</c:v>
                </c:pt>
                <c:pt idx="163">
                  <c:v>4.0749999999999892E-3</c:v>
                </c:pt>
                <c:pt idx="164">
                  <c:v>4.0999999999999891E-3</c:v>
                </c:pt>
                <c:pt idx="165">
                  <c:v>4.1249999999999889E-3</c:v>
                </c:pt>
                <c:pt idx="166">
                  <c:v>4.1499999999999888E-3</c:v>
                </c:pt>
                <c:pt idx="167">
                  <c:v>4.1749999999999886E-3</c:v>
                </c:pt>
                <c:pt idx="168">
                  <c:v>4.1999999999999885E-3</c:v>
                </c:pt>
                <c:pt idx="169">
                  <c:v>4.2249999999999883E-3</c:v>
                </c:pt>
                <c:pt idx="170">
                  <c:v>4.2499999999999882E-3</c:v>
                </c:pt>
                <c:pt idx="171">
                  <c:v>4.274999999999988E-3</c:v>
                </c:pt>
                <c:pt idx="172">
                  <c:v>4.2999999999999879E-3</c:v>
                </c:pt>
                <c:pt idx="173">
                  <c:v>4.3249999999999877E-3</c:v>
                </c:pt>
                <c:pt idx="174">
                  <c:v>4.3499999999999876E-3</c:v>
                </c:pt>
                <c:pt idx="175">
                  <c:v>4.3749999999999874E-3</c:v>
                </c:pt>
                <c:pt idx="176">
                  <c:v>4.3999999999999873E-3</c:v>
                </c:pt>
                <c:pt idx="177">
                  <c:v>4.4249999999999871E-3</c:v>
                </c:pt>
                <c:pt idx="178">
                  <c:v>4.449999999999987E-3</c:v>
                </c:pt>
                <c:pt idx="179">
                  <c:v>4.4749999999999868E-3</c:v>
                </c:pt>
                <c:pt idx="180">
                  <c:v>4.4999999999999866E-3</c:v>
                </c:pt>
                <c:pt idx="181">
                  <c:v>4.5249999999999865E-3</c:v>
                </c:pt>
                <c:pt idx="182">
                  <c:v>4.5499999999999863E-3</c:v>
                </c:pt>
                <c:pt idx="183">
                  <c:v>4.5749999999999862E-3</c:v>
                </c:pt>
                <c:pt idx="184">
                  <c:v>4.599999999999986E-3</c:v>
                </c:pt>
                <c:pt idx="185">
                  <c:v>4.6249999999999859E-3</c:v>
                </c:pt>
                <c:pt idx="186">
                  <c:v>4.6499999999999857E-3</c:v>
                </c:pt>
                <c:pt idx="187">
                  <c:v>4.6749999999999856E-3</c:v>
                </c:pt>
                <c:pt idx="188">
                  <c:v>4.6999999999999854E-3</c:v>
                </c:pt>
                <c:pt idx="189">
                  <c:v>4.7249999999999853E-3</c:v>
                </c:pt>
                <c:pt idx="190">
                  <c:v>4.7499999999999851E-3</c:v>
                </c:pt>
                <c:pt idx="191">
                  <c:v>4.774999999999985E-3</c:v>
                </c:pt>
                <c:pt idx="192">
                  <c:v>4.7999999999999848E-3</c:v>
                </c:pt>
                <c:pt idx="193">
                  <c:v>4.8249999999999847E-3</c:v>
                </c:pt>
                <c:pt idx="194">
                  <c:v>4.8499999999999845E-3</c:v>
                </c:pt>
                <c:pt idx="195">
                  <c:v>4.8749999999999844E-3</c:v>
                </c:pt>
                <c:pt idx="196">
                  <c:v>4.8999999999999842E-3</c:v>
                </c:pt>
                <c:pt idx="197">
                  <c:v>4.9249999999999841E-3</c:v>
                </c:pt>
                <c:pt idx="198">
                  <c:v>4.9499999999999839E-3</c:v>
                </c:pt>
                <c:pt idx="199">
                  <c:v>4.9749999999999838E-3</c:v>
                </c:pt>
                <c:pt idx="200">
                  <c:v>4.9999999999999836E-3</c:v>
                </c:pt>
              </c:numCache>
            </c:numRef>
          </c:xVal>
          <c:yVal>
            <c:numRef>
              <c:f>'Armaduras Pasivas'!$AE$2:$AE$202</c:f>
              <c:numCache>
                <c:formatCode>General</c:formatCode>
                <c:ptCount val="201"/>
                <c:pt idx="0">
                  <c:v>0</c:v>
                </c:pt>
                <c:pt idx="1">
                  <c:v>5</c:v>
                </c:pt>
                <c:pt idx="2">
                  <c:v>10</c:v>
                </c:pt>
                <c:pt idx="3">
                  <c:v>15.000000000000002</c:v>
                </c:pt>
                <c:pt idx="4">
                  <c:v>20</c:v>
                </c:pt>
                <c:pt idx="5">
                  <c:v>25</c:v>
                </c:pt>
                <c:pt idx="6">
                  <c:v>30.000000000000004</c:v>
                </c:pt>
                <c:pt idx="7">
                  <c:v>35.000000000000007</c:v>
                </c:pt>
                <c:pt idx="8">
                  <c:v>40.000000000000007</c:v>
                </c:pt>
                <c:pt idx="9">
                  <c:v>45.000000000000007</c:v>
                </c:pt>
                <c:pt idx="10">
                  <c:v>50.000000000000014</c:v>
                </c:pt>
                <c:pt idx="11">
                  <c:v>55.000000000000014</c:v>
                </c:pt>
                <c:pt idx="12">
                  <c:v>60.000000000000014</c:v>
                </c:pt>
                <c:pt idx="13">
                  <c:v>65.000000000000014</c:v>
                </c:pt>
                <c:pt idx="14">
                  <c:v>70.000000000000014</c:v>
                </c:pt>
                <c:pt idx="15">
                  <c:v>75.000000000000028</c:v>
                </c:pt>
                <c:pt idx="16">
                  <c:v>80.000000000000028</c:v>
                </c:pt>
                <c:pt idx="17">
                  <c:v>85.000000000000028</c:v>
                </c:pt>
                <c:pt idx="18">
                  <c:v>90.000000000000028</c:v>
                </c:pt>
                <c:pt idx="19">
                  <c:v>95.000000000000028</c:v>
                </c:pt>
                <c:pt idx="20">
                  <c:v>100.00000000000003</c:v>
                </c:pt>
                <c:pt idx="21">
                  <c:v>105.00000000000001</c:v>
                </c:pt>
                <c:pt idx="22">
                  <c:v>110</c:v>
                </c:pt>
                <c:pt idx="23">
                  <c:v>115</c:v>
                </c:pt>
                <c:pt idx="24">
                  <c:v>119.99999999999999</c:v>
                </c:pt>
                <c:pt idx="25">
                  <c:v>124.99999999999999</c:v>
                </c:pt>
                <c:pt idx="26">
                  <c:v>129.99999999999997</c:v>
                </c:pt>
                <c:pt idx="27">
                  <c:v>134.99999999999997</c:v>
                </c:pt>
                <c:pt idx="28">
                  <c:v>139.99999999999994</c:v>
                </c:pt>
                <c:pt idx="29">
                  <c:v>144.99999999999994</c:v>
                </c:pt>
                <c:pt idx="30">
                  <c:v>149.99999999999994</c:v>
                </c:pt>
                <c:pt idx="31">
                  <c:v>154.99999999999994</c:v>
                </c:pt>
                <c:pt idx="32">
                  <c:v>159.99999999999991</c:v>
                </c:pt>
                <c:pt idx="33">
                  <c:v>164.99999999999991</c:v>
                </c:pt>
                <c:pt idx="34">
                  <c:v>169.99999999999991</c:v>
                </c:pt>
                <c:pt idx="35">
                  <c:v>174.99999999999989</c:v>
                </c:pt>
                <c:pt idx="36">
                  <c:v>179.99999999999989</c:v>
                </c:pt>
                <c:pt idx="37">
                  <c:v>184.99999999999989</c:v>
                </c:pt>
                <c:pt idx="38">
                  <c:v>189.99999999999986</c:v>
                </c:pt>
                <c:pt idx="39">
                  <c:v>194.99999999999986</c:v>
                </c:pt>
                <c:pt idx="40">
                  <c:v>199.99999999999989</c:v>
                </c:pt>
                <c:pt idx="41">
                  <c:v>204.99999999999989</c:v>
                </c:pt>
                <c:pt idx="42">
                  <c:v>209.99999999999989</c:v>
                </c:pt>
                <c:pt idx="43">
                  <c:v>214.99999999999991</c:v>
                </c:pt>
                <c:pt idx="44">
                  <c:v>219.99999999999991</c:v>
                </c:pt>
                <c:pt idx="45">
                  <c:v>224.99999999999994</c:v>
                </c:pt>
                <c:pt idx="46">
                  <c:v>229.99999999999994</c:v>
                </c:pt>
                <c:pt idx="47">
                  <c:v>234.99999999999997</c:v>
                </c:pt>
                <c:pt idx="48">
                  <c:v>239.99999999999997</c:v>
                </c:pt>
                <c:pt idx="49">
                  <c:v>245</c:v>
                </c:pt>
                <c:pt idx="50">
                  <c:v>250</c:v>
                </c:pt>
                <c:pt idx="51">
                  <c:v>255.00000000000003</c:v>
                </c:pt>
                <c:pt idx="52">
                  <c:v>260.00000000000006</c:v>
                </c:pt>
                <c:pt idx="53">
                  <c:v>265.00000000000006</c:v>
                </c:pt>
                <c:pt idx="54">
                  <c:v>270.00000000000006</c:v>
                </c:pt>
                <c:pt idx="55">
                  <c:v>275.00000000000006</c:v>
                </c:pt>
                <c:pt idx="56">
                  <c:v>280.00000000000006</c:v>
                </c:pt>
                <c:pt idx="57">
                  <c:v>285.00000000000011</c:v>
                </c:pt>
                <c:pt idx="58">
                  <c:v>290.00000000000011</c:v>
                </c:pt>
                <c:pt idx="59">
                  <c:v>295.00000000000011</c:v>
                </c:pt>
                <c:pt idx="60">
                  <c:v>300.00000000000011</c:v>
                </c:pt>
                <c:pt idx="61">
                  <c:v>305.00000000000017</c:v>
                </c:pt>
                <c:pt idx="62">
                  <c:v>310.00000000000017</c:v>
                </c:pt>
                <c:pt idx="63">
                  <c:v>315.00000000000017</c:v>
                </c:pt>
                <c:pt idx="64">
                  <c:v>320.00000000000017</c:v>
                </c:pt>
                <c:pt idx="65">
                  <c:v>325.00000000000023</c:v>
                </c:pt>
                <c:pt idx="66">
                  <c:v>330.00000000000023</c:v>
                </c:pt>
                <c:pt idx="67">
                  <c:v>335.00000000000023</c:v>
                </c:pt>
                <c:pt idx="68">
                  <c:v>340.00000000000023</c:v>
                </c:pt>
                <c:pt idx="69">
                  <c:v>345.00000000000023</c:v>
                </c:pt>
                <c:pt idx="70">
                  <c:v>350.00000000000028</c:v>
                </c:pt>
                <c:pt idx="71">
                  <c:v>355.00000000000028</c:v>
                </c:pt>
                <c:pt idx="72">
                  <c:v>360.00000000000028</c:v>
                </c:pt>
                <c:pt idx="73">
                  <c:v>365.00000000000028</c:v>
                </c:pt>
                <c:pt idx="74">
                  <c:v>370.00000000000034</c:v>
                </c:pt>
                <c:pt idx="75">
                  <c:v>375.00000000000034</c:v>
                </c:pt>
                <c:pt idx="76">
                  <c:v>380.00000000000034</c:v>
                </c:pt>
                <c:pt idx="77">
                  <c:v>385.00000000000034</c:v>
                </c:pt>
                <c:pt idx="78">
                  <c:v>390.0000000000004</c:v>
                </c:pt>
                <c:pt idx="79">
                  <c:v>395.0000000000004</c:v>
                </c:pt>
                <c:pt idx="80">
                  <c:v>400.00000000000034</c:v>
                </c:pt>
                <c:pt idx="81">
                  <c:v>405.00000000000034</c:v>
                </c:pt>
                <c:pt idx="82">
                  <c:v>410.00000000000028</c:v>
                </c:pt>
                <c:pt idx="83">
                  <c:v>415.00000000000028</c:v>
                </c:pt>
                <c:pt idx="84">
                  <c:v>420</c:v>
                </c:pt>
                <c:pt idx="85">
                  <c:v>420</c:v>
                </c:pt>
                <c:pt idx="86">
                  <c:v>420</c:v>
                </c:pt>
                <c:pt idx="87">
                  <c:v>420</c:v>
                </c:pt>
                <c:pt idx="88">
                  <c:v>420</c:v>
                </c:pt>
                <c:pt idx="89">
                  <c:v>420</c:v>
                </c:pt>
                <c:pt idx="90">
                  <c:v>420</c:v>
                </c:pt>
                <c:pt idx="91">
                  <c:v>420</c:v>
                </c:pt>
                <c:pt idx="92">
                  <c:v>420</c:v>
                </c:pt>
                <c:pt idx="93">
                  <c:v>420</c:v>
                </c:pt>
                <c:pt idx="94">
                  <c:v>420</c:v>
                </c:pt>
                <c:pt idx="95">
                  <c:v>420</c:v>
                </c:pt>
                <c:pt idx="96">
                  <c:v>420</c:v>
                </c:pt>
                <c:pt idx="97">
                  <c:v>420</c:v>
                </c:pt>
                <c:pt idx="98">
                  <c:v>420</c:v>
                </c:pt>
                <c:pt idx="99">
                  <c:v>420</c:v>
                </c:pt>
                <c:pt idx="100">
                  <c:v>420</c:v>
                </c:pt>
                <c:pt idx="101">
                  <c:v>420</c:v>
                </c:pt>
                <c:pt idx="102">
                  <c:v>420</c:v>
                </c:pt>
                <c:pt idx="103">
                  <c:v>420</c:v>
                </c:pt>
                <c:pt idx="104">
                  <c:v>420</c:v>
                </c:pt>
                <c:pt idx="105">
                  <c:v>420</c:v>
                </c:pt>
                <c:pt idx="106">
                  <c:v>420</c:v>
                </c:pt>
                <c:pt idx="107">
                  <c:v>420</c:v>
                </c:pt>
                <c:pt idx="108">
                  <c:v>420</c:v>
                </c:pt>
                <c:pt idx="109">
                  <c:v>420</c:v>
                </c:pt>
                <c:pt idx="110">
                  <c:v>420</c:v>
                </c:pt>
                <c:pt idx="111">
                  <c:v>420</c:v>
                </c:pt>
                <c:pt idx="112">
                  <c:v>420</c:v>
                </c:pt>
                <c:pt idx="113">
                  <c:v>420</c:v>
                </c:pt>
                <c:pt idx="114">
                  <c:v>420</c:v>
                </c:pt>
                <c:pt idx="115">
                  <c:v>420</c:v>
                </c:pt>
                <c:pt idx="116">
                  <c:v>420</c:v>
                </c:pt>
                <c:pt idx="117">
                  <c:v>420</c:v>
                </c:pt>
                <c:pt idx="118">
                  <c:v>420</c:v>
                </c:pt>
                <c:pt idx="119">
                  <c:v>420</c:v>
                </c:pt>
                <c:pt idx="120">
                  <c:v>420</c:v>
                </c:pt>
                <c:pt idx="121">
                  <c:v>420</c:v>
                </c:pt>
                <c:pt idx="122">
                  <c:v>420</c:v>
                </c:pt>
                <c:pt idx="123">
                  <c:v>420</c:v>
                </c:pt>
                <c:pt idx="124">
                  <c:v>420</c:v>
                </c:pt>
                <c:pt idx="125">
                  <c:v>420</c:v>
                </c:pt>
                <c:pt idx="126">
                  <c:v>420</c:v>
                </c:pt>
                <c:pt idx="127">
                  <c:v>420</c:v>
                </c:pt>
                <c:pt idx="128">
                  <c:v>420</c:v>
                </c:pt>
                <c:pt idx="129">
                  <c:v>420</c:v>
                </c:pt>
                <c:pt idx="130">
                  <c:v>420</c:v>
                </c:pt>
                <c:pt idx="131">
                  <c:v>420</c:v>
                </c:pt>
                <c:pt idx="132">
                  <c:v>420</c:v>
                </c:pt>
                <c:pt idx="133">
                  <c:v>420</c:v>
                </c:pt>
                <c:pt idx="134">
                  <c:v>420</c:v>
                </c:pt>
                <c:pt idx="135">
                  <c:v>420</c:v>
                </c:pt>
                <c:pt idx="136">
                  <c:v>420</c:v>
                </c:pt>
                <c:pt idx="137">
                  <c:v>420</c:v>
                </c:pt>
                <c:pt idx="138">
                  <c:v>420</c:v>
                </c:pt>
                <c:pt idx="139">
                  <c:v>420</c:v>
                </c:pt>
                <c:pt idx="140">
                  <c:v>420</c:v>
                </c:pt>
                <c:pt idx="141">
                  <c:v>420</c:v>
                </c:pt>
                <c:pt idx="142">
                  <c:v>420</c:v>
                </c:pt>
                <c:pt idx="143">
                  <c:v>420</c:v>
                </c:pt>
                <c:pt idx="144">
                  <c:v>420</c:v>
                </c:pt>
                <c:pt idx="145">
                  <c:v>420</c:v>
                </c:pt>
                <c:pt idx="146">
                  <c:v>420</c:v>
                </c:pt>
                <c:pt idx="147">
                  <c:v>420</c:v>
                </c:pt>
                <c:pt idx="148">
                  <c:v>420</c:v>
                </c:pt>
                <c:pt idx="149">
                  <c:v>420</c:v>
                </c:pt>
                <c:pt idx="150">
                  <c:v>420</c:v>
                </c:pt>
                <c:pt idx="151">
                  <c:v>420</c:v>
                </c:pt>
                <c:pt idx="152">
                  <c:v>420</c:v>
                </c:pt>
                <c:pt idx="153">
                  <c:v>420</c:v>
                </c:pt>
                <c:pt idx="154">
                  <c:v>420</c:v>
                </c:pt>
                <c:pt idx="155">
                  <c:v>420</c:v>
                </c:pt>
                <c:pt idx="156">
                  <c:v>420</c:v>
                </c:pt>
                <c:pt idx="157">
                  <c:v>420</c:v>
                </c:pt>
                <c:pt idx="158">
                  <c:v>420</c:v>
                </c:pt>
                <c:pt idx="159">
                  <c:v>420</c:v>
                </c:pt>
                <c:pt idx="160">
                  <c:v>420</c:v>
                </c:pt>
                <c:pt idx="161">
                  <c:v>420</c:v>
                </c:pt>
                <c:pt idx="162">
                  <c:v>420</c:v>
                </c:pt>
                <c:pt idx="163">
                  <c:v>420</c:v>
                </c:pt>
                <c:pt idx="164">
                  <c:v>420</c:v>
                </c:pt>
                <c:pt idx="165">
                  <c:v>420</c:v>
                </c:pt>
                <c:pt idx="166">
                  <c:v>420</c:v>
                </c:pt>
                <c:pt idx="167">
                  <c:v>420</c:v>
                </c:pt>
                <c:pt idx="168">
                  <c:v>420</c:v>
                </c:pt>
                <c:pt idx="169">
                  <c:v>420</c:v>
                </c:pt>
                <c:pt idx="170">
                  <c:v>420</c:v>
                </c:pt>
                <c:pt idx="171">
                  <c:v>420</c:v>
                </c:pt>
                <c:pt idx="172">
                  <c:v>420</c:v>
                </c:pt>
                <c:pt idx="173">
                  <c:v>420</c:v>
                </c:pt>
                <c:pt idx="174">
                  <c:v>420</c:v>
                </c:pt>
                <c:pt idx="175">
                  <c:v>420</c:v>
                </c:pt>
                <c:pt idx="176">
                  <c:v>420</c:v>
                </c:pt>
                <c:pt idx="177">
                  <c:v>420</c:v>
                </c:pt>
                <c:pt idx="178">
                  <c:v>420</c:v>
                </c:pt>
                <c:pt idx="179">
                  <c:v>420</c:v>
                </c:pt>
                <c:pt idx="180">
                  <c:v>420</c:v>
                </c:pt>
                <c:pt idx="181">
                  <c:v>420</c:v>
                </c:pt>
                <c:pt idx="182">
                  <c:v>420</c:v>
                </c:pt>
                <c:pt idx="183">
                  <c:v>420</c:v>
                </c:pt>
                <c:pt idx="184">
                  <c:v>420</c:v>
                </c:pt>
                <c:pt idx="185">
                  <c:v>420</c:v>
                </c:pt>
                <c:pt idx="186">
                  <c:v>420</c:v>
                </c:pt>
                <c:pt idx="187">
                  <c:v>420</c:v>
                </c:pt>
                <c:pt idx="188">
                  <c:v>420</c:v>
                </c:pt>
                <c:pt idx="189">
                  <c:v>420</c:v>
                </c:pt>
                <c:pt idx="190">
                  <c:v>420</c:v>
                </c:pt>
                <c:pt idx="191">
                  <c:v>420</c:v>
                </c:pt>
                <c:pt idx="192">
                  <c:v>420</c:v>
                </c:pt>
                <c:pt idx="193">
                  <c:v>420</c:v>
                </c:pt>
                <c:pt idx="194">
                  <c:v>420</c:v>
                </c:pt>
                <c:pt idx="195">
                  <c:v>420</c:v>
                </c:pt>
                <c:pt idx="196">
                  <c:v>420</c:v>
                </c:pt>
                <c:pt idx="197">
                  <c:v>420</c:v>
                </c:pt>
                <c:pt idx="198">
                  <c:v>420</c:v>
                </c:pt>
                <c:pt idx="199">
                  <c:v>420</c:v>
                </c:pt>
                <c:pt idx="200">
                  <c:v>420</c:v>
                </c:pt>
              </c:numCache>
            </c:numRef>
          </c:yVal>
          <c:smooth val="0"/>
          <c:extLst>
            <c:ext xmlns:c16="http://schemas.microsoft.com/office/drawing/2014/chart" uri="{C3380CC4-5D6E-409C-BE32-E72D297353CC}">
              <c16:uniqueId val="{00000000-B0B3-498E-AA0F-1838ED655328}"/>
            </c:ext>
          </c:extLst>
        </c:ser>
        <c:ser>
          <c:idx val="1"/>
          <c:order val="1"/>
          <c:tx>
            <c:strRef>
              <c:f>'Armaduras Pasivas'!$C$2</c:f>
              <c:strCache>
                <c:ptCount val="1"/>
                <c:pt idx="0">
                  <c:v>ADN 500</c:v>
                </c:pt>
              </c:strCache>
            </c:strRef>
          </c:tx>
          <c:spPr>
            <a:ln w="25400" cap="rnd">
              <a:solidFill>
                <a:schemeClr val="accent5"/>
              </a:solidFill>
              <a:round/>
            </a:ln>
            <a:effectLst/>
          </c:spPr>
          <c:marker>
            <c:symbol val="none"/>
          </c:marker>
          <c:xVal>
            <c:numRef>
              <c:f>'Armaduras Pasivas'!$AB$2:$AB$203</c:f>
              <c:numCache>
                <c:formatCode>0.00%</c:formatCode>
                <c:ptCount val="202"/>
                <c:pt idx="0">
                  <c:v>0</c:v>
                </c:pt>
                <c:pt idx="1">
                  <c:v>2.5000000000000001E-5</c:v>
                </c:pt>
                <c:pt idx="2">
                  <c:v>5.0000000000000002E-5</c:v>
                </c:pt>
                <c:pt idx="3">
                  <c:v>7.5000000000000007E-5</c:v>
                </c:pt>
                <c:pt idx="4">
                  <c:v>1E-4</c:v>
                </c:pt>
                <c:pt idx="5">
                  <c:v>1.25E-4</c:v>
                </c:pt>
                <c:pt idx="6">
                  <c:v>1.5000000000000001E-4</c:v>
                </c:pt>
                <c:pt idx="7">
                  <c:v>1.7500000000000003E-4</c:v>
                </c:pt>
                <c:pt idx="8">
                  <c:v>2.0000000000000004E-4</c:v>
                </c:pt>
                <c:pt idx="9">
                  <c:v>2.2500000000000005E-4</c:v>
                </c:pt>
                <c:pt idx="10">
                  <c:v>2.5000000000000006E-4</c:v>
                </c:pt>
                <c:pt idx="11">
                  <c:v>2.7500000000000007E-4</c:v>
                </c:pt>
                <c:pt idx="12">
                  <c:v>3.0000000000000008E-4</c:v>
                </c:pt>
                <c:pt idx="13">
                  <c:v>3.2500000000000009E-4</c:v>
                </c:pt>
                <c:pt idx="14">
                  <c:v>3.500000000000001E-4</c:v>
                </c:pt>
                <c:pt idx="15">
                  <c:v>3.7500000000000012E-4</c:v>
                </c:pt>
                <c:pt idx="16">
                  <c:v>4.0000000000000013E-4</c:v>
                </c:pt>
                <c:pt idx="17">
                  <c:v>4.2500000000000014E-4</c:v>
                </c:pt>
                <c:pt idx="18">
                  <c:v>4.5000000000000015E-4</c:v>
                </c:pt>
                <c:pt idx="19">
                  <c:v>4.7500000000000016E-4</c:v>
                </c:pt>
                <c:pt idx="20">
                  <c:v>5.0000000000000012E-4</c:v>
                </c:pt>
                <c:pt idx="21">
                  <c:v>5.2500000000000008E-4</c:v>
                </c:pt>
                <c:pt idx="22">
                  <c:v>5.5000000000000003E-4</c:v>
                </c:pt>
                <c:pt idx="23">
                  <c:v>5.7499999999999999E-4</c:v>
                </c:pt>
                <c:pt idx="24">
                  <c:v>5.9999999999999995E-4</c:v>
                </c:pt>
                <c:pt idx="25">
                  <c:v>6.249999999999999E-4</c:v>
                </c:pt>
                <c:pt idx="26">
                  <c:v>6.4999999999999986E-4</c:v>
                </c:pt>
                <c:pt idx="27">
                  <c:v>6.7499999999999982E-4</c:v>
                </c:pt>
                <c:pt idx="28">
                  <c:v>6.9999999999999978E-4</c:v>
                </c:pt>
                <c:pt idx="29">
                  <c:v>7.2499999999999973E-4</c:v>
                </c:pt>
                <c:pt idx="30">
                  <c:v>7.4999999999999969E-4</c:v>
                </c:pt>
                <c:pt idx="31">
                  <c:v>7.7499999999999965E-4</c:v>
                </c:pt>
                <c:pt idx="32">
                  <c:v>7.999999999999996E-4</c:v>
                </c:pt>
                <c:pt idx="33">
                  <c:v>8.2499999999999956E-4</c:v>
                </c:pt>
                <c:pt idx="34">
                  <c:v>8.4999999999999952E-4</c:v>
                </c:pt>
                <c:pt idx="35">
                  <c:v>8.7499999999999948E-4</c:v>
                </c:pt>
                <c:pt idx="36">
                  <c:v>8.9999999999999943E-4</c:v>
                </c:pt>
                <c:pt idx="37">
                  <c:v>9.2499999999999939E-4</c:v>
                </c:pt>
                <c:pt idx="38">
                  <c:v>9.4999999999999935E-4</c:v>
                </c:pt>
                <c:pt idx="39">
                  <c:v>9.749999999999993E-4</c:v>
                </c:pt>
                <c:pt idx="40">
                  <c:v>9.9999999999999937E-4</c:v>
                </c:pt>
                <c:pt idx="41">
                  <c:v>1.0249999999999994E-3</c:v>
                </c:pt>
                <c:pt idx="42">
                  <c:v>1.0499999999999995E-3</c:v>
                </c:pt>
                <c:pt idx="43">
                  <c:v>1.0749999999999996E-3</c:v>
                </c:pt>
                <c:pt idx="44">
                  <c:v>1.0999999999999996E-3</c:v>
                </c:pt>
                <c:pt idx="45">
                  <c:v>1.1249999999999997E-3</c:v>
                </c:pt>
                <c:pt idx="46">
                  <c:v>1.1499999999999998E-3</c:v>
                </c:pt>
                <c:pt idx="47">
                  <c:v>1.1749999999999998E-3</c:v>
                </c:pt>
                <c:pt idx="48">
                  <c:v>1.1999999999999999E-3</c:v>
                </c:pt>
                <c:pt idx="49">
                  <c:v>1.225E-3</c:v>
                </c:pt>
                <c:pt idx="50">
                  <c:v>1.25E-3</c:v>
                </c:pt>
                <c:pt idx="51">
                  <c:v>1.2750000000000001E-3</c:v>
                </c:pt>
                <c:pt idx="52">
                  <c:v>1.3000000000000002E-3</c:v>
                </c:pt>
                <c:pt idx="53">
                  <c:v>1.3250000000000002E-3</c:v>
                </c:pt>
                <c:pt idx="54">
                  <c:v>1.3500000000000003E-3</c:v>
                </c:pt>
                <c:pt idx="55">
                  <c:v>1.3750000000000004E-3</c:v>
                </c:pt>
                <c:pt idx="56">
                  <c:v>1.4000000000000004E-3</c:v>
                </c:pt>
                <c:pt idx="57">
                  <c:v>1.4250000000000005E-3</c:v>
                </c:pt>
                <c:pt idx="58">
                  <c:v>1.4500000000000006E-3</c:v>
                </c:pt>
                <c:pt idx="59">
                  <c:v>1.4750000000000006E-3</c:v>
                </c:pt>
                <c:pt idx="60">
                  <c:v>1.5000000000000007E-3</c:v>
                </c:pt>
                <c:pt idx="61">
                  <c:v>1.5250000000000007E-3</c:v>
                </c:pt>
                <c:pt idx="62">
                  <c:v>1.5500000000000008E-3</c:v>
                </c:pt>
                <c:pt idx="63">
                  <c:v>1.5750000000000009E-3</c:v>
                </c:pt>
                <c:pt idx="64">
                  <c:v>1.6000000000000009E-3</c:v>
                </c:pt>
                <c:pt idx="65">
                  <c:v>1.625000000000001E-3</c:v>
                </c:pt>
                <c:pt idx="66">
                  <c:v>1.6500000000000011E-3</c:v>
                </c:pt>
                <c:pt idx="67">
                  <c:v>1.6750000000000011E-3</c:v>
                </c:pt>
                <c:pt idx="68">
                  <c:v>1.7000000000000012E-3</c:v>
                </c:pt>
                <c:pt idx="69">
                  <c:v>1.7250000000000013E-3</c:v>
                </c:pt>
                <c:pt idx="70">
                  <c:v>1.7500000000000013E-3</c:v>
                </c:pt>
                <c:pt idx="71">
                  <c:v>1.7750000000000014E-3</c:v>
                </c:pt>
                <c:pt idx="72">
                  <c:v>1.8000000000000015E-3</c:v>
                </c:pt>
                <c:pt idx="73">
                  <c:v>1.8250000000000015E-3</c:v>
                </c:pt>
                <c:pt idx="74">
                  <c:v>1.8500000000000016E-3</c:v>
                </c:pt>
                <c:pt idx="75">
                  <c:v>1.8750000000000017E-3</c:v>
                </c:pt>
                <c:pt idx="76">
                  <c:v>1.9000000000000017E-3</c:v>
                </c:pt>
                <c:pt idx="77">
                  <c:v>1.9250000000000018E-3</c:v>
                </c:pt>
                <c:pt idx="78">
                  <c:v>1.9500000000000019E-3</c:v>
                </c:pt>
                <c:pt idx="79">
                  <c:v>1.9750000000000019E-3</c:v>
                </c:pt>
                <c:pt idx="80">
                  <c:v>2.0000000000000018E-3</c:v>
                </c:pt>
                <c:pt idx="81">
                  <c:v>2.0250000000000016E-3</c:v>
                </c:pt>
                <c:pt idx="82">
                  <c:v>2.0500000000000015E-3</c:v>
                </c:pt>
                <c:pt idx="83">
                  <c:v>2.0750000000000013E-3</c:v>
                </c:pt>
                <c:pt idx="84">
                  <c:v>2.1000000000000012E-3</c:v>
                </c:pt>
                <c:pt idx="85">
                  <c:v>2.125000000000001E-3</c:v>
                </c:pt>
                <c:pt idx="86">
                  <c:v>2.1500000000000009E-3</c:v>
                </c:pt>
                <c:pt idx="87">
                  <c:v>2.1750000000000007E-3</c:v>
                </c:pt>
                <c:pt idx="88">
                  <c:v>2.2000000000000006E-3</c:v>
                </c:pt>
                <c:pt idx="89">
                  <c:v>2.2250000000000004E-3</c:v>
                </c:pt>
                <c:pt idx="90">
                  <c:v>2.2500000000000003E-3</c:v>
                </c:pt>
                <c:pt idx="91">
                  <c:v>2.2750000000000001E-3</c:v>
                </c:pt>
                <c:pt idx="92">
                  <c:v>2.3E-3</c:v>
                </c:pt>
                <c:pt idx="93">
                  <c:v>2.3249999999999998E-3</c:v>
                </c:pt>
                <c:pt idx="94">
                  <c:v>2.3499999999999997E-3</c:v>
                </c:pt>
                <c:pt idx="95">
                  <c:v>2.3749999999999995E-3</c:v>
                </c:pt>
                <c:pt idx="96">
                  <c:v>2.3999999999999994E-3</c:v>
                </c:pt>
                <c:pt idx="97">
                  <c:v>2.4249999999999992E-3</c:v>
                </c:pt>
                <c:pt idx="98">
                  <c:v>2.4499999999999991E-3</c:v>
                </c:pt>
                <c:pt idx="99">
                  <c:v>2.4749999999999989E-3</c:v>
                </c:pt>
                <c:pt idx="100">
                  <c:v>2.4999999999999988E-3</c:v>
                </c:pt>
                <c:pt idx="101">
                  <c:v>2.5249999999999986E-3</c:v>
                </c:pt>
                <c:pt idx="102">
                  <c:v>2.5499999999999984E-3</c:v>
                </c:pt>
                <c:pt idx="103">
                  <c:v>2.5749999999999983E-3</c:v>
                </c:pt>
                <c:pt idx="104">
                  <c:v>2.5999999999999981E-3</c:v>
                </c:pt>
                <c:pt idx="105">
                  <c:v>2.624999999999998E-3</c:v>
                </c:pt>
                <c:pt idx="106">
                  <c:v>2.6499999999999978E-3</c:v>
                </c:pt>
                <c:pt idx="107">
                  <c:v>2.6749999999999977E-3</c:v>
                </c:pt>
                <c:pt idx="108">
                  <c:v>2.6999999999999975E-3</c:v>
                </c:pt>
                <c:pt idx="109">
                  <c:v>2.7249999999999974E-3</c:v>
                </c:pt>
                <c:pt idx="110">
                  <c:v>2.7499999999999972E-3</c:v>
                </c:pt>
                <c:pt idx="111">
                  <c:v>2.7749999999999971E-3</c:v>
                </c:pt>
                <c:pt idx="112">
                  <c:v>2.7999999999999969E-3</c:v>
                </c:pt>
                <c:pt idx="113">
                  <c:v>2.8249999999999968E-3</c:v>
                </c:pt>
                <c:pt idx="114">
                  <c:v>2.8499999999999966E-3</c:v>
                </c:pt>
                <c:pt idx="115">
                  <c:v>2.8749999999999965E-3</c:v>
                </c:pt>
                <c:pt idx="116">
                  <c:v>2.8999999999999963E-3</c:v>
                </c:pt>
                <c:pt idx="117">
                  <c:v>2.9249999999999962E-3</c:v>
                </c:pt>
                <c:pt idx="118">
                  <c:v>2.949999999999996E-3</c:v>
                </c:pt>
                <c:pt idx="119">
                  <c:v>2.9749999999999959E-3</c:v>
                </c:pt>
                <c:pt idx="120">
                  <c:v>2.9999999999999957E-3</c:v>
                </c:pt>
                <c:pt idx="121">
                  <c:v>3.0249999999999956E-3</c:v>
                </c:pt>
                <c:pt idx="122">
                  <c:v>3.0499999999999954E-3</c:v>
                </c:pt>
                <c:pt idx="123">
                  <c:v>3.0749999999999953E-3</c:v>
                </c:pt>
                <c:pt idx="124">
                  <c:v>3.0999999999999951E-3</c:v>
                </c:pt>
                <c:pt idx="125">
                  <c:v>3.124999999999995E-3</c:v>
                </c:pt>
                <c:pt idx="126">
                  <c:v>3.1499999999999948E-3</c:v>
                </c:pt>
                <c:pt idx="127">
                  <c:v>3.1749999999999947E-3</c:v>
                </c:pt>
                <c:pt idx="128">
                  <c:v>3.1999999999999945E-3</c:v>
                </c:pt>
                <c:pt idx="129">
                  <c:v>3.2249999999999944E-3</c:v>
                </c:pt>
                <c:pt idx="130">
                  <c:v>3.2499999999999942E-3</c:v>
                </c:pt>
                <c:pt idx="131">
                  <c:v>3.2749999999999941E-3</c:v>
                </c:pt>
                <c:pt idx="132">
                  <c:v>3.2999999999999939E-3</c:v>
                </c:pt>
                <c:pt idx="133">
                  <c:v>3.3249999999999938E-3</c:v>
                </c:pt>
                <c:pt idx="134">
                  <c:v>3.3499999999999936E-3</c:v>
                </c:pt>
                <c:pt idx="135">
                  <c:v>3.3749999999999935E-3</c:v>
                </c:pt>
                <c:pt idx="136">
                  <c:v>3.3999999999999933E-3</c:v>
                </c:pt>
                <c:pt idx="137">
                  <c:v>3.4249999999999932E-3</c:v>
                </c:pt>
                <c:pt idx="138">
                  <c:v>3.449999999999993E-3</c:v>
                </c:pt>
                <c:pt idx="139">
                  <c:v>3.4749999999999929E-3</c:v>
                </c:pt>
                <c:pt idx="140">
                  <c:v>3.4999999999999927E-3</c:v>
                </c:pt>
                <c:pt idx="141">
                  <c:v>3.5249999999999925E-3</c:v>
                </c:pt>
                <c:pt idx="142">
                  <c:v>3.5499999999999924E-3</c:v>
                </c:pt>
                <c:pt idx="143">
                  <c:v>3.5749999999999922E-3</c:v>
                </c:pt>
                <c:pt idx="144">
                  <c:v>3.5999999999999921E-3</c:v>
                </c:pt>
                <c:pt idx="145">
                  <c:v>3.6249999999999919E-3</c:v>
                </c:pt>
                <c:pt idx="146">
                  <c:v>3.6499999999999918E-3</c:v>
                </c:pt>
                <c:pt idx="147">
                  <c:v>3.6749999999999916E-3</c:v>
                </c:pt>
                <c:pt idx="148">
                  <c:v>3.6999999999999915E-3</c:v>
                </c:pt>
                <c:pt idx="149">
                  <c:v>3.7249999999999913E-3</c:v>
                </c:pt>
                <c:pt idx="150">
                  <c:v>3.7499999999999912E-3</c:v>
                </c:pt>
                <c:pt idx="151">
                  <c:v>3.774999999999991E-3</c:v>
                </c:pt>
                <c:pt idx="152">
                  <c:v>3.7999999999999909E-3</c:v>
                </c:pt>
                <c:pt idx="153">
                  <c:v>3.8249999999999907E-3</c:v>
                </c:pt>
                <c:pt idx="154">
                  <c:v>3.8499999999999906E-3</c:v>
                </c:pt>
                <c:pt idx="155">
                  <c:v>3.8749999999999904E-3</c:v>
                </c:pt>
                <c:pt idx="156">
                  <c:v>3.8999999999999903E-3</c:v>
                </c:pt>
                <c:pt idx="157">
                  <c:v>3.9249999999999901E-3</c:v>
                </c:pt>
                <c:pt idx="158">
                  <c:v>3.94999999999999E-3</c:v>
                </c:pt>
                <c:pt idx="159">
                  <c:v>3.9749999999999898E-3</c:v>
                </c:pt>
                <c:pt idx="160">
                  <c:v>3.9999999999999897E-3</c:v>
                </c:pt>
                <c:pt idx="161">
                  <c:v>4.0249999999999895E-3</c:v>
                </c:pt>
                <c:pt idx="162">
                  <c:v>4.0499999999999894E-3</c:v>
                </c:pt>
                <c:pt idx="163">
                  <c:v>4.0749999999999892E-3</c:v>
                </c:pt>
                <c:pt idx="164">
                  <c:v>4.0999999999999891E-3</c:v>
                </c:pt>
                <c:pt idx="165">
                  <c:v>4.1249999999999889E-3</c:v>
                </c:pt>
                <c:pt idx="166">
                  <c:v>4.1499999999999888E-3</c:v>
                </c:pt>
                <c:pt idx="167">
                  <c:v>4.1749999999999886E-3</c:v>
                </c:pt>
                <c:pt idx="168">
                  <c:v>4.1999999999999885E-3</c:v>
                </c:pt>
                <c:pt idx="169">
                  <c:v>4.2249999999999883E-3</c:v>
                </c:pt>
                <c:pt idx="170">
                  <c:v>4.2499999999999882E-3</c:v>
                </c:pt>
                <c:pt idx="171">
                  <c:v>4.274999999999988E-3</c:v>
                </c:pt>
                <c:pt idx="172">
                  <c:v>4.2999999999999879E-3</c:v>
                </c:pt>
                <c:pt idx="173">
                  <c:v>4.3249999999999877E-3</c:v>
                </c:pt>
                <c:pt idx="174">
                  <c:v>4.3499999999999876E-3</c:v>
                </c:pt>
                <c:pt idx="175">
                  <c:v>4.3749999999999874E-3</c:v>
                </c:pt>
                <c:pt idx="176">
                  <c:v>4.3999999999999873E-3</c:v>
                </c:pt>
                <c:pt idx="177">
                  <c:v>4.4249999999999871E-3</c:v>
                </c:pt>
                <c:pt idx="178">
                  <c:v>4.449999999999987E-3</c:v>
                </c:pt>
                <c:pt idx="179">
                  <c:v>4.4749999999999868E-3</c:v>
                </c:pt>
                <c:pt idx="180">
                  <c:v>4.4999999999999866E-3</c:v>
                </c:pt>
                <c:pt idx="181">
                  <c:v>4.5249999999999865E-3</c:v>
                </c:pt>
                <c:pt idx="182">
                  <c:v>4.5499999999999863E-3</c:v>
                </c:pt>
                <c:pt idx="183">
                  <c:v>4.5749999999999862E-3</c:v>
                </c:pt>
                <c:pt idx="184">
                  <c:v>4.599999999999986E-3</c:v>
                </c:pt>
                <c:pt idx="185">
                  <c:v>4.6249999999999859E-3</c:v>
                </c:pt>
                <c:pt idx="186">
                  <c:v>4.6499999999999857E-3</c:v>
                </c:pt>
                <c:pt idx="187">
                  <c:v>4.6749999999999856E-3</c:v>
                </c:pt>
                <c:pt idx="188">
                  <c:v>4.6999999999999854E-3</c:v>
                </c:pt>
                <c:pt idx="189">
                  <c:v>4.7249999999999853E-3</c:v>
                </c:pt>
                <c:pt idx="190">
                  <c:v>4.7499999999999851E-3</c:v>
                </c:pt>
                <c:pt idx="191">
                  <c:v>4.774999999999985E-3</c:v>
                </c:pt>
                <c:pt idx="192">
                  <c:v>4.7999999999999848E-3</c:v>
                </c:pt>
                <c:pt idx="193">
                  <c:v>4.8249999999999847E-3</c:v>
                </c:pt>
                <c:pt idx="194">
                  <c:v>4.8499999999999845E-3</c:v>
                </c:pt>
                <c:pt idx="195">
                  <c:v>4.8749999999999844E-3</c:v>
                </c:pt>
                <c:pt idx="196">
                  <c:v>4.8999999999999842E-3</c:v>
                </c:pt>
                <c:pt idx="197">
                  <c:v>4.9249999999999841E-3</c:v>
                </c:pt>
                <c:pt idx="198">
                  <c:v>4.9499999999999839E-3</c:v>
                </c:pt>
                <c:pt idx="199">
                  <c:v>4.9749999999999838E-3</c:v>
                </c:pt>
                <c:pt idx="200">
                  <c:v>4.9999999999999836E-3</c:v>
                </c:pt>
              </c:numCache>
            </c:numRef>
          </c:xVal>
          <c:yVal>
            <c:numRef>
              <c:f>'Armaduras Pasivas'!$AF$2:$AF$203</c:f>
              <c:numCache>
                <c:formatCode>General</c:formatCode>
                <c:ptCount val="202"/>
                <c:pt idx="0">
                  <c:v>0</c:v>
                </c:pt>
                <c:pt idx="1">
                  <c:v>5</c:v>
                </c:pt>
                <c:pt idx="2">
                  <c:v>10</c:v>
                </c:pt>
                <c:pt idx="3">
                  <c:v>15.000000000000002</c:v>
                </c:pt>
                <c:pt idx="4">
                  <c:v>20</c:v>
                </c:pt>
                <c:pt idx="5">
                  <c:v>25</c:v>
                </c:pt>
                <c:pt idx="6">
                  <c:v>30.000000000000004</c:v>
                </c:pt>
                <c:pt idx="7">
                  <c:v>35.000000000000007</c:v>
                </c:pt>
                <c:pt idx="8">
                  <c:v>40.000000000000007</c:v>
                </c:pt>
                <c:pt idx="9">
                  <c:v>45.000000000000007</c:v>
                </c:pt>
                <c:pt idx="10">
                  <c:v>50.000000000000014</c:v>
                </c:pt>
                <c:pt idx="11">
                  <c:v>55.000000000000014</c:v>
                </c:pt>
                <c:pt idx="12">
                  <c:v>60.000000000000014</c:v>
                </c:pt>
                <c:pt idx="13">
                  <c:v>65.000000000000014</c:v>
                </c:pt>
                <c:pt idx="14">
                  <c:v>70.000000000000014</c:v>
                </c:pt>
                <c:pt idx="15">
                  <c:v>75.000000000000028</c:v>
                </c:pt>
                <c:pt idx="16">
                  <c:v>80.000000000000028</c:v>
                </c:pt>
                <c:pt idx="17">
                  <c:v>85.000000000000028</c:v>
                </c:pt>
                <c:pt idx="18">
                  <c:v>90.000000000000028</c:v>
                </c:pt>
                <c:pt idx="19">
                  <c:v>95.000000000000028</c:v>
                </c:pt>
                <c:pt idx="20">
                  <c:v>100.00000000000003</c:v>
                </c:pt>
                <c:pt idx="21">
                  <c:v>105.00000000000001</c:v>
                </c:pt>
                <c:pt idx="22">
                  <c:v>110</c:v>
                </c:pt>
                <c:pt idx="23">
                  <c:v>115</c:v>
                </c:pt>
                <c:pt idx="24">
                  <c:v>119.99999999999999</c:v>
                </c:pt>
                <c:pt idx="25">
                  <c:v>124.99999999999999</c:v>
                </c:pt>
                <c:pt idx="26">
                  <c:v>129.99999999999997</c:v>
                </c:pt>
                <c:pt idx="27">
                  <c:v>134.99999999999997</c:v>
                </c:pt>
                <c:pt idx="28">
                  <c:v>139.99999999999994</c:v>
                </c:pt>
                <c:pt idx="29">
                  <c:v>144.99999999999994</c:v>
                </c:pt>
                <c:pt idx="30">
                  <c:v>149.99999999999994</c:v>
                </c:pt>
                <c:pt idx="31">
                  <c:v>154.99999999999994</c:v>
                </c:pt>
                <c:pt idx="32">
                  <c:v>159.99999999999991</c:v>
                </c:pt>
                <c:pt idx="33">
                  <c:v>164.99999999999991</c:v>
                </c:pt>
                <c:pt idx="34">
                  <c:v>169.99999999999991</c:v>
                </c:pt>
                <c:pt idx="35">
                  <c:v>174.99999999999989</c:v>
                </c:pt>
                <c:pt idx="36">
                  <c:v>179.99999999999989</c:v>
                </c:pt>
                <c:pt idx="37">
                  <c:v>184.99999999999989</c:v>
                </c:pt>
                <c:pt idx="38">
                  <c:v>189.99999999999986</c:v>
                </c:pt>
                <c:pt idx="39">
                  <c:v>194.99999999999986</c:v>
                </c:pt>
                <c:pt idx="40">
                  <c:v>199.99999999999989</c:v>
                </c:pt>
                <c:pt idx="41">
                  <c:v>204.99999999999989</c:v>
                </c:pt>
                <c:pt idx="42">
                  <c:v>209.99999999999989</c:v>
                </c:pt>
                <c:pt idx="43">
                  <c:v>214.99999999999991</c:v>
                </c:pt>
                <c:pt idx="44">
                  <c:v>219.99999999999991</c:v>
                </c:pt>
                <c:pt idx="45">
                  <c:v>224.99999999999994</c:v>
                </c:pt>
                <c:pt idx="46">
                  <c:v>229.99999999999994</c:v>
                </c:pt>
                <c:pt idx="47">
                  <c:v>234.99999999999997</c:v>
                </c:pt>
                <c:pt idx="48">
                  <c:v>239.99999999999997</c:v>
                </c:pt>
                <c:pt idx="49">
                  <c:v>245</c:v>
                </c:pt>
                <c:pt idx="50">
                  <c:v>250</c:v>
                </c:pt>
                <c:pt idx="51">
                  <c:v>255.00000000000003</c:v>
                </c:pt>
                <c:pt idx="52">
                  <c:v>260.00000000000006</c:v>
                </c:pt>
                <c:pt idx="53">
                  <c:v>265.00000000000006</c:v>
                </c:pt>
                <c:pt idx="54">
                  <c:v>270.00000000000006</c:v>
                </c:pt>
                <c:pt idx="55">
                  <c:v>275.00000000000006</c:v>
                </c:pt>
                <c:pt idx="56">
                  <c:v>280.00000000000006</c:v>
                </c:pt>
                <c:pt idx="57">
                  <c:v>285.00000000000011</c:v>
                </c:pt>
                <c:pt idx="58">
                  <c:v>290.00000000000011</c:v>
                </c:pt>
                <c:pt idx="59">
                  <c:v>295.00000000000011</c:v>
                </c:pt>
                <c:pt idx="60">
                  <c:v>300.00000000000011</c:v>
                </c:pt>
                <c:pt idx="61">
                  <c:v>305.00000000000017</c:v>
                </c:pt>
                <c:pt idx="62">
                  <c:v>310.00000000000017</c:v>
                </c:pt>
                <c:pt idx="63">
                  <c:v>315.00000000000017</c:v>
                </c:pt>
                <c:pt idx="64">
                  <c:v>320.00000000000017</c:v>
                </c:pt>
                <c:pt idx="65">
                  <c:v>325.00000000000023</c:v>
                </c:pt>
                <c:pt idx="66">
                  <c:v>330.00000000000023</c:v>
                </c:pt>
                <c:pt idx="67">
                  <c:v>335.00000000000023</c:v>
                </c:pt>
                <c:pt idx="68">
                  <c:v>340.00000000000023</c:v>
                </c:pt>
                <c:pt idx="69">
                  <c:v>345.00000000000023</c:v>
                </c:pt>
                <c:pt idx="70">
                  <c:v>350.00000000000028</c:v>
                </c:pt>
                <c:pt idx="71">
                  <c:v>355.00000000000028</c:v>
                </c:pt>
                <c:pt idx="72">
                  <c:v>360.00000000000028</c:v>
                </c:pt>
                <c:pt idx="73">
                  <c:v>365.00000000000028</c:v>
                </c:pt>
                <c:pt idx="74">
                  <c:v>370.00000000000034</c:v>
                </c:pt>
                <c:pt idx="75">
                  <c:v>375.00000000000034</c:v>
                </c:pt>
                <c:pt idx="76">
                  <c:v>380.00000000000034</c:v>
                </c:pt>
                <c:pt idx="77">
                  <c:v>385.00000000000034</c:v>
                </c:pt>
                <c:pt idx="78">
                  <c:v>390.0000000000004</c:v>
                </c:pt>
                <c:pt idx="79">
                  <c:v>395.0000000000004</c:v>
                </c:pt>
                <c:pt idx="80">
                  <c:v>400.00000000000034</c:v>
                </c:pt>
                <c:pt idx="81">
                  <c:v>405.00000000000034</c:v>
                </c:pt>
                <c:pt idx="82">
                  <c:v>410.00000000000028</c:v>
                </c:pt>
                <c:pt idx="83">
                  <c:v>415.00000000000028</c:v>
                </c:pt>
                <c:pt idx="84">
                  <c:v>420.00000000000023</c:v>
                </c:pt>
                <c:pt idx="85">
                  <c:v>425.00000000000023</c:v>
                </c:pt>
                <c:pt idx="86">
                  <c:v>430.00000000000017</c:v>
                </c:pt>
                <c:pt idx="87">
                  <c:v>435.00000000000017</c:v>
                </c:pt>
                <c:pt idx="88">
                  <c:v>440.00000000000011</c:v>
                </c:pt>
                <c:pt idx="89">
                  <c:v>445.00000000000006</c:v>
                </c:pt>
                <c:pt idx="90">
                  <c:v>450.00000000000006</c:v>
                </c:pt>
                <c:pt idx="91">
                  <c:v>455</c:v>
                </c:pt>
                <c:pt idx="92">
                  <c:v>460</c:v>
                </c:pt>
                <c:pt idx="93">
                  <c:v>464.99999999999994</c:v>
                </c:pt>
                <c:pt idx="94">
                  <c:v>469.99999999999994</c:v>
                </c:pt>
                <c:pt idx="95">
                  <c:v>474.99999999999989</c:v>
                </c:pt>
                <c:pt idx="96">
                  <c:v>479.99999999999989</c:v>
                </c:pt>
                <c:pt idx="97">
                  <c:v>484.99999999999983</c:v>
                </c:pt>
                <c:pt idx="98">
                  <c:v>489.99999999999983</c:v>
                </c:pt>
                <c:pt idx="99">
                  <c:v>494.99999999999977</c:v>
                </c:pt>
                <c:pt idx="100">
                  <c:v>500</c:v>
                </c:pt>
                <c:pt idx="101">
                  <c:v>500</c:v>
                </c:pt>
                <c:pt idx="102">
                  <c:v>500</c:v>
                </c:pt>
                <c:pt idx="103">
                  <c:v>500</c:v>
                </c:pt>
                <c:pt idx="104">
                  <c:v>500</c:v>
                </c:pt>
                <c:pt idx="105">
                  <c:v>500</c:v>
                </c:pt>
                <c:pt idx="106">
                  <c:v>500</c:v>
                </c:pt>
                <c:pt idx="107">
                  <c:v>500</c:v>
                </c:pt>
                <c:pt idx="108">
                  <c:v>500</c:v>
                </c:pt>
                <c:pt idx="109">
                  <c:v>500</c:v>
                </c:pt>
                <c:pt idx="110">
                  <c:v>500</c:v>
                </c:pt>
                <c:pt idx="111">
                  <c:v>500</c:v>
                </c:pt>
                <c:pt idx="112">
                  <c:v>500</c:v>
                </c:pt>
                <c:pt idx="113">
                  <c:v>500</c:v>
                </c:pt>
                <c:pt idx="114">
                  <c:v>500</c:v>
                </c:pt>
                <c:pt idx="115">
                  <c:v>500</c:v>
                </c:pt>
                <c:pt idx="116">
                  <c:v>500</c:v>
                </c:pt>
                <c:pt idx="117">
                  <c:v>500</c:v>
                </c:pt>
                <c:pt idx="118">
                  <c:v>500</c:v>
                </c:pt>
                <c:pt idx="119">
                  <c:v>500</c:v>
                </c:pt>
                <c:pt idx="120">
                  <c:v>500</c:v>
                </c:pt>
                <c:pt idx="121">
                  <c:v>500</c:v>
                </c:pt>
                <c:pt idx="122">
                  <c:v>500</c:v>
                </c:pt>
                <c:pt idx="123">
                  <c:v>500</c:v>
                </c:pt>
                <c:pt idx="124">
                  <c:v>500</c:v>
                </c:pt>
                <c:pt idx="125">
                  <c:v>500</c:v>
                </c:pt>
                <c:pt idx="126">
                  <c:v>500</c:v>
                </c:pt>
                <c:pt idx="127">
                  <c:v>500</c:v>
                </c:pt>
                <c:pt idx="128">
                  <c:v>500</c:v>
                </c:pt>
                <c:pt idx="129">
                  <c:v>500</c:v>
                </c:pt>
                <c:pt idx="130">
                  <c:v>500</c:v>
                </c:pt>
                <c:pt idx="131">
                  <c:v>500</c:v>
                </c:pt>
                <c:pt idx="132">
                  <c:v>500</c:v>
                </c:pt>
                <c:pt idx="133">
                  <c:v>500</c:v>
                </c:pt>
                <c:pt idx="134">
                  <c:v>500</c:v>
                </c:pt>
                <c:pt idx="135">
                  <c:v>500</c:v>
                </c:pt>
                <c:pt idx="136">
                  <c:v>500</c:v>
                </c:pt>
                <c:pt idx="137">
                  <c:v>500</c:v>
                </c:pt>
                <c:pt idx="138">
                  <c:v>500</c:v>
                </c:pt>
                <c:pt idx="139">
                  <c:v>500</c:v>
                </c:pt>
                <c:pt idx="140">
                  <c:v>500</c:v>
                </c:pt>
                <c:pt idx="141">
                  <c:v>500</c:v>
                </c:pt>
                <c:pt idx="142">
                  <c:v>500</c:v>
                </c:pt>
                <c:pt idx="143">
                  <c:v>500</c:v>
                </c:pt>
                <c:pt idx="144">
                  <c:v>500</c:v>
                </c:pt>
                <c:pt idx="145">
                  <c:v>500</c:v>
                </c:pt>
                <c:pt idx="146">
                  <c:v>500</c:v>
                </c:pt>
                <c:pt idx="147">
                  <c:v>500</c:v>
                </c:pt>
                <c:pt idx="148">
                  <c:v>500</c:v>
                </c:pt>
                <c:pt idx="149">
                  <c:v>500</c:v>
                </c:pt>
                <c:pt idx="150">
                  <c:v>500</c:v>
                </c:pt>
                <c:pt idx="151">
                  <c:v>500</c:v>
                </c:pt>
                <c:pt idx="152">
                  <c:v>500</c:v>
                </c:pt>
                <c:pt idx="153">
                  <c:v>500</c:v>
                </c:pt>
                <c:pt idx="154">
                  <c:v>500</c:v>
                </c:pt>
                <c:pt idx="155">
                  <c:v>500</c:v>
                </c:pt>
                <c:pt idx="156">
                  <c:v>500</c:v>
                </c:pt>
                <c:pt idx="157">
                  <c:v>500</c:v>
                </c:pt>
                <c:pt idx="158">
                  <c:v>500</c:v>
                </c:pt>
                <c:pt idx="159">
                  <c:v>500</c:v>
                </c:pt>
                <c:pt idx="160">
                  <c:v>500</c:v>
                </c:pt>
                <c:pt idx="161">
                  <c:v>500</c:v>
                </c:pt>
                <c:pt idx="162">
                  <c:v>500</c:v>
                </c:pt>
                <c:pt idx="163">
                  <c:v>500</c:v>
                </c:pt>
                <c:pt idx="164">
                  <c:v>500</c:v>
                </c:pt>
                <c:pt idx="165">
                  <c:v>500</c:v>
                </c:pt>
                <c:pt idx="166">
                  <c:v>500</c:v>
                </c:pt>
                <c:pt idx="167">
                  <c:v>500</c:v>
                </c:pt>
                <c:pt idx="168">
                  <c:v>500</c:v>
                </c:pt>
                <c:pt idx="169">
                  <c:v>500</c:v>
                </c:pt>
                <c:pt idx="170">
                  <c:v>500</c:v>
                </c:pt>
                <c:pt idx="171">
                  <c:v>500</c:v>
                </c:pt>
                <c:pt idx="172">
                  <c:v>500</c:v>
                </c:pt>
                <c:pt idx="173">
                  <c:v>500</c:v>
                </c:pt>
                <c:pt idx="174">
                  <c:v>500</c:v>
                </c:pt>
                <c:pt idx="175">
                  <c:v>500</c:v>
                </c:pt>
                <c:pt idx="176">
                  <c:v>500</c:v>
                </c:pt>
                <c:pt idx="177">
                  <c:v>500</c:v>
                </c:pt>
                <c:pt idx="178">
                  <c:v>500</c:v>
                </c:pt>
                <c:pt idx="179">
                  <c:v>500</c:v>
                </c:pt>
                <c:pt idx="180">
                  <c:v>500</c:v>
                </c:pt>
                <c:pt idx="181">
                  <c:v>500</c:v>
                </c:pt>
                <c:pt idx="182">
                  <c:v>500</c:v>
                </c:pt>
                <c:pt idx="183">
                  <c:v>500</c:v>
                </c:pt>
                <c:pt idx="184">
                  <c:v>500</c:v>
                </c:pt>
                <c:pt idx="185">
                  <c:v>500</c:v>
                </c:pt>
                <c:pt idx="186">
                  <c:v>500</c:v>
                </c:pt>
                <c:pt idx="187">
                  <c:v>500</c:v>
                </c:pt>
                <c:pt idx="188">
                  <c:v>500</c:v>
                </c:pt>
                <c:pt idx="189">
                  <c:v>500</c:v>
                </c:pt>
                <c:pt idx="190">
                  <c:v>500</c:v>
                </c:pt>
                <c:pt idx="191">
                  <c:v>500</c:v>
                </c:pt>
                <c:pt idx="192">
                  <c:v>500</c:v>
                </c:pt>
                <c:pt idx="193">
                  <c:v>500</c:v>
                </c:pt>
                <c:pt idx="194">
                  <c:v>500</c:v>
                </c:pt>
                <c:pt idx="195">
                  <c:v>500</c:v>
                </c:pt>
                <c:pt idx="196">
                  <c:v>500</c:v>
                </c:pt>
                <c:pt idx="197">
                  <c:v>500</c:v>
                </c:pt>
                <c:pt idx="198">
                  <c:v>500</c:v>
                </c:pt>
                <c:pt idx="199">
                  <c:v>500</c:v>
                </c:pt>
                <c:pt idx="200">
                  <c:v>500</c:v>
                </c:pt>
              </c:numCache>
            </c:numRef>
          </c:yVal>
          <c:smooth val="0"/>
          <c:extLst>
            <c:ext xmlns:c16="http://schemas.microsoft.com/office/drawing/2014/chart" uri="{C3380CC4-5D6E-409C-BE32-E72D297353CC}">
              <c16:uniqueId val="{00000001-B0B3-498E-AA0F-1838ED655328}"/>
            </c:ext>
          </c:extLst>
        </c:ser>
        <c:ser>
          <c:idx val="2"/>
          <c:order val="2"/>
          <c:tx>
            <c:strRef>
              <c:f>'Armaduras Pasivas'!$D$2</c:f>
              <c:strCache>
                <c:ptCount val="1"/>
                <c:pt idx="0">
                  <c:v>AL 220</c:v>
                </c:pt>
              </c:strCache>
            </c:strRef>
          </c:tx>
          <c:spPr>
            <a:ln w="25400" cap="rnd">
              <a:solidFill>
                <a:schemeClr val="accent4"/>
              </a:solidFill>
              <a:round/>
            </a:ln>
            <a:effectLst/>
          </c:spPr>
          <c:marker>
            <c:symbol val="none"/>
          </c:marker>
          <c:xVal>
            <c:numRef>
              <c:f>'Armaduras Pasivas'!$AC$2:$AC$203</c:f>
              <c:numCache>
                <c:formatCode>0.00%</c:formatCode>
                <c:ptCount val="202"/>
                <c:pt idx="0">
                  <c:v>0</c:v>
                </c:pt>
                <c:pt idx="1">
                  <c:v>2.5000000000000001E-5</c:v>
                </c:pt>
                <c:pt idx="2">
                  <c:v>5.0000000000000002E-5</c:v>
                </c:pt>
                <c:pt idx="3">
                  <c:v>7.5000000000000007E-5</c:v>
                </c:pt>
                <c:pt idx="4">
                  <c:v>1E-4</c:v>
                </c:pt>
                <c:pt idx="5">
                  <c:v>1.25E-4</c:v>
                </c:pt>
                <c:pt idx="6">
                  <c:v>1.5000000000000001E-4</c:v>
                </c:pt>
                <c:pt idx="7">
                  <c:v>1.7500000000000003E-4</c:v>
                </c:pt>
                <c:pt idx="8">
                  <c:v>2.0000000000000004E-4</c:v>
                </c:pt>
                <c:pt idx="9">
                  <c:v>2.2500000000000005E-4</c:v>
                </c:pt>
                <c:pt idx="10">
                  <c:v>2.5000000000000006E-4</c:v>
                </c:pt>
                <c:pt idx="11">
                  <c:v>2.7500000000000007E-4</c:v>
                </c:pt>
                <c:pt idx="12">
                  <c:v>3.0000000000000008E-4</c:v>
                </c:pt>
                <c:pt idx="13">
                  <c:v>3.2500000000000009E-4</c:v>
                </c:pt>
                <c:pt idx="14">
                  <c:v>3.500000000000001E-4</c:v>
                </c:pt>
                <c:pt idx="15">
                  <c:v>3.7500000000000012E-4</c:v>
                </c:pt>
                <c:pt idx="16">
                  <c:v>4.0000000000000013E-4</c:v>
                </c:pt>
                <c:pt idx="17">
                  <c:v>4.2500000000000014E-4</c:v>
                </c:pt>
                <c:pt idx="18">
                  <c:v>4.5000000000000015E-4</c:v>
                </c:pt>
                <c:pt idx="19">
                  <c:v>4.7500000000000016E-4</c:v>
                </c:pt>
                <c:pt idx="20">
                  <c:v>5.0000000000000012E-4</c:v>
                </c:pt>
                <c:pt idx="21">
                  <c:v>5.2500000000000008E-4</c:v>
                </c:pt>
                <c:pt idx="22">
                  <c:v>5.5000000000000003E-4</c:v>
                </c:pt>
                <c:pt idx="23">
                  <c:v>5.7499999999999999E-4</c:v>
                </c:pt>
                <c:pt idx="24">
                  <c:v>5.9999999999999995E-4</c:v>
                </c:pt>
                <c:pt idx="25">
                  <c:v>6.249999999999999E-4</c:v>
                </c:pt>
                <c:pt idx="26">
                  <c:v>6.4999999999999986E-4</c:v>
                </c:pt>
                <c:pt idx="27">
                  <c:v>6.7499999999999982E-4</c:v>
                </c:pt>
                <c:pt idx="28">
                  <c:v>6.9999999999999978E-4</c:v>
                </c:pt>
                <c:pt idx="29">
                  <c:v>7.2499999999999973E-4</c:v>
                </c:pt>
                <c:pt idx="30">
                  <c:v>7.4999999999999969E-4</c:v>
                </c:pt>
                <c:pt idx="31">
                  <c:v>7.7499999999999965E-4</c:v>
                </c:pt>
                <c:pt idx="32">
                  <c:v>7.999999999999996E-4</c:v>
                </c:pt>
                <c:pt idx="33">
                  <c:v>8.2499999999999956E-4</c:v>
                </c:pt>
                <c:pt idx="34">
                  <c:v>8.4999999999999952E-4</c:v>
                </c:pt>
                <c:pt idx="35">
                  <c:v>8.7499999999999948E-4</c:v>
                </c:pt>
                <c:pt idx="36">
                  <c:v>8.9999999999999943E-4</c:v>
                </c:pt>
                <c:pt idx="37">
                  <c:v>9.2499999999999939E-4</c:v>
                </c:pt>
                <c:pt idx="38">
                  <c:v>9.4999999999999935E-4</c:v>
                </c:pt>
                <c:pt idx="39">
                  <c:v>9.749999999999993E-4</c:v>
                </c:pt>
                <c:pt idx="40">
                  <c:v>9.9999999999999937E-4</c:v>
                </c:pt>
                <c:pt idx="41">
                  <c:v>1.0249999999999994E-3</c:v>
                </c:pt>
                <c:pt idx="42">
                  <c:v>1.0499999999999995E-3</c:v>
                </c:pt>
                <c:pt idx="43">
                  <c:v>1.0749999999999996E-3</c:v>
                </c:pt>
                <c:pt idx="44">
                  <c:v>1.0999999999999996E-3</c:v>
                </c:pt>
                <c:pt idx="45">
                  <c:v>1.1249999999999997E-3</c:v>
                </c:pt>
                <c:pt idx="46">
                  <c:v>1.1499999999999998E-3</c:v>
                </c:pt>
                <c:pt idx="47">
                  <c:v>1.1749999999999998E-3</c:v>
                </c:pt>
                <c:pt idx="48">
                  <c:v>1.1999999999999999E-3</c:v>
                </c:pt>
                <c:pt idx="49">
                  <c:v>1.225E-3</c:v>
                </c:pt>
                <c:pt idx="50">
                  <c:v>1.25E-3</c:v>
                </c:pt>
                <c:pt idx="51">
                  <c:v>1.2750000000000001E-3</c:v>
                </c:pt>
                <c:pt idx="52">
                  <c:v>1.3000000000000002E-3</c:v>
                </c:pt>
                <c:pt idx="53">
                  <c:v>1.3250000000000002E-3</c:v>
                </c:pt>
                <c:pt idx="54">
                  <c:v>1.3500000000000003E-3</c:v>
                </c:pt>
                <c:pt idx="55">
                  <c:v>1.3750000000000004E-3</c:v>
                </c:pt>
                <c:pt idx="56">
                  <c:v>1.4000000000000004E-3</c:v>
                </c:pt>
                <c:pt idx="57">
                  <c:v>1.4250000000000005E-3</c:v>
                </c:pt>
                <c:pt idx="58">
                  <c:v>1.4500000000000006E-3</c:v>
                </c:pt>
                <c:pt idx="59">
                  <c:v>1.4750000000000006E-3</c:v>
                </c:pt>
                <c:pt idx="60">
                  <c:v>1.5000000000000007E-3</c:v>
                </c:pt>
                <c:pt idx="61">
                  <c:v>1.5250000000000007E-3</c:v>
                </c:pt>
                <c:pt idx="62">
                  <c:v>1.5500000000000008E-3</c:v>
                </c:pt>
                <c:pt idx="63">
                  <c:v>1.5750000000000009E-3</c:v>
                </c:pt>
                <c:pt idx="64">
                  <c:v>1.6000000000000009E-3</c:v>
                </c:pt>
                <c:pt idx="65">
                  <c:v>1.625000000000001E-3</c:v>
                </c:pt>
                <c:pt idx="66">
                  <c:v>1.6500000000000011E-3</c:v>
                </c:pt>
                <c:pt idx="67">
                  <c:v>1.6750000000000011E-3</c:v>
                </c:pt>
                <c:pt idx="68">
                  <c:v>1.7000000000000012E-3</c:v>
                </c:pt>
                <c:pt idx="69">
                  <c:v>1.7250000000000013E-3</c:v>
                </c:pt>
                <c:pt idx="70">
                  <c:v>1.7500000000000013E-3</c:v>
                </c:pt>
                <c:pt idx="71">
                  <c:v>1.7750000000000014E-3</c:v>
                </c:pt>
                <c:pt idx="72">
                  <c:v>1.8000000000000015E-3</c:v>
                </c:pt>
                <c:pt idx="73">
                  <c:v>1.8250000000000015E-3</c:v>
                </c:pt>
                <c:pt idx="74">
                  <c:v>1.8500000000000016E-3</c:v>
                </c:pt>
                <c:pt idx="75">
                  <c:v>1.8750000000000017E-3</c:v>
                </c:pt>
                <c:pt idx="76">
                  <c:v>1.9000000000000017E-3</c:v>
                </c:pt>
                <c:pt idx="77">
                  <c:v>1.9250000000000018E-3</c:v>
                </c:pt>
                <c:pt idx="78">
                  <c:v>1.9500000000000019E-3</c:v>
                </c:pt>
                <c:pt idx="79">
                  <c:v>1.9750000000000019E-3</c:v>
                </c:pt>
                <c:pt idx="80">
                  <c:v>2.0000000000000018E-3</c:v>
                </c:pt>
                <c:pt idx="81">
                  <c:v>2.0250000000000016E-3</c:v>
                </c:pt>
                <c:pt idx="82">
                  <c:v>2.0500000000000015E-3</c:v>
                </c:pt>
                <c:pt idx="83">
                  <c:v>2.0750000000000013E-3</c:v>
                </c:pt>
                <c:pt idx="84">
                  <c:v>2.1000000000000012E-3</c:v>
                </c:pt>
                <c:pt idx="85">
                  <c:v>2.125000000000001E-3</c:v>
                </c:pt>
                <c:pt idx="86">
                  <c:v>2.1500000000000009E-3</c:v>
                </c:pt>
                <c:pt idx="87">
                  <c:v>2.1750000000000007E-3</c:v>
                </c:pt>
                <c:pt idx="88">
                  <c:v>2.2000000000000006E-3</c:v>
                </c:pt>
                <c:pt idx="89">
                  <c:v>2.2250000000000004E-3</c:v>
                </c:pt>
                <c:pt idx="90">
                  <c:v>2.2500000000000003E-3</c:v>
                </c:pt>
                <c:pt idx="91">
                  <c:v>2.2750000000000001E-3</c:v>
                </c:pt>
                <c:pt idx="92">
                  <c:v>2.3E-3</c:v>
                </c:pt>
                <c:pt idx="93">
                  <c:v>2.3249999999999998E-3</c:v>
                </c:pt>
                <c:pt idx="94">
                  <c:v>2.3499999999999997E-3</c:v>
                </c:pt>
                <c:pt idx="95">
                  <c:v>2.3749999999999995E-3</c:v>
                </c:pt>
                <c:pt idx="96">
                  <c:v>2.3999999999999994E-3</c:v>
                </c:pt>
                <c:pt idx="97">
                  <c:v>2.4249999999999992E-3</c:v>
                </c:pt>
                <c:pt idx="98">
                  <c:v>2.4499999999999991E-3</c:v>
                </c:pt>
                <c:pt idx="99">
                  <c:v>2.4749999999999989E-3</c:v>
                </c:pt>
                <c:pt idx="100">
                  <c:v>2.4999999999999988E-3</c:v>
                </c:pt>
                <c:pt idx="101">
                  <c:v>2.5249999999999986E-3</c:v>
                </c:pt>
                <c:pt idx="102">
                  <c:v>2.5499999999999984E-3</c:v>
                </c:pt>
                <c:pt idx="103">
                  <c:v>2.5749999999999983E-3</c:v>
                </c:pt>
                <c:pt idx="104">
                  <c:v>2.5999999999999981E-3</c:v>
                </c:pt>
                <c:pt idx="105">
                  <c:v>2.624999999999998E-3</c:v>
                </c:pt>
                <c:pt idx="106">
                  <c:v>2.6499999999999978E-3</c:v>
                </c:pt>
                <c:pt idx="107">
                  <c:v>2.6749999999999977E-3</c:v>
                </c:pt>
                <c:pt idx="108">
                  <c:v>2.6999999999999975E-3</c:v>
                </c:pt>
                <c:pt idx="109">
                  <c:v>2.7249999999999974E-3</c:v>
                </c:pt>
                <c:pt idx="110">
                  <c:v>2.7499999999999972E-3</c:v>
                </c:pt>
                <c:pt idx="111">
                  <c:v>2.7749999999999971E-3</c:v>
                </c:pt>
                <c:pt idx="112">
                  <c:v>2.7999999999999969E-3</c:v>
                </c:pt>
                <c:pt idx="113">
                  <c:v>2.8249999999999968E-3</c:v>
                </c:pt>
                <c:pt idx="114">
                  <c:v>2.8499999999999966E-3</c:v>
                </c:pt>
                <c:pt idx="115">
                  <c:v>2.8749999999999965E-3</c:v>
                </c:pt>
                <c:pt idx="116">
                  <c:v>2.8999999999999963E-3</c:v>
                </c:pt>
                <c:pt idx="117">
                  <c:v>2.9249999999999962E-3</c:v>
                </c:pt>
                <c:pt idx="118">
                  <c:v>2.949999999999996E-3</c:v>
                </c:pt>
                <c:pt idx="119">
                  <c:v>2.9749999999999959E-3</c:v>
                </c:pt>
                <c:pt idx="120">
                  <c:v>2.9999999999999957E-3</c:v>
                </c:pt>
                <c:pt idx="121">
                  <c:v>3.0249999999999956E-3</c:v>
                </c:pt>
                <c:pt idx="122">
                  <c:v>3.0499999999999954E-3</c:v>
                </c:pt>
                <c:pt idx="123">
                  <c:v>3.0749999999999953E-3</c:v>
                </c:pt>
                <c:pt idx="124">
                  <c:v>3.0999999999999951E-3</c:v>
                </c:pt>
                <c:pt idx="125">
                  <c:v>3.124999999999995E-3</c:v>
                </c:pt>
                <c:pt idx="126">
                  <c:v>3.1499999999999948E-3</c:v>
                </c:pt>
                <c:pt idx="127">
                  <c:v>3.1749999999999947E-3</c:v>
                </c:pt>
                <c:pt idx="128">
                  <c:v>3.1999999999999945E-3</c:v>
                </c:pt>
                <c:pt idx="129">
                  <c:v>3.2249999999999944E-3</c:v>
                </c:pt>
                <c:pt idx="130">
                  <c:v>3.2499999999999942E-3</c:v>
                </c:pt>
                <c:pt idx="131">
                  <c:v>3.2749999999999941E-3</c:v>
                </c:pt>
                <c:pt idx="132">
                  <c:v>3.2999999999999939E-3</c:v>
                </c:pt>
                <c:pt idx="133">
                  <c:v>3.3249999999999938E-3</c:v>
                </c:pt>
                <c:pt idx="134">
                  <c:v>3.3499999999999936E-3</c:v>
                </c:pt>
                <c:pt idx="135">
                  <c:v>3.3749999999999935E-3</c:v>
                </c:pt>
                <c:pt idx="136">
                  <c:v>3.3999999999999933E-3</c:v>
                </c:pt>
                <c:pt idx="137">
                  <c:v>3.4249999999999932E-3</c:v>
                </c:pt>
                <c:pt idx="138">
                  <c:v>3.449999999999993E-3</c:v>
                </c:pt>
                <c:pt idx="139">
                  <c:v>3.4749999999999929E-3</c:v>
                </c:pt>
                <c:pt idx="140">
                  <c:v>3.4999999999999927E-3</c:v>
                </c:pt>
                <c:pt idx="141">
                  <c:v>3.5249999999999925E-3</c:v>
                </c:pt>
                <c:pt idx="142">
                  <c:v>3.5499999999999924E-3</c:v>
                </c:pt>
                <c:pt idx="143">
                  <c:v>3.5749999999999922E-3</c:v>
                </c:pt>
                <c:pt idx="144">
                  <c:v>3.5999999999999921E-3</c:v>
                </c:pt>
                <c:pt idx="145">
                  <c:v>3.6249999999999919E-3</c:v>
                </c:pt>
                <c:pt idx="146">
                  <c:v>3.6499999999999918E-3</c:v>
                </c:pt>
                <c:pt idx="147">
                  <c:v>3.6749999999999916E-3</c:v>
                </c:pt>
                <c:pt idx="148">
                  <c:v>3.6999999999999915E-3</c:v>
                </c:pt>
                <c:pt idx="149">
                  <c:v>3.7249999999999913E-3</c:v>
                </c:pt>
                <c:pt idx="150">
                  <c:v>3.7499999999999912E-3</c:v>
                </c:pt>
                <c:pt idx="151">
                  <c:v>3.774999999999991E-3</c:v>
                </c:pt>
                <c:pt idx="152">
                  <c:v>3.7999999999999909E-3</c:v>
                </c:pt>
                <c:pt idx="153">
                  <c:v>3.8249999999999907E-3</c:v>
                </c:pt>
                <c:pt idx="154">
                  <c:v>3.8499999999999906E-3</c:v>
                </c:pt>
                <c:pt idx="155">
                  <c:v>3.8749999999999904E-3</c:v>
                </c:pt>
                <c:pt idx="156">
                  <c:v>3.8999999999999903E-3</c:v>
                </c:pt>
                <c:pt idx="157">
                  <c:v>3.9249999999999901E-3</c:v>
                </c:pt>
                <c:pt idx="158">
                  <c:v>3.94999999999999E-3</c:v>
                </c:pt>
                <c:pt idx="159">
                  <c:v>3.9749999999999898E-3</c:v>
                </c:pt>
                <c:pt idx="160">
                  <c:v>3.9999999999999897E-3</c:v>
                </c:pt>
                <c:pt idx="161">
                  <c:v>4.0249999999999895E-3</c:v>
                </c:pt>
                <c:pt idx="162">
                  <c:v>4.0499999999999894E-3</c:v>
                </c:pt>
                <c:pt idx="163">
                  <c:v>4.0749999999999892E-3</c:v>
                </c:pt>
                <c:pt idx="164">
                  <c:v>4.0999999999999891E-3</c:v>
                </c:pt>
                <c:pt idx="165">
                  <c:v>4.1249999999999889E-3</c:v>
                </c:pt>
                <c:pt idx="166">
                  <c:v>4.1499999999999888E-3</c:v>
                </c:pt>
                <c:pt idx="167">
                  <c:v>4.1749999999999886E-3</c:v>
                </c:pt>
                <c:pt idx="168">
                  <c:v>4.1999999999999885E-3</c:v>
                </c:pt>
                <c:pt idx="169">
                  <c:v>4.2249999999999883E-3</c:v>
                </c:pt>
                <c:pt idx="170">
                  <c:v>4.2499999999999882E-3</c:v>
                </c:pt>
                <c:pt idx="171">
                  <c:v>4.274999999999988E-3</c:v>
                </c:pt>
                <c:pt idx="172">
                  <c:v>4.2999999999999879E-3</c:v>
                </c:pt>
                <c:pt idx="173">
                  <c:v>4.3249999999999877E-3</c:v>
                </c:pt>
                <c:pt idx="174">
                  <c:v>4.3499999999999876E-3</c:v>
                </c:pt>
                <c:pt idx="175">
                  <c:v>4.3749999999999874E-3</c:v>
                </c:pt>
                <c:pt idx="176">
                  <c:v>4.3999999999999873E-3</c:v>
                </c:pt>
                <c:pt idx="177">
                  <c:v>4.4249999999999871E-3</c:v>
                </c:pt>
                <c:pt idx="178">
                  <c:v>4.449999999999987E-3</c:v>
                </c:pt>
                <c:pt idx="179">
                  <c:v>4.4749999999999868E-3</c:v>
                </c:pt>
                <c:pt idx="180">
                  <c:v>4.4999999999999866E-3</c:v>
                </c:pt>
                <c:pt idx="181">
                  <c:v>4.5249999999999865E-3</c:v>
                </c:pt>
                <c:pt idx="182">
                  <c:v>4.5499999999999863E-3</c:v>
                </c:pt>
                <c:pt idx="183">
                  <c:v>4.5749999999999862E-3</c:v>
                </c:pt>
                <c:pt idx="184">
                  <c:v>4.599999999999986E-3</c:v>
                </c:pt>
                <c:pt idx="185">
                  <c:v>4.6249999999999859E-3</c:v>
                </c:pt>
                <c:pt idx="186">
                  <c:v>4.6499999999999857E-3</c:v>
                </c:pt>
                <c:pt idx="187">
                  <c:v>4.6749999999999856E-3</c:v>
                </c:pt>
                <c:pt idx="188">
                  <c:v>4.6999999999999854E-3</c:v>
                </c:pt>
                <c:pt idx="189">
                  <c:v>4.7249999999999853E-3</c:v>
                </c:pt>
                <c:pt idx="190">
                  <c:v>4.7499999999999851E-3</c:v>
                </c:pt>
                <c:pt idx="191">
                  <c:v>4.774999999999985E-3</c:v>
                </c:pt>
                <c:pt idx="192">
                  <c:v>4.7999999999999848E-3</c:v>
                </c:pt>
                <c:pt idx="193">
                  <c:v>4.8249999999999847E-3</c:v>
                </c:pt>
                <c:pt idx="194">
                  <c:v>4.8499999999999845E-3</c:v>
                </c:pt>
                <c:pt idx="195">
                  <c:v>4.8749999999999844E-3</c:v>
                </c:pt>
                <c:pt idx="196">
                  <c:v>4.8999999999999842E-3</c:v>
                </c:pt>
                <c:pt idx="197">
                  <c:v>4.9249999999999841E-3</c:v>
                </c:pt>
                <c:pt idx="198">
                  <c:v>4.9499999999999839E-3</c:v>
                </c:pt>
                <c:pt idx="199">
                  <c:v>4.9749999999999838E-3</c:v>
                </c:pt>
                <c:pt idx="200">
                  <c:v>4.9999999999999836E-3</c:v>
                </c:pt>
              </c:numCache>
            </c:numRef>
          </c:xVal>
          <c:yVal>
            <c:numRef>
              <c:f>'Armaduras Pasivas'!$AG$2:$AG$203</c:f>
              <c:numCache>
                <c:formatCode>General</c:formatCode>
                <c:ptCount val="202"/>
                <c:pt idx="0">
                  <c:v>0</c:v>
                </c:pt>
                <c:pt idx="1">
                  <c:v>5</c:v>
                </c:pt>
                <c:pt idx="2">
                  <c:v>10</c:v>
                </c:pt>
                <c:pt idx="3">
                  <c:v>15.000000000000002</c:v>
                </c:pt>
                <c:pt idx="4">
                  <c:v>20</c:v>
                </c:pt>
                <c:pt idx="5">
                  <c:v>25</c:v>
                </c:pt>
                <c:pt idx="6">
                  <c:v>30.000000000000004</c:v>
                </c:pt>
                <c:pt idx="7">
                  <c:v>35.000000000000007</c:v>
                </c:pt>
                <c:pt idx="8">
                  <c:v>40.000000000000007</c:v>
                </c:pt>
                <c:pt idx="9">
                  <c:v>45.000000000000007</c:v>
                </c:pt>
                <c:pt idx="10">
                  <c:v>50.000000000000014</c:v>
                </c:pt>
                <c:pt idx="11">
                  <c:v>55.000000000000014</c:v>
                </c:pt>
                <c:pt idx="12">
                  <c:v>60.000000000000014</c:v>
                </c:pt>
                <c:pt idx="13">
                  <c:v>65.000000000000014</c:v>
                </c:pt>
                <c:pt idx="14">
                  <c:v>70.000000000000014</c:v>
                </c:pt>
                <c:pt idx="15">
                  <c:v>75.000000000000028</c:v>
                </c:pt>
                <c:pt idx="16">
                  <c:v>80.000000000000028</c:v>
                </c:pt>
                <c:pt idx="17">
                  <c:v>85.000000000000028</c:v>
                </c:pt>
                <c:pt idx="18">
                  <c:v>90.000000000000028</c:v>
                </c:pt>
                <c:pt idx="19">
                  <c:v>95.000000000000028</c:v>
                </c:pt>
                <c:pt idx="20">
                  <c:v>100.00000000000003</c:v>
                </c:pt>
                <c:pt idx="21">
                  <c:v>105.00000000000001</c:v>
                </c:pt>
                <c:pt idx="22">
                  <c:v>110</c:v>
                </c:pt>
                <c:pt idx="23">
                  <c:v>115</c:v>
                </c:pt>
                <c:pt idx="24">
                  <c:v>119.99999999999999</c:v>
                </c:pt>
                <c:pt idx="25">
                  <c:v>124.99999999999999</c:v>
                </c:pt>
                <c:pt idx="26">
                  <c:v>129.99999999999997</c:v>
                </c:pt>
                <c:pt idx="27">
                  <c:v>134.99999999999997</c:v>
                </c:pt>
                <c:pt idx="28">
                  <c:v>139.99999999999994</c:v>
                </c:pt>
                <c:pt idx="29">
                  <c:v>144.99999999999994</c:v>
                </c:pt>
                <c:pt idx="30">
                  <c:v>149.99999999999994</c:v>
                </c:pt>
                <c:pt idx="31">
                  <c:v>154.99999999999994</c:v>
                </c:pt>
                <c:pt idx="32">
                  <c:v>159.99999999999991</c:v>
                </c:pt>
                <c:pt idx="33">
                  <c:v>164.99999999999991</c:v>
                </c:pt>
                <c:pt idx="34">
                  <c:v>169.99999999999991</c:v>
                </c:pt>
                <c:pt idx="35">
                  <c:v>174.99999999999989</c:v>
                </c:pt>
                <c:pt idx="36">
                  <c:v>179.99999999999989</c:v>
                </c:pt>
                <c:pt idx="37">
                  <c:v>184.99999999999989</c:v>
                </c:pt>
                <c:pt idx="38">
                  <c:v>189.99999999999986</c:v>
                </c:pt>
                <c:pt idx="39">
                  <c:v>194.99999999999986</c:v>
                </c:pt>
                <c:pt idx="40">
                  <c:v>199.99999999999989</c:v>
                </c:pt>
                <c:pt idx="41">
                  <c:v>204.99999999999989</c:v>
                </c:pt>
                <c:pt idx="42">
                  <c:v>209.99999999999989</c:v>
                </c:pt>
                <c:pt idx="43">
                  <c:v>214.99999999999991</c:v>
                </c:pt>
                <c:pt idx="44">
                  <c:v>220</c:v>
                </c:pt>
                <c:pt idx="45">
                  <c:v>220</c:v>
                </c:pt>
                <c:pt idx="46">
                  <c:v>220</c:v>
                </c:pt>
                <c:pt idx="47">
                  <c:v>220</c:v>
                </c:pt>
                <c:pt idx="48">
                  <c:v>220</c:v>
                </c:pt>
                <c:pt idx="49">
                  <c:v>220</c:v>
                </c:pt>
                <c:pt idx="50">
                  <c:v>220</c:v>
                </c:pt>
                <c:pt idx="51">
                  <c:v>220</c:v>
                </c:pt>
                <c:pt idx="52">
                  <c:v>220</c:v>
                </c:pt>
                <c:pt idx="53">
                  <c:v>220</c:v>
                </c:pt>
                <c:pt idx="54">
                  <c:v>220</c:v>
                </c:pt>
                <c:pt idx="55">
                  <c:v>220</c:v>
                </c:pt>
                <c:pt idx="56">
                  <c:v>220</c:v>
                </c:pt>
                <c:pt idx="57">
                  <c:v>220</c:v>
                </c:pt>
                <c:pt idx="58">
                  <c:v>220</c:v>
                </c:pt>
                <c:pt idx="59">
                  <c:v>220</c:v>
                </c:pt>
                <c:pt idx="60">
                  <c:v>220</c:v>
                </c:pt>
                <c:pt idx="61">
                  <c:v>220</c:v>
                </c:pt>
                <c:pt idx="62">
                  <c:v>220</c:v>
                </c:pt>
                <c:pt idx="63">
                  <c:v>220</c:v>
                </c:pt>
                <c:pt idx="64">
                  <c:v>220</c:v>
                </c:pt>
                <c:pt idx="65">
                  <c:v>220</c:v>
                </c:pt>
                <c:pt idx="66">
                  <c:v>220</c:v>
                </c:pt>
                <c:pt idx="67">
                  <c:v>220</c:v>
                </c:pt>
                <c:pt idx="68">
                  <c:v>220</c:v>
                </c:pt>
                <c:pt idx="69">
                  <c:v>220</c:v>
                </c:pt>
                <c:pt idx="70">
                  <c:v>220</c:v>
                </c:pt>
                <c:pt idx="71">
                  <c:v>220</c:v>
                </c:pt>
                <c:pt idx="72">
                  <c:v>220</c:v>
                </c:pt>
                <c:pt idx="73">
                  <c:v>220</c:v>
                </c:pt>
                <c:pt idx="74">
                  <c:v>220</c:v>
                </c:pt>
                <c:pt idx="75">
                  <c:v>220</c:v>
                </c:pt>
                <c:pt idx="76">
                  <c:v>220</c:v>
                </c:pt>
                <c:pt idx="77">
                  <c:v>220</c:v>
                </c:pt>
                <c:pt idx="78">
                  <c:v>220</c:v>
                </c:pt>
                <c:pt idx="79">
                  <c:v>220</c:v>
                </c:pt>
                <c:pt idx="80">
                  <c:v>220</c:v>
                </c:pt>
                <c:pt idx="81">
                  <c:v>220</c:v>
                </c:pt>
                <c:pt idx="82">
                  <c:v>220</c:v>
                </c:pt>
                <c:pt idx="83">
                  <c:v>220</c:v>
                </c:pt>
                <c:pt idx="84">
                  <c:v>220</c:v>
                </c:pt>
                <c:pt idx="85">
                  <c:v>220</c:v>
                </c:pt>
                <c:pt idx="86">
                  <c:v>220</c:v>
                </c:pt>
                <c:pt idx="87">
                  <c:v>220</c:v>
                </c:pt>
                <c:pt idx="88">
                  <c:v>220</c:v>
                </c:pt>
                <c:pt idx="89">
                  <c:v>220</c:v>
                </c:pt>
                <c:pt idx="90">
                  <c:v>220</c:v>
                </c:pt>
                <c:pt idx="91">
                  <c:v>220</c:v>
                </c:pt>
                <c:pt idx="92">
                  <c:v>220</c:v>
                </c:pt>
                <c:pt idx="93">
                  <c:v>220</c:v>
                </c:pt>
                <c:pt idx="94">
                  <c:v>220</c:v>
                </c:pt>
                <c:pt idx="95">
                  <c:v>220</c:v>
                </c:pt>
                <c:pt idx="96">
                  <c:v>220</c:v>
                </c:pt>
                <c:pt idx="97">
                  <c:v>220</c:v>
                </c:pt>
                <c:pt idx="98">
                  <c:v>220</c:v>
                </c:pt>
                <c:pt idx="99">
                  <c:v>220</c:v>
                </c:pt>
                <c:pt idx="100">
                  <c:v>220</c:v>
                </c:pt>
                <c:pt idx="101">
                  <c:v>220</c:v>
                </c:pt>
                <c:pt idx="102">
                  <c:v>220</c:v>
                </c:pt>
                <c:pt idx="103">
                  <c:v>220</c:v>
                </c:pt>
                <c:pt idx="104">
                  <c:v>220</c:v>
                </c:pt>
                <c:pt idx="105">
                  <c:v>220</c:v>
                </c:pt>
                <c:pt idx="106">
                  <c:v>220</c:v>
                </c:pt>
                <c:pt idx="107">
                  <c:v>220</c:v>
                </c:pt>
                <c:pt idx="108">
                  <c:v>220</c:v>
                </c:pt>
                <c:pt idx="109">
                  <c:v>220</c:v>
                </c:pt>
                <c:pt idx="110">
                  <c:v>220</c:v>
                </c:pt>
                <c:pt idx="111">
                  <c:v>220</c:v>
                </c:pt>
                <c:pt idx="112">
                  <c:v>220</c:v>
                </c:pt>
                <c:pt idx="113">
                  <c:v>220</c:v>
                </c:pt>
                <c:pt idx="114">
                  <c:v>220</c:v>
                </c:pt>
                <c:pt idx="115">
                  <c:v>220</c:v>
                </c:pt>
                <c:pt idx="116">
                  <c:v>220</c:v>
                </c:pt>
                <c:pt idx="117">
                  <c:v>220</c:v>
                </c:pt>
                <c:pt idx="118">
                  <c:v>220</c:v>
                </c:pt>
                <c:pt idx="119">
                  <c:v>220</c:v>
                </c:pt>
                <c:pt idx="120">
                  <c:v>220</c:v>
                </c:pt>
                <c:pt idx="121">
                  <c:v>220</c:v>
                </c:pt>
                <c:pt idx="122">
                  <c:v>220</c:v>
                </c:pt>
                <c:pt idx="123">
                  <c:v>220</c:v>
                </c:pt>
                <c:pt idx="124">
                  <c:v>220</c:v>
                </c:pt>
                <c:pt idx="125">
                  <c:v>220</c:v>
                </c:pt>
                <c:pt idx="126">
                  <c:v>220</c:v>
                </c:pt>
                <c:pt idx="127">
                  <c:v>220</c:v>
                </c:pt>
                <c:pt idx="128">
                  <c:v>220</c:v>
                </c:pt>
                <c:pt idx="129">
                  <c:v>220</c:v>
                </c:pt>
                <c:pt idx="130">
                  <c:v>220</c:v>
                </c:pt>
                <c:pt idx="131">
                  <c:v>220</c:v>
                </c:pt>
                <c:pt idx="132">
                  <c:v>220</c:v>
                </c:pt>
                <c:pt idx="133">
                  <c:v>220</c:v>
                </c:pt>
                <c:pt idx="134">
                  <c:v>220</c:v>
                </c:pt>
                <c:pt idx="135">
                  <c:v>220</c:v>
                </c:pt>
                <c:pt idx="136">
                  <c:v>220</c:v>
                </c:pt>
                <c:pt idx="137">
                  <c:v>220</c:v>
                </c:pt>
                <c:pt idx="138">
                  <c:v>220</c:v>
                </c:pt>
                <c:pt idx="139">
                  <c:v>220</c:v>
                </c:pt>
                <c:pt idx="140">
                  <c:v>220</c:v>
                </c:pt>
                <c:pt idx="141">
                  <c:v>220</c:v>
                </c:pt>
                <c:pt idx="142">
                  <c:v>220</c:v>
                </c:pt>
                <c:pt idx="143">
                  <c:v>220</c:v>
                </c:pt>
                <c:pt idx="144">
                  <c:v>220</c:v>
                </c:pt>
                <c:pt idx="145">
                  <c:v>220</c:v>
                </c:pt>
                <c:pt idx="146">
                  <c:v>220</c:v>
                </c:pt>
                <c:pt idx="147">
                  <c:v>220</c:v>
                </c:pt>
                <c:pt idx="148">
                  <c:v>220</c:v>
                </c:pt>
                <c:pt idx="149">
                  <c:v>220</c:v>
                </c:pt>
                <c:pt idx="150">
                  <c:v>220</c:v>
                </c:pt>
                <c:pt idx="151">
                  <c:v>220</c:v>
                </c:pt>
                <c:pt idx="152">
                  <c:v>220</c:v>
                </c:pt>
                <c:pt idx="153">
                  <c:v>220</c:v>
                </c:pt>
                <c:pt idx="154">
                  <c:v>220</c:v>
                </c:pt>
                <c:pt idx="155">
                  <c:v>220</c:v>
                </c:pt>
                <c:pt idx="156">
                  <c:v>220</c:v>
                </c:pt>
                <c:pt idx="157">
                  <c:v>220</c:v>
                </c:pt>
                <c:pt idx="158">
                  <c:v>220</c:v>
                </c:pt>
                <c:pt idx="159">
                  <c:v>220</c:v>
                </c:pt>
                <c:pt idx="160">
                  <c:v>220</c:v>
                </c:pt>
                <c:pt idx="161">
                  <c:v>220</c:v>
                </c:pt>
                <c:pt idx="162">
                  <c:v>220</c:v>
                </c:pt>
                <c:pt idx="163">
                  <c:v>220</c:v>
                </c:pt>
                <c:pt idx="164">
                  <c:v>220</c:v>
                </c:pt>
                <c:pt idx="165">
                  <c:v>220</c:v>
                </c:pt>
                <c:pt idx="166">
                  <c:v>220</c:v>
                </c:pt>
                <c:pt idx="167">
                  <c:v>220</c:v>
                </c:pt>
                <c:pt idx="168">
                  <c:v>220</c:v>
                </c:pt>
                <c:pt idx="169">
                  <c:v>220</c:v>
                </c:pt>
                <c:pt idx="170">
                  <c:v>220</c:v>
                </c:pt>
                <c:pt idx="171">
                  <c:v>220</c:v>
                </c:pt>
                <c:pt idx="172">
                  <c:v>220</c:v>
                </c:pt>
                <c:pt idx="173">
                  <c:v>220</c:v>
                </c:pt>
                <c:pt idx="174">
                  <c:v>220</c:v>
                </c:pt>
                <c:pt idx="175">
                  <c:v>220</c:v>
                </c:pt>
                <c:pt idx="176">
                  <c:v>220</c:v>
                </c:pt>
                <c:pt idx="177">
                  <c:v>220</c:v>
                </c:pt>
                <c:pt idx="178">
                  <c:v>220</c:v>
                </c:pt>
                <c:pt idx="179">
                  <c:v>220</c:v>
                </c:pt>
                <c:pt idx="180">
                  <c:v>220</c:v>
                </c:pt>
                <c:pt idx="181">
                  <c:v>220</c:v>
                </c:pt>
                <c:pt idx="182">
                  <c:v>220</c:v>
                </c:pt>
                <c:pt idx="183">
                  <c:v>220</c:v>
                </c:pt>
                <c:pt idx="184">
                  <c:v>220</c:v>
                </c:pt>
                <c:pt idx="185">
                  <c:v>220</c:v>
                </c:pt>
                <c:pt idx="186">
                  <c:v>220</c:v>
                </c:pt>
                <c:pt idx="187">
                  <c:v>220</c:v>
                </c:pt>
                <c:pt idx="188">
                  <c:v>220</c:v>
                </c:pt>
                <c:pt idx="189">
                  <c:v>220</c:v>
                </c:pt>
                <c:pt idx="190">
                  <c:v>220</c:v>
                </c:pt>
                <c:pt idx="191">
                  <c:v>220</c:v>
                </c:pt>
                <c:pt idx="192">
                  <c:v>220</c:v>
                </c:pt>
                <c:pt idx="193">
                  <c:v>220</c:v>
                </c:pt>
                <c:pt idx="194">
                  <c:v>220</c:v>
                </c:pt>
                <c:pt idx="195">
                  <c:v>220</c:v>
                </c:pt>
                <c:pt idx="196">
                  <c:v>220</c:v>
                </c:pt>
                <c:pt idx="197">
                  <c:v>220</c:v>
                </c:pt>
                <c:pt idx="198">
                  <c:v>220</c:v>
                </c:pt>
                <c:pt idx="199">
                  <c:v>220</c:v>
                </c:pt>
                <c:pt idx="200">
                  <c:v>220</c:v>
                </c:pt>
              </c:numCache>
            </c:numRef>
          </c:yVal>
          <c:smooth val="0"/>
          <c:extLst>
            <c:ext xmlns:c16="http://schemas.microsoft.com/office/drawing/2014/chart" uri="{C3380CC4-5D6E-409C-BE32-E72D297353CC}">
              <c16:uniqueId val="{00000002-B0B3-498E-AA0F-1838ED655328}"/>
            </c:ext>
          </c:extLst>
        </c:ser>
        <c:ser>
          <c:idx val="3"/>
          <c:order val="3"/>
          <c:tx>
            <c:strRef>
              <c:f>'Armaduras Pasivas'!$E$2</c:f>
              <c:strCache>
                <c:ptCount val="1"/>
                <c:pt idx="0">
                  <c:v>Provisto por Usuario</c:v>
                </c:pt>
              </c:strCache>
            </c:strRef>
          </c:tx>
          <c:spPr>
            <a:ln w="19050" cap="rnd">
              <a:solidFill>
                <a:schemeClr val="bg1">
                  <a:lumMod val="50000"/>
                </a:schemeClr>
              </a:solidFill>
              <a:round/>
            </a:ln>
            <a:effectLst/>
          </c:spPr>
          <c:marker>
            <c:symbol val="none"/>
          </c:marker>
          <c:xVal>
            <c:numRef>
              <c:f>'Armaduras Pasivas'!$AD$2:$AD$202</c:f>
              <c:numCache>
                <c:formatCode>0.00%</c:formatCode>
                <c:ptCount val="201"/>
                <c:pt idx="0">
                  <c:v>0</c:v>
                </c:pt>
                <c:pt idx="1">
                  <c:v>2.5000000000000001E-5</c:v>
                </c:pt>
                <c:pt idx="2">
                  <c:v>5.0000000000000002E-5</c:v>
                </c:pt>
                <c:pt idx="3">
                  <c:v>7.5000000000000007E-5</c:v>
                </c:pt>
                <c:pt idx="4">
                  <c:v>1E-4</c:v>
                </c:pt>
                <c:pt idx="5">
                  <c:v>1.25E-4</c:v>
                </c:pt>
                <c:pt idx="6">
                  <c:v>1.5000000000000001E-4</c:v>
                </c:pt>
                <c:pt idx="7">
                  <c:v>1.7500000000000003E-4</c:v>
                </c:pt>
                <c:pt idx="8">
                  <c:v>2.0000000000000004E-4</c:v>
                </c:pt>
                <c:pt idx="9">
                  <c:v>2.2500000000000005E-4</c:v>
                </c:pt>
                <c:pt idx="10">
                  <c:v>2.5000000000000006E-4</c:v>
                </c:pt>
                <c:pt idx="11">
                  <c:v>2.7500000000000007E-4</c:v>
                </c:pt>
                <c:pt idx="12">
                  <c:v>3.0000000000000008E-4</c:v>
                </c:pt>
                <c:pt idx="13">
                  <c:v>3.2500000000000009E-4</c:v>
                </c:pt>
                <c:pt idx="14">
                  <c:v>3.500000000000001E-4</c:v>
                </c:pt>
                <c:pt idx="15">
                  <c:v>3.7500000000000012E-4</c:v>
                </c:pt>
                <c:pt idx="16">
                  <c:v>4.0000000000000013E-4</c:v>
                </c:pt>
                <c:pt idx="17">
                  <c:v>4.2500000000000014E-4</c:v>
                </c:pt>
                <c:pt idx="18">
                  <c:v>4.5000000000000015E-4</c:v>
                </c:pt>
                <c:pt idx="19">
                  <c:v>4.7500000000000016E-4</c:v>
                </c:pt>
                <c:pt idx="20">
                  <c:v>5.0000000000000012E-4</c:v>
                </c:pt>
                <c:pt idx="21">
                  <c:v>5.2500000000000008E-4</c:v>
                </c:pt>
                <c:pt idx="22">
                  <c:v>5.5000000000000003E-4</c:v>
                </c:pt>
                <c:pt idx="23">
                  <c:v>5.7499999999999999E-4</c:v>
                </c:pt>
                <c:pt idx="24">
                  <c:v>5.9999999999999995E-4</c:v>
                </c:pt>
                <c:pt idx="25">
                  <c:v>6.249999999999999E-4</c:v>
                </c:pt>
                <c:pt idx="26">
                  <c:v>6.4999999999999986E-4</c:v>
                </c:pt>
                <c:pt idx="27">
                  <c:v>6.7499999999999982E-4</c:v>
                </c:pt>
                <c:pt idx="28">
                  <c:v>6.9999999999999978E-4</c:v>
                </c:pt>
                <c:pt idx="29">
                  <c:v>7.2499999999999973E-4</c:v>
                </c:pt>
                <c:pt idx="30">
                  <c:v>7.4999999999999969E-4</c:v>
                </c:pt>
                <c:pt idx="31">
                  <c:v>7.7499999999999965E-4</c:v>
                </c:pt>
                <c:pt idx="32">
                  <c:v>7.999999999999996E-4</c:v>
                </c:pt>
                <c:pt idx="33">
                  <c:v>8.2499999999999956E-4</c:v>
                </c:pt>
                <c:pt idx="34">
                  <c:v>8.4999999999999952E-4</c:v>
                </c:pt>
                <c:pt idx="35">
                  <c:v>8.7499999999999948E-4</c:v>
                </c:pt>
                <c:pt idx="36">
                  <c:v>8.9999999999999943E-4</c:v>
                </c:pt>
                <c:pt idx="37">
                  <c:v>9.2499999999999939E-4</c:v>
                </c:pt>
                <c:pt idx="38">
                  <c:v>9.4999999999999935E-4</c:v>
                </c:pt>
                <c:pt idx="39">
                  <c:v>9.749999999999993E-4</c:v>
                </c:pt>
                <c:pt idx="40">
                  <c:v>9.9999999999999937E-4</c:v>
                </c:pt>
                <c:pt idx="41">
                  <c:v>1.0249999999999994E-3</c:v>
                </c:pt>
                <c:pt idx="42">
                  <c:v>1.0499999999999995E-3</c:v>
                </c:pt>
                <c:pt idx="43">
                  <c:v>1.0749999999999996E-3</c:v>
                </c:pt>
                <c:pt idx="44">
                  <c:v>1.0999999999999996E-3</c:v>
                </c:pt>
                <c:pt idx="45">
                  <c:v>1.1249999999999997E-3</c:v>
                </c:pt>
                <c:pt idx="46">
                  <c:v>1.1499999999999998E-3</c:v>
                </c:pt>
                <c:pt idx="47">
                  <c:v>1.1749999999999998E-3</c:v>
                </c:pt>
                <c:pt idx="48">
                  <c:v>1.1999999999999999E-3</c:v>
                </c:pt>
                <c:pt idx="49">
                  <c:v>1.225E-3</c:v>
                </c:pt>
                <c:pt idx="50">
                  <c:v>1.25E-3</c:v>
                </c:pt>
                <c:pt idx="51">
                  <c:v>1.2750000000000001E-3</c:v>
                </c:pt>
                <c:pt idx="52">
                  <c:v>1.3000000000000002E-3</c:v>
                </c:pt>
                <c:pt idx="53">
                  <c:v>1.3250000000000002E-3</c:v>
                </c:pt>
                <c:pt idx="54">
                  <c:v>1.3500000000000003E-3</c:v>
                </c:pt>
                <c:pt idx="55">
                  <c:v>1.3750000000000004E-3</c:v>
                </c:pt>
                <c:pt idx="56">
                  <c:v>1.4000000000000004E-3</c:v>
                </c:pt>
                <c:pt idx="57">
                  <c:v>1.4250000000000005E-3</c:v>
                </c:pt>
                <c:pt idx="58">
                  <c:v>1.4500000000000006E-3</c:v>
                </c:pt>
                <c:pt idx="59">
                  <c:v>1.4750000000000006E-3</c:v>
                </c:pt>
                <c:pt idx="60">
                  <c:v>1.5000000000000007E-3</c:v>
                </c:pt>
                <c:pt idx="61">
                  <c:v>1.5250000000000007E-3</c:v>
                </c:pt>
                <c:pt idx="62">
                  <c:v>1.5500000000000008E-3</c:v>
                </c:pt>
                <c:pt idx="63">
                  <c:v>1.5750000000000009E-3</c:v>
                </c:pt>
                <c:pt idx="64">
                  <c:v>1.6000000000000009E-3</c:v>
                </c:pt>
                <c:pt idx="65">
                  <c:v>1.625000000000001E-3</c:v>
                </c:pt>
                <c:pt idx="66">
                  <c:v>1.6500000000000011E-3</c:v>
                </c:pt>
                <c:pt idx="67">
                  <c:v>1.6750000000000011E-3</c:v>
                </c:pt>
                <c:pt idx="68">
                  <c:v>1.7000000000000012E-3</c:v>
                </c:pt>
                <c:pt idx="69">
                  <c:v>1.7250000000000013E-3</c:v>
                </c:pt>
                <c:pt idx="70">
                  <c:v>1.7500000000000013E-3</c:v>
                </c:pt>
                <c:pt idx="71">
                  <c:v>1.7750000000000014E-3</c:v>
                </c:pt>
                <c:pt idx="72">
                  <c:v>1.8000000000000015E-3</c:v>
                </c:pt>
                <c:pt idx="73">
                  <c:v>1.8250000000000015E-3</c:v>
                </c:pt>
                <c:pt idx="74">
                  <c:v>1.8500000000000016E-3</c:v>
                </c:pt>
                <c:pt idx="75">
                  <c:v>1.8750000000000017E-3</c:v>
                </c:pt>
                <c:pt idx="76">
                  <c:v>1.9000000000000017E-3</c:v>
                </c:pt>
                <c:pt idx="77">
                  <c:v>1.9250000000000018E-3</c:v>
                </c:pt>
                <c:pt idx="78">
                  <c:v>1.9500000000000019E-3</c:v>
                </c:pt>
                <c:pt idx="79">
                  <c:v>1.9750000000000019E-3</c:v>
                </c:pt>
                <c:pt idx="80">
                  <c:v>2.0000000000000018E-3</c:v>
                </c:pt>
                <c:pt idx="81">
                  <c:v>2.0250000000000016E-3</c:v>
                </c:pt>
                <c:pt idx="82">
                  <c:v>2.0500000000000015E-3</c:v>
                </c:pt>
                <c:pt idx="83">
                  <c:v>2.0750000000000013E-3</c:v>
                </c:pt>
                <c:pt idx="84">
                  <c:v>2.1000000000000012E-3</c:v>
                </c:pt>
                <c:pt idx="85">
                  <c:v>2.125000000000001E-3</c:v>
                </c:pt>
                <c:pt idx="86">
                  <c:v>2.1500000000000009E-3</c:v>
                </c:pt>
                <c:pt idx="87">
                  <c:v>2.1750000000000007E-3</c:v>
                </c:pt>
                <c:pt idx="88">
                  <c:v>2.2000000000000006E-3</c:v>
                </c:pt>
                <c:pt idx="89">
                  <c:v>2.2250000000000004E-3</c:v>
                </c:pt>
                <c:pt idx="90">
                  <c:v>2.2500000000000003E-3</c:v>
                </c:pt>
                <c:pt idx="91">
                  <c:v>2.2750000000000001E-3</c:v>
                </c:pt>
                <c:pt idx="92">
                  <c:v>2.3E-3</c:v>
                </c:pt>
                <c:pt idx="93">
                  <c:v>2.3249999999999998E-3</c:v>
                </c:pt>
                <c:pt idx="94">
                  <c:v>2.3499999999999997E-3</c:v>
                </c:pt>
                <c:pt idx="95">
                  <c:v>2.3749999999999995E-3</c:v>
                </c:pt>
                <c:pt idx="96">
                  <c:v>2.3999999999999994E-3</c:v>
                </c:pt>
                <c:pt idx="97">
                  <c:v>2.4249999999999992E-3</c:v>
                </c:pt>
                <c:pt idx="98">
                  <c:v>2.4499999999999991E-3</c:v>
                </c:pt>
                <c:pt idx="99">
                  <c:v>2.4749999999999989E-3</c:v>
                </c:pt>
                <c:pt idx="100">
                  <c:v>2.4999999999999988E-3</c:v>
                </c:pt>
                <c:pt idx="101">
                  <c:v>2.5249999999999986E-3</c:v>
                </c:pt>
                <c:pt idx="102">
                  <c:v>2.5499999999999984E-3</c:v>
                </c:pt>
                <c:pt idx="103">
                  <c:v>2.5749999999999983E-3</c:v>
                </c:pt>
                <c:pt idx="104">
                  <c:v>2.5999999999999981E-3</c:v>
                </c:pt>
                <c:pt idx="105">
                  <c:v>2.624999999999998E-3</c:v>
                </c:pt>
                <c:pt idx="106">
                  <c:v>2.6499999999999978E-3</c:v>
                </c:pt>
                <c:pt idx="107">
                  <c:v>2.6749999999999977E-3</c:v>
                </c:pt>
                <c:pt idx="108">
                  <c:v>2.6999999999999975E-3</c:v>
                </c:pt>
                <c:pt idx="109">
                  <c:v>2.7249999999999974E-3</c:v>
                </c:pt>
                <c:pt idx="110">
                  <c:v>2.7499999999999972E-3</c:v>
                </c:pt>
                <c:pt idx="111">
                  <c:v>2.7749999999999971E-3</c:v>
                </c:pt>
                <c:pt idx="112">
                  <c:v>2.7999999999999969E-3</c:v>
                </c:pt>
                <c:pt idx="113">
                  <c:v>2.8249999999999968E-3</c:v>
                </c:pt>
                <c:pt idx="114">
                  <c:v>2.8499999999999966E-3</c:v>
                </c:pt>
                <c:pt idx="115">
                  <c:v>2.8749999999999965E-3</c:v>
                </c:pt>
                <c:pt idx="116">
                  <c:v>2.8999999999999963E-3</c:v>
                </c:pt>
                <c:pt idx="117">
                  <c:v>2.9249999999999962E-3</c:v>
                </c:pt>
                <c:pt idx="118">
                  <c:v>2.949999999999996E-3</c:v>
                </c:pt>
                <c:pt idx="119">
                  <c:v>2.9749999999999959E-3</c:v>
                </c:pt>
                <c:pt idx="120">
                  <c:v>2.9999999999999957E-3</c:v>
                </c:pt>
                <c:pt idx="121">
                  <c:v>3.0249999999999956E-3</c:v>
                </c:pt>
                <c:pt idx="122">
                  <c:v>3.0499999999999954E-3</c:v>
                </c:pt>
                <c:pt idx="123">
                  <c:v>3.0749999999999953E-3</c:v>
                </c:pt>
                <c:pt idx="124">
                  <c:v>3.0999999999999951E-3</c:v>
                </c:pt>
                <c:pt idx="125">
                  <c:v>3.124999999999995E-3</c:v>
                </c:pt>
                <c:pt idx="126">
                  <c:v>3.1499999999999948E-3</c:v>
                </c:pt>
                <c:pt idx="127">
                  <c:v>3.1749999999999947E-3</c:v>
                </c:pt>
                <c:pt idx="128">
                  <c:v>3.1999999999999945E-3</c:v>
                </c:pt>
                <c:pt idx="129">
                  <c:v>3.2249999999999944E-3</c:v>
                </c:pt>
                <c:pt idx="130">
                  <c:v>3.2499999999999942E-3</c:v>
                </c:pt>
                <c:pt idx="131">
                  <c:v>3.2749999999999941E-3</c:v>
                </c:pt>
                <c:pt idx="132">
                  <c:v>3.2999999999999939E-3</c:v>
                </c:pt>
                <c:pt idx="133">
                  <c:v>3.3249999999999938E-3</c:v>
                </c:pt>
                <c:pt idx="134">
                  <c:v>3.3499999999999936E-3</c:v>
                </c:pt>
                <c:pt idx="135">
                  <c:v>3.3749999999999935E-3</c:v>
                </c:pt>
                <c:pt idx="136">
                  <c:v>3.3999999999999933E-3</c:v>
                </c:pt>
                <c:pt idx="137">
                  <c:v>3.4249999999999932E-3</c:v>
                </c:pt>
                <c:pt idx="138">
                  <c:v>3.449999999999993E-3</c:v>
                </c:pt>
                <c:pt idx="139">
                  <c:v>3.4749999999999929E-3</c:v>
                </c:pt>
                <c:pt idx="140">
                  <c:v>3.4999999999999927E-3</c:v>
                </c:pt>
                <c:pt idx="141">
                  <c:v>3.5249999999999925E-3</c:v>
                </c:pt>
                <c:pt idx="142">
                  <c:v>3.5499999999999924E-3</c:v>
                </c:pt>
                <c:pt idx="143">
                  <c:v>3.5749999999999922E-3</c:v>
                </c:pt>
                <c:pt idx="144">
                  <c:v>3.5999999999999921E-3</c:v>
                </c:pt>
                <c:pt idx="145">
                  <c:v>3.6249999999999919E-3</c:v>
                </c:pt>
                <c:pt idx="146">
                  <c:v>3.6499999999999918E-3</c:v>
                </c:pt>
                <c:pt idx="147">
                  <c:v>3.6749999999999916E-3</c:v>
                </c:pt>
                <c:pt idx="148">
                  <c:v>3.6999999999999915E-3</c:v>
                </c:pt>
                <c:pt idx="149">
                  <c:v>3.7249999999999913E-3</c:v>
                </c:pt>
                <c:pt idx="150">
                  <c:v>3.7499999999999912E-3</c:v>
                </c:pt>
                <c:pt idx="151">
                  <c:v>3.774999999999991E-3</c:v>
                </c:pt>
                <c:pt idx="152">
                  <c:v>3.7999999999999909E-3</c:v>
                </c:pt>
                <c:pt idx="153">
                  <c:v>3.8249999999999907E-3</c:v>
                </c:pt>
                <c:pt idx="154">
                  <c:v>3.8499999999999906E-3</c:v>
                </c:pt>
                <c:pt idx="155">
                  <c:v>3.8749999999999904E-3</c:v>
                </c:pt>
                <c:pt idx="156">
                  <c:v>3.8999999999999903E-3</c:v>
                </c:pt>
                <c:pt idx="157">
                  <c:v>3.9249999999999901E-3</c:v>
                </c:pt>
                <c:pt idx="158">
                  <c:v>3.94999999999999E-3</c:v>
                </c:pt>
                <c:pt idx="159">
                  <c:v>3.9749999999999898E-3</c:v>
                </c:pt>
                <c:pt idx="160">
                  <c:v>3.9999999999999897E-3</c:v>
                </c:pt>
                <c:pt idx="161">
                  <c:v>4.0249999999999895E-3</c:v>
                </c:pt>
                <c:pt idx="162">
                  <c:v>4.0499999999999894E-3</c:v>
                </c:pt>
                <c:pt idx="163">
                  <c:v>4.0749999999999892E-3</c:v>
                </c:pt>
                <c:pt idx="164">
                  <c:v>4.0999999999999891E-3</c:v>
                </c:pt>
                <c:pt idx="165">
                  <c:v>4.1249999999999889E-3</c:v>
                </c:pt>
                <c:pt idx="166">
                  <c:v>4.1499999999999888E-3</c:v>
                </c:pt>
                <c:pt idx="167">
                  <c:v>4.1749999999999886E-3</c:v>
                </c:pt>
                <c:pt idx="168">
                  <c:v>4.1999999999999885E-3</c:v>
                </c:pt>
                <c:pt idx="169">
                  <c:v>4.2249999999999883E-3</c:v>
                </c:pt>
                <c:pt idx="170">
                  <c:v>4.2499999999999882E-3</c:v>
                </c:pt>
                <c:pt idx="171">
                  <c:v>4.274999999999988E-3</c:v>
                </c:pt>
                <c:pt idx="172">
                  <c:v>4.2999999999999879E-3</c:v>
                </c:pt>
                <c:pt idx="173">
                  <c:v>4.3249999999999877E-3</c:v>
                </c:pt>
                <c:pt idx="174">
                  <c:v>4.3499999999999876E-3</c:v>
                </c:pt>
                <c:pt idx="175">
                  <c:v>4.3749999999999874E-3</c:v>
                </c:pt>
                <c:pt idx="176">
                  <c:v>4.3999999999999873E-3</c:v>
                </c:pt>
                <c:pt idx="177">
                  <c:v>4.4249999999999871E-3</c:v>
                </c:pt>
                <c:pt idx="178">
                  <c:v>4.449999999999987E-3</c:v>
                </c:pt>
                <c:pt idx="179">
                  <c:v>4.4749999999999868E-3</c:v>
                </c:pt>
                <c:pt idx="180">
                  <c:v>4.4999999999999866E-3</c:v>
                </c:pt>
                <c:pt idx="181">
                  <c:v>4.5249999999999865E-3</c:v>
                </c:pt>
                <c:pt idx="182">
                  <c:v>4.5499999999999863E-3</c:v>
                </c:pt>
                <c:pt idx="183">
                  <c:v>4.5749999999999862E-3</c:v>
                </c:pt>
                <c:pt idx="184">
                  <c:v>4.599999999999986E-3</c:v>
                </c:pt>
                <c:pt idx="185">
                  <c:v>4.6249999999999859E-3</c:v>
                </c:pt>
                <c:pt idx="186">
                  <c:v>4.6499999999999857E-3</c:v>
                </c:pt>
                <c:pt idx="187">
                  <c:v>4.6749999999999856E-3</c:v>
                </c:pt>
                <c:pt idx="188">
                  <c:v>4.6999999999999854E-3</c:v>
                </c:pt>
                <c:pt idx="189">
                  <c:v>4.7249999999999853E-3</c:v>
                </c:pt>
                <c:pt idx="190">
                  <c:v>4.7499999999999851E-3</c:v>
                </c:pt>
                <c:pt idx="191">
                  <c:v>4.774999999999985E-3</c:v>
                </c:pt>
                <c:pt idx="192">
                  <c:v>4.7999999999999848E-3</c:v>
                </c:pt>
                <c:pt idx="193">
                  <c:v>4.8249999999999847E-3</c:v>
                </c:pt>
                <c:pt idx="194">
                  <c:v>4.8499999999999845E-3</c:v>
                </c:pt>
                <c:pt idx="195">
                  <c:v>4.8749999999999844E-3</c:v>
                </c:pt>
                <c:pt idx="196">
                  <c:v>4.8999999999999842E-3</c:v>
                </c:pt>
                <c:pt idx="197">
                  <c:v>4.9249999999999841E-3</c:v>
                </c:pt>
                <c:pt idx="198">
                  <c:v>4.9499999999999839E-3</c:v>
                </c:pt>
                <c:pt idx="199">
                  <c:v>4.9749999999999838E-3</c:v>
                </c:pt>
                <c:pt idx="200">
                  <c:v>4.9999999999999836E-3</c:v>
                </c:pt>
              </c:numCache>
            </c:numRef>
          </c:xVal>
          <c:yVal>
            <c:numRef>
              <c:f>'Armaduras Pasivas'!$AH$2:$AH$202</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yVal>
          <c:smooth val="0"/>
          <c:extLst>
            <c:ext xmlns:c16="http://schemas.microsoft.com/office/drawing/2014/chart" uri="{C3380CC4-5D6E-409C-BE32-E72D297353CC}">
              <c16:uniqueId val="{00000003-B0B3-498E-AA0F-1838ED655328}"/>
            </c:ext>
          </c:extLst>
        </c:ser>
        <c:dLbls>
          <c:showLegendKey val="0"/>
          <c:showVal val="0"/>
          <c:showCatName val="0"/>
          <c:showSerName val="0"/>
          <c:showPercent val="0"/>
          <c:showBubbleSize val="0"/>
        </c:dLbls>
        <c:axId val="1300481535"/>
        <c:axId val="1300481119"/>
      </c:scatterChart>
      <c:valAx>
        <c:axId val="130048153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l-GR" b="1">
                    <a:solidFill>
                      <a:schemeClr val="tx1"/>
                    </a:solidFill>
                    <a:latin typeface="Arial" panose="020B0604020202020204" pitchFamily="34" charset="0"/>
                    <a:cs typeface="Arial" panose="020B0604020202020204" pitchFamily="34" charset="0"/>
                  </a:rPr>
                  <a:t>ε</a:t>
                </a:r>
                <a:r>
                  <a:rPr lang="en-US" b="1">
                    <a:solidFill>
                      <a:schemeClr val="tx1"/>
                    </a:solidFill>
                    <a:latin typeface="Arial" panose="020B0604020202020204" pitchFamily="34" charset="0"/>
                    <a:cs typeface="Arial" panose="020B0604020202020204" pitchFamily="34" charset="0"/>
                  </a:rPr>
                  <a:t>s:</a:t>
                </a:r>
                <a:r>
                  <a:rPr lang="en-US" b="1" baseline="0">
                    <a:solidFill>
                      <a:schemeClr val="tx1"/>
                    </a:solidFill>
                    <a:latin typeface="Arial" panose="020B0604020202020204" pitchFamily="34" charset="0"/>
                    <a:cs typeface="Arial" panose="020B0604020202020204" pitchFamily="34" charset="0"/>
                  </a:rPr>
                  <a:t> </a:t>
                </a:r>
                <a:r>
                  <a:rPr lang="en-US" b="0" baseline="0">
                    <a:solidFill>
                      <a:schemeClr val="tx1"/>
                    </a:solidFill>
                    <a:latin typeface="Arial" panose="020B0604020202020204" pitchFamily="34" charset="0"/>
                    <a:cs typeface="Arial" panose="020B0604020202020204" pitchFamily="34" charset="0"/>
                  </a:rPr>
                  <a:t>deformación [%]</a:t>
                </a:r>
                <a:endParaRPr lang="en-US" b="1">
                  <a:solidFill>
                    <a:schemeClr val="tx1"/>
                  </a:solidFill>
                  <a:latin typeface="Arial" panose="020B0604020202020204" pitchFamily="34" charset="0"/>
                  <a:cs typeface="Arial" panose="020B0604020202020204" pitchFamily="34" charset="0"/>
                </a:endParaRPr>
              </a:p>
            </c:rich>
          </c:tx>
          <c:layout>
            <c:manualLayout>
              <c:xMode val="edge"/>
              <c:yMode val="edge"/>
              <c:x val="0.75373289750926642"/>
              <c:y val="0.8736377633646857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0.00%" sourceLinked="1"/>
        <c:majorTickMark val="none"/>
        <c:minorTickMark val="none"/>
        <c:tickLblPos val="nextTo"/>
        <c:spPr>
          <a:solidFill>
            <a:schemeClr val="bg1"/>
          </a:solidFill>
          <a:ln w="222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s-AR"/>
          </a:p>
        </c:txPr>
        <c:crossAx val="1300481119"/>
        <c:crosses val="autoZero"/>
        <c:crossBetween val="midCat"/>
      </c:valAx>
      <c:valAx>
        <c:axId val="13004811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i="1">
                    <a:solidFill>
                      <a:schemeClr val="tx1"/>
                    </a:solidFill>
                    <a:latin typeface="Arial" panose="020B0604020202020204" pitchFamily="34" charset="0"/>
                    <a:cs typeface="Arial" panose="020B0604020202020204" pitchFamily="34" charset="0"/>
                  </a:rPr>
                  <a:t>fs:</a:t>
                </a:r>
                <a:r>
                  <a:rPr lang="en-US" b="0" i="1">
                    <a:solidFill>
                      <a:schemeClr val="tx1"/>
                    </a:solidFill>
                    <a:latin typeface="Arial" panose="020B0604020202020204" pitchFamily="34" charset="0"/>
                    <a:cs typeface="Arial" panose="020B0604020202020204" pitchFamily="34" charset="0"/>
                  </a:rPr>
                  <a:t> </a:t>
                </a:r>
                <a:r>
                  <a:rPr lang="en-US" sz="1000" b="0" i="0" u="none" strike="noStrike" baseline="0">
                    <a:solidFill>
                      <a:schemeClr val="tx1"/>
                    </a:solidFill>
                    <a:effectLst/>
                    <a:latin typeface="Arial" panose="020B0604020202020204" pitchFamily="34" charset="0"/>
                    <a:cs typeface="Arial" panose="020B0604020202020204" pitchFamily="34" charset="0"/>
                  </a:rPr>
                  <a:t>Tensión </a:t>
                </a:r>
                <a:r>
                  <a:rPr lang="en-US" b="0" i="1">
                    <a:solidFill>
                      <a:schemeClr val="tx1"/>
                    </a:solidFill>
                    <a:latin typeface="Arial" panose="020B0604020202020204" pitchFamily="34" charset="0"/>
                    <a:cs typeface="Arial" panose="020B0604020202020204" pitchFamily="34" charset="0"/>
                  </a:rPr>
                  <a:t> </a:t>
                </a:r>
                <a:r>
                  <a:rPr lang="en-US" b="0" i="0">
                    <a:solidFill>
                      <a:schemeClr val="tx1"/>
                    </a:solidFill>
                    <a:latin typeface="Arial" panose="020B0604020202020204" pitchFamily="34" charset="0"/>
                    <a:cs typeface="Arial" panose="020B0604020202020204" pitchFamily="34" charset="0"/>
                  </a:rPr>
                  <a:t>[MPa]</a:t>
                </a:r>
              </a:p>
            </c:rich>
          </c:tx>
          <c:layout>
            <c:manualLayout>
              <c:xMode val="edge"/>
              <c:yMode val="edge"/>
              <c:x val="0.11708657995758508"/>
              <c:y val="0.1506641457051911"/>
            </c:manualLayout>
          </c:layout>
          <c:overlay val="0"/>
          <c:spPr>
            <a:solidFill>
              <a:schemeClr val="bg1"/>
            </a:solid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General" sourceLinked="1"/>
        <c:majorTickMark val="cross"/>
        <c:minorTickMark val="in"/>
        <c:tickLblPos val="nextTo"/>
        <c:spPr>
          <a:noFill/>
          <a:ln w="19050" cap="flat" cmpd="sng" algn="ctr">
            <a:solidFill>
              <a:schemeClr val="tx1"/>
            </a:solidFill>
            <a:round/>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s-AR"/>
          </a:p>
        </c:txPr>
        <c:crossAx val="1300481535"/>
        <c:crosses val="autoZero"/>
        <c:crossBetween val="midCat"/>
      </c:valAx>
      <c:spPr>
        <a:noFill/>
        <a:ln w="0">
          <a:solidFill>
            <a:schemeClr val="accent1">
              <a:alpha val="0"/>
            </a:schemeClr>
          </a:solidFill>
        </a:ln>
        <a:effectLst/>
      </c:spPr>
    </c:plotArea>
    <c:legend>
      <c:legendPos val="t"/>
      <c:layout>
        <c:manualLayout>
          <c:xMode val="edge"/>
          <c:yMode val="edge"/>
          <c:x val="0.15434440671289743"/>
          <c:y val="8.7201014766771195E-2"/>
          <c:w val="0.73184257950662146"/>
          <c:h val="4.7239498619444112E-2"/>
        </c:manualLayout>
      </c:layout>
      <c:overlay val="0"/>
      <c:spPr>
        <a:solidFill>
          <a:schemeClr val="bg1"/>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alpha val="33000"/>
        </a:schemeClr>
      </a:solidFill>
      <a:round/>
    </a:ln>
    <a:effectLst/>
  </c:spPr>
  <c:txPr>
    <a:bodyPr/>
    <a:lstStyle/>
    <a:p>
      <a:pPr>
        <a:defRPr/>
      </a:pPr>
      <a:endParaRPr lang="es-A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r>
              <a:rPr lang="en-US" b="1" u="sng">
                <a:ln>
                  <a:noFill/>
                </a:ln>
                <a:solidFill>
                  <a:schemeClr val="tx1"/>
                </a:solidFill>
              </a:rPr>
              <a:t>Relaciones Constitutivas de Aceros de Pretensado - ACSAHE</a:t>
            </a:r>
          </a:p>
          <a:p>
            <a:pPr>
              <a:defRPr>
                <a:ln>
                  <a:noFill/>
                </a:ln>
                <a:solidFill>
                  <a:schemeClr val="tx1"/>
                </a:solidFill>
              </a:defRPr>
            </a:pPr>
            <a:r>
              <a:rPr lang="en-US" i="1">
                <a:ln>
                  <a:noFill/>
                </a:ln>
                <a:solidFill>
                  <a:schemeClr val="tx1"/>
                </a:solidFill>
              </a:rPr>
              <a:t>Ecuación Menegotto y Pinto</a:t>
            </a:r>
            <a:r>
              <a:rPr lang="en-US" i="1" baseline="0">
                <a:ln>
                  <a:noFill/>
                </a:ln>
                <a:solidFill>
                  <a:schemeClr val="tx1"/>
                </a:solidFill>
              </a:rPr>
              <a:t> (1973)</a:t>
            </a:r>
            <a:endParaRPr lang="en-US" i="1">
              <a:ln>
                <a:noFill/>
              </a:ln>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ln>
                <a:noFill/>
              </a:ln>
              <a:solidFill>
                <a:schemeClr val="tx1"/>
              </a:solidFill>
              <a:latin typeface="+mn-lt"/>
              <a:ea typeface="+mn-ea"/>
              <a:cs typeface="+mn-cs"/>
            </a:defRPr>
          </a:pPr>
          <a:endParaRPr lang="es-AR"/>
        </a:p>
      </c:txPr>
    </c:title>
    <c:autoTitleDeleted val="0"/>
    <c:plotArea>
      <c:layout>
        <c:manualLayout>
          <c:layoutTarget val="inner"/>
          <c:xMode val="edge"/>
          <c:yMode val="edge"/>
          <c:x val="0.10986861685024414"/>
          <c:y val="0.15700694047990923"/>
          <c:w val="0.83703554149748371"/>
          <c:h val="0.74593563629443715"/>
        </c:manualLayout>
      </c:layout>
      <c:scatterChart>
        <c:scatterStyle val="lineMarker"/>
        <c:varyColors val="0"/>
        <c:ser>
          <c:idx val="0"/>
          <c:order val="0"/>
          <c:tx>
            <c:v>BARRAS 1050</c:v>
          </c:tx>
          <c:spPr>
            <a:ln w="25400" cap="rnd">
              <a:solidFill>
                <a:schemeClr val="accent6"/>
              </a:solidFill>
              <a:round/>
            </a:ln>
            <a:effectLst/>
          </c:spPr>
          <c:marker>
            <c:symbol val="none"/>
          </c:marker>
          <c:xVal>
            <c:numRef>
              <c:f>'Armaduras Activas'!$AA$2:$AA$203</c:f>
              <c:numCache>
                <c:formatCode>0.00%</c:formatCode>
                <c:ptCount val="202"/>
                <c:pt idx="0">
                  <c:v>0</c:v>
                </c:pt>
                <c:pt idx="1">
                  <c:v>2.05E-4</c:v>
                </c:pt>
                <c:pt idx="2">
                  <c:v>4.0999999999999999E-4</c:v>
                </c:pt>
                <c:pt idx="3">
                  <c:v>6.1499999999999999E-4</c:v>
                </c:pt>
                <c:pt idx="4">
                  <c:v>8.1999999999999998E-4</c:v>
                </c:pt>
                <c:pt idx="5">
                  <c:v>1.0249999999999999E-3</c:v>
                </c:pt>
                <c:pt idx="6">
                  <c:v>1.2299999999999998E-3</c:v>
                </c:pt>
                <c:pt idx="7">
                  <c:v>1.4349999999999996E-3</c:v>
                </c:pt>
                <c:pt idx="8">
                  <c:v>1.6399999999999995E-3</c:v>
                </c:pt>
                <c:pt idx="9">
                  <c:v>1.8449999999999994E-3</c:v>
                </c:pt>
                <c:pt idx="10">
                  <c:v>2.0499999999999993E-3</c:v>
                </c:pt>
                <c:pt idx="11">
                  <c:v>2.2549999999999992E-3</c:v>
                </c:pt>
                <c:pt idx="12">
                  <c:v>2.4599999999999991E-3</c:v>
                </c:pt>
                <c:pt idx="13">
                  <c:v>2.664999999999999E-3</c:v>
                </c:pt>
                <c:pt idx="14">
                  <c:v>2.8699999999999989E-3</c:v>
                </c:pt>
                <c:pt idx="15">
                  <c:v>3.0749999999999987E-3</c:v>
                </c:pt>
                <c:pt idx="16">
                  <c:v>3.2799999999999986E-3</c:v>
                </c:pt>
                <c:pt idx="17">
                  <c:v>3.4849999999999985E-3</c:v>
                </c:pt>
                <c:pt idx="18">
                  <c:v>3.6899999999999984E-3</c:v>
                </c:pt>
                <c:pt idx="19">
                  <c:v>3.8949999999999983E-3</c:v>
                </c:pt>
                <c:pt idx="20">
                  <c:v>4.0999999999999986E-3</c:v>
                </c:pt>
                <c:pt idx="21">
                  <c:v>4.3049999999999989E-3</c:v>
                </c:pt>
                <c:pt idx="22">
                  <c:v>4.5099999999999993E-3</c:v>
                </c:pt>
                <c:pt idx="23">
                  <c:v>4.7149999999999996E-3</c:v>
                </c:pt>
                <c:pt idx="24">
                  <c:v>4.9199999999999999E-3</c:v>
                </c:pt>
                <c:pt idx="25">
                  <c:v>5.1250000000000002E-3</c:v>
                </c:pt>
                <c:pt idx="26">
                  <c:v>5.3300000000000005E-3</c:v>
                </c:pt>
                <c:pt idx="27">
                  <c:v>5.5350000000000009E-3</c:v>
                </c:pt>
                <c:pt idx="28">
                  <c:v>5.7400000000000012E-3</c:v>
                </c:pt>
                <c:pt idx="29">
                  <c:v>5.9450000000000015E-3</c:v>
                </c:pt>
                <c:pt idx="30">
                  <c:v>6.1500000000000018E-3</c:v>
                </c:pt>
                <c:pt idx="31">
                  <c:v>6.3550000000000021E-3</c:v>
                </c:pt>
                <c:pt idx="32">
                  <c:v>6.5600000000000025E-3</c:v>
                </c:pt>
                <c:pt idx="33">
                  <c:v>6.7650000000000028E-3</c:v>
                </c:pt>
                <c:pt idx="34">
                  <c:v>6.9700000000000031E-3</c:v>
                </c:pt>
                <c:pt idx="35">
                  <c:v>7.1750000000000034E-3</c:v>
                </c:pt>
                <c:pt idx="36">
                  <c:v>7.3800000000000037E-3</c:v>
                </c:pt>
                <c:pt idx="37">
                  <c:v>7.5850000000000041E-3</c:v>
                </c:pt>
                <c:pt idx="38">
                  <c:v>7.7900000000000044E-3</c:v>
                </c:pt>
                <c:pt idx="39">
                  <c:v>7.9950000000000038E-3</c:v>
                </c:pt>
                <c:pt idx="40">
                  <c:v>8.2000000000000042E-3</c:v>
                </c:pt>
                <c:pt idx="41">
                  <c:v>8.4050000000000045E-3</c:v>
                </c:pt>
                <c:pt idx="42">
                  <c:v>8.6100000000000048E-3</c:v>
                </c:pt>
                <c:pt idx="43">
                  <c:v>8.8150000000000051E-3</c:v>
                </c:pt>
                <c:pt idx="44">
                  <c:v>9.0200000000000054E-3</c:v>
                </c:pt>
                <c:pt idx="45">
                  <c:v>9.2250000000000058E-3</c:v>
                </c:pt>
                <c:pt idx="46">
                  <c:v>9.4300000000000061E-3</c:v>
                </c:pt>
                <c:pt idx="47">
                  <c:v>9.6350000000000064E-3</c:v>
                </c:pt>
                <c:pt idx="48">
                  <c:v>9.8400000000000067E-3</c:v>
                </c:pt>
                <c:pt idx="49">
                  <c:v>1.0045000000000007E-2</c:v>
                </c:pt>
                <c:pt idx="50">
                  <c:v>1.0250000000000007E-2</c:v>
                </c:pt>
                <c:pt idx="51">
                  <c:v>1.0455000000000008E-2</c:v>
                </c:pt>
                <c:pt idx="52">
                  <c:v>1.0660000000000008E-2</c:v>
                </c:pt>
                <c:pt idx="53">
                  <c:v>1.0865000000000008E-2</c:v>
                </c:pt>
                <c:pt idx="54">
                  <c:v>1.1070000000000009E-2</c:v>
                </c:pt>
                <c:pt idx="55">
                  <c:v>1.1275000000000009E-2</c:v>
                </c:pt>
                <c:pt idx="56">
                  <c:v>1.1480000000000009E-2</c:v>
                </c:pt>
                <c:pt idx="57">
                  <c:v>1.168500000000001E-2</c:v>
                </c:pt>
                <c:pt idx="58">
                  <c:v>1.189000000000001E-2</c:v>
                </c:pt>
                <c:pt idx="59">
                  <c:v>1.209500000000001E-2</c:v>
                </c:pt>
                <c:pt idx="60">
                  <c:v>1.2300000000000011E-2</c:v>
                </c:pt>
                <c:pt idx="61">
                  <c:v>1.2505000000000011E-2</c:v>
                </c:pt>
                <c:pt idx="62">
                  <c:v>1.2710000000000011E-2</c:v>
                </c:pt>
                <c:pt idx="63">
                  <c:v>1.2915000000000012E-2</c:v>
                </c:pt>
                <c:pt idx="64">
                  <c:v>1.3120000000000012E-2</c:v>
                </c:pt>
                <c:pt idx="65">
                  <c:v>1.3325000000000012E-2</c:v>
                </c:pt>
                <c:pt idx="66">
                  <c:v>1.3530000000000013E-2</c:v>
                </c:pt>
                <c:pt idx="67">
                  <c:v>1.3735000000000013E-2</c:v>
                </c:pt>
                <c:pt idx="68">
                  <c:v>1.3940000000000013E-2</c:v>
                </c:pt>
                <c:pt idx="69">
                  <c:v>1.4145000000000013E-2</c:v>
                </c:pt>
                <c:pt idx="70">
                  <c:v>1.4350000000000014E-2</c:v>
                </c:pt>
                <c:pt idx="71">
                  <c:v>1.4555000000000014E-2</c:v>
                </c:pt>
                <c:pt idx="72">
                  <c:v>1.4760000000000014E-2</c:v>
                </c:pt>
                <c:pt idx="73">
                  <c:v>1.4965000000000015E-2</c:v>
                </c:pt>
                <c:pt idx="74">
                  <c:v>1.5170000000000015E-2</c:v>
                </c:pt>
                <c:pt idx="75">
                  <c:v>1.5375000000000015E-2</c:v>
                </c:pt>
                <c:pt idx="76">
                  <c:v>1.5580000000000016E-2</c:v>
                </c:pt>
                <c:pt idx="77">
                  <c:v>1.5785000000000014E-2</c:v>
                </c:pt>
                <c:pt idx="78">
                  <c:v>1.5990000000000015E-2</c:v>
                </c:pt>
                <c:pt idx="79">
                  <c:v>1.6195000000000015E-2</c:v>
                </c:pt>
                <c:pt idx="80">
                  <c:v>1.6400000000000015E-2</c:v>
                </c:pt>
                <c:pt idx="81">
                  <c:v>1.6605000000000016E-2</c:v>
                </c:pt>
                <c:pt idx="82">
                  <c:v>1.6810000000000016E-2</c:v>
                </c:pt>
                <c:pt idx="83">
                  <c:v>1.7015000000000016E-2</c:v>
                </c:pt>
                <c:pt idx="84">
                  <c:v>1.7220000000000017E-2</c:v>
                </c:pt>
                <c:pt idx="85">
                  <c:v>1.7425000000000017E-2</c:v>
                </c:pt>
                <c:pt idx="86">
                  <c:v>1.7630000000000017E-2</c:v>
                </c:pt>
                <c:pt idx="87">
                  <c:v>1.7835000000000018E-2</c:v>
                </c:pt>
                <c:pt idx="88">
                  <c:v>1.8040000000000018E-2</c:v>
                </c:pt>
                <c:pt idx="89">
                  <c:v>1.8245000000000018E-2</c:v>
                </c:pt>
                <c:pt idx="90">
                  <c:v>1.8450000000000018E-2</c:v>
                </c:pt>
                <c:pt idx="91">
                  <c:v>1.8655000000000019E-2</c:v>
                </c:pt>
                <c:pt idx="92">
                  <c:v>1.8860000000000019E-2</c:v>
                </c:pt>
                <c:pt idx="93">
                  <c:v>1.9065000000000019E-2</c:v>
                </c:pt>
                <c:pt idx="94">
                  <c:v>1.927000000000002E-2</c:v>
                </c:pt>
                <c:pt idx="95">
                  <c:v>1.947500000000002E-2</c:v>
                </c:pt>
                <c:pt idx="96">
                  <c:v>1.968000000000002E-2</c:v>
                </c:pt>
                <c:pt idx="97">
                  <c:v>1.9885000000000021E-2</c:v>
                </c:pt>
                <c:pt idx="98">
                  <c:v>2.0090000000000021E-2</c:v>
                </c:pt>
                <c:pt idx="99">
                  <c:v>2.0295000000000021E-2</c:v>
                </c:pt>
                <c:pt idx="100">
                  <c:v>2.0500000000000022E-2</c:v>
                </c:pt>
                <c:pt idx="101">
                  <c:v>2.0705000000000022E-2</c:v>
                </c:pt>
                <c:pt idx="102">
                  <c:v>2.0910000000000022E-2</c:v>
                </c:pt>
                <c:pt idx="103">
                  <c:v>2.1115000000000023E-2</c:v>
                </c:pt>
                <c:pt idx="104">
                  <c:v>2.1320000000000023E-2</c:v>
                </c:pt>
                <c:pt idx="105">
                  <c:v>2.1525000000000023E-2</c:v>
                </c:pt>
                <c:pt idx="106">
                  <c:v>2.1730000000000024E-2</c:v>
                </c:pt>
                <c:pt idx="107">
                  <c:v>2.1935000000000024E-2</c:v>
                </c:pt>
                <c:pt idx="108">
                  <c:v>2.2140000000000024E-2</c:v>
                </c:pt>
                <c:pt idx="109">
                  <c:v>2.2345000000000025E-2</c:v>
                </c:pt>
                <c:pt idx="110">
                  <c:v>2.2550000000000025E-2</c:v>
                </c:pt>
                <c:pt idx="111">
                  <c:v>2.2755000000000025E-2</c:v>
                </c:pt>
                <c:pt idx="112">
                  <c:v>2.2960000000000026E-2</c:v>
                </c:pt>
                <c:pt idx="113">
                  <c:v>2.3165000000000026E-2</c:v>
                </c:pt>
                <c:pt idx="114">
                  <c:v>2.3370000000000026E-2</c:v>
                </c:pt>
                <c:pt idx="115">
                  <c:v>2.3575000000000026E-2</c:v>
                </c:pt>
                <c:pt idx="116">
                  <c:v>2.3780000000000027E-2</c:v>
                </c:pt>
                <c:pt idx="117">
                  <c:v>2.3985000000000027E-2</c:v>
                </c:pt>
                <c:pt idx="118">
                  <c:v>2.4190000000000027E-2</c:v>
                </c:pt>
                <c:pt idx="119">
                  <c:v>2.4395000000000028E-2</c:v>
                </c:pt>
                <c:pt idx="120">
                  <c:v>2.4600000000000028E-2</c:v>
                </c:pt>
                <c:pt idx="121">
                  <c:v>2.4805000000000028E-2</c:v>
                </c:pt>
                <c:pt idx="122">
                  <c:v>2.5010000000000029E-2</c:v>
                </c:pt>
                <c:pt idx="123">
                  <c:v>2.5215000000000029E-2</c:v>
                </c:pt>
                <c:pt idx="124">
                  <c:v>2.5420000000000029E-2</c:v>
                </c:pt>
                <c:pt idx="125">
                  <c:v>2.562500000000003E-2</c:v>
                </c:pt>
                <c:pt idx="126">
                  <c:v>2.583000000000003E-2</c:v>
                </c:pt>
                <c:pt idx="127">
                  <c:v>2.603500000000003E-2</c:v>
                </c:pt>
                <c:pt idx="128">
                  <c:v>2.6240000000000031E-2</c:v>
                </c:pt>
                <c:pt idx="129">
                  <c:v>2.6445000000000031E-2</c:v>
                </c:pt>
                <c:pt idx="130">
                  <c:v>2.6650000000000031E-2</c:v>
                </c:pt>
                <c:pt idx="131">
                  <c:v>2.6855000000000032E-2</c:v>
                </c:pt>
                <c:pt idx="132">
                  <c:v>2.7060000000000032E-2</c:v>
                </c:pt>
                <c:pt idx="133">
                  <c:v>2.7265000000000032E-2</c:v>
                </c:pt>
                <c:pt idx="134">
                  <c:v>2.7470000000000033E-2</c:v>
                </c:pt>
                <c:pt idx="135">
                  <c:v>2.7675000000000033E-2</c:v>
                </c:pt>
                <c:pt idx="136">
                  <c:v>2.7880000000000033E-2</c:v>
                </c:pt>
                <c:pt idx="137">
                  <c:v>2.8085000000000034E-2</c:v>
                </c:pt>
                <c:pt idx="138">
                  <c:v>2.8290000000000034E-2</c:v>
                </c:pt>
                <c:pt idx="139">
                  <c:v>2.8495000000000034E-2</c:v>
                </c:pt>
                <c:pt idx="140">
                  <c:v>2.8700000000000035E-2</c:v>
                </c:pt>
                <c:pt idx="141">
                  <c:v>2.8905000000000035E-2</c:v>
                </c:pt>
                <c:pt idx="142">
                  <c:v>2.9110000000000035E-2</c:v>
                </c:pt>
                <c:pt idx="143">
                  <c:v>2.9315000000000035E-2</c:v>
                </c:pt>
                <c:pt idx="144">
                  <c:v>2.9520000000000036E-2</c:v>
                </c:pt>
                <c:pt idx="145">
                  <c:v>2.9725000000000036E-2</c:v>
                </c:pt>
                <c:pt idx="146">
                  <c:v>2.9930000000000036E-2</c:v>
                </c:pt>
                <c:pt idx="147">
                  <c:v>3.0135000000000037E-2</c:v>
                </c:pt>
                <c:pt idx="148">
                  <c:v>3.0340000000000037E-2</c:v>
                </c:pt>
                <c:pt idx="149">
                  <c:v>3.0545000000000037E-2</c:v>
                </c:pt>
                <c:pt idx="150">
                  <c:v>3.0750000000000038E-2</c:v>
                </c:pt>
                <c:pt idx="151">
                  <c:v>3.0955000000000038E-2</c:v>
                </c:pt>
                <c:pt idx="152">
                  <c:v>3.1160000000000038E-2</c:v>
                </c:pt>
                <c:pt idx="153">
                  <c:v>3.1365000000000039E-2</c:v>
                </c:pt>
                <c:pt idx="154">
                  <c:v>3.1570000000000036E-2</c:v>
                </c:pt>
                <c:pt idx="155">
                  <c:v>3.1775000000000032E-2</c:v>
                </c:pt>
                <c:pt idx="156">
                  <c:v>3.1980000000000029E-2</c:v>
                </c:pt>
                <c:pt idx="157">
                  <c:v>3.2185000000000026E-2</c:v>
                </c:pt>
                <c:pt idx="158">
                  <c:v>3.2390000000000023E-2</c:v>
                </c:pt>
                <c:pt idx="159">
                  <c:v>3.259500000000002E-2</c:v>
                </c:pt>
                <c:pt idx="160">
                  <c:v>3.2800000000000017E-2</c:v>
                </c:pt>
                <c:pt idx="161">
                  <c:v>3.3005000000000013E-2</c:v>
                </c:pt>
                <c:pt idx="162">
                  <c:v>3.321000000000001E-2</c:v>
                </c:pt>
                <c:pt idx="163">
                  <c:v>3.3415000000000007E-2</c:v>
                </c:pt>
                <c:pt idx="164">
                  <c:v>3.3620000000000004E-2</c:v>
                </c:pt>
                <c:pt idx="165">
                  <c:v>3.3825000000000001E-2</c:v>
                </c:pt>
                <c:pt idx="166">
                  <c:v>3.4029999999999998E-2</c:v>
                </c:pt>
                <c:pt idx="167">
                  <c:v>3.4234999999999995E-2</c:v>
                </c:pt>
                <c:pt idx="168">
                  <c:v>3.4439999999999991E-2</c:v>
                </c:pt>
                <c:pt idx="169">
                  <c:v>3.4644999999999988E-2</c:v>
                </c:pt>
                <c:pt idx="170">
                  <c:v>3.4849999999999985E-2</c:v>
                </c:pt>
                <c:pt idx="171">
                  <c:v>3.5054999999999982E-2</c:v>
                </c:pt>
                <c:pt idx="172">
                  <c:v>3.5259999999999979E-2</c:v>
                </c:pt>
                <c:pt idx="173">
                  <c:v>3.5464999999999976E-2</c:v>
                </c:pt>
                <c:pt idx="174">
                  <c:v>3.5669999999999973E-2</c:v>
                </c:pt>
                <c:pt idx="175">
                  <c:v>3.5874999999999969E-2</c:v>
                </c:pt>
                <c:pt idx="176">
                  <c:v>3.6079999999999966E-2</c:v>
                </c:pt>
                <c:pt idx="177">
                  <c:v>3.6284999999999963E-2</c:v>
                </c:pt>
                <c:pt idx="178">
                  <c:v>3.648999999999996E-2</c:v>
                </c:pt>
                <c:pt idx="179">
                  <c:v>3.6694999999999957E-2</c:v>
                </c:pt>
                <c:pt idx="180">
                  <c:v>3.6899999999999954E-2</c:v>
                </c:pt>
                <c:pt idx="181">
                  <c:v>3.7104999999999951E-2</c:v>
                </c:pt>
                <c:pt idx="182">
                  <c:v>3.7309999999999947E-2</c:v>
                </c:pt>
                <c:pt idx="183">
                  <c:v>3.7514999999999944E-2</c:v>
                </c:pt>
                <c:pt idx="184">
                  <c:v>3.7719999999999941E-2</c:v>
                </c:pt>
                <c:pt idx="185">
                  <c:v>3.7924999999999938E-2</c:v>
                </c:pt>
                <c:pt idx="186">
                  <c:v>3.8129999999999935E-2</c:v>
                </c:pt>
                <c:pt idx="187">
                  <c:v>3.8334999999999932E-2</c:v>
                </c:pt>
                <c:pt idx="188">
                  <c:v>3.8539999999999928E-2</c:v>
                </c:pt>
                <c:pt idx="189">
                  <c:v>3.8744999999999925E-2</c:v>
                </c:pt>
                <c:pt idx="190">
                  <c:v>3.8949999999999922E-2</c:v>
                </c:pt>
                <c:pt idx="191">
                  <c:v>3.9154999999999919E-2</c:v>
                </c:pt>
                <c:pt idx="192">
                  <c:v>3.9359999999999916E-2</c:v>
                </c:pt>
                <c:pt idx="193">
                  <c:v>3.9564999999999913E-2</c:v>
                </c:pt>
                <c:pt idx="194">
                  <c:v>3.976999999999991E-2</c:v>
                </c:pt>
                <c:pt idx="195">
                  <c:v>3.9974999999999906E-2</c:v>
                </c:pt>
                <c:pt idx="196">
                  <c:v>4.0179999999999903E-2</c:v>
                </c:pt>
                <c:pt idx="197">
                  <c:v>4.03849999999999E-2</c:v>
                </c:pt>
                <c:pt idx="198">
                  <c:v>4.0589999999999897E-2</c:v>
                </c:pt>
                <c:pt idx="199">
                  <c:v>4.0794999999999894E-2</c:v>
                </c:pt>
                <c:pt idx="200">
                  <c:v>4.0999999999999891E-2</c:v>
                </c:pt>
              </c:numCache>
            </c:numRef>
          </c:xVal>
          <c:yVal>
            <c:numRef>
              <c:f>'Armaduras Activas'!$AE$2:$AE$203</c:f>
              <c:numCache>
                <c:formatCode>General</c:formatCode>
                <c:ptCount val="202"/>
                <c:pt idx="0">
                  <c:v>0</c:v>
                </c:pt>
                <c:pt idx="1">
                  <c:v>40.999999998894182</c:v>
                </c:pt>
                <c:pt idx="2">
                  <c:v>81.999999696591587</c:v>
                </c:pt>
                <c:pt idx="3">
                  <c:v>122.99999190220655</c:v>
                </c:pt>
                <c:pt idx="4">
                  <c:v>163.9999167527931</c:v>
                </c:pt>
                <c:pt idx="5">
                  <c:v>204.99949261543185</c:v>
                </c:pt>
                <c:pt idx="6">
                  <c:v>245.99777825807894</c:v>
                </c:pt>
                <c:pt idx="7">
                  <c:v>286.99225662179344</c:v>
                </c:pt>
                <c:pt idx="8">
                  <c:v>327.97716563672998</c:v>
                </c:pt>
                <c:pt idx="9">
                  <c:v>368.94074003011985</c:v>
                </c:pt>
                <c:pt idx="10">
                  <c:v>409.86097995575295</c:v>
                </c:pt>
                <c:pt idx="11">
                  <c:v>450.69955016931885</c:v>
                </c:pt>
                <c:pt idx="12">
                  <c:v>491.3934829171767</c:v>
                </c:pt>
                <c:pt idx="13">
                  <c:v>531.84458925683703</c:v>
                </c:pt>
                <c:pt idx="14">
                  <c:v>571.90699882493243</c:v>
                </c:pt>
                <c:pt idx="15">
                  <c:v>611.37418880285213</c:v>
                </c:pt>
                <c:pt idx="16">
                  <c:v>649.96830345159049</c:v>
                </c:pt>
                <c:pt idx="17">
                  <c:v>687.33631679325549</c:v>
                </c:pt>
                <c:pt idx="18">
                  <c:v>723.05891719986323</c:v>
                </c:pt>
                <c:pt idx="19">
                  <c:v>756.67747346865474</c:v>
                </c:pt>
                <c:pt idx="20">
                  <c:v>787.74048560279402</c:v>
                </c:pt>
                <c:pt idx="21">
                  <c:v>815.86331048334011</c:v>
                </c:pt>
                <c:pt idx="22">
                  <c:v>840.78659423097633</c:v>
                </c:pt>
                <c:pt idx="23">
                  <c:v>862.41532698028254</c:v>
                </c:pt>
                <c:pt idx="24">
                  <c:v>880.82585654357763</c:v>
                </c:pt>
                <c:pt idx="25">
                  <c:v>896.2405017410025</c:v>
                </c:pt>
                <c:pt idx="26">
                  <c:v>908.98112090510324</c:v>
                </c:pt>
                <c:pt idx="27">
                  <c:v>919.41757778982208</c:v>
                </c:pt>
                <c:pt idx="28">
                  <c:v>927.92390080208349</c:v>
                </c:pt>
                <c:pt idx="29">
                  <c:v>934.84818624852267</c:v>
                </c:pt>
                <c:pt idx="30">
                  <c:v>940.49634635427196</c:v>
                </c:pt>
                <c:pt idx="31">
                  <c:v>945.12658833918306</c:v>
                </c:pt>
                <c:pt idx="32">
                  <c:v>948.95075643302596</c:v>
                </c:pt>
                <c:pt idx="33">
                  <c:v>952.13927358152966</c:v>
                </c:pt>
                <c:pt idx="34">
                  <c:v>954.82743859515062</c:v>
                </c:pt>
                <c:pt idx="35">
                  <c:v>957.12175906643756</c:v>
                </c:pt>
                <c:pt idx="36">
                  <c:v>959.1056639928147</c:v>
                </c:pt>
                <c:pt idx="37">
                  <c:v>960.844351061515</c:v>
                </c:pt>
                <c:pt idx="38">
                  <c:v>962.38874816927023</c:v>
                </c:pt>
                <c:pt idx="39">
                  <c:v>963.77867461781</c:v>
                </c:pt>
                <c:pt idx="40">
                  <c:v>965.04532537514331</c:v>
                </c:pt>
                <c:pt idx="41">
                  <c:v>966.21320472385582</c:v>
                </c:pt>
                <c:pt idx="42">
                  <c:v>967.301622828159</c:v>
                </c:pt>
                <c:pt idx="43">
                  <c:v>968.32585065475052</c:v>
                </c:pt>
                <c:pt idx="44">
                  <c:v>969.29801040584846</c:v>
                </c:pt>
                <c:pt idx="45">
                  <c:v>970.22776236466916</c:v>
                </c:pt>
                <c:pt idx="46">
                  <c:v>971.1228354988574</c:v>
                </c:pt>
                <c:pt idx="47">
                  <c:v>971.98943828329675</c:v>
                </c:pt>
                <c:pt idx="48">
                  <c:v>972.83257766401903</c:v>
                </c:pt>
                <c:pt idx="49">
                  <c:v>973.65630748156332</c:v>
                </c:pt>
                <c:pt idx="50">
                  <c:v>974.46392261234655</c:v>
                </c:pt>
                <c:pt idx="51">
                  <c:v>975.25811123068547</c:v>
                </c:pt>
                <c:pt idx="52">
                  <c:v>976.04107466414985</c:v>
                </c:pt>
                <c:pt idx="53">
                  <c:v>976.81462209110475</c:v>
                </c:pt>
                <c:pt idx="54">
                  <c:v>977.58024564111554</c:v>
                </c:pt>
                <c:pt idx="55">
                  <c:v>978.33918017591611</c:v>
                </c:pt>
                <c:pt idx="56">
                  <c:v>979.09245105183027</c:v>
                </c:pt>
                <c:pt idx="57">
                  <c:v>979.84091241912643</c:v>
                </c:pt>
                <c:pt idx="58">
                  <c:v>980.5852780434202</c:v>
                </c:pt>
                <c:pt idx="59">
                  <c:v>981.32614619652156</c:v>
                </c:pt>
                <c:pt idx="60">
                  <c:v>982.0640198271592</c:v>
                </c:pt>
                <c:pt idx="61">
                  <c:v>982.79932296175343</c:v>
                </c:pt>
                <c:pt idx="62">
                  <c:v>983.53241408373026</c:v>
                </c:pt>
                <c:pt idx="63">
                  <c:v>984.26359708303767</c:v>
                </c:pt>
                <c:pt idx="64">
                  <c:v>984.99313024517937</c:v>
                </c:pt>
                <c:pt idx="65">
                  <c:v>985.72123365327946</c:v>
                </c:pt>
                <c:pt idx="66">
                  <c:v>986.44809530144778</c:v>
                </c:pt>
                <c:pt idx="67">
                  <c:v>987.17387615840607</c:v>
                </c:pt>
                <c:pt idx="68">
                  <c:v>987.89871437343481</c:v>
                </c:pt>
                <c:pt idx="69">
                  <c:v>988.62272877948419</c:v>
                </c:pt>
                <c:pt idx="70">
                  <c:v>989.34602181868127</c:v>
                </c:pt>
                <c:pt idx="71">
                  <c:v>990.0686819918144</c:v>
                </c:pt>
                <c:pt idx="72">
                  <c:v>990.79078591443545</c:v>
                </c:pt>
                <c:pt idx="73">
                  <c:v>991.51240004700333</c:v>
                </c:pt>
                <c:pt idx="74">
                  <c:v>992.23358215423525</c:v>
                </c:pt>
                <c:pt idx="75">
                  <c:v>992.95438253892144</c:v>
                </c:pt>
                <c:pt idx="76">
                  <c:v>993.67484508743212</c:v>
                </c:pt>
                <c:pt idx="77">
                  <c:v>994.39500815761937</c:v>
                </c:pt>
                <c:pt idx="78">
                  <c:v>995.11490533450092</c:v>
                </c:pt>
                <c:pt idx="79">
                  <c:v>995.83456607477194</c:v>
                </c:pt>
                <c:pt idx="80">
                  <c:v>996.55401625761772</c:v>
                </c:pt>
                <c:pt idx="81">
                  <c:v>997.27327865640689</c:v>
                </c:pt>
                <c:pt idx="82">
                  <c:v>997.99237334340569</c:v>
                </c:pt>
                <c:pt idx="83">
                  <c:v>998.71131803769072</c:v>
                </c:pt>
                <c:pt idx="84">
                  <c:v>999.4301284047915</c:v>
                </c:pt>
                <c:pt idx="85">
                  <c:v>1000.1488183152215</c:v>
                </c:pt>
                <c:pt idx="86">
                  <c:v>1000.8674000679399</c:v>
                </c:pt>
                <c:pt idx="87">
                  <c:v>1001.5858845838288</c:v>
                </c:pt>
                <c:pt idx="88">
                  <c:v>1002.3042815735017</c:v>
                </c:pt>
                <c:pt idx="89">
                  <c:v>1003.0225996830796</c:v>
                </c:pt>
                <c:pt idx="90">
                  <c:v>1003.7408466210389</c:v>
                </c:pt>
                <c:pt idx="91">
                  <c:v>1004.4590292687575</c:v>
                </c:pt>
                <c:pt idx="92">
                  <c:v>1005.1771537770084</c:v>
                </c:pt>
                <c:pt idx="93">
                  <c:v>1005.8952256503106</c:v>
                </c:pt>
                <c:pt idx="94">
                  <c:v>1006.6132498207747</c:v>
                </c:pt>
                <c:pt idx="95">
                  <c:v>1007.331230712844</c:v>
                </c:pt>
                <c:pt idx="96">
                  <c:v>1008.0491723001395</c:v>
                </c:pt>
                <c:pt idx="97">
                  <c:v>1008.7670781554319</c:v>
                </c:pt>
                <c:pt idx="98">
                  <c:v>1009.4849514946392</c:v>
                </c:pt>
                <c:pt idx="99">
                  <c:v>1010.20279521561</c:v>
                </c:pt>
                <c:pt idx="100">
                  <c:v>1010.9206119323584</c:v>
                </c:pt>
                <c:pt idx="101">
                  <c:v>1011.6384040053214</c:v>
                </c:pt>
                <c:pt idx="102">
                  <c:v>1012.3561735681327</c:v>
                </c:pt>
                <c:pt idx="103">
                  <c:v>1013.0739225513458</c:v>
                </c:pt>
                <c:pt idx="104">
                  <c:v>1013.7916527034758</c:v>
                </c:pt>
                <c:pt idx="105">
                  <c:v>1014.5093656096906</c:v>
                </c:pt>
                <c:pt idx="106">
                  <c:v>1015.2270627084229</c:v>
                </c:pt>
                <c:pt idx="107">
                  <c:v>1015.9447453061646</c:v>
                </c:pt>
                <c:pt idx="108">
                  <c:v>1016.6624145906457</c:v>
                </c:pt>
                <c:pt idx="109">
                  <c:v>1017.3800716425908</c:v>
                </c:pt>
                <c:pt idx="110">
                  <c:v>1018.0977174462225</c:v>
                </c:pt>
                <c:pt idx="111">
                  <c:v>1018.8153528986458</c:v>
                </c:pt>
                <c:pt idx="112">
                  <c:v>1019.532978818248</c:v>
                </c:pt>
                <c:pt idx="113">
                  <c:v>1020.2505959522258</c:v>
                </c:pt>
                <c:pt idx="114">
                  <c:v>1020.9682049833333</c:v>
                </c:pt>
                <c:pt idx="115">
                  <c:v>1021.6858065359341</c:v>
                </c:pt>
                <c:pt idx="116">
                  <c:v>1022.4034011814482</c:v>
                </c:pt>
                <c:pt idx="117">
                  <c:v>1023.1209894432413</c:v>
                </c:pt>
                <c:pt idx="118">
                  <c:v>1023.8385718010292</c:v>
                </c:pt>
                <c:pt idx="119">
                  <c:v>1024.5561486948484</c:v>
                </c:pt>
                <c:pt idx="120">
                  <c:v>1025.2737205286301</c:v>
                </c:pt>
                <c:pt idx="121">
                  <c:v>1025.9912876734329</c:v>
                </c:pt>
                <c:pt idx="122">
                  <c:v>1026.7088504703561</c:v>
                </c:pt>
                <c:pt idx="123">
                  <c:v>1027.42640923318</c:v>
                </c:pt>
                <c:pt idx="124">
                  <c:v>1028.1439642507494</c:v>
                </c:pt>
                <c:pt idx="125">
                  <c:v>1028.8615157891354</c:v>
                </c:pt>
                <c:pt idx="126">
                  <c:v>1029.5790640935916</c:v>
                </c:pt>
                <c:pt idx="127">
                  <c:v>1030.2966093903335</c:v>
                </c:pt>
                <c:pt idx="128">
                  <c:v>1031.0141518881464</c:v>
                </c:pt>
                <c:pt idx="129">
                  <c:v>1031.7316917798544</c:v>
                </c:pt>
                <c:pt idx="130">
                  <c:v>1032.4492292436471</c:v>
                </c:pt>
                <c:pt idx="131">
                  <c:v>1033.1667644442939</c:v>
                </c:pt>
                <c:pt idx="132">
                  <c:v>1033.8842975342454</c:v>
                </c:pt>
                <c:pt idx="133">
                  <c:v>1034.6018286546384</c:v>
                </c:pt>
                <c:pt idx="134">
                  <c:v>1035.3193579362126</c:v>
                </c:pt>
                <c:pt idx="135">
                  <c:v>1036.0368855001443</c:v>
                </c:pt>
                <c:pt idx="136">
                  <c:v>1036.7544114588115</c:v>
                </c:pt>
                <c:pt idx="137">
                  <c:v>1037.4719359164903</c:v>
                </c:pt>
                <c:pt idx="138">
                  <c:v>1038.1894589699928</c:v>
                </c:pt>
                <c:pt idx="139">
                  <c:v>1038.9069807092483</c:v>
                </c:pt>
                <c:pt idx="140">
                  <c:v>1039.6245012178404</c:v>
                </c:pt>
                <c:pt idx="141">
                  <c:v>1040.3420205734924</c:v>
                </c:pt>
                <c:pt idx="142">
                  <c:v>1041.0595388485169</c:v>
                </c:pt>
                <c:pt idx="143">
                  <c:v>1041.7770561102291</c:v>
                </c:pt>
                <c:pt idx="144">
                  <c:v>1042.4945724213214</c:v>
                </c:pt>
                <c:pt idx="145">
                  <c:v>1043.2120878402084</c:v>
                </c:pt>
                <c:pt idx="146">
                  <c:v>1043.9296024213502</c:v>
                </c:pt>
                <c:pt idx="147">
                  <c:v>1044.6471162155406</c:v>
                </c:pt>
                <c:pt idx="148">
                  <c:v>1045.3646292701781</c:v>
                </c:pt>
                <c:pt idx="149">
                  <c:v>1046.0821416295139</c:v>
                </c:pt>
                <c:pt idx="150">
                  <c:v>1046.7996533348796</c:v>
                </c:pt>
                <c:pt idx="151">
                  <c:v>1047.5171644248974</c:v>
                </c:pt>
                <c:pt idx="152">
                  <c:v>1048.2346749356748</c:v>
                </c:pt>
                <c:pt idx="153">
                  <c:v>1048.9521849009823</c:v>
                </c:pt>
                <c:pt idx="154">
                  <c:v>1049.6696943524198</c:v>
                </c:pt>
                <c:pt idx="155">
                  <c:v>1050.3872033195676</c:v>
                </c:pt>
                <c:pt idx="156">
                  <c:v>1051.1047118301281</c:v>
                </c:pt>
                <c:pt idx="157">
                  <c:v>1051.8222199100564</c:v>
                </c:pt>
                <c:pt idx="158">
                  <c:v>1052.5397275836804</c:v>
                </c:pt>
                <c:pt idx="159">
                  <c:v>1053.2572348738111</c:v>
                </c:pt>
                <c:pt idx="160">
                  <c:v>1053.9747418018474</c:v>
                </c:pt>
                <c:pt idx="161">
                  <c:v>1054.6922483878716</c:v>
                </c:pt>
                <c:pt idx="162">
                  <c:v>1055.4097546507364</c:v>
                </c:pt>
                <c:pt idx="163">
                  <c:v>1056.1272606081482</c:v>
                </c:pt>
                <c:pt idx="164">
                  <c:v>1056.8447662767437</c:v>
                </c:pt>
                <c:pt idx="165">
                  <c:v>1057.5622716721593</c:v>
                </c:pt>
                <c:pt idx="166">
                  <c:v>1058.2797768090977</c:v>
                </c:pt>
                <c:pt idx="167">
                  <c:v>1058.9972817013886</c:v>
                </c:pt>
                <c:pt idx="168">
                  <c:v>1059.7147863620442</c:v>
                </c:pt>
                <c:pt idx="169">
                  <c:v>1060.4322908033148</c:v>
                </c:pt>
                <c:pt idx="170">
                  <c:v>1061.149795036735</c:v>
                </c:pt>
                <c:pt idx="171">
                  <c:v>1061.8672990731695</c:v>
                </c:pt>
                <c:pt idx="172">
                  <c:v>1062.5848029228569</c:v>
                </c:pt>
                <c:pt idx="173">
                  <c:v>1063.302306595449</c:v>
                </c:pt>
                <c:pt idx="174">
                  <c:v>1064.0198101000458</c:v>
                </c:pt>
                <c:pt idx="175">
                  <c:v>1064.737313445233</c:v>
                </c:pt>
                <c:pt idx="176">
                  <c:v>1065.45481663911</c:v>
                </c:pt>
                <c:pt idx="177">
                  <c:v>1066.1723196893238</c:v>
                </c:pt>
                <c:pt idx="178">
                  <c:v>1066.8898226030933</c:v>
                </c:pt>
                <c:pt idx="179">
                  <c:v>1067.6073253872387</c:v>
                </c:pt>
                <c:pt idx="180">
                  <c:v>1068.3248280482035</c:v>
                </c:pt>
                <c:pt idx="181">
                  <c:v>1069.0423305920742</c:v>
                </c:pt>
                <c:pt idx="182">
                  <c:v>1069.7598330246115</c:v>
                </c:pt>
                <c:pt idx="183">
                  <c:v>1070.4773353512583</c:v>
                </c:pt>
                <c:pt idx="184">
                  <c:v>1071.194837577166</c:v>
                </c:pt>
                <c:pt idx="185">
                  <c:v>1071.9123397072087</c:v>
                </c:pt>
                <c:pt idx="186">
                  <c:v>1072.6298417459996</c:v>
                </c:pt>
                <c:pt idx="187">
                  <c:v>1073.3473436979086</c:v>
                </c:pt>
                <c:pt idx="188">
                  <c:v>1074.0648455670721</c:v>
                </c:pt>
                <c:pt idx="189">
                  <c:v>1074.7823473574108</c:v>
                </c:pt>
                <c:pt idx="190">
                  <c:v>1075.49984907264</c:v>
                </c:pt>
                <c:pt idx="191">
                  <c:v>1076.2173507162822</c:v>
                </c:pt>
                <c:pt idx="192">
                  <c:v>1076.9348522916755</c:v>
                </c:pt>
                <c:pt idx="193">
                  <c:v>1077.6523538019881</c:v>
                </c:pt>
                <c:pt idx="194">
                  <c:v>1078.3698552502246</c:v>
                </c:pt>
                <c:pt idx="195">
                  <c:v>1079.0873566392372</c:v>
                </c:pt>
                <c:pt idx="196">
                  <c:v>1079.8048579717326</c:v>
                </c:pt>
                <c:pt idx="197">
                  <c:v>1080.5223592502828</c:v>
                </c:pt>
                <c:pt idx="198">
                  <c:v>1081.2398604773271</c:v>
                </c:pt>
                <c:pt idx="199">
                  <c:v>1081.957361655187</c:v>
                </c:pt>
                <c:pt idx="200">
                  <c:v>1082.6748627860654</c:v>
                </c:pt>
              </c:numCache>
            </c:numRef>
          </c:yVal>
          <c:smooth val="0"/>
          <c:extLst>
            <c:ext xmlns:c16="http://schemas.microsoft.com/office/drawing/2014/chart" uri="{C3380CC4-5D6E-409C-BE32-E72D297353CC}">
              <c16:uniqueId val="{00000000-A993-436D-83DB-340879555C98}"/>
            </c:ext>
          </c:extLst>
        </c:ser>
        <c:ser>
          <c:idx val="1"/>
          <c:order val="1"/>
          <c:tx>
            <c:strRef>
              <c:f>'Armaduras Activas'!$C$2</c:f>
              <c:strCache>
                <c:ptCount val="1"/>
                <c:pt idx="0">
                  <c:v>TRENZAS
C1650</c:v>
                </c:pt>
              </c:strCache>
            </c:strRef>
          </c:tx>
          <c:spPr>
            <a:ln w="25400" cap="rnd">
              <a:solidFill>
                <a:schemeClr val="accent5"/>
              </a:solidFill>
              <a:round/>
            </a:ln>
            <a:effectLst/>
          </c:spPr>
          <c:marker>
            <c:symbol val="none"/>
          </c:marker>
          <c:xVal>
            <c:numRef>
              <c:f>'Armaduras Activas'!$AB$2:$AB$203</c:f>
              <c:numCache>
                <c:formatCode>0.00%</c:formatCode>
                <c:ptCount val="202"/>
                <c:pt idx="0">
                  <c:v>0</c:v>
                </c:pt>
                <c:pt idx="1">
                  <c:v>4.3499999999999995E-4</c:v>
                </c:pt>
                <c:pt idx="2">
                  <c:v>8.699999999999999E-4</c:v>
                </c:pt>
                <c:pt idx="3">
                  <c:v>1.3049999999999997E-3</c:v>
                </c:pt>
                <c:pt idx="4">
                  <c:v>1.7399999999999998E-3</c:v>
                </c:pt>
                <c:pt idx="5">
                  <c:v>2.1749999999999999E-3</c:v>
                </c:pt>
                <c:pt idx="6">
                  <c:v>2.6099999999999999E-3</c:v>
                </c:pt>
                <c:pt idx="7">
                  <c:v>3.045E-3</c:v>
                </c:pt>
                <c:pt idx="8">
                  <c:v>3.48E-3</c:v>
                </c:pt>
                <c:pt idx="9">
                  <c:v>3.9150000000000001E-3</c:v>
                </c:pt>
                <c:pt idx="10">
                  <c:v>4.3499999999999997E-3</c:v>
                </c:pt>
                <c:pt idx="11">
                  <c:v>4.7849999999999993E-3</c:v>
                </c:pt>
                <c:pt idx="12">
                  <c:v>5.2199999999999989E-3</c:v>
                </c:pt>
                <c:pt idx="13">
                  <c:v>5.6549999999999986E-3</c:v>
                </c:pt>
                <c:pt idx="14">
                  <c:v>6.0899999999999982E-3</c:v>
                </c:pt>
                <c:pt idx="15">
                  <c:v>6.5249999999999978E-3</c:v>
                </c:pt>
                <c:pt idx="16">
                  <c:v>6.9599999999999974E-3</c:v>
                </c:pt>
                <c:pt idx="17">
                  <c:v>7.3949999999999971E-3</c:v>
                </c:pt>
                <c:pt idx="18">
                  <c:v>7.8299999999999967E-3</c:v>
                </c:pt>
                <c:pt idx="19">
                  <c:v>8.2649999999999963E-3</c:v>
                </c:pt>
                <c:pt idx="20">
                  <c:v>8.6999999999999959E-3</c:v>
                </c:pt>
                <c:pt idx="21">
                  <c:v>9.1349999999999956E-3</c:v>
                </c:pt>
                <c:pt idx="22">
                  <c:v>9.5699999999999952E-3</c:v>
                </c:pt>
                <c:pt idx="23">
                  <c:v>1.0004999999999995E-2</c:v>
                </c:pt>
                <c:pt idx="24">
                  <c:v>1.0439999999999994E-2</c:v>
                </c:pt>
                <c:pt idx="25">
                  <c:v>1.0874999999999994E-2</c:v>
                </c:pt>
                <c:pt idx="26">
                  <c:v>1.1309999999999994E-2</c:v>
                </c:pt>
                <c:pt idx="27">
                  <c:v>1.1744999999999993E-2</c:v>
                </c:pt>
                <c:pt idx="28">
                  <c:v>1.2179999999999993E-2</c:v>
                </c:pt>
                <c:pt idx="29">
                  <c:v>1.2614999999999993E-2</c:v>
                </c:pt>
                <c:pt idx="30">
                  <c:v>1.3049999999999992E-2</c:v>
                </c:pt>
                <c:pt idx="31">
                  <c:v>1.3484999999999992E-2</c:v>
                </c:pt>
                <c:pt idx="32">
                  <c:v>1.3919999999999991E-2</c:v>
                </c:pt>
                <c:pt idx="33">
                  <c:v>1.4354999999999991E-2</c:v>
                </c:pt>
                <c:pt idx="34">
                  <c:v>1.4789999999999991E-2</c:v>
                </c:pt>
                <c:pt idx="35">
                  <c:v>1.522499999999999E-2</c:v>
                </c:pt>
                <c:pt idx="36">
                  <c:v>1.565999999999999E-2</c:v>
                </c:pt>
                <c:pt idx="37">
                  <c:v>1.6094999999999991E-2</c:v>
                </c:pt>
                <c:pt idx="38">
                  <c:v>1.6529999999999993E-2</c:v>
                </c:pt>
                <c:pt idx="39">
                  <c:v>1.6964999999999994E-2</c:v>
                </c:pt>
                <c:pt idx="40">
                  <c:v>1.7399999999999995E-2</c:v>
                </c:pt>
                <c:pt idx="41">
                  <c:v>1.7834999999999997E-2</c:v>
                </c:pt>
                <c:pt idx="42">
                  <c:v>1.8269999999999998E-2</c:v>
                </c:pt>
                <c:pt idx="43">
                  <c:v>1.8704999999999999E-2</c:v>
                </c:pt>
                <c:pt idx="44">
                  <c:v>1.9140000000000001E-2</c:v>
                </c:pt>
                <c:pt idx="45">
                  <c:v>1.9575000000000002E-2</c:v>
                </c:pt>
                <c:pt idx="46">
                  <c:v>2.0010000000000003E-2</c:v>
                </c:pt>
                <c:pt idx="47">
                  <c:v>2.0445000000000005E-2</c:v>
                </c:pt>
                <c:pt idx="48">
                  <c:v>2.0880000000000006E-2</c:v>
                </c:pt>
                <c:pt idx="49">
                  <c:v>2.1315000000000008E-2</c:v>
                </c:pt>
                <c:pt idx="50">
                  <c:v>2.1750000000000009E-2</c:v>
                </c:pt>
                <c:pt idx="51">
                  <c:v>2.218500000000001E-2</c:v>
                </c:pt>
                <c:pt idx="52">
                  <c:v>2.2620000000000012E-2</c:v>
                </c:pt>
                <c:pt idx="53">
                  <c:v>2.3055000000000013E-2</c:v>
                </c:pt>
                <c:pt idx="54">
                  <c:v>2.3490000000000014E-2</c:v>
                </c:pt>
                <c:pt idx="55">
                  <c:v>2.3925000000000016E-2</c:v>
                </c:pt>
                <c:pt idx="56">
                  <c:v>2.4360000000000017E-2</c:v>
                </c:pt>
                <c:pt idx="57">
                  <c:v>2.4795000000000018E-2</c:v>
                </c:pt>
                <c:pt idx="58">
                  <c:v>2.523000000000002E-2</c:v>
                </c:pt>
                <c:pt idx="59">
                  <c:v>2.5665000000000021E-2</c:v>
                </c:pt>
                <c:pt idx="60">
                  <c:v>2.6100000000000022E-2</c:v>
                </c:pt>
                <c:pt idx="61">
                  <c:v>2.6535000000000024E-2</c:v>
                </c:pt>
                <c:pt idx="62">
                  <c:v>2.6970000000000025E-2</c:v>
                </c:pt>
                <c:pt idx="63">
                  <c:v>2.7405000000000027E-2</c:v>
                </c:pt>
                <c:pt idx="64">
                  <c:v>2.7840000000000028E-2</c:v>
                </c:pt>
                <c:pt idx="65">
                  <c:v>2.8275000000000029E-2</c:v>
                </c:pt>
                <c:pt idx="66">
                  <c:v>2.8710000000000031E-2</c:v>
                </c:pt>
                <c:pt idx="67">
                  <c:v>2.9145000000000032E-2</c:v>
                </c:pt>
                <c:pt idx="68">
                  <c:v>2.9580000000000033E-2</c:v>
                </c:pt>
                <c:pt idx="69">
                  <c:v>3.0015000000000035E-2</c:v>
                </c:pt>
                <c:pt idx="70">
                  <c:v>3.0450000000000036E-2</c:v>
                </c:pt>
                <c:pt idx="71">
                  <c:v>3.0885000000000037E-2</c:v>
                </c:pt>
                <c:pt idx="72">
                  <c:v>3.1320000000000035E-2</c:v>
                </c:pt>
                <c:pt idx="73">
                  <c:v>3.1755000000000033E-2</c:v>
                </c:pt>
                <c:pt idx="74">
                  <c:v>3.2190000000000031E-2</c:v>
                </c:pt>
                <c:pt idx="75">
                  <c:v>3.2625000000000029E-2</c:v>
                </c:pt>
                <c:pt idx="76">
                  <c:v>3.3060000000000027E-2</c:v>
                </c:pt>
                <c:pt idx="77">
                  <c:v>3.3495000000000025E-2</c:v>
                </c:pt>
                <c:pt idx="78">
                  <c:v>3.3930000000000023E-2</c:v>
                </c:pt>
                <c:pt idx="79">
                  <c:v>3.4365000000000021E-2</c:v>
                </c:pt>
                <c:pt idx="80">
                  <c:v>3.4800000000000018E-2</c:v>
                </c:pt>
                <c:pt idx="81">
                  <c:v>3.5235000000000016E-2</c:v>
                </c:pt>
                <c:pt idx="82">
                  <c:v>3.5670000000000014E-2</c:v>
                </c:pt>
                <c:pt idx="83">
                  <c:v>3.6105000000000012E-2</c:v>
                </c:pt>
                <c:pt idx="84">
                  <c:v>3.654000000000001E-2</c:v>
                </c:pt>
                <c:pt idx="85">
                  <c:v>3.6975000000000008E-2</c:v>
                </c:pt>
                <c:pt idx="86">
                  <c:v>3.7410000000000006E-2</c:v>
                </c:pt>
                <c:pt idx="87">
                  <c:v>3.7845000000000004E-2</c:v>
                </c:pt>
                <c:pt idx="88">
                  <c:v>3.8280000000000002E-2</c:v>
                </c:pt>
                <c:pt idx="89">
                  <c:v>3.8714999999999999E-2</c:v>
                </c:pt>
                <c:pt idx="90">
                  <c:v>3.9149999999999997E-2</c:v>
                </c:pt>
                <c:pt idx="91">
                  <c:v>3.9584999999999995E-2</c:v>
                </c:pt>
                <c:pt idx="92">
                  <c:v>4.0019999999999993E-2</c:v>
                </c:pt>
                <c:pt idx="93">
                  <c:v>4.0454999999999991E-2</c:v>
                </c:pt>
                <c:pt idx="94">
                  <c:v>4.0889999999999989E-2</c:v>
                </c:pt>
                <c:pt idx="95">
                  <c:v>4.1324999999999987E-2</c:v>
                </c:pt>
                <c:pt idx="96">
                  <c:v>4.1759999999999985E-2</c:v>
                </c:pt>
                <c:pt idx="97">
                  <c:v>4.2194999999999983E-2</c:v>
                </c:pt>
                <c:pt idx="98">
                  <c:v>4.262999999999998E-2</c:v>
                </c:pt>
                <c:pt idx="99">
                  <c:v>4.3064999999999978E-2</c:v>
                </c:pt>
                <c:pt idx="100">
                  <c:v>4.3499999999999976E-2</c:v>
                </c:pt>
                <c:pt idx="101">
                  <c:v>4.3934999999999974E-2</c:v>
                </c:pt>
                <c:pt idx="102">
                  <c:v>4.4369999999999972E-2</c:v>
                </c:pt>
                <c:pt idx="103">
                  <c:v>4.480499999999997E-2</c:v>
                </c:pt>
                <c:pt idx="104">
                  <c:v>4.5239999999999968E-2</c:v>
                </c:pt>
                <c:pt idx="105">
                  <c:v>4.5674999999999966E-2</c:v>
                </c:pt>
                <c:pt idx="106">
                  <c:v>4.6109999999999964E-2</c:v>
                </c:pt>
                <c:pt idx="107">
                  <c:v>4.6544999999999961E-2</c:v>
                </c:pt>
                <c:pt idx="108">
                  <c:v>4.6979999999999959E-2</c:v>
                </c:pt>
                <c:pt idx="109">
                  <c:v>4.7414999999999957E-2</c:v>
                </c:pt>
                <c:pt idx="110">
                  <c:v>4.7849999999999955E-2</c:v>
                </c:pt>
                <c:pt idx="111">
                  <c:v>4.8284999999999953E-2</c:v>
                </c:pt>
                <c:pt idx="112">
                  <c:v>4.8719999999999951E-2</c:v>
                </c:pt>
                <c:pt idx="113">
                  <c:v>4.9154999999999949E-2</c:v>
                </c:pt>
                <c:pt idx="114">
                  <c:v>4.9589999999999947E-2</c:v>
                </c:pt>
                <c:pt idx="115">
                  <c:v>5.0024999999999945E-2</c:v>
                </c:pt>
                <c:pt idx="116">
                  <c:v>5.0459999999999942E-2</c:v>
                </c:pt>
                <c:pt idx="117">
                  <c:v>5.089499999999994E-2</c:v>
                </c:pt>
                <c:pt idx="118">
                  <c:v>5.1329999999999938E-2</c:v>
                </c:pt>
                <c:pt idx="119">
                  <c:v>5.1764999999999936E-2</c:v>
                </c:pt>
                <c:pt idx="120">
                  <c:v>5.2199999999999934E-2</c:v>
                </c:pt>
                <c:pt idx="121">
                  <c:v>5.2634999999999932E-2</c:v>
                </c:pt>
                <c:pt idx="122">
                  <c:v>5.306999999999993E-2</c:v>
                </c:pt>
                <c:pt idx="123">
                  <c:v>5.3504999999999928E-2</c:v>
                </c:pt>
                <c:pt idx="124">
                  <c:v>5.3939999999999926E-2</c:v>
                </c:pt>
                <c:pt idx="125">
                  <c:v>5.4374999999999923E-2</c:v>
                </c:pt>
                <c:pt idx="126">
                  <c:v>5.4809999999999921E-2</c:v>
                </c:pt>
                <c:pt idx="127">
                  <c:v>5.5244999999999919E-2</c:v>
                </c:pt>
                <c:pt idx="128">
                  <c:v>5.5679999999999917E-2</c:v>
                </c:pt>
                <c:pt idx="129">
                  <c:v>5.6114999999999915E-2</c:v>
                </c:pt>
                <c:pt idx="130">
                  <c:v>5.6549999999999913E-2</c:v>
                </c:pt>
                <c:pt idx="131">
                  <c:v>5.6984999999999911E-2</c:v>
                </c:pt>
                <c:pt idx="132">
                  <c:v>5.7419999999999909E-2</c:v>
                </c:pt>
                <c:pt idx="133">
                  <c:v>5.7854999999999907E-2</c:v>
                </c:pt>
                <c:pt idx="134">
                  <c:v>5.8289999999999904E-2</c:v>
                </c:pt>
                <c:pt idx="135">
                  <c:v>5.8724999999999902E-2</c:v>
                </c:pt>
                <c:pt idx="136">
                  <c:v>5.91599999999999E-2</c:v>
                </c:pt>
                <c:pt idx="137">
                  <c:v>5.9594999999999898E-2</c:v>
                </c:pt>
                <c:pt idx="138">
                  <c:v>6.0029999999999896E-2</c:v>
                </c:pt>
                <c:pt idx="139">
                  <c:v>6.0464999999999894E-2</c:v>
                </c:pt>
                <c:pt idx="140">
                  <c:v>6.0899999999999892E-2</c:v>
                </c:pt>
                <c:pt idx="141">
                  <c:v>6.133499999999989E-2</c:v>
                </c:pt>
                <c:pt idx="142">
                  <c:v>6.1769999999999887E-2</c:v>
                </c:pt>
                <c:pt idx="143">
                  <c:v>6.2204999999999885E-2</c:v>
                </c:pt>
                <c:pt idx="144">
                  <c:v>6.263999999999989E-2</c:v>
                </c:pt>
                <c:pt idx="145">
                  <c:v>6.3074999999999895E-2</c:v>
                </c:pt>
                <c:pt idx="146">
                  <c:v>6.35099999999999E-2</c:v>
                </c:pt>
                <c:pt idx="147">
                  <c:v>6.3944999999999905E-2</c:v>
                </c:pt>
                <c:pt idx="148">
                  <c:v>6.437999999999991E-2</c:v>
                </c:pt>
                <c:pt idx="149">
                  <c:v>6.4814999999999914E-2</c:v>
                </c:pt>
                <c:pt idx="150">
                  <c:v>6.5249999999999919E-2</c:v>
                </c:pt>
                <c:pt idx="151">
                  <c:v>6.5684999999999924E-2</c:v>
                </c:pt>
                <c:pt idx="152">
                  <c:v>6.6119999999999929E-2</c:v>
                </c:pt>
                <c:pt idx="153">
                  <c:v>6.6554999999999934E-2</c:v>
                </c:pt>
                <c:pt idx="154">
                  <c:v>6.6989999999999938E-2</c:v>
                </c:pt>
                <c:pt idx="155">
                  <c:v>6.7424999999999943E-2</c:v>
                </c:pt>
                <c:pt idx="156">
                  <c:v>6.7859999999999948E-2</c:v>
                </c:pt>
                <c:pt idx="157">
                  <c:v>6.8294999999999953E-2</c:v>
                </c:pt>
                <c:pt idx="158">
                  <c:v>6.8729999999999958E-2</c:v>
                </c:pt>
                <c:pt idx="159">
                  <c:v>6.9164999999999963E-2</c:v>
                </c:pt>
                <c:pt idx="160">
                  <c:v>6.9599999999999967E-2</c:v>
                </c:pt>
                <c:pt idx="161">
                  <c:v>7.0034999999999972E-2</c:v>
                </c:pt>
                <c:pt idx="162">
                  <c:v>7.0469999999999977E-2</c:v>
                </c:pt>
                <c:pt idx="163">
                  <c:v>7.0904999999999982E-2</c:v>
                </c:pt>
                <c:pt idx="164">
                  <c:v>7.1339999999999987E-2</c:v>
                </c:pt>
                <c:pt idx="165">
                  <c:v>7.1774999999999992E-2</c:v>
                </c:pt>
                <c:pt idx="166">
                  <c:v>7.2209999999999996E-2</c:v>
                </c:pt>
                <c:pt idx="167">
                  <c:v>7.2645000000000001E-2</c:v>
                </c:pt>
                <c:pt idx="168">
                  <c:v>7.3080000000000006E-2</c:v>
                </c:pt>
                <c:pt idx="169">
                  <c:v>7.3515000000000011E-2</c:v>
                </c:pt>
                <c:pt idx="170">
                  <c:v>7.3950000000000016E-2</c:v>
                </c:pt>
                <c:pt idx="171">
                  <c:v>7.4385000000000021E-2</c:v>
                </c:pt>
                <c:pt idx="172">
                  <c:v>7.4820000000000025E-2</c:v>
                </c:pt>
                <c:pt idx="173">
                  <c:v>7.525500000000003E-2</c:v>
                </c:pt>
                <c:pt idx="174">
                  <c:v>7.5690000000000035E-2</c:v>
                </c:pt>
                <c:pt idx="175">
                  <c:v>7.612500000000004E-2</c:v>
                </c:pt>
                <c:pt idx="176">
                  <c:v>7.6560000000000045E-2</c:v>
                </c:pt>
                <c:pt idx="177">
                  <c:v>7.699500000000005E-2</c:v>
                </c:pt>
                <c:pt idx="178">
                  <c:v>7.7430000000000054E-2</c:v>
                </c:pt>
                <c:pt idx="179">
                  <c:v>7.7865000000000059E-2</c:v>
                </c:pt>
                <c:pt idx="180">
                  <c:v>7.8300000000000064E-2</c:v>
                </c:pt>
                <c:pt idx="181">
                  <c:v>7.8735000000000069E-2</c:v>
                </c:pt>
                <c:pt idx="182">
                  <c:v>7.9170000000000074E-2</c:v>
                </c:pt>
                <c:pt idx="183">
                  <c:v>7.9605000000000078E-2</c:v>
                </c:pt>
                <c:pt idx="184">
                  <c:v>8.0040000000000083E-2</c:v>
                </c:pt>
                <c:pt idx="185">
                  <c:v>8.0475000000000088E-2</c:v>
                </c:pt>
                <c:pt idx="186">
                  <c:v>8.0910000000000093E-2</c:v>
                </c:pt>
                <c:pt idx="187">
                  <c:v>8.1345000000000098E-2</c:v>
                </c:pt>
                <c:pt idx="188">
                  <c:v>8.1780000000000103E-2</c:v>
                </c:pt>
                <c:pt idx="189">
                  <c:v>8.2215000000000107E-2</c:v>
                </c:pt>
                <c:pt idx="190">
                  <c:v>8.2650000000000112E-2</c:v>
                </c:pt>
                <c:pt idx="191">
                  <c:v>8.3085000000000117E-2</c:v>
                </c:pt>
                <c:pt idx="192">
                  <c:v>8.3520000000000122E-2</c:v>
                </c:pt>
                <c:pt idx="193">
                  <c:v>8.3955000000000127E-2</c:v>
                </c:pt>
                <c:pt idx="194">
                  <c:v>8.4390000000000132E-2</c:v>
                </c:pt>
                <c:pt idx="195">
                  <c:v>8.4825000000000136E-2</c:v>
                </c:pt>
                <c:pt idx="196">
                  <c:v>8.5260000000000141E-2</c:v>
                </c:pt>
                <c:pt idx="197">
                  <c:v>8.5695000000000146E-2</c:v>
                </c:pt>
                <c:pt idx="198">
                  <c:v>8.6130000000000151E-2</c:v>
                </c:pt>
                <c:pt idx="199">
                  <c:v>8.6565000000000156E-2</c:v>
                </c:pt>
                <c:pt idx="200">
                  <c:v>8.7000000000000161E-2</c:v>
                </c:pt>
              </c:numCache>
            </c:numRef>
          </c:xVal>
          <c:yVal>
            <c:numRef>
              <c:f>'Armaduras Activas'!$AF$2:$AF$203</c:f>
              <c:numCache>
                <c:formatCode>General</c:formatCode>
                <c:ptCount val="202"/>
                <c:pt idx="0">
                  <c:v>0</c:v>
                </c:pt>
                <c:pt idx="1">
                  <c:v>86.999999630371462</c:v>
                </c:pt>
                <c:pt idx="2">
                  <c:v>173.99995067843844</c:v>
                </c:pt>
                <c:pt idx="3">
                  <c:v>260.99913655149771</c:v>
                </c:pt>
                <c:pt idx="4">
                  <c:v>347.99341918244039</c:v>
                </c:pt>
                <c:pt idx="5">
                  <c:v>434.96820338092874</c:v>
                </c:pt>
                <c:pt idx="6">
                  <c:v>521.88487410891469</c:v>
                </c:pt>
                <c:pt idx="7">
                  <c:v>608.65857735985071</c:v>
                </c:pt>
                <c:pt idx="8">
                  <c:v>695.1257397868759</c:v>
                </c:pt>
                <c:pt idx="9">
                  <c:v>781.00119638044816</c:v>
                </c:pt>
                <c:pt idx="10">
                  <c:v>865.82809180262234</c:v>
                </c:pt>
                <c:pt idx="11">
                  <c:v>948.92976794734898</c:v>
                </c:pt>
                <c:pt idx="12">
                  <c:v>1029.3815974948031</c:v>
                </c:pt>
                <c:pt idx="13">
                  <c:v>1106.0290831301095</c:v>
                </c:pt>
                <c:pt idx="14">
                  <c:v>1177.5785181697943</c:v>
                </c:pt>
                <c:pt idx="15">
                  <c:v>1242.7676625586503</c:v>
                </c:pt>
                <c:pt idx="16">
                  <c:v>1300.5844653729471</c:v>
                </c:pt>
                <c:pt idx="17">
                  <c:v>1350.461931954233</c:v>
                </c:pt>
                <c:pt idx="18">
                  <c:v>1392.3718394422924</c:v>
                </c:pt>
                <c:pt idx="19">
                  <c:v>1426.7840988270054</c:v>
                </c:pt>
                <c:pt idx="20">
                  <c:v>1454.5225857861851</c:v>
                </c:pt>
                <c:pt idx="21">
                  <c:v>1476.5851830361207</c:v>
                </c:pt>
                <c:pt idx="22">
                  <c:v>1493.9883660813321</c:v>
                </c:pt>
                <c:pt idx="23">
                  <c:v>1507.6648677687979</c:v>
                </c:pt>
                <c:pt idx="24">
                  <c:v>1518.4140146027107</c:v>
                </c:pt>
                <c:pt idx="25">
                  <c:v>1526.8901738076659</c:v>
                </c:pt>
                <c:pt idx="26">
                  <c:v>1533.6129977030303</c:v>
                </c:pt>
                <c:pt idx="27">
                  <c:v>1538.9871246988625</c:v>
                </c:pt>
                <c:pt idx="28">
                  <c:v>1543.3238653782903</c:v>
                </c:pt>
                <c:pt idx="29">
                  <c:v>1546.8611472214488</c:v>
                </c:pt>
                <c:pt idx="30">
                  <c:v>1549.7803069609201</c:v>
                </c:pt>
                <c:pt idx="31">
                  <c:v>1552.2195394822354</c:v>
                </c:pt>
                <c:pt idx="32">
                  <c:v>1554.2843523735944</c:v>
                </c:pt>
                <c:pt idx="33">
                  <c:v>1556.0555484796198</c:v>
                </c:pt>
                <c:pt idx="34">
                  <c:v>1557.5952580436226</c:v>
                </c:pt>
                <c:pt idx="35">
                  <c:v>1558.9514724301023</c:v>
                </c:pt>
                <c:pt idx="36">
                  <c:v>1560.1614447077759</c:v>
                </c:pt>
                <c:pt idx="37">
                  <c:v>1561.2542409989123</c:v>
                </c:pt>
                <c:pt idx="38">
                  <c:v>1562.2526582522805</c:v>
                </c:pt>
                <c:pt idx="39">
                  <c:v>1563.1746700583878</c:v>
                </c:pt>
                <c:pt idx="40">
                  <c:v>1564.0345207140133</c:v>
                </c:pt>
                <c:pt idx="41">
                  <c:v>1564.8435566141513</c:v>
                </c:pt>
                <c:pt idx="42">
                  <c:v>1565.6108609131793</c:v>
                </c:pt>
                <c:pt idx="43">
                  <c:v>1566.3437403080673</c:v>
                </c:pt>
                <c:pt idx="44">
                  <c:v>1567.0481002102833</c:v>
                </c:pt>
                <c:pt idx="45">
                  <c:v>1567.7287353085928</c:v>
                </c:pt>
                <c:pt idx="46">
                  <c:v>1568.3895556985185</c:v>
                </c:pt>
                <c:pt idx="47">
                  <c:v>1569.0337637135026</c:v>
                </c:pt>
                <c:pt idx="48">
                  <c:v>1569.6639928597299</c:v>
                </c:pt>
                <c:pt idx="49">
                  <c:v>1570.2824174822592</c:v>
                </c:pt>
                <c:pt idx="50">
                  <c:v>1570.8908397204057</c:v>
                </c:pt>
                <c:pt idx="51">
                  <c:v>1571.4907587598157</c:v>
                </c:pt>
                <c:pt idx="52">
                  <c:v>1572.0834262222713</c:v>
                </c:pt>
                <c:pt idx="53">
                  <c:v>1572.66989065282</c:v>
                </c:pt>
                <c:pt idx="54">
                  <c:v>1573.2510333949363</c:v>
                </c:pt>
                <c:pt idx="55">
                  <c:v>1573.8275976344462</c:v>
                </c:pt>
                <c:pt idx="56">
                  <c:v>1574.4002120025193</c:v>
                </c:pt>
                <c:pt idx="57">
                  <c:v>1574.9694098277846</c:v>
                </c:pt>
                <c:pt idx="58">
                  <c:v>1575.5356448957432</c:v>
                </c:pt>
                <c:pt idx="59">
                  <c:v>1576.099304393819</c:v>
                </c:pt>
                <c:pt idx="60">
                  <c:v>1576.6607195803442</c:v>
                </c:pt>
                <c:pt idx="61">
                  <c:v>1577.2201746062865</c:v>
                </c:pt>
                <c:pt idx="62">
                  <c:v>1577.7779138325525</c:v>
                </c:pt>
                <c:pt idx="63">
                  <c:v>1578.3341479179908</c:v>
                </c:pt>
                <c:pt idx="64">
                  <c:v>1578.8890588996255</c:v>
                </c:pt>
                <c:pt idx="65">
                  <c:v>1579.4428044441347</c:v>
                </c:pt>
                <c:pt idx="66">
                  <c:v>1579.995521415688</c:v>
                </c:pt>
                <c:pt idx="67">
                  <c:v>1580.5473288781848</c:v>
                </c:pt>
                <c:pt idx="68">
                  <c:v>1581.098330628193</c:v>
                </c:pt>
                <c:pt idx="69">
                  <c:v>1581.6486173373967</c:v>
                </c:pt>
                <c:pt idx="70">
                  <c:v>1582.1982683692436</c:v>
                </c:pt>
                <c:pt idx="71">
                  <c:v>1582.7473533230539</c:v>
                </c:pt>
                <c:pt idx="72">
                  <c:v>1583.2959333495389</c:v>
                </c:pt>
                <c:pt idx="73">
                  <c:v>1583.8440622741234</c:v>
                </c:pt>
                <c:pt idx="74">
                  <c:v>1584.3917875582824</c:v>
                </c:pt>
                <c:pt idx="75">
                  <c:v>1584.9391511240069</c:v>
                </c:pt>
                <c:pt idx="76">
                  <c:v>1585.4861900623835</c:v>
                </c:pt>
                <c:pt idx="77">
                  <c:v>1586.0329372438046</c:v>
                </c:pt>
                <c:pt idx="78">
                  <c:v>1586.579421844523</c:v>
                </c:pt>
                <c:pt idx="79">
                  <c:v>1587.1256698018885</c:v>
                </c:pt>
                <c:pt idx="80">
                  <c:v>1587.6717042086693</c:v>
                </c:pt>
                <c:pt idx="81">
                  <c:v>1588.217545655245</c:v>
                </c:pt>
                <c:pt idx="82">
                  <c:v>1588.7632125270841</c:v>
                </c:pt>
                <c:pt idx="83">
                  <c:v>1589.3087212638068</c:v>
                </c:pt>
                <c:pt idx="84">
                  <c:v>1589.8540865851801</c:v>
                </c:pt>
                <c:pt idx="85">
                  <c:v>1590.3993216885881</c:v>
                </c:pt>
                <c:pt idx="86">
                  <c:v>1590.9444384218616</c:v>
                </c:pt>
                <c:pt idx="87">
                  <c:v>1591.4894474347843</c:v>
                </c:pt>
                <c:pt idx="88">
                  <c:v>1592.034358312105</c:v>
                </c:pt>
                <c:pt idx="89">
                  <c:v>1592.5791796904998</c:v>
                </c:pt>
                <c:pt idx="90">
                  <c:v>1593.1239193615597</c:v>
                </c:pt>
                <c:pt idx="91">
                  <c:v>1593.6685843626187</c:v>
                </c:pt>
                <c:pt idx="92">
                  <c:v>1594.2131810569613</c:v>
                </c:pt>
                <c:pt idx="93">
                  <c:v>1594.7577152047511</c:v>
                </c:pt>
                <c:pt idx="94">
                  <c:v>1595.3021920258448</c:v>
                </c:pt>
                <c:pt idx="95">
                  <c:v>1595.8466162554832</c:v>
                </c:pt>
                <c:pt idx="96">
                  <c:v>1596.3909921937343</c:v>
                </c:pt>
                <c:pt idx="97">
                  <c:v>1596.9353237494579</c:v>
                </c:pt>
                <c:pt idx="98">
                  <c:v>1597.4796144794236</c:v>
                </c:pt>
                <c:pt idx="99">
                  <c:v>1598.0238676231775</c:v>
                </c:pt>
                <c:pt idx="100">
                  <c:v>1598.5680861341477</c:v>
                </c:pt>
                <c:pt idx="101">
                  <c:v>1599.1122727074339</c:v>
                </c:pt>
                <c:pt idx="102">
                  <c:v>1599.6564298046515</c:v>
                </c:pt>
                <c:pt idx="103">
                  <c:v>1600.200559676179</c:v>
                </c:pt>
                <c:pt idx="104">
                  <c:v>1600.7446643810954</c:v>
                </c:pt>
                <c:pt idx="105">
                  <c:v>1601.2887458050673</c:v>
                </c:pt>
                <c:pt idx="106">
                  <c:v>1601.8328056764146</c:v>
                </c:pt>
                <c:pt idx="107">
                  <c:v>1602.3768455805568</c:v>
                </c:pt>
                <c:pt idx="108">
                  <c:v>1602.9208669730124</c:v>
                </c:pt>
                <c:pt idx="109">
                  <c:v>1603.4648711911093</c:v>
                </c:pt>
                <c:pt idx="110">
                  <c:v>1604.0088594645479</c:v>
                </c:pt>
                <c:pt idx="111">
                  <c:v>1604.5528329249323</c:v>
                </c:pt>
                <c:pt idx="112">
                  <c:v>1605.0967926143842</c:v>
                </c:pt>
                <c:pt idx="113">
                  <c:v>1605.6407394933315</c:v>
                </c:pt>
                <c:pt idx="114">
                  <c:v>1606.1846744475554</c:v>
                </c:pt>
                <c:pt idx="115">
                  <c:v>1606.728598294583</c:v>
                </c:pt>
                <c:pt idx="116">
                  <c:v>1607.2725117894704</c:v>
                </c:pt>
                <c:pt idx="117">
                  <c:v>1607.8164156300641</c:v>
                </c:pt>
                <c:pt idx="118">
                  <c:v>1608.3603104617728</c:v>
                </c:pt>
                <c:pt idx="119">
                  <c:v>1608.9041968819035</c:v>
                </c:pt>
                <c:pt idx="120">
                  <c:v>1609.4480754436158</c:v>
                </c:pt>
                <c:pt idx="121">
                  <c:v>1609.9919466595084</c:v>
                </c:pt>
                <c:pt idx="122">
                  <c:v>1610.5358110048994</c:v>
                </c:pt>
                <c:pt idx="123">
                  <c:v>1611.0796689208119</c:v>
                </c:pt>
                <c:pt idx="124">
                  <c:v>1611.6235208166975</c:v>
                </c:pt>
                <c:pt idx="125">
                  <c:v>1612.1673670729322</c:v>
                </c:pt>
                <c:pt idx="126">
                  <c:v>1612.7112080430836</c:v>
                </c:pt>
                <c:pt idx="127">
                  <c:v>1613.2550440559969</c:v>
                </c:pt>
                <c:pt idx="128">
                  <c:v>1613.7988754176993</c:v>
                </c:pt>
                <c:pt idx="129">
                  <c:v>1614.3427024131422</c:v>
                </c:pt>
                <c:pt idx="130">
                  <c:v>1614.8865253078045</c:v>
                </c:pt>
                <c:pt idx="131">
                  <c:v>1615.430344349156</c:v>
                </c:pt>
                <c:pt idx="132">
                  <c:v>1615.9741597680054</c:v>
                </c:pt>
                <c:pt idx="133">
                  <c:v>1616.5179717797339</c:v>
                </c:pt>
                <c:pt idx="134">
                  <c:v>1617.0617805854386</c:v>
                </c:pt>
                <c:pt idx="135">
                  <c:v>1617.6055863729669</c:v>
                </c:pt>
                <c:pt idx="136">
                  <c:v>1618.1493893178865</c:v>
                </c:pt>
                <c:pt idx="137">
                  <c:v>1618.6931895843682</c:v>
                </c:pt>
                <c:pt idx="138">
                  <c:v>1619.2369873259984</c:v>
                </c:pt>
                <c:pt idx="139">
                  <c:v>1619.7807826865371</c:v>
                </c:pt>
                <c:pt idx="140">
                  <c:v>1620.3245758006076</c:v>
                </c:pt>
                <c:pt idx="141">
                  <c:v>1620.8683667943351</c:v>
                </c:pt>
                <c:pt idx="142">
                  <c:v>1621.4121557859426</c:v>
                </c:pt>
                <c:pt idx="143">
                  <c:v>1621.9559428862935</c:v>
                </c:pt>
                <c:pt idx="144">
                  <c:v>1622.4997281993994</c:v>
                </c:pt>
                <c:pt idx="145">
                  <c:v>1623.0435118228825</c:v>
                </c:pt>
                <c:pt idx="146">
                  <c:v>1623.5872938484154</c:v>
                </c:pt>
                <c:pt idx="147">
                  <c:v>1624.1310743621159</c:v>
                </c:pt>
                <c:pt idx="148">
                  <c:v>1624.6748534449175</c:v>
                </c:pt>
                <c:pt idx="149">
                  <c:v>1625.2186311729197</c:v>
                </c:pt>
                <c:pt idx="150">
                  <c:v>1625.7624076176987</c:v>
                </c:pt>
                <c:pt idx="151">
                  <c:v>1626.3061828466095</c:v>
                </c:pt>
                <c:pt idx="152">
                  <c:v>1626.8499569230598</c:v>
                </c:pt>
                <c:pt idx="153">
                  <c:v>1627.3937299067641</c:v>
                </c:pt>
                <c:pt idx="154">
                  <c:v>1627.9375018539799</c:v>
                </c:pt>
                <c:pt idx="155">
                  <c:v>1628.4812728177296</c:v>
                </c:pt>
                <c:pt idx="156">
                  <c:v>1629.0250428480067</c:v>
                </c:pt>
                <c:pt idx="157">
                  <c:v>1629.5688119919678</c:v>
                </c:pt>
                <c:pt idx="158">
                  <c:v>1630.1125802941051</c:v>
                </c:pt>
                <c:pt idx="159">
                  <c:v>1630.6563477964178</c:v>
                </c:pt>
                <c:pt idx="160">
                  <c:v>1631.2001145385641</c:v>
                </c:pt>
                <c:pt idx="161">
                  <c:v>1631.7438805580057</c:v>
                </c:pt>
                <c:pt idx="162">
                  <c:v>1632.2876458901389</c:v>
                </c:pt>
                <c:pt idx="163">
                  <c:v>1632.8314105684287</c:v>
                </c:pt>
                <c:pt idx="164">
                  <c:v>1633.3751746245148</c:v>
                </c:pt>
                <c:pt idx="165">
                  <c:v>1633.9189380883263</c:v>
                </c:pt>
                <c:pt idx="166">
                  <c:v>1634.462700988187</c:v>
                </c:pt>
                <c:pt idx="167">
                  <c:v>1635.0064633509044</c:v>
                </c:pt>
                <c:pt idx="168">
                  <c:v>1635.5502252018628</c:v>
                </c:pt>
                <c:pt idx="169">
                  <c:v>1636.0939865651055</c:v>
                </c:pt>
                <c:pt idx="170">
                  <c:v>1636.6377474634146</c:v>
                </c:pt>
                <c:pt idx="171">
                  <c:v>1637.1815079183821</c:v>
                </c:pt>
                <c:pt idx="172">
                  <c:v>1637.7252679504784</c:v>
                </c:pt>
                <c:pt idx="173">
                  <c:v>1638.2690275791203</c:v>
                </c:pt>
                <c:pt idx="174">
                  <c:v>1638.8127868227245</c:v>
                </c:pt>
                <c:pt idx="175">
                  <c:v>1639.3565456987706</c:v>
                </c:pt>
                <c:pt idx="176">
                  <c:v>1639.9003042238494</c:v>
                </c:pt>
                <c:pt idx="177">
                  <c:v>1640.4440624137185</c:v>
                </c:pt>
                <c:pt idx="178">
                  <c:v>1640.9878202833393</c:v>
                </c:pt>
                <c:pt idx="179">
                  <c:v>1641.5315778469301</c:v>
                </c:pt>
                <c:pt idx="180">
                  <c:v>1642.0753351180026</c:v>
                </c:pt>
                <c:pt idx="181">
                  <c:v>1642.6190921094019</c:v>
                </c:pt>
                <c:pt idx="182">
                  <c:v>1643.1628488333422</c:v>
                </c:pt>
                <c:pt idx="183">
                  <c:v>1643.7066053014412</c:v>
                </c:pt>
                <c:pt idx="184">
                  <c:v>1644.2503615247524</c:v>
                </c:pt>
                <c:pt idx="185">
                  <c:v>1644.7941175137967</c:v>
                </c:pt>
                <c:pt idx="186">
                  <c:v>1645.337873278587</c:v>
                </c:pt>
                <c:pt idx="187">
                  <c:v>1645.8816288286598</c:v>
                </c:pt>
                <c:pt idx="188">
                  <c:v>1646.425384173097</c:v>
                </c:pt>
                <c:pt idx="189">
                  <c:v>1646.9691393205514</c:v>
                </c:pt>
                <c:pt idx="190">
                  <c:v>1647.5128942792674</c:v>
                </c:pt>
                <c:pt idx="191">
                  <c:v>1648.0566490571068</c:v>
                </c:pt>
                <c:pt idx="192">
                  <c:v>1648.6004036615609</c:v>
                </c:pt>
                <c:pt idx="193">
                  <c:v>1649.1441580997782</c:v>
                </c:pt>
                <c:pt idx="194">
                  <c:v>1649.6879123785736</c:v>
                </c:pt>
                <c:pt idx="195">
                  <c:v>1650.2316665044527</c:v>
                </c:pt>
                <c:pt idx="196">
                  <c:v>1650.7754204836237</c:v>
                </c:pt>
                <c:pt idx="197">
                  <c:v>1651.3191743220113</c:v>
                </c:pt>
                <c:pt idx="198">
                  <c:v>1651.8629280252728</c:v>
                </c:pt>
                <c:pt idx="199">
                  <c:v>1652.4066815988133</c:v>
                </c:pt>
                <c:pt idx="200">
                  <c:v>1652.9504350477941</c:v>
                </c:pt>
              </c:numCache>
            </c:numRef>
          </c:yVal>
          <c:smooth val="0"/>
          <c:extLst>
            <c:ext xmlns:c16="http://schemas.microsoft.com/office/drawing/2014/chart" uri="{C3380CC4-5D6E-409C-BE32-E72D297353CC}">
              <c16:uniqueId val="{00000001-A993-436D-83DB-340879555C98}"/>
            </c:ext>
          </c:extLst>
        </c:ser>
        <c:ser>
          <c:idx val="2"/>
          <c:order val="2"/>
          <c:tx>
            <c:strRef>
              <c:f>'Armaduras Activas'!$D$2</c:f>
              <c:strCache>
                <c:ptCount val="1"/>
                <c:pt idx="0">
                  <c:v>TRENZAS
C1900</c:v>
                </c:pt>
              </c:strCache>
            </c:strRef>
          </c:tx>
          <c:spPr>
            <a:ln w="25400" cap="rnd">
              <a:solidFill>
                <a:schemeClr val="accent4"/>
              </a:solidFill>
              <a:round/>
            </a:ln>
            <a:effectLst/>
          </c:spPr>
          <c:marker>
            <c:symbol val="none"/>
          </c:marker>
          <c:xVal>
            <c:numRef>
              <c:f>'Armaduras Activas'!$AC$2:$AC$203</c:f>
              <c:numCache>
                <c:formatCode>0.00%</c:formatCode>
                <c:ptCount val="202"/>
                <c:pt idx="0">
                  <c:v>0</c:v>
                </c:pt>
                <c:pt idx="1">
                  <c:v>3.4500000000000004E-4</c:v>
                </c:pt>
                <c:pt idx="2">
                  <c:v>6.9000000000000008E-4</c:v>
                </c:pt>
                <c:pt idx="3">
                  <c:v>1.0350000000000001E-3</c:v>
                </c:pt>
                <c:pt idx="4">
                  <c:v>1.3800000000000002E-3</c:v>
                </c:pt>
                <c:pt idx="5">
                  <c:v>1.7250000000000002E-3</c:v>
                </c:pt>
                <c:pt idx="6">
                  <c:v>2.0700000000000002E-3</c:v>
                </c:pt>
                <c:pt idx="7">
                  <c:v>2.4150000000000005E-3</c:v>
                </c:pt>
                <c:pt idx="8">
                  <c:v>2.7600000000000003E-3</c:v>
                </c:pt>
                <c:pt idx="9">
                  <c:v>3.1050000000000001E-3</c:v>
                </c:pt>
                <c:pt idx="10">
                  <c:v>3.4499999999999999E-3</c:v>
                </c:pt>
                <c:pt idx="11">
                  <c:v>3.7949999999999998E-3</c:v>
                </c:pt>
                <c:pt idx="12">
                  <c:v>4.1399999999999996E-3</c:v>
                </c:pt>
                <c:pt idx="13">
                  <c:v>4.4849999999999994E-3</c:v>
                </c:pt>
                <c:pt idx="14">
                  <c:v>4.8299999999999992E-3</c:v>
                </c:pt>
                <c:pt idx="15">
                  <c:v>5.174999999999999E-3</c:v>
                </c:pt>
                <c:pt idx="16">
                  <c:v>5.5199999999999989E-3</c:v>
                </c:pt>
                <c:pt idx="17">
                  <c:v>5.8649999999999987E-3</c:v>
                </c:pt>
                <c:pt idx="18">
                  <c:v>6.2099999999999985E-3</c:v>
                </c:pt>
                <c:pt idx="19">
                  <c:v>6.5549999999999983E-3</c:v>
                </c:pt>
                <c:pt idx="20">
                  <c:v>6.8999999999999981E-3</c:v>
                </c:pt>
                <c:pt idx="21">
                  <c:v>7.244999999999998E-3</c:v>
                </c:pt>
                <c:pt idx="22">
                  <c:v>7.5899999999999978E-3</c:v>
                </c:pt>
                <c:pt idx="23">
                  <c:v>7.9349999999999976E-3</c:v>
                </c:pt>
                <c:pt idx="24">
                  <c:v>8.2799999999999974E-3</c:v>
                </c:pt>
                <c:pt idx="25">
                  <c:v>8.6249999999999973E-3</c:v>
                </c:pt>
                <c:pt idx="26">
                  <c:v>8.9699999999999971E-3</c:v>
                </c:pt>
                <c:pt idx="27">
                  <c:v>9.3149999999999969E-3</c:v>
                </c:pt>
                <c:pt idx="28">
                  <c:v>9.6599999999999967E-3</c:v>
                </c:pt>
                <c:pt idx="29">
                  <c:v>1.0004999999999997E-2</c:v>
                </c:pt>
                <c:pt idx="30">
                  <c:v>1.0349999999999996E-2</c:v>
                </c:pt>
                <c:pt idx="31">
                  <c:v>1.0694999999999996E-2</c:v>
                </c:pt>
                <c:pt idx="32">
                  <c:v>1.1039999999999996E-2</c:v>
                </c:pt>
                <c:pt idx="33">
                  <c:v>1.1384999999999996E-2</c:v>
                </c:pt>
                <c:pt idx="34">
                  <c:v>1.1729999999999996E-2</c:v>
                </c:pt>
                <c:pt idx="35">
                  <c:v>1.2074999999999995E-2</c:v>
                </c:pt>
                <c:pt idx="36">
                  <c:v>1.2419999999999995E-2</c:v>
                </c:pt>
                <c:pt idx="37">
                  <c:v>1.2764999999999995E-2</c:v>
                </c:pt>
                <c:pt idx="38">
                  <c:v>1.3109999999999995E-2</c:v>
                </c:pt>
                <c:pt idx="39">
                  <c:v>1.3454999999999995E-2</c:v>
                </c:pt>
                <c:pt idx="40">
                  <c:v>1.3799999999999995E-2</c:v>
                </c:pt>
                <c:pt idx="41">
                  <c:v>1.4144999999999994E-2</c:v>
                </c:pt>
                <c:pt idx="42">
                  <c:v>1.4489999999999994E-2</c:v>
                </c:pt>
                <c:pt idx="43">
                  <c:v>1.4834999999999994E-2</c:v>
                </c:pt>
                <c:pt idx="44">
                  <c:v>1.5179999999999994E-2</c:v>
                </c:pt>
                <c:pt idx="45">
                  <c:v>1.5524999999999994E-2</c:v>
                </c:pt>
                <c:pt idx="46">
                  <c:v>1.5869999999999995E-2</c:v>
                </c:pt>
                <c:pt idx="47">
                  <c:v>1.6214999999999997E-2</c:v>
                </c:pt>
                <c:pt idx="48">
                  <c:v>1.6559999999999998E-2</c:v>
                </c:pt>
                <c:pt idx="49">
                  <c:v>1.6905E-2</c:v>
                </c:pt>
                <c:pt idx="50">
                  <c:v>1.7250000000000001E-2</c:v>
                </c:pt>
                <c:pt idx="51">
                  <c:v>1.7595000000000003E-2</c:v>
                </c:pt>
                <c:pt idx="52">
                  <c:v>1.7940000000000005E-2</c:v>
                </c:pt>
                <c:pt idx="53">
                  <c:v>1.8285000000000006E-2</c:v>
                </c:pt>
                <c:pt idx="54">
                  <c:v>1.8630000000000008E-2</c:v>
                </c:pt>
                <c:pt idx="55">
                  <c:v>1.8975000000000009E-2</c:v>
                </c:pt>
                <c:pt idx="56">
                  <c:v>1.9320000000000011E-2</c:v>
                </c:pt>
                <c:pt idx="57">
                  <c:v>1.9665000000000012E-2</c:v>
                </c:pt>
                <c:pt idx="58">
                  <c:v>2.0010000000000014E-2</c:v>
                </c:pt>
                <c:pt idx="59">
                  <c:v>2.0355000000000015E-2</c:v>
                </c:pt>
                <c:pt idx="60">
                  <c:v>2.0700000000000017E-2</c:v>
                </c:pt>
                <c:pt idx="61">
                  <c:v>2.1045000000000019E-2</c:v>
                </c:pt>
                <c:pt idx="62">
                  <c:v>2.139000000000002E-2</c:v>
                </c:pt>
                <c:pt idx="63">
                  <c:v>2.1735000000000022E-2</c:v>
                </c:pt>
                <c:pt idx="64">
                  <c:v>2.2080000000000023E-2</c:v>
                </c:pt>
                <c:pt idx="65">
                  <c:v>2.2425000000000025E-2</c:v>
                </c:pt>
                <c:pt idx="66">
                  <c:v>2.2770000000000026E-2</c:v>
                </c:pt>
                <c:pt idx="67">
                  <c:v>2.3115000000000028E-2</c:v>
                </c:pt>
                <c:pt idx="68">
                  <c:v>2.3460000000000029E-2</c:v>
                </c:pt>
                <c:pt idx="69">
                  <c:v>2.3805000000000031E-2</c:v>
                </c:pt>
                <c:pt idx="70">
                  <c:v>2.4150000000000033E-2</c:v>
                </c:pt>
                <c:pt idx="71">
                  <c:v>2.4495000000000034E-2</c:v>
                </c:pt>
                <c:pt idx="72">
                  <c:v>2.4840000000000036E-2</c:v>
                </c:pt>
                <c:pt idx="73">
                  <c:v>2.5185000000000037E-2</c:v>
                </c:pt>
                <c:pt idx="74">
                  <c:v>2.5530000000000039E-2</c:v>
                </c:pt>
                <c:pt idx="75">
                  <c:v>2.587500000000004E-2</c:v>
                </c:pt>
                <c:pt idx="76">
                  <c:v>2.6220000000000042E-2</c:v>
                </c:pt>
                <c:pt idx="77">
                  <c:v>2.6565000000000043E-2</c:v>
                </c:pt>
                <c:pt idx="78">
                  <c:v>2.6910000000000045E-2</c:v>
                </c:pt>
                <c:pt idx="79">
                  <c:v>2.7255000000000047E-2</c:v>
                </c:pt>
                <c:pt idx="80">
                  <c:v>2.7600000000000048E-2</c:v>
                </c:pt>
                <c:pt idx="81">
                  <c:v>2.794500000000005E-2</c:v>
                </c:pt>
                <c:pt idx="82">
                  <c:v>2.8290000000000051E-2</c:v>
                </c:pt>
                <c:pt idx="83">
                  <c:v>2.8635000000000053E-2</c:v>
                </c:pt>
                <c:pt idx="84">
                  <c:v>2.8980000000000054E-2</c:v>
                </c:pt>
                <c:pt idx="85">
                  <c:v>2.9325000000000056E-2</c:v>
                </c:pt>
                <c:pt idx="86">
                  <c:v>2.9670000000000057E-2</c:v>
                </c:pt>
                <c:pt idx="87">
                  <c:v>3.0015000000000059E-2</c:v>
                </c:pt>
                <c:pt idx="88">
                  <c:v>3.0360000000000061E-2</c:v>
                </c:pt>
                <c:pt idx="89">
                  <c:v>3.0705000000000062E-2</c:v>
                </c:pt>
                <c:pt idx="90">
                  <c:v>3.1050000000000064E-2</c:v>
                </c:pt>
                <c:pt idx="91">
                  <c:v>3.1395000000000062E-2</c:v>
                </c:pt>
                <c:pt idx="92">
                  <c:v>3.174000000000006E-2</c:v>
                </c:pt>
                <c:pt idx="93">
                  <c:v>3.2085000000000058E-2</c:v>
                </c:pt>
                <c:pt idx="94">
                  <c:v>3.2430000000000056E-2</c:v>
                </c:pt>
                <c:pt idx="95">
                  <c:v>3.2775000000000054E-2</c:v>
                </c:pt>
                <c:pt idx="96">
                  <c:v>3.3120000000000052E-2</c:v>
                </c:pt>
                <c:pt idx="97">
                  <c:v>3.346500000000005E-2</c:v>
                </c:pt>
                <c:pt idx="98">
                  <c:v>3.3810000000000048E-2</c:v>
                </c:pt>
                <c:pt idx="99">
                  <c:v>3.4155000000000046E-2</c:v>
                </c:pt>
                <c:pt idx="100">
                  <c:v>3.4500000000000045E-2</c:v>
                </c:pt>
                <c:pt idx="101">
                  <c:v>3.4845000000000043E-2</c:v>
                </c:pt>
                <c:pt idx="102">
                  <c:v>3.5190000000000041E-2</c:v>
                </c:pt>
                <c:pt idx="103">
                  <c:v>3.5535000000000039E-2</c:v>
                </c:pt>
                <c:pt idx="104">
                  <c:v>3.5880000000000037E-2</c:v>
                </c:pt>
                <c:pt idx="105">
                  <c:v>3.6225000000000035E-2</c:v>
                </c:pt>
                <c:pt idx="106">
                  <c:v>3.6570000000000033E-2</c:v>
                </c:pt>
                <c:pt idx="107">
                  <c:v>3.6915000000000031E-2</c:v>
                </c:pt>
                <c:pt idx="108">
                  <c:v>3.7260000000000029E-2</c:v>
                </c:pt>
                <c:pt idx="109">
                  <c:v>3.7605000000000027E-2</c:v>
                </c:pt>
                <c:pt idx="110">
                  <c:v>3.7950000000000025E-2</c:v>
                </c:pt>
                <c:pt idx="111">
                  <c:v>3.8295000000000023E-2</c:v>
                </c:pt>
                <c:pt idx="112">
                  <c:v>3.8640000000000022E-2</c:v>
                </c:pt>
                <c:pt idx="113">
                  <c:v>3.898500000000002E-2</c:v>
                </c:pt>
                <c:pt idx="114">
                  <c:v>3.9330000000000018E-2</c:v>
                </c:pt>
                <c:pt idx="115">
                  <c:v>3.9675000000000016E-2</c:v>
                </c:pt>
                <c:pt idx="116">
                  <c:v>4.0020000000000014E-2</c:v>
                </c:pt>
                <c:pt idx="117">
                  <c:v>4.0365000000000012E-2</c:v>
                </c:pt>
                <c:pt idx="118">
                  <c:v>4.071000000000001E-2</c:v>
                </c:pt>
                <c:pt idx="119">
                  <c:v>4.1055000000000008E-2</c:v>
                </c:pt>
                <c:pt idx="120">
                  <c:v>4.1400000000000006E-2</c:v>
                </c:pt>
                <c:pt idx="121">
                  <c:v>4.1745000000000004E-2</c:v>
                </c:pt>
                <c:pt idx="122">
                  <c:v>4.2090000000000002E-2</c:v>
                </c:pt>
                <c:pt idx="123">
                  <c:v>4.2435E-2</c:v>
                </c:pt>
                <c:pt idx="124">
                  <c:v>4.2779999999999999E-2</c:v>
                </c:pt>
                <c:pt idx="125">
                  <c:v>4.3124999999999997E-2</c:v>
                </c:pt>
                <c:pt idx="126">
                  <c:v>4.3469999999999995E-2</c:v>
                </c:pt>
                <c:pt idx="127">
                  <c:v>4.3814999999999993E-2</c:v>
                </c:pt>
                <c:pt idx="128">
                  <c:v>4.4159999999999991E-2</c:v>
                </c:pt>
                <c:pt idx="129">
                  <c:v>4.4504999999999989E-2</c:v>
                </c:pt>
                <c:pt idx="130">
                  <c:v>4.4849999999999987E-2</c:v>
                </c:pt>
                <c:pt idx="131">
                  <c:v>4.5194999999999985E-2</c:v>
                </c:pt>
                <c:pt idx="132">
                  <c:v>4.5539999999999983E-2</c:v>
                </c:pt>
                <c:pt idx="133">
                  <c:v>4.5884999999999981E-2</c:v>
                </c:pt>
                <c:pt idx="134">
                  <c:v>4.6229999999999979E-2</c:v>
                </c:pt>
                <c:pt idx="135">
                  <c:v>4.6574999999999978E-2</c:v>
                </c:pt>
                <c:pt idx="136">
                  <c:v>4.6919999999999976E-2</c:v>
                </c:pt>
                <c:pt idx="137">
                  <c:v>4.7264999999999974E-2</c:v>
                </c:pt>
                <c:pt idx="138">
                  <c:v>4.7609999999999972E-2</c:v>
                </c:pt>
                <c:pt idx="139">
                  <c:v>4.795499999999997E-2</c:v>
                </c:pt>
                <c:pt idx="140">
                  <c:v>4.8299999999999968E-2</c:v>
                </c:pt>
                <c:pt idx="141">
                  <c:v>4.8644999999999966E-2</c:v>
                </c:pt>
                <c:pt idx="142">
                  <c:v>4.8989999999999964E-2</c:v>
                </c:pt>
                <c:pt idx="143">
                  <c:v>4.9334999999999962E-2</c:v>
                </c:pt>
                <c:pt idx="144">
                  <c:v>4.967999999999996E-2</c:v>
                </c:pt>
                <c:pt idx="145">
                  <c:v>5.0024999999999958E-2</c:v>
                </c:pt>
                <c:pt idx="146">
                  <c:v>5.0369999999999956E-2</c:v>
                </c:pt>
                <c:pt idx="147">
                  <c:v>5.0714999999999955E-2</c:v>
                </c:pt>
                <c:pt idx="148">
                  <c:v>5.1059999999999953E-2</c:v>
                </c:pt>
                <c:pt idx="149">
                  <c:v>5.1404999999999951E-2</c:v>
                </c:pt>
                <c:pt idx="150">
                  <c:v>5.1749999999999949E-2</c:v>
                </c:pt>
                <c:pt idx="151">
                  <c:v>5.2094999999999947E-2</c:v>
                </c:pt>
                <c:pt idx="152">
                  <c:v>5.2439999999999945E-2</c:v>
                </c:pt>
                <c:pt idx="153">
                  <c:v>5.2784999999999943E-2</c:v>
                </c:pt>
                <c:pt idx="154">
                  <c:v>5.3129999999999941E-2</c:v>
                </c:pt>
                <c:pt idx="155">
                  <c:v>5.3474999999999939E-2</c:v>
                </c:pt>
                <c:pt idx="156">
                  <c:v>5.3819999999999937E-2</c:v>
                </c:pt>
                <c:pt idx="157">
                  <c:v>5.4164999999999935E-2</c:v>
                </c:pt>
                <c:pt idx="158">
                  <c:v>5.4509999999999934E-2</c:v>
                </c:pt>
                <c:pt idx="159">
                  <c:v>5.4854999999999932E-2</c:v>
                </c:pt>
                <c:pt idx="160">
                  <c:v>5.519999999999993E-2</c:v>
                </c:pt>
                <c:pt idx="161">
                  <c:v>5.5544999999999928E-2</c:v>
                </c:pt>
                <c:pt idx="162">
                  <c:v>5.5889999999999926E-2</c:v>
                </c:pt>
                <c:pt idx="163">
                  <c:v>5.6234999999999924E-2</c:v>
                </c:pt>
                <c:pt idx="164">
                  <c:v>5.6579999999999922E-2</c:v>
                </c:pt>
                <c:pt idx="165">
                  <c:v>5.692499999999992E-2</c:v>
                </c:pt>
                <c:pt idx="166">
                  <c:v>5.7269999999999918E-2</c:v>
                </c:pt>
                <c:pt idx="167">
                  <c:v>5.7614999999999916E-2</c:v>
                </c:pt>
                <c:pt idx="168">
                  <c:v>5.7959999999999914E-2</c:v>
                </c:pt>
                <c:pt idx="169">
                  <c:v>5.8304999999999912E-2</c:v>
                </c:pt>
                <c:pt idx="170">
                  <c:v>5.8649999999999911E-2</c:v>
                </c:pt>
                <c:pt idx="171">
                  <c:v>5.8994999999999909E-2</c:v>
                </c:pt>
                <c:pt idx="172">
                  <c:v>5.9339999999999907E-2</c:v>
                </c:pt>
                <c:pt idx="173">
                  <c:v>5.9684999999999905E-2</c:v>
                </c:pt>
                <c:pt idx="174">
                  <c:v>6.0029999999999903E-2</c:v>
                </c:pt>
                <c:pt idx="175">
                  <c:v>6.0374999999999901E-2</c:v>
                </c:pt>
                <c:pt idx="176">
                  <c:v>6.0719999999999899E-2</c:v>
                </c:pt>
                <c:pt idx="177">
                  <c:v>6.1064999999999897E-2</c:v>
                </c:pt>
                <c:pt idx="178">
                  <c:v>6.1409999999999895E-2</c:v>
                </c:pt>
                <c:pt idx="179">
                  <c:v>6.1754999999999893E-2</c:v>
                </c:pt>
                <c:pt idx="180">
                  <c:v>6.2099999999999891E-2</c:v>
                </c:pt>
                <c:pt idx="181">
                  <c:v>6.2444999999999889E-2</c:v>
                </c:pt>
                <c:pt idx="182">
                  <c:v>6.2789999999999888E-2</c:v>
                </c:pt>
                <c:pt idx="183">
                  <c:v>6.3134999999999886E-2</c:v>
                </c:pt>
                <c:pt idx="184">
                  <c:v>6.3479999999999884E-2</c:v>
                </c:pt>
                <c:pt idx="185">
                  <c:v>6.3824999999999882E-2</c:v>
                </c:pt>
                <c:pt idx="186">
                  <c:v>6.416999999999988E-2</c:v>
                </c:pt>
                <c:pt idx="187">
                  <c:v>6.4514999999999878E-2</c:v>
                </c:pt>
                <c:pt idx="188">
                  <c:v>6.4859999999999876E-2</c:v>
                </c:pt>
                <c:pt idx="189">
                  <c:v>6.5204999999999874E-2</c:v>
                </c:pt>
                <c:pt idx="190">
                  <c:v>6.5549999999999872E-2</c:v>
                </c:pt>
                <c:pt idx="191">
                  <c:v>6.589499999999987E-2</c:v>
                </c:pt>
                <c:pt idx="192">
                  <c:v>6.6239999999999868E-2</c:v>
                </c:pt>
                <c:pt idx="193">
                  <c:v>6.6584999999999867E-2</c:v>
                </c:pt>
                <c:pt idx="194">
                  <c:v>6.6929999999999865E-2</c:v>
                </c:pt>
                <c:pt idx="195">
                  <c:v>6.7274999999999863E-2</c:v>
                </c:pt>
                <c:pt idx="196">
                  <c:v>6.7619999999999861E-2</c:v>
                </c:pt>
                <c:pt idx="197">
                  <c:v>6.7964999999999859E-2</c:v>
                </c:pt>
                <c:pt idx="198">
                  <c:v>6.8309999999999857E-2</c:v>
                </c:pt>
                <c:pt idx="199">
                  <c:v>6.8654999999999855E-2</c:v>
                </c:pt>
                <c:pt idx="200">
                  <c:v>6.8999999999999853E-2</c:v>
                </c:pt>
              </c:numCache>
            </c:numRef>
          </c:xVal>
          <c:yVal>
            <c:numRef>
              <c:f>'Armaduras Activas'!$AG$2:$AG$203</c:f>
              <c:numCache>
                <c:formatCode>General</c:formatCode>
                <c:ptCount val="202"/>
                <c:pt idx="0">
                  <c:v>0</c:v>
                </c:pt>
                <c:pt idx="1">
                  <c:v>68.999999999580282</c:v>
                </c:pt>
                <c:pt idx="2">
                  <c:v>137.9999998636153</c:v>
                </c:pt>
                <c:pt idx="3">
                  <c:v>206.99999598143341</c:v>
                </c:pt>
                <c:pt idx="4">
                  <c:v>275.99995568408411</c:v>
                </c:pt>
                <c:pt idx="5">
                  <c:v>344.99971478283612</c:v>
                </c:pt>
                <c:pt idx="6">
                  <c:v>413.99869425098365</c:v>
                </c:pt>
                <c:pt idx="7">
                  <c:v>482.9952744586808</c:v>
                </c:pt>
                <c:pt idx="8">
                  <c:v>551.9856018569136</c:v>
                </c:pt>
                <c:pt idx="9">
                  <c:v>620.96153573936999</c:v>
                </c:pt>
                <c:pt idx="10">
                  <c:v>689.90737562087475</c:v>
                </c:pt>
                <c:pt idx="11">
                  <c:v>758.79495150881428</c:v>
                </c:pt>
                <c:pt idx="12">
                  <c:v>827.57662830155448</c:v>
                </c:pt>
                <c:pt idx="13">
                  <c:v>896.17580763208957</c:v>
                </c:pt>
                <c:pt idx="14">
                  <c:v>964.47466916315432</c:v>
                </c:pt>
                <c:pt idx="15">
                  <c:v>1032.2992782830329</c:v>
                </c:pt>
                <c:pt idx="16">
                  <c:v>1099.4029303622685</c:v>
                </c:pt>
                <c:pt idx="17">
                  <c:v>1165.4498282631612</c:v>
                </c:pt>
                <c:pt idx="18">
                  <c:v>1230.0029080439829</c:v>
                </c:pt>
                <c:pt idx="19">
                  <c:v>1292.521525263207</c:v>
                </c:pt>
                <c:pt idx="20">
                  <c:v>1352.3759139228696</c:v>
                </c:pt>
                <c:pt idx="21">
                  <c:v>1408.8843472933593</c:v>
                </c:pt>
                <c:pt idx="22">
                  <c:v>1461.37425928574</c:v>
                </c:pt>
                <c:pt idx="23">
                  <c:v>1509.2601498499573</c:v>
                </c:pt>
                <c:pt idx="24">
                  <c:v>1552.1217880611598</c:v>
                </c:pt>
                <c:pt idx="25">
                  <c:v>1589.7615278398246</c:v>
                </c:pt>
                <c:pt idx="26">
                  <c:v>1622.223970293541</c:v>
                </c:pt>
                <c:pt idx="27">
                  <c:v>1649.7738267274653</c:v>
                </c:pt>
                <c:pt idx="28">
                  <c:v>1672.841926123697</c:v>
                </c:pt>
                <c:pt idx="29">
                  <c:v>1691.9573858643334</c:v>
                </c:pt>
                <c:pt idx="30">
                  <c:v>1707.6833464675055</c:v>
                </c:pt>
                <c:pt idx="31">
                  <c:v>1720.5672064260295</c:v>
                </c:pt>
                <c:pt idx="32">
                  <c:v>1731.1087808027316</c:v>
                </c:pt>
                <c:pt idx="33">
                  <c:v>1739.7444898058366</c:v>
                </c:pt>
                <c:pt idx="34">
                  <c:v>1746.8433202946919</c:v>
                </c:pt>
                <c:pt idx="35">
                  <c:v>1752.7101202305021</c:v>
                </c:pt>
                <c:pt idx="36">
                  <c:v>1757.5926720422392</c:v>
                </c:pt>
                <c:pt idx="37">
                  <c:v>1761.690130142538</c:v>
                </c:pt>
                <c:pt idx="38">
                  <c:v>1765.1613908559275</c:v>
                </c:pt>
                <c:pt idx="39">
                  <c:v>1768.1326668466766</c:v>
                </c:pt>
                <c:pt idx="40">
                  <c:v>1770.7039823923701</c:v>
                </c:pt>
                <c:pt idx="41">
                  <c:v>1772.9545569621448</c:v>
                </c:pt>
                <c:pt idx="42">
                  <c:v>1774.9471692397458</c:v>
                </c:pt>
                <c:pt idx="43">
                  <c:v>1776.7316431984239</c:v>
                </c:pt>
                <c:pt idx="44">
                  <c:v>1778.3476064320248</c:v>
                </c:pt>
                <c:pt idx="45">
                  <c:v>1779.8266597211959</c:v>
                </c:pt>
                <c:pt idx="46">
                  <c:v>1781.194077740075</c:v>
                </c:pt>
                <c:pt idx="47">
                  <c:v>1782.4701401963405</c:v>
                </c:pt>
                <c:pt idx="48">
                  <c:v>1783.6711735430151</c:v>
                </c:pt>
                <c:pt idx="49">
                  <c:v>1784.810366877482</c:v>
                </c:pt>
                <c:pt idx="50">
                  <c:v>1785.898411987147</c:v>
                </c:pt>
                <c:pt idx="51">
                  <c:v>1786.944006510035</c:v>
                </c:pt>
                <c:pt idx="52">
                  <c:v>1787.9542504818462</c:v>
                </c:pt>
                <c:pt idx="53">
                  <c:v>1788.9349597353216</c:v>
                </c:pt>
                <c:pt idx="54">
                  <c:v>1789.8909143294754</c:v>
                </c:pt>
                <c:pt idx="55">
                  <c:v>1790.826056094701</c:v>
                </c:pt>
                <c:pt idx="56">
                  <c:v>1791.7436462214423</c:v>
                </c:pt>
                <c:pt idx="57">
                  <c:v>1792.6463913844079</c:v>
                </c:pt>
                <c:pt idx="58">
                  <c:v>1793.5365450155764</c:v>
                </c:pt>
                <c:pt idx="59">
                  <c:v>1794.4159888887352</c:v>
                </c:pt>
                <c:pt idx="60">
                  <c:v>1795.2862990567342</c:v>
                </c:pt>
                <c:pt idx="61">
                  <c:v>1796.1487993136996</c:v>
                </c:pt>
                <c:pt idx="62">
                  <c:v>1797.0046046797218</c:v>
                </c:pt>
                <c:pt idx="63">
                  <c:v>1797.8546568802167</c:v>
                </c:pt>
                <c:pt idx="64">
                  <c:v>1798.6997533821877</c:v>
                </c:pt>
                <c:pt idx="65">
                  <c:v>1799.5405712285947</c:v>
                </c:pt>
                <c:pt idx="66">
                  <c:v>1800.377686660094</c:v>
                </c:pt>
                <c:pt idx="67">
                  <c:v>1801.2115913149946</c:v>
                </c:pt>
                <c:pt idx="68">
                  <c:v>1802.0427056415779</c:v>
                </c:pt>
                <c:pt idx="69">
                  <c:v>1802.8713900328112</c:v>
                </c:pt>
                <c:pt idx="70">
                  <c:v>1803.6979540949044</c:v>
                </c:pt>
                <c:pt idx="71">
                  <c:v>1804.5226643825188</c:v>
                </c:pt>
                <c:pt idx="72">
                  <c:v>1805.3457508707256</c:v>
                </c:pt>
                <c:pt idx="73">
                  <c:v>1806.1674123833977</c:v>
                </c:pt>
                <c:pt idx="74">
                  <c:v>1806.987821157323</c:v>
                </c:pt>
                <c:pt idx="75">
                  <c:v>1807.8071266886623</c:v>
                </c:pt>
                <c:pt idx="76">
                  <c:v>1808.6254589820655</c:v>
                </c:pt>
                <c:pt idx="77">
                  <c:v>1809.4429313013381</c:v>
                </c:pt>
                <c:pt idx="78">
                  <c:v>1810.2596425032359</c:v>
                </c:pt>
                <c:pt idx="79">
                  <c:v>1811.0756790217717</c:v>
                </c:pt>
                <c:pt idx="80">
                  <c:v>1811.8911165588941</c:v>
                </c:pt>
                <c:pt idx="81">
                  <c:v>1812.7060215278991</c:v>
                </c:pt>
                <c:pt idx="82">
                  <c:v>1813.5204522881968</c:v>
                </c:pt>
                <c:pt idx="83">
                  <c:v>1814.3344602036127</c:v>
                </c:pt>
                <c:pt idx="84">
                  <c:v>1815.1480905511858</c:v>
                </c:pt>
                <c:pt idx="85">
                  <c:v>1815.9613833029923</c:v>
                </c:pt>
                <c:pt idx="86">
                  <c:v>1816.7743737999731</c:v>
                </c:pt>
                <c:pt idx="87">
                  <c:v>1817.5870933336851</c:v>
                </c:pt>
                <c:pt idx="88">
                  <c:v>1818.3995696494364</c:v>
                </c:pt>
                <c:pt idx="89">
                  <c:v>1819.2118273821513</c:v>
                </c:pt>
                <c:pt idx="90">
                  <c:v>1820.0238884345856</c:v>
                </c:pt>
                <c:pt idx="91">
                  <c:v>1820.8357723060412</c:v>
                </c:pt>
                <c:pt idx="92">
                  <c:v>1821.6474963785088</c:v>
                </c:pt>
                <c:pt idx="93">
                  <c:v>1822.4590761661359</c:v>
                </c:pt>
                <c:pt idx="94">
                  <c:v>1823.2705255330425</c:v>
                </c:pt>
                <c:pt idx="95">
                  <c:v>1824.0818568837899</c:v>
                </c:pt>
                <c:pt idx="96">
                  <c:v>1824.8930813301718</c:v>
                </c:pt>
                <c:pt idx="97">
                  <c:v>1825.7042088374646</c:v>
                </c:pt>
                <c:pt idx="98">
                  <c:v>1826.5152483528705</c:v>
                </c:pt>
                <c:pt idx="99">
                  <c:v>1827.3262079184476</c:v>
                </c:pt>
                <c:pt idx="100">
                  <c:v>1828.1370947705436</c:v>
                </c:pt>
                <c:pt idx="101">
                  <c:v>1828.9479154274679</c:v>
                </c:pt>
                <c:pt idx="102">
                  <c:v>1829.7586757668705</c:v>
                </c:pt>
                <c:pt idx="103">
                  <c:v>1830.5693810941477</c:v>
                </c:pt>
                <c:pt idx="104">
                  <c:v>1831.3800362029588</c:v>
                </c:pt>
                <c:pt idx="105">
                  <c:v>1832.1906454288589</c:v>
                </c:pt>
                <c:pt idx="106">
                  <c:v>1833.0012126968661</c:v>
                </c:pt>
                <c:pt idx="107">
                  <c:v>1833.8117415636971</c:v>
                </c:pt>
                <c:pt idx="108">
                  <c:v>1834.6222352553323</c:v>
                </c:pt>
                <c:pt idx="109">
                  <c:v>1835.4326967004329</c:v>
                </c:pt>
                <c:pt idx="110">
                  <c:v>1836.2431285601288</c:v>
                </c:pt>
                <c:pt idx="111">
                  <c:v>1837.0535332545824</c:v>
                </c:pt>
                <c:pt idx="112">
                  <c:v>1837.863912986709</c:v>
                </c:pt>
                <c:pt idx="113">
                  <c:v>1838.6742697633758</c:v>
                </c:pt>
                <c:pt idx="114">
                  <c:v>1839.4846054143741</c:v>
                </c:pt>
                <c:pt idx="115">
                  <c:v>1840.2949216094064</c:v>
                </c:pt>
                <c:pt idx="116">
                  <c:v>1841.1052198733173</c:v>
                </c:pt>
                <c:pt idx="117">
                  <c:v>1841.9155015997608</c:v>
                </c:pt>
                <c:pt idx="118">
                  <c:v>1842.7257680634746</c:v>
                </c:pt>
                <c:pt idx="119">
                  <c:v>1843.5360204313172</c:v>
                </c:pt>
                <c:pt idx="120">
                  <c:v>1844.3462597721982</c:v>
                </c:pt>
                <c:pt idx="121">
                  <c:v>1845.1564870660231</c:v>
                </c:pt>
                <c:pt idx="122">
                  <c:v>1845.9667032117507</c:v>
                </c:pt>
                <c:pt idx="123">
                  <c:v>1846.776909034676</c:v>
                </c:pt>
                <c:pt idx="124">
                  <c:v>1847.5871052929901</c:v>
                </c:pt>
                <c:pt idx="125">
                  <c:v>1848.3972926837212</c:v>
                </c:pt>
                <c:pt idx="126">
                  <c:v>1849.2074718481028</c:v>
                </c:pt>
                <c:pt idx="127">
                  <c:v>1850.0176433764311</c:v>
                </c:pt>
                <c:pt idx="128">
                  <c:v>1850.8278078124733</c:v>
                </c:pt>
                <c:pt idx="129">
                  <c:v>1851.6379656574538</c:v>
                </c:pt>
                <c:pt idx="130">
                  <c:v>1852.4481173736815</c:v>
                </c:pt>
                <c:pt idx="131">
                  <c:v>1853.2582633878351</c:v>
                </c:pt>
                <c:pt idx="132">
                  <c:v>1854.0684040939561</c:v>
                </c:pt>
                <c:pt idx="133">
                  <c:v>1854.878539856159</c:v>
                </c:pt>
                <c:pt idx="134">
                  <c:v>1855.6886710111146</c:v>
                </c:pt>
                <c:pt idx="135">
                  <c:v>1856.4987978702982</c:v>
                </c:pt>
                <c:pt idx="136">
                  <c:v>1857.3089207220401</c:v>
                </c:pt>
                <c:pt idx="137">
                  <c:v>1858.1190398334008</c:v>
                </c:pt>
                <c:pt idx="138">
                  <c:v>1858.9291554518804</c:v>
                </c:pt>
                <c:pt idx="139">
                  <c:v>1859.739267806975</c:v>
                </c:pt>
                <c:pt idx="140">
                  <c:v>1860.5493771116076</c:v>
                </c:pt>
                <c:pt idx="141">
                  <c:v>1861.3594835634276</c:v>
                </c:pt>
                <c:pt idx="142">
                  <c:v>1862.1695873460071</c:v>
                </c:pt>
                <c:pt idx="143">
                  <c:v>1862.9796886299284</c:v>
                </c:pt>
                <c:pt idx="144">
                  <c:v>1863.7897875737922</c:v>
                </c:pt>
                <c:pt idx="145">
                  <c:v>1864.5998843251266</c:v>
                </c:pt>
                <c:pt idx="146">
                  <c:v>1865.4099790212344</c:v>
                </c:pt>
                <c:pt idx="147">
                  <c:v>1866.2200717899636</c:v>
                </c:pt>
                <c:pt idx="148">
                  <c:v>1867.0301627504159</c:v>
                </c:pt>
                <c:pt idx="149">
                  <c:v>1867.8402520136003</c:v>
                </c:pt>
                <c:pt idx="150">
                  <c:v>1868.6503396830296</c:v>
                </c:pt>
                <c:pt idx="151">
                  <c:v>1869.4604258552745</c:v>
                </c:pt>
                <c:pt idx="152">
                  <c:v>1870.2705106204701</c:v>
                </c:pt>
                <c:pt idx="153">
                  <c:v>1871.0805940627818</c:v>
                </c:pt>
                <c:pt idx="154">
                  <c:v>1871.8906762608383</c:v>
                </c:pt>
                <c:pt idx="155">
                  <c:v>1872.7007572881271</c:v>
                </c:pt>
                <c:pt idx="156">
                  <c:v>1873.5108372133616</c:v>
                </c:pt>
                <c:pt idx="157">
                  <c:v>1874.3209161008169</c:v>
                </c:pt>
                <c:pt idx="158">
                  <c:v>1875.1309940106466</c:v>
                </c:pt>
                <c:pt idx="159">
                  <c:v>1875.9410709991671</c:v>
                </c:pt>
                <c:pt idx="160">
                  <c:v>1876.7511471191258</c:v>
                </c:pt>
                <c:pt idx="161">
                  <c:v>1877.561222419946</c:v>
                </c:pt>
                <c:pt idx="162">
                  <c:v>1878.3712969479595</c:v>
                </c:pt>
                <c:pt idx="163">
                  <c:v>1879.1813707466119</c:v>
                </c:pt>
                <c:pt idx="164">
                  <c:v>1879.9914438566627</c:v>
                </c:pt>
                <c:pt idx="165">
                  <c:v>1880.8015163163634</c:v>
                </c:pt>
                <c:pt idx="166">
                  <c:v>1881.6115881616302</c:v>
                </c:pt>
                <c:pt idx="167">
                  <c:v>1882.4216594261923</c:v>
                </c:pt>
                <c:pt idx="168">
                  <c:v>1883.2317301417443</c:v>
                </c:pt>
                <c:pt idx="169">
                  <c:v>1884.0418003380757</c:v>
                </c:pt>
                <c:pt idx="170">
                  <c:v>1884.8518700431973</c:v>
                </c:pt>
                <c:pt idx="171">
                  <c:v>1885.6619392834582</c:v>
                </c:pt>
                <c:pt idx="172">
                  <c:v>1886.4720080836478</c:v>
                </c:pt>
                <c:pt idx="173">
                  <c:v>1887.2820764671044</c:v>
                </c:pt>
                <c:pt idx="174">
                  <c:v>1888.0921444558019</c:v>
                </c:pt>
                <c:pt idx="175">
                  <c:v>1888.9022120704396</c:v>
                </c:pt>
                <c:pt idx="176">
                  <c:v>1889.7122793305218</c:v>
                </c:pt>
                <c:pt idx="177">
                  <c:v>1890.522346254432</c:v>
                </c:pt>
                <c:pt idx="178">
                  <c:v>1891.3324128595063</c:v>
                </c:pt>
                <c:pt idx="179">
                  <c:v>1892.142479162095</c:v>
                </c:pt>
                <c:pt idx="180">
                  <c:v>1892.9525451776278</c:v>
                </c:pt>
                <c:pt idx="181">
                  <c:v>1893.7626109206642</c:v>
                </c:pt>
                <c:pt idx="182">
                  <c:v>1894.572676404953</c:v>
                </c:pt>
                <c:pt idx="183">
                  <c:v>1895.3827416434785</c:v>
                </c:pt>
                <c:pt idx="184">
                  <c:v>1896.1928066485073</c:v>
                </c:pt>
                <c:pt idx="185">
                  <c:v>1897.0028714316334</c:v>
                </c:pt>
                <c:pt idx="186">
                  <c:v>1897.8129360038165</c:v>
                </c:pt>
                <c:pt idx="187">
                  <c:v>1898.6230003754165</c:v>
                </c:pt>
                <c:pt idx="188">
                  <c:v>1899.4330645562386</c:v>
                </c:pt>
                <c:pt idx="189">
                  <c:v>1900.2431285555563</c:v>
                </c:pt>
                <c:pt idx="190">
                  <c:v>1901.0531923821475</c:v>
                </c:pt>
                <c:pt idx="191">
                  <c:v>1901.8632560443248</c:v>
                </c:pt>
                <c:pt idx="192">
                  <c:v>1902.6733195499576</c:v>
                </c:pt>
                <c:pt idx="193">
                  <c:v>1903.4833829065001</c:v>
                </c:pt>
                <c:pt idx="194">
                  <c:v>1904.2934461210186</c:v>
                </c:pt>
                <c:pt idx="195">
                  <c:v>1905.1035092002064</c:v>
                </c:pt>
                <c:pt idx="196">
                  <c:v>1905.9135721504142</c:v>
                </c:pt>
                <c:pt idx="197">
                  <c:v>1906.7236349776604</c:v>
                </c:pt>
                <c:pt idx="198">
                  <c:v>1907.5336976876556</c:v>
                </c:pt>
                <c:pt idx="199">
                  <c:v>1908.343760285818</c:v>
                </c:pt>
                <c:pt idx="200">
                  <c:v>1909.1538227772901</c:v>
                </c:pt>
              </c:numCache>
            </c:numRef>
          </c:yVal>
          <c:smooth val="0"/>
          <c:extLst>
            <c:ext xmlns:c16="http://schemas.microsoft.com/office/drawing/2014/chart" uri="{C3380CC4-5D6E-409C-BE32-E72D297353CC}">
              <c16:uniqueId val="{00000002-A993-436D-83DB-340879555C98}"/>
            </c:ext>
          </c:extLst>
        </c:ser>
        <c:ser>
          <c:idx val="3"/>
          <c:order val="3"/>
          <c:tx>
            <c:strRef>
              <c:f>'Armaduras Activas'!$E$2</c:f>
              <c:strCache>
                <c:ptCount val="1"/>
                <c:pt idx="0">
                  <c:v>Provisto por Usuario</c:v>
                </c:pt>
              </c:strCache>
            </c:strRef>
          </c:tx>
          <c:spPr>
            <a:ln w="19050" cap="rnd">
              <a:solidFill>
                <a:schemeClr val="bg1">
                  <a:lumMod val="50000"/>
                </a:schemeClr>
              </a:solidFill>
              <a:round/>
            </a:ln>
            <a:effectLst/>
          </c:spPr>
          <c:marker>
            <c:symbol val="none"/>
          </c:marker>
          <c:xVal>
            <c:numRef>
              <c:f>'Armaduras Activas'!$AD$2:$AD$202</c:f>
              <c:numCache>
                <c:formatCode>0.00%</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xVal>
          <c:yVal>
            <c:numRef>
              <c:f>'Armaduras Activas'!$AH$2:$AH$202</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yVal>
          <c:smooth val="0"/>
          <c:extLst>
            <c:ext xmlns:c16="http://schemas.microsoft.com/office/drawing/2014/chart" uri="{C3380CC4-5D6E-409C-BE32-E72D297353CC}">
              <c16:uniqueId val="{00000006-A993-436D-83DB-340879555C98}"/>
            </c:ext>
          </c:extLst>
        </c:ser>
        <c:dLbls>
          <c:showLegendKey val="0"/>
          <c:showVal val="0"/>
          <c:showCatName val="0"/>
          <c:showSerName val="0"/>
          <c:showPercent val="0"/>
          <c:showBubbleSize val="0"/>
        </c:dLbls>
        <c:axId val="1300481535"/>
        <c:axId val="1300481119"/>
      </c:scatterChart>
      <c:valAx>
        <c:axId val="130048153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l-GR" b="1">
                    <a:solidFill>
                      <a:schemeClr val="tx1"/>
                    </a:solidFill>
                    <a:latin typeface="Arial" panose="020B0604020202020204" pitchFamily="34" charset="0"/>
                    <a:cs typeface="Arial" panose="020B0604020202020204" pitchFamily="34" charset="0"/>
                  </a:rPr>
                  <a:t>ε</a:t>
                </a:r>
                <a:r>
                  <a:rPr lang="en-US" b="1">
                    <a:solidFill>
                      <a:schemeClr val="tx1"/>
                    </a:solidFill>
                    <a:latin typeface="Arial" panose="020B0604020202020204" pitchFamily="34" charset="0"/>
                    <a:cs typeface="Arial" panose="020B0604020202020204" pitchFamily="34" charset="0"/>
                  </a:rPr>
                  <a:t>ps:</a:t>
                </a:r>
                <a:r>
                  <a:rPr lang="en-US" b="1" baseline="0">
                    <a:solidFill>
                      <a:schemeClr val="tx1"/>
                    </a:solidFill>
                    <a:latin typeface="Arial" panose="020B0604020202020204" pitchFamily="34" charset="0"/>
                    <a:cs typeface="Arial" panose="020B0604020202020204" pitchFamily="34" charset="0"/>
                  </a:rPr>
                  <a:t> </a:t>
                </a:r>
                <a:r>
                  <a:rPr lang="en-US" b="0" baseline="0">
                    <a:solidFill>
                      <a:schemeClr val="tx1"/>
                    </a:solidFill>
                    <a:latin typeface="Arial" panose="020B0604020202020204" pitchFamily="34" charset="0"/>
                    <a:cs typeface="Arial" panose="020B0604020202020204" pitchFamily="34" charset="0"/>
                  </a:rPr>
                  <a:t>deformación [%]</a:t>
                </a:r>
                <a:endParaRPr lang="en-US" b="1">
                  <a:solidFill>
                    <a:schemeClr val="tx1"/>
                  </a:solidFill>
                  <a:latin typeface="Arial" panose="020B0604020202020204" pitchFamily="34" charset="0"/>
                  <a:cs typeface="Arial" panose="020B0604020202020204" pitchFamily="34" charset="0"/>
                </a:endParaRPr>
              </a:p>
            </c:rich>
          </c:tx>
          <c:layout>
            <c:manualLayout>
              <c:xMode val="edge"/>
              <c:yMode val="edge"/>
              <c:x val="0.7574698461837569"/>
              <c:y val="0.8695850433196534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0.00%" sourceLinked="1"/>
        <c:majorTickMark val="none"/>
        <c:minorTickMark val="none"/>
        <c:tickLblPos val="nextTo"/>
        <c:spPr>
          <a:solidFill>
            <a:schemeClr val="bg1"/>
          </a:solidFill>
          <a:ln w="222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s-AR"/>
          </a:p>
        </c:txPr>
        <c:crossAx val="1300481119"/>
        <c:crosses val="autoZero"/>
        <c:crossBetween val="midCat"/>
      </c:valAx>
      <c:valAx>
        <c:axId val="13004811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i="1">
                    <a:solidFill>
                      <a:schemeClr val="tx1"/>
                    </a:solidFill>
                    <a:latin typeface="Arial" panose="020B0604020202020204" pitchFamily="34" charset="0"/>
                    <a:cs typeface="Arial" panose="020B0604020202020204" pitchFamily="34" charset="0"/>
                  </a:rPr>
                  <a:t>fps: </a:t>
                </a:r>
                <a:r>
                  <a:rPr lang="en-US" sz="1000" b="0" i="0" u="none" strike="noStrike" baseline="0">
                    <a:solidFill>
                      <a:schemeClr val="tx1"/>
                    </a:solidFill>
                    <a:effectLst/>
                    <a:latin typeface="Arial" panose="020B0604020202020204" pitchFamily="34" charset="0"/>
                    <a:cs typeface="Arial" panose="020B0604020202020204" pitchFamily="34" charset="0"/>
                  </a:rPr>
                  <a:t>Tensión</a:t>
                </a:r>
                <a:r>
                  <a:rPr lang="en-US" i="1">
                    <a:solidFill>
                      <a:schemeClr val="tx1"/>
                    </a:solidFill>
                    <a:latin typeface="Arial" panose="020B0604020202020204" pitchFamily="34" charset="0"/>
                    <a:cs typeface="Arial" panose="020B0604020202020204" pitchFamily="34" charset="0"/>
                  </a:rPr>
                  <a:t> </a:t>
                </a:r>
                <a:r>
                  <a:rPr lang="en-US" i="0">
                    <a:solidFill>
                      <a:schemeClr val="tx1"/>
                    </a:solidFill>
                    <a:latin typeface="Arial" panose="020B0604020202020204" pitchFamily="34" charset="0"/>
                    <a:cs typeface="Arial" panose="020B0604020202020204" pitchFamily="34" charset="0"/>
                  </a:rPr>
                  <a:t>[MPa]</a:t>
                </a:r>
              </a:p>
            </c:rich>
          </c:tx>
          <c:layout>
            <c:manualLayout>
              <c:xMode val="edge"/>
              <c:yMode val="edge"/>
              <c:x val="0.11585944919278253"/>
              <c:y val="0.1558806653956217"/>
            </c:manualLayout>
          </c:layout>
          <c:overlay val="0"/>
          <c:spPr>
            <a:solidFill>
              <a:schemeClr val="bg1"/>
            </a:solid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AR"/>
            </a:p>
          </c:txPr>
        </c:title>
        <c:numFmt formatCode="General" sourceLinked="1"/>
        <c:majorTickMark val="cross"/>
        <c:minorTickMark val="in"/>
        <c:tickLblPos val="nextTo"/>
        <c:spPr>
          <a:noFill/>
          <a:ln w="19050" cap="flat" cmpd="sng" algn="ctr">
            <a:solidFill>
              <a:schemeClr val="tx1"/>
            </a:solidFill>
            <a:round/>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s-AR"/>
          </a:p>
        </c:txPr>
        <c:crossAx val="1300481535"/>
        <c:crosses val="autoZero"/>
        <c:crossBetween val="midCat"/>
      </c:valAx>
      <c:spPr>
        <a:noFill/>
        <a:ln w="0">
          <a:solidFill>
            <a:schemeClr val="accent1">
              <a:alpha val="0"/>
            </a:schemeClr>
          </a:solidFill>
        </a:ln>
        <a:effectLst/>
      </c:spPr>
    </c:plotArea>
    <c:legend>
      <c:legendPos val="t"/>
      <c:layout>
        <c:manualLayout>
          <c:xMode val="edge"/>
          <c:yMode val="edge"/>
          <c:x val="0.18733053667436869"/>
          <c:y val="9.0457755708033077E-2"/>
          <c:w val="0.73184257950662146"/>
          <c:h val="4.7239498619444112E-2"/>
        </c:manualLayout>
      </c:layout>
      <c:overlay val="0"/>
      <c:spPr>
        <a:solidFill>
          <a:schemeClr val="bg1"/>
        </a:solidFill>
        <a:ln>
          <a:solidFill>
            <a:schemeClr val="tx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mn-cs"/>
            </a:defRPr>
          </a:pPr>
          <a:endParaRPr lang="es-A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alpha val="33000"/>
        </a:schemeClr>
      </a:solidFill>
      <a:round/>
    </a:ln>
    <a:effectLst/>
  </c:spPr>
  <c:txPr>
    <a:bodyPr/>
    <a:lstStyle/>
    <a:p>
      <a:pPr>
        <a:defRPr/>
      </a:pPr>
      <a:endParaRPr lang="es-A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999609512087823"/>
          <c:y val="3.7603523793783483E-2"/>
          <c:w val="0.79705358194678089"/>
          <c:h val="0.87009697878883396"/>
        </c:manualLayout>
      </c:layout>
      <c:scatterChart>
        <c:scatterStyle val="lineMarker"/>
        <c:varyColors val="0"/>
        <c:ser>
          <c:idx val="0"/>
          <c:order val="0"/>
          <c:tx>
            <c:v>(M,P) diseño</c:v>
          </c:tx>
          <c:spPr>
            <a:ln w="19050">
              <a:noFill/>
            </a:ln>
          </c:spPr>
          <c:xVal>
            <c:numRef>
              <c:f>'Resultados 2D'!X_P_nominal</c:f>
              <c:numCache>
                <c:formatCode>General</c:formatCode>
                <c:ptCount val="499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0</c:v>
                </c:pt>
                <c:pt idx="99">
                  <c:v>#N/A</c:v>
                </c:pt>
                <c:pt idx="100">
                  <c:v>#N/A</c:v>
                </c:pt>
                <c:pt idx="101">
                  <c:v>0</c:v>
                </c:pt>
                <c:pt idx="102">
                  <c:v>0</c:v>
                </c:pt>
                <c:pt idx="103">
                  <c:v>0</c:v>
                </c:pt>
                <c:pt idx="104">
                  <c:v>0</c:v>
                </c:pt>
                <c:pt idx="105">
                  <c:v>0</c:v>
                </c:pt>
                <c:pt idx="106">
                  <c:v>#N/A</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#N/A</c:v>
                </c:pt>
                <c:pt idx="342">
                  <c:v>0</c:v>
                </c:pt>
                <c:pt idx="343">
                  <c:v>0</c:v>
                </c:pt>
                <c:pt idx="344">
                  <c:v>0</c:v>
                </c:pt>
                <c:pt idx="345">
                  <c:v>0</c:v>
                </c:pt>
                <c:pt idx="346">
                  <c:v>#N/A</c:v>
                </c:pt>
                <c:pt idx="347">
                  <c:v>#N/A</c:v>
                </c:pt>
                <c:pt idx="348">
                  <c:v>0</c:v>
                </c:pt>
                <c:pt idx="349">
                  <c:v>#N/A</c:v>
                </c:pt>
                <c:pt idx="350">
                  <c:v>0</c:v>
                </c:pt>
                <c:pt idx="351">
                  <c:v>#N/A</c:v>
                </c:pt>
                <c:pt idx="352">
                  <c:v>#N/A</c:v>
                </c:pt>
                <c:pt idx="353">
                  <c:v>0</c:v>
                </c:pt>
                <c:pt idx="354">
                  <c:v>#N/A</c:v>
                </c:pt>
                <c:pt idx="355">
                  <c:v>#N/A</c:v>
                </c:pt>
                <c:pt idx="356">
                  <c:v>#N/A</c:v>
                </c:pt>
                <c:pt idx="357">
                  <c:v>0</c:v>
                </c:pt>
                <c:pt idx="358">
                  <c:v>#N/A</c:v>
                </c:pt>
                <c:pt idx="359">
                  <c:v>#N/A</c:v>
                </c:pt>
                <c:pt idx="360">
                  <c:v>#N/A</c:v>
                </c:pt>
                <c:pt idx="361">
                  <c:v>0</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0</c:v>
                </c:pt>
                <c:pt idx="436">
                  <c:v>#N/A</c:v>
                </c:pt>
                <c:pt idx="437">
                  <c:v>#N/A</c:v>
                </c:pt>
                <c:pt idx="438">
                  <c:v>0</c:v>
                </c:pt>
                <c:pt idx="439">
                  <c:v>#N/A</c:v>
                </c:pt>
                <c:pt idx="440">
                  <c:v>#N/A</c:v>
                </c:pt>
                <c:pt idx="441">
                  <c:v>#N/A</c:v>
                </c:pt>
                <c:pt idx="442">
                  <c:v>#N/A</c:v>
                </c:pt>
                <c:pt idx="443">
                  <c:v>0</c:v>
                </c:pt>
                <c:pt idx="444">
                  <c:v>#N/A</c:v>
                </c:pt>
                <c:pt idx="445">
                  <c:v>#N/A</c:v>
                </c:pt>
                <c:pt idx="446">
                  <c:v>#N/A</c:v>
                </c:pt>
                <c:pt idx="447">
                  <c:v>0</c:v>
                </c:pt>
                <c:pt idx="448">
                  <c:v>0</c:v>
                </c:pt>
                <c:pt idx="449">
                  <c:v>#N/A</c:v>
                </c:pt>
                <c:pt idx="450">
                  <c:v>#N/A</c:v>
                </c:pt>
                <c:pt idx="451">
                  <c:v>#N/A</c:v>
                </c:pt>
                <c:pt idx="452">
                  <c:v>0</c:v>
                </c:pt>
                <c:pt idx="453">
                  <c:v>#N/A</c:v>
                </c:pt>
                <c:pt idx="454">
                  <c:v>#N/A</c:v>
                </c:pt>
                <c:pt idx="455">
                  <c:v>0</c:v>
                </c:pt>
                <c:pt idx="456">
                  <c:v>0</c:v>
                </c:pt>
                <c:pt idx="457">
                  <c:v>#N/A</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#N/A</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pt idx="3534">
                  <c:v>#N/A</c:v>
                </c:pt>
                <c:pt idx="3535">
                  <c:v>#N/A</c:v>
                </c:pt>
                <c:pt idx="3536">
                  <c:v>#N/A</c:v>
                </c:pt>
                <c:pt idx="3537">
                  <c:v>#N/A</c:v>
                </c:pt>
                <c:pt idx="3538">
                  <c:v>#N/A</c:v>
                </c:pt>
                <c:pt idx="3539">
                  <c:v>#N/A</c:v>
                </c:pt>
                <c:pt idx="3540">
                  <c:v>#N/A</c:v>
                </c:pt>
                <c:pt idx="3541">
                  <c:v>#N/A</c:v>
                </c:pt>
                <c:pt idx="3542">
                  <c:v>#N/A</c:v>
                </c:pt>
                <c:pt idx="3543">
                  <c:v>#N/A</c:v>
                </c:pt>
                <c:pt idx="3544">
                  <c:v>#N/A</c:v>
                </c:pt>
                <c:pt idx="3545">
                  <c:v>#N/A</c:v>
                </c:pt>
                <c:pt idx="3546">
                  <c:v>#N/A</c:v>
                </c:pt>
                <c:pt idx="3547">
                  <c:v>#N/A</c:v>
                </c:pt>
                <c:pt idx="3548">
                  <c:v>#N/A</c:v>
                </c:pt>
                <c:pt idx="3549">
                  <c:v>#N/A</c:v>
                </c:pt>
                <c:pt idx="3550">
                  <c:v>#N/A</c:v>
                </c:pt>
                <c:pt idx="3551">
                  <c:v>#N/A</c:v>
                </c:pt>
                <c:pt idx="3552">
                  <c:v>#N/A</c:v>
                </c:pt>
                <c:pt idx="3553">
                  <c:v>#N/A</c:v>
                </c:pt>
                <c:pt idx="3554">
                  <c:v>#N/A</c:v>
                </c:pt>
                <c:pt idx="3555">
                  <c:v>#N/A</c:v>
                </c:pt>
                <c:pt idx="3556">
                  <c:v>#N/A</c:v>
                </c:pt>
                <c:pt idx="3557">
                  <c:v>#N/A</c:v>
                </c:pt>
                <c:pt idx="3558">
                  <c:v>#N/A</c:v>
                </c:pt>
                <c:pt idx="3559">
                  <c:v>#N/A</c:v>
                </c:pt>
                <c:pt idx="3560">
                  <c:v>#N/A</c:v>
                </c:pt>
                <c:pt idx="3561">
                  <c:v>#N/A</c:v>
                </c:pt>
                <c:pt idx="3562">
                  <c:v>#N/A</c:v>
                </c:pt>
                <c:pt idx="3563">
                  <c:v>#N/A</c:v>
                </c:pt>
                <c:pt idx="3564">
                  <c:v>#N/A</c:v>
                </c:pt>
                <c:pt idx="3565">
                  <c:v>#N/A</c:v>
                </c:pt>
                <c:pt idx="3566">
                  <c:v>#N/A</c:v>
                </c:pt>
                <c:pt idx="3567">
                  <c:v>#N/A</c:v>
                </c:pt>
                <c:pt idx="3568">
                  <c:v>#N/A</c:v>
                </c:pt>
                <c:pt idx="3569">
                  <c:v>#N/A</c:v>
                </c:pt>
                <c:pt idx="3570">
                  <c:v>#N/A</c:v>
                </c:pt>
                <c:pt idx="3571">
                  <c:v>#N/A</c:v>
                </c:pt>
                <c:pt idx="3572">
                  <c:v>#N/A</c:v>
                </c:pt>
                <c:pt idx="3573">
                  <c:v>#N/A</c:v>
                </c:pt>
                <c:pt idx="3574">
                  <c:v>#N/A</c:v>
                </c:pt>
                <c:pt idx="3575">
                  <c:v>#N/A</c:v>
                </c:pt>
                <c:pt idx="3576">
                  <c:v>#N/A</c:v>
                </c:pt>
                <c:pt idx="3577">
                  <c:v>#N/A</c:v>
                </c:pt>
                <c:pt idx="3578">
                  <c:v>#N/A</c:v>
                </c:pt>
                <c:pt idx="3579">
                  <c:v>#N/A</c:v>
                </c:pt>
                <c:pt idx="3580">
                  <c:v>#N/A</c:v>
                </c:pt>
                <c:pt idx="3581">
                  <c:v>#N/A</c:v>
                </c:pt>
                <c:pt idx="3582">
                  <c:v>#N/A</c:v>
                </c:pt>
                <c:pt idx="3583">
                  <c:v>#N/A</c:v>
                </c:pt>
                <c:pt idx="3584">
                  <c:v>#N/A</c:v>
                </c:pt>
                <c:pt idx="3585">
                  <c:v>#N/A</c:v>
                </c:pt>
                <c:pt idx="3586">
                  <c:v>#N/A</c:v>
                </c:pt>
                <c:pt idx="3587">
                  <c:v>#N/A</c:v>
                </c:pt>
                <c:pt idx="3588">
                  <c:v>#N/A</c:v>
                </c:pt>
                <c:pt idx="3589">
                  <c:v>#N/A</c:v>
                </c:pt>
                <c:pt idx="3590">
                  <c:v>#N/A</c:v>
                </c:pt>
                <c:pt idx="3591">
                  <c:v>#N/A</c:v>
                </c:pt>
                <c:pt idx="3592">
                  <c:v>#N/A</c:v>
                </c:pt>
                <c:pt idx="3593">
                  <c:v>#N/A</c:v>
                </c:pt>
                <c:pt idx="3594">
                  <c:v>#N/A</c:v>
                </c:pt>
                <c:pt idx="3595">
                  <c:v>#N/A</c:v>
                </c:pt>
                <c:pt idx="3596">
                  <c:v>#N/A</c:v>
                </c:pt>
                <c:pt idx="3597">
                  <c:v>#N/A</c:v>
                </c:pt>
                <c:pt idx="3598">
                  <c:v>#N/A</c:v>
                </c:pt>
                <c:pt idx="3599">
                  <c:v>#N/A</c:v>
                </c:pt>
                <c:pt idx="3600">
                  <c:v>#N/A</c:v>
                </c:pt>
                <c:pt idx="3601">
                  <c:v>#N/A</c:v>
                </c:pt>
                <c:pt idx="3602">
                  <c:v>#N/A</c:v>
                </c:pt>
                <c:pt idx="3603">
                  <c:v>#N/A</c:v>
                </c:pt>
                <c:pt idx="3604">
                  <c:v>#N/A</c:v>
                </c:pt>
                <c:pt idx="3605">
                  <c:v>#N/A</c:v>
                </c:pt>
                <c:pt idx="3606">
                  <c:v>#N/A</c:v>
                </c:pt>
                <c:pt idx="3607">
                  <c:v>#N/A</c:v>
                </c:pt>
                <c:pt idx="3608">
                  <c:v>#N/A</c:v>
                </c:pt>
                <c:pt idx="3609">
                  <c:v>#N/A</c:v>
                </c:pt>
                <c:pt idx="3610">
                  <c:v>#N/A</c:v>
                </c:pt>
                <c:pt idx="3611">
                  <c:v>#N/A</c:v>
                </c:pt>
                <c:pt idx="3612">
                  <c:v>#N/A</c:v>
                </c:pt>
                <c:pt idx="3613">
                  <c:v>#N/A</c:v>
                </c:pt>
                <c:pt idx="3614">
                  <c:v>#N/A</c:v>
                </c:pt>
                <c:pt idx="3615">
                  <c:v>#N/A</c:v>
                </c:pt>
                <c:pt idx="3616">
                  <c:v>#N/A</c:v>
                </c:pt>
                <c:pt idx="3617">
                  <c:v>#N/A</c:v>
                </c:pt>
                <c:pt idx="3618">
                  <c:v>#N/A</c:v>
                </c:pt>
                <c:pt idx="3619">
                  <c:v>#N/A</c:v>
                </c:pt>
                <c:pt idx="3620">
                  <c:v>#N/A</c:v>
                </c:pt>
                <c:pt idx="3621">
                  <c:v>#N/A</c:v>
                </c:pt>
                <c:pt idx="3622">
                  <c:v>#N/A</c:v>
                </c:pt>
                <c:pt idx="3623">
                  <c:v>#N/A</c:v>
                </c:pt>
                <c:pt idx="3624">
                  <c:v>#N/A</c:v>
                </c:pt>
                <c:pt idx="3625">
                  <c:v>#N/A</c:v>
                </c:pt>
                <c:pt idx="3626">
                  <c:v>#N/A</c:v>
                </c:pt>
                <c:pt idx="3627">
                  <c:v>#N/A</c:v>
                </c:pt>
                <c:pt idx="3628">
                  <c:v>#N/A</c:v>
                </c:pt>
                <c:pt idx="3629">
                  <c:v>#N/A</c:v>
                </c:pt>
                <c:pt idx="3630">
                  <c:v>#N/A</c:v>
                </c:pt>
                <c:pt idx="3631">
                  <c:v>#N/A</c:v>
                </c:pt>
                <c:pt idx="3632">
                  <c:v>#N/A</c:v>
                </c:pt>
                <c:pt idx="3633">
                  <c:v>#N/A</c:v>
                </c:pt>
                <c:pt idx="3634">
                  <c:v>#N/A</c:v>
                </c:pt>
                <c:pt idx="3635">
                  <c:v>#N/A</c:v>
                </c:pt>
                <c:pt idx="3636">
                  <c:v>#N/A</c:v>
                </c:pt>
                <c:pt idx="3637">
                  <c:v>#N/A</c:v>
                </c:pt>
                <c:pt idx="3638">
                  <c:v>#N/A</c:v>
                </c:pt>
                <c:pt idx="3639">
                  <c:v>#N/A</c:v>
                </c:pt>
                <c:pt idx="3640">
                  <c:v>#N/A</c:v>
                </c:pt>
                <c:pt idx="3641">
                  <c:v>#N/A</c:v>
                </c:pt>
                <c:pt idx="3642">
                  <c:v>#N/A</c:v>
                </c:pt>
                <c:pt idx="3643">
                  <c:v>#N/A</c:v>
                </c:pt>
                <c:pt idx="3644">
                  <c:v>#N/A</c:v>
                </c:pt>
                <c:pt idx="3645">
                  <c:v>#N/A</c:v>
                </c:pt>
                <c:pt idx="3646">
                  <c:v>#N/A</c:v>
                </c:pt>
                <c:pt idx="3647">
                  <c:v>#N/A</c:v>
                </c:pt>
                <c:pt idx="3648">
                  <c:v>#N/A</c:v>
                </c:pt>
                <c:pt idx="3649">
                  <c:v>#N/A</c:v>
                </c:pt>
                <c:pt idx="3650">
                  <c:v>#N/A</c:v>
                </c:pt>
                <c:pt idx="3651">
                  <c:v>#N/A</c:v>
                </c:pt>
                <c:pt idx="3652">
                  <c:v>#N/A</c:v>
                </c:pt>
                <c:pt idx="3653">
                  <c:v>#N/A</c:v>
                </c:pt>
                <c:pt idx="3654">
                  <c:v>#N/A</c:v>
                </c:pt>
                <c:pt idx="3655">
                  <c:v>#N/A</c:v>
                </c:pt>
                <c:pt idx="3656">
                  <c:v>#N/A</c:v>
                </c:pt>
                <c:pt idx="3657">
                  <c:v>#N/A</c:v>
                </c:pt>
                <c:pt idx="3658">
                  <c:v>#N/A</c:v>
                </c:pt>
                <c:pt idx="3659">
                  <c:v>#N/A</c:v>
                </c:pt>
                <c:pt idx="3660">
                  <c:v>#N/A</c:v>
                </c:pt>
                <c:pt idx="3661">
                  <c:v>#N/A</c:v>
                </c:pt>
                <c:pt idx="3662">
                  <c:v>#N/A</c:v>
                </c:pt>
                <c:pt idx="3663">
                  <c:v>#N/A</c:v>
                </c:pt>
                <c:pt idx="3664">
                  <c:v>#N/A</c:v>
                </c:pt>
                <c:pt idx="3665">
                  <c:v>#N/A</c:v>
                </c:pt>
                <c:pt idx="3666">
                  <c:v>#N/A</c:v>
                </c:pt>
                <c:pt idx="3667">
                  <c:v>#N/A</c:v>
                </c:pt>
                <c:pt idx="3668">
                  <c:v>#N/A</c:v>
                </c:pt>
                <c:pt idx="3669">
                  <c:v>#N/A</c:v>
                </c:pt>
                <c:pt idx="3670">
                  <c:v>#N/A</c:v>
                </c:pt>
                <c:pt idx="3671">
                  <c:v>#N/A</c:v>
                </c:pt>
                <c:pt idx="3672">
                  <c:v>#N/A</c:v>
                </c:pt>
                <c:pt idx="3673">
                  <c:v>#N/A</c:v>
                </c:pt>
                <c:pt idx="3674">
                  <c:v>#N/A</c:v>
                </c:pt>
                <c:pt idx="3675">
                  <c:v>#N/A</c:v>
                </c:pt>
                <c:pt idx="3676">
                  <c:v>#N/A</c:v>
                </c:pt>
                <c:pt idx="3677">
                  <c:v>#N/A</c:v>
                </c:pt>
                <c:pt idx="3678">
                  <c:v>#N/A</c:v>
                </c:pt>
                <c:pt idx="3679">
                  <c:v>#N/A</c:v>
                </c:pt>
                <c:pt idx="3680">
                  <c:v>#N/A</c:v>
                </c:pt>
                <c:pt idx="3681">
                  <c:v>#N/A</c:v>
                </c:pt>
                <c:pt idx="3682">
                  <c:v>#N/A</c:v>
                </c:pt>
                <c:pt idx="3683">
                  <c:v>#N/A</c:v>
                </c:pt>
                <c:pt idx="3684">
                  <c:v>#N/A</c:v>
                </c:pt>
                <c:pt idx="3685">
                  <c:v>#N/A</c:v>
                </c:pt>
                <c:pt idx="3686">
                  <c:v>#N/A</c:v>
                </c:pt>
                <c:pt idx="3687">
                  <c:v>#N/A</c:v>
                </c:pt>
                <c:pt idx="3688">
                  <c:v>#N/A</c:v>
                </c:pt>
                <c:pt idx="3689">
                  <c:v>#N/A</c:v>
                </c:pt>
                <c:pt idx="3690">
                  <c:v>#N/A</c:v>
                </c:pt>
                <c:pt idx="3691">
                  <c:v>#N/A</c:v>
                </c:pt>
                <c:pt idx="3692">
                  <c:v>#N/A</c:v>
                </c:pt>
                <c:pt idx="3693">
                  <c:v>#N/A</c:v>
                </c:pt>
                <c:pt idx="3694">
                  <c:v>#N/A</c:v>
                </c:pt>
                <c:pt idx="3695">
                  <c:v>#N/A</c:v>
                </c:pt>
                <c:pt idx="3696">
                  <c:v>#N/A</c:v>
                </c:pt>
                <c:pt idx="3697">
                  <c:v>#N/A</c:v>
                </c:pt>
                <c:pt idx="3698">
                  <c:v>#N/A</c:v>
                </c:pt>
                <c:pt idx="3699">
                  <c:v>#N/A</c:v>
                </c:pt>
                <c:pt idx="3700">
                  <c:v>#N/A</c:v>
                </c:pt>
                <c:pt idx="3701">
                  <c:v>#N/A</c:v>
                </c:pt>
                <c:pt idx="3702">
                  <c:v>#N/A</c:v>
                </c:pt>
                <c:pt idx="3703">
                  <c:v>#N/A</c:v>
                </c:pt>
                <c:pt idx="3704">
                  <c:v>#N/A</c:v>
                </c:pt>
                <c:pt idx="3705">
                  <c:v>#N/A</c:v>
                </c:pt>
                <c:pt idx="3706">
                  <c:v>#N/A</c:v>
                </c:pt>
                <c:pt idx="3707">
                  <c:v>#N/A</c:v>
                </c:pt>
                <c:pt idx="3708">
                  <c:v>#N/A</c:v>
                </c:pt>
                <c:pt idx="3709">
                  <c:v>#N/A</c:v>
                </c:pt>
                <c:pt idx="3710">
                  <c:v>#N/A</c:v>
                </c:pt>
                <c:pt idx="3711">
                  <c:v>#N/A</c:v>
                </c:pt>
                <c:pt idx="3712">
                  <c:v>#N/A</c:v>
                </c:pt>
                <c:pt idx="3713">
                  <c:v>#N/A</c:v>
                </c:pt>
                <c:pt idx="3714">
                  <c:v>#N/A</c:v>
                </c:pt>
                <c:pt idx="3715">
                  <c:v>#N/A</c:v>
                </c:pt>
                <c:pt idx="3716">
                  <c:v>#N/A</c:v>
                </c:pt>
                <c:pt idx="3717">
                  <c:v>#N/A</c:v>
                </c:pt>
                <c:pt idx="3718">
                  <c:v>#N/A</c:v>
                </c:pt>
                <c:pt idx="3719">
                  <c:v>#N/A</c:v>
                </c:pt>
                <c:pt idx="3720">
                  <c:v>#N/A</c:v>
                </c:pt>
                <c:pt idx="3721">
                  <c:v>#N/A</c:v>
                </c:pt>
                <c:pt idx="3722">
                  <c:v>#N/A</c:v>
                </c:pt>
                <c:pt idx="3723">
                  <c:v>#N/A</c:v>
                </c:pt>
                <c:pt idx="3724">
                  <c:v>#N/A</c:v>
                </c:pt>
                <c:pt idx="3725">
                  <c:v>#N/A</c:v>
                </c:pt>
                <c:pt idx="3726">
                  <c:v>#N/A</c:v>
                </c:pt>
                <c:pt idx="3727">
                  <c:v>#N/A</c:v>
                </c:pt>
                <c:pt idx="3728">
                  <c:v>#N/A</c:v>
                </c:pt>
                <c:pt idx="3729">
                  <c:v>#N/A</c:v>
                </c:pt>
                <c:pt idx="3730">
                  <c:v>#N/A</c:v>
                </c:pt>
                <c:pt idx="3731">
                  <c:v>#N/A</c:v>
                </c:pt>
                <c:pt idx="3732">
                  <c:v>#N/A</c:v>
                </c:pt>
                <c:pt idx="3733">
                  <c:v>#N/A</c:v>
                </c:pt>
                <c:pt idx="3734">
                  <c:v>#N/A</c:v>
                </c:pt>
                <c:pt idx="3735">
                  <c:v>#N/A</c:v>
                </c:pt>
                <c:pt idx="3736">
                  <c:v>#N/A</c:v>
                </c:pt>
                <c:pt idx="3737">
                  <c:v>#N/A</c:v>
                </c:pt>
                <c:pt idx="3738">
                  <c:v>#N/A</c:v>
                </c:pt>
                <c:pt idx="3739">
                  <c:v>#N/A</c:v>
                </c:pt>
                <c:pt idx="3740">
                  <c:v>#N/A</c:v>
                </c:pt>
                <c:pt idx="3741">
                  <c:v>#N/A</c:v>
                </c:pt>
                <c:pt idx="3742">
                  <c:v>#N/A</c:v>
                </c:pt>
                <c:pt idx="3743">
                  <c:v>#N/A</c:v>
                </c:pt>
                <c:pt idx="3744">
                  <c:v>#N/A</c:v>
                </c:pt>
                <c:pt idx="3745">
                  <c:v>#N/A</c:v>
                </c:pt>
                <c:pt idx="3746">
                  <c:v>#N/A</c:v>
                </c:pt>
                <c:pt idx="3747">
                  <c:v>#N/A</c:v>
                </c:pt>
                <c:pt idx="3748">
                  <c:v>#N/A</c:v>
                </c:pt>
                <c:pt idx="3749">
                  <c:v>#N/A</c:v>
                </c:pt>
                <c:pt idx="3750">
                  <c:v>#N/A</c:v>
                </c:pt>
                <c:pt idx="3751">
                  <c:v>#N/A</c:v>
                </c:pt>
                <c:pt idx="3752">
                  <c:v>#N/A</c:v>
                </c:pt>
                <c:pt idx="3753">
                  <c:v>#N/A</c:v>
                </c:pt>
                <c:pt idx="3754">
                  <c:v>#N/A</c:v>
                </c:pt>
                <c:pt idx="3755">
                  <c:v>#N/A</c:v>
                </c:pt>
                <c:pt idx="3756">
                  <c:v>#N/A</c:v>
                </c:pt>
                <c:pt idx="3757">
                  <c:v>#N/A</c:v>
                </c:pt>
                <c:pt idx="3758">
                  <c:v>#N/A</c:v>
                </c:pt>
                <c:pt idx="3759">
                  <c:v>#N/A</c:v>
                </c:pt>
                <c:pt idx="3760">
                  <c:v>#N/A</c:v>
                </c:pt>
                <c:pt idx="3761">
                  <c:v>#N/A</c:v>
                </c:pt>
                <c:pt idx="3762">
                  <c:v>#N/A</c:v>
                </c:pt>
                <c:pt idx="3763">
                  <c:v>#N/A</c:v>
                </c:pt>
                <c:pt idx="3764">
                  <c:v>#N/A</c:v>
                </c:pt>
                <c:pt idx="3765">
                  <c:v>#N/A</c:v>
                </c:pt>
                <c:pt idx="3766">
                  <c:v>#N/A</c:v>
                </c:pt>
                <c:pt idx="3767">
                  <c:v>#N/A</c:v>
                </c:pt>
                <c:pt idx="3768">
                  <c:v>#N/A</c:v>
                </c:pt>
                <c:pt idx="3769">
                  <c:v>#N/A</c:v>
                </c:pt>
                <c:pt idx="3770">
                  <c:v>#N/A</c:v>
                </c:pt>
                <c:pt idx="3771">
                  <c:v>#N/A</c:v>
                </c:pt>
                <c:pt idx="3772">
                  <c:v>#N/A</c:v>
                </c:pt>
                <c:pt idx="3773">
                  <c:v>#N/A</c:v>
                </c:pt>
                <c:pt idx="3774">
                  <c:v>#N/A</c:v>
                </c:pt>
                <c:pt idx="3775">
                  <c:v>#N/A</c:v>
                </c:pt>
                <c:pt idx="3776">
                  <c:v>#N/A</c:v>
                </c:pt>
                <c:pt idx="3777">
                  <c:v>#N/A</c:v>
                </c:pt>
                <c:pt idx="3778">
                  <c:v>#N/A</c:v>
                </c:pt>
                <c:pt idx="3779">
                  <c:v>#N/A</c:v>
                </c:pt>
                <c:pt idx="3780">
                  <c:v>#N/A</c:v>
                </c:pt>
                <c:pt idx="3781">
                  <c:v>#N/A</c:v>
                </c:pt>
                <c:pt idx="3782">
                  <c:v>#N/A</c:v>
                </c:pt>
                <c:pt idx="3783">
                  <c:v>#N/A</c:v>
                </c:pt>
                <c:pt idx="3784">
                  <c:v>#N/A</c:v>
                </c:pt>
                <c:pt idx="3785">
                  <c:v>#N/A</c:v>
                </c:pt>
                <c:pt idx="3786">
                  <c:v>#N/A</c:v>
                </c:pt>
                <c:pt idx="3787">
                  <c:v>#N/A</c:v>
                </c:pt>
                <c:pt idx="3788">
                  <c:v>#N/A</c:v>
                </c:pt>
                <c:pt idx="3789">
                  <c:v>#N/A</c:v>
                </c:pt>
                <c:pt idx="3790">
                  <c:v>#N/A</c:v>
                </c:pt>
                <c:pt idx="3791">
                  <c:v>#N/A</c:v>
                </c:pt>
                <c:pt idx="3792">
                  <c:v>#N/A</c:v>
                </c:pt>
                <c:pt idx="3793">
                  <c:v>#N/A</c:v>
                </c:pt>
                <c:pt idx="3794">
                  <c:v>#N/A</c:v>
                </c:pt>
                <c:pt idx="3795">
                  <c:v>#N/A</c:v>
                </c:pt>
                <c:pt idx="3796">
                  <c:v>#N/A</c:v>
                </c:pt>
                <c:pt idx="3797">
                  <c:v>#N/A</c:v>
                </c:pt>
                <c:pt idx="3798">
                  <c:v>#N/A</c:v>
                </c:pt>
                <c:pt idx="3799">
                  <c:v>#N/A</c:v>
                </c:pt>
                <c:pt idx="3800">
                  <c:v>#N/A</c:v>
                </c:pt>
                <c:pt idx="3801">
                  <c:v>#N/A</c:v>
                </c:pt>
                <c:pt idx="3802">
                  <c:v>#N/A</c:v>
                </c:pt>
                <c:pt idx="3803">
                  <c:v>#N/A</c:v>
                </c:pt>
                <c:pt idx="3804">
                  <c:v>#N/A</c:v>
                </c:pt>
                <c:pt idx="3805">
                  <c:v>#N/A</c:v>
                </c:pt>
                <c:pt idx="3806">
                  <c:v>#N/A</c:v>
                </c:pt>
                <c:pt idx="3807">
                  <c:v>#N/A</c:v>
                </c:pt>
                <c:pt idx="3808">
                  <c:v>#N/A</c:v>
                </c:pt>
                <c:pt idx="3809">
                  <c:v>#N/A</c:v>
                </c:pt>
                <c:pt idx="3810">
                  <c:v>#N/A</c:v>
                </c:pt>
                <c:pt idx="3811">
                  <c:v>#N/A</c:v>
                </c:pt>
                <c:pt idx="3812">
                  <c:v>#N/A</c:v>
                </c:pt>
                <c:pt idx="3813">
                  <c:v>#N/A</c:v>
                </c:pt>
                <c:pt idx="3814">
                  <c:v>#N/A</c:v>
                </c:pt>
                <c:pt idx="3815">
                  <c:v>#N/A</c:v>
                </c:pt>
                <c:pt idx="3816">
                  <c:v>#N/A</c:v>
                </c:pt>
                <c:pt idx="3817">
                  <c:v>#N/A</c:v>
                </c:pt>
                <c:pt idx="3818">
                  <c:v>#N/A</c:v>
                </c:pt>
                <c:pt idx="3819">
                  <c:v>#N/A</c:v>
                </c:pt>
                <c:pt idx="3820">
                  <c:v>#N/A</c:v>
                </c:pt>
                <c:pt idx="3821">
                  <c:v>#N/A</c:v>
                </c:pt>
                <c:pt idx="3822">
                  <c:v>#N/A</c:v>
                </c:pt>
                <c:pt idx="3823">
                  <c:v>#N/A</c:v>
                </c:pt>
                <c:pt idx="3824">
                  <c:v>#N/A</c:v>
                </c:pt>
                <c:pt idx="3825">
                  <c:v>#N/A</c:v>
                </c:pt>
                <c:pt idx="3826">
                  <c:v>#N/A</c:v>
                </c:pt>
                <c:pt idx="3827">
                  <c:v>#N/A</c:v>
                </c:pt>
                <c:pt idx="3828">
                  <c:v>#N/A</c:v>
                </c:pt>
                <c:pt idx="3829">
                  <c:v>#N/A</c:v>
                </c:pt>
                <c:pt idx="3830">
                  <c:v>#N/A</c:v>
                </c:pt>
                <c:pt idx="3831">
                  <c:v>#N/A</c:v>
                </c:pt>
                <c:pt idx="3832">
                  <c:v>#N/A</c:v>
                </c:pt>
                <c:pt idx="3833">
                  <c:v>#N/A</c:v>
                </c:pt>
                <c:pt idx="3834">
                  <c:v>#N/A</c:v>
                </c:pt>
                <c:pt idx="3835">
                  <c:v>#N/A</c:v>
                </c:pt>
                <c:pt idx="3836">
                  <c:v>#N/A</c:v>
                </c:pt>
                <c:pt idx="3837">
                  <c:v>#N/A</c:v>
                </c:pt>
                <c:pt idx="3838">
                  <c:v>#N/A</c:v>
                </c:pt>
                <c:pt idx="3839">
                  <c:v>#N/A</c:v>
                </c:pt>
                <c:pt idx="3840">
                  <c:v>#N/A</c:v>
                </c:pt>
                <c:pt idx="3841">
                  <c:v>#N/A</c:v>
                </c:pt>
                <c:pt idx="3842">
                  <c:v>#N/A</c:v>
                </c:pt>
                <c:pt idx="3843">
                  <c:v>#N/A</c:v>
                </c:pt>
                <c:pt idx="3844">
                  <c:v>#N/A</c:v>
                </c:pt>
                <c:pt idx="3845">
                  <c:v>#N/A</c:v>
                </c:pt>
                <c:pt idx="3846">
                  <c:v>#N/A</c:v>
                </c:pt>
                <c:pt idx="3847">
                  <c:v>#N/A</c:v>
                </c:pt>
                <c:pt idx="3848">
                  <c:v>#N/A</c:v>
                </c:pt>
                <c:pt idx="3849">
                  <c:v>#N/A</c:v>
                </c:pt>
                <c:pt idx="3850">
                  <c:v>#N/A</c:v>
                </c:pt>
                <c:pt idx="3851">
                  <c:v>#N/A</c:v>
                </c:pt>
                <c:pt idx="3852">
                  <c:v>#N/A</c:v>
                </c:pt>
                <c:pt idx="3853">
                  <c:v>#N/A</c:v>
                </c:pt>
                <c:pt idx="3854">
                  <c:v>#N/A</c:v>
                </c:pt>
                <c:pt idx="3855">
                  <c:v>#N/A</c:v>
                </c:pt>
                <c:pt idx="3856">
                  <c:v>#N/A</c:v>
                </c:pt>
                <c:pt idx="3857">
                  <c:v>#N/A</c:v>
                </c:pt>
                <c:pt idx="3858">
                  <c:v>#N/A</c:v>
                </c:pt>
                <c:pt idx="3859">
                  <c:v>#N/A</c:v>
                </c:pt>
                <c:pt idx="3860">
                  <c:v>#N/A</c:v>
                </c:pt>
                <c:pt idx="3861">
                  <c:v>#N/A</c:v>
                </c:pt>
                <c:pt idx="3862">
                  <c:v>#N/A</c:v>
                </c:pt>
                <c:pt idx="3863">
                  <c:v>#N/A</c:v>
                </c:pt>
                <c:pt idx="3864">
                  <c:v>#N/A</c:v>
                </c:pt>
                <c:pt idx="3865">
                  <c:v>#N/A</c:v>
                </c:pt>
                <c:pt idx="3866">
                  <c:v>#N/A</c:v>
                </c:pt>
                <c:pt idx="3867">
                  <c:v>#N/A</c:v>
                </c:pt>
                <c:pt idx="3868">
                  <c:v>#N/A</c:v>
                </c:pt>
                <c:pt idx="3869">
                  <c:v>#N/A</c:v>
                </c:pt>
                <c:pt idx="3870">
                  <c:v>#N/A</c:v>
                </c:pt>
                <c:pt idx="3871">
                  <c:v>#N/A</c:v>
                </c:pt>
                <c:pt idx="3872">
                  <c:v>#N/A</c:v>
                </c:pt>
                <c:pt idx="3873">
                  <c:v>#N/A</c:v>
                </c:pt>
                <c:pt idx="3874">
                  <c:v>#N/A</c:v>
                </c:pt>
                <c:pt idx="3875">
                  <c:v>#N/A</c:v>
                </c:pt>
                <c:pt idx="3876">
                  <c:v>#N/A</c:v>
                </c:pt>
                <c:pt idx="3877">
                  <c:v>#N/A</c:v>
                </c:pt>
                <c:pt idx="3878">
                  <c:v>#N/A</c:v>
                </c:pt>
                <c:pt idx="3879">
                  <c:v>#N/A</c:v>
                </c:pt>
                <c:pt idx="3880">
                  <c:v>#N/A</c:v>
                </c:pt>
                <c:pt idx="3881">
                  <c:v>#N/A</c:v>
                </c:pt>
                <c:pt idx="3882">
                  <c:v>#N/A</c:v>
                </c:pt>
                <c:pt idx="3883">
                  <c:v>#N/A</c:v>
                </c:pt>
                <c:pt idx="3884">
                  <c:v>#N/A</c:v>
                </c:pt>
                <c:pt idx="3885">
                  <c:v>#N/A</c:v>
                </c:pt>
                <c:pt idx="3886">
                  <c:v>#N/A</c:v>
                </c:pt>
                <c:pt idx="3887">
                  <c:v>#N/A</c:v>
                </c:pt>
                <c:pt idx="3888">
                  <c:v>#N/A</c:v>
                </c:pt>
                <c:pt idx="3889">
                  <c:v>#N/A</c:v>
                </c:pt>
                <c:pt idx="3890">
                  <c:v>#N/A</c:v>
                </c:pt>
                <c:pt idx="3891">
                  <c:v>#N/A</c:v>
                </c:pt>
                <c:pt idx="3892">
                  <c:v>#N/A</c:v>
                </c:pt>
                <c:pt idx="3893">
                  <c:v>#N/A</c:v>
                </c:pt>
                <c:pt idx="3894">
                  <c:v>#N/A</c:v>
                </c:pt>
                <c:pt idx="3895">
                  <c:v>#N/A</c:v>
                </c:pt>
                <c:pt idx="3896">
                  <c:v>#N/A</c:v>
                </c:pt>
                <c:pt idx="3897">
                  <c:v>#N/A</c:v>
                </c:pt>
                <c:pt idx="3898">
                  <c:v>#N/A</c:v>
                </c:pt>
                <c:pt idx="3899">
                  <c:v>#N/A</c:v>
                </c:pt>
                <c:pt idx="3900">
                  <c:v>#N/A</c:v>
                </c:pt>
                <c:pt idx="3901">
                  <c:v>#N/A</c:v>
                </c:pt>
                <c:pt idx="3902">
                  <c:v>#N/A</c:v>
                </c:pt>
                <c:pt idx="3903">
                  <c:v>#N/A</c:v>
                </c:pt>
                <c:pt idx="3904">
                  <c:v>#N/A</c:v>
                </c:pt>
                <c:pt idx="3905">
                  <c:v>#N/A</c:v>
                </c:pt>
                <c:pt idx="3906">
                  <c:v>#N/A</c:v>
                </c:pt>
                <c:pt idx="3907">
                  <c:v>#N/A</c:v>
                </c:pt>
                <c:pt idx="3908">
                  <c:v>#N/A</c:v>
                </c:pt>
                <c:pt idx="3909">
                  <c:v>#N/A</c:v>
                </c:pt>
                <c:pt idx="3910">
                  <c:v>#N/A</c:v>
                </c:pt>
                <c:pt idx="3911">
                  <c:v>#N/A</c:v>
                </c:pt>
                <c:pt idx="3912">
                  <c:v>#N/A</c:v>
                </c:pt>
                <c:pt idx="3913">
                  <c:v>#N/A</c:v>
                </c:pt>
                <c:pt idx="3914">
                  <c:v>#N/A</c:v>
                </c:pt>
                <c:pt idx="3915">
                  <c:v>#N/A</c:v>
                </c:pt>
                <c:pt idx="3916">
                  <c:v>#N/A</c:v>
                </c:pt>
                <c:pt idx="3917">
                  <c:v>#N/A</c:v>
                </c:pt>
                <c:pt idx="3918">
                  <c:v>#N/A</c:v>
                </c:pt>
                <c:pt idx="3919">
                  <c:v>#N/A</c:v>
                </c:pt>
                <c:pt idx="3920">
                  <c:v>#N/A</c:v>
                </c:pt>
                <c:pt idx="3921">
                  <c:v>#N/A</c:v>
                </c:pt>
                <c:pt idx="3922">
                  <c:v>#N/A</c:v>
                </c:pt>
                <c:pt idx="3923">
                  <c:v>#N/A</c:v>
                </c:pt>
                <c:pt idx="3924">
                  <c:v>#N/A</c:v>
                </c:pt>
                <c:pt idx="3925">
                  <c:v>#N/A</c:v>
                </c:pt>
                <c:pt idx="3926">
                  <c:v>#N/A</c:v>
                </c:pt>
                <c:pt idx="3927">
                  <c:v>#N/A</c:v>
                </c:pt>
                <c:pt idx="3928">
                  <c:v>#N/A</c:v>
                </c:pt>
                <c:pt idx="3929">
                  <c:v>#N/A</c:v>
                </c:pt>
                <c:pt idx="3930">
                  <c:v>#N/A</c:v>
                </c:pt>
                <c:pt idx="3931">
                  <c:v>#N/A</c:v>
                </c:pt>
                <c:pt idx="3932">
                  <c:v>#N/A</c:v>
                </c:pt>
                <c:pt idx="3933">
                  <c:v>#N/A</c:v>
                </c:pt>
                <c:pt idx="3934">
                  <c:v>#N/A</c:v>
                </c:pt>
                <c:pt idx="3935">
                  <c:v>#N/A</c:v>
                </c:pt>
                <c:pt idx="3936">
                  <c:v>#N/A</c:v>
                </c:pt>
                <c:pt idx="3937">
                  <c:v>#N/A</c:v>
                </c:pt>
                <c:pt idx="3938">
                  <c:v>#N/A</c:v>
                </c:pt>
                <c:pt idx="3939">
                  <c:v>#N/A</c:v>
                </c:pt>
                <c:pt idx="3940">
                  <c:v>#N/A</c:v>
                </c:pt>
                <c:pt idx="3941">
                  <c:v>#N/A</c:v>
                </c:pt>
                <c:pt idx="3942">
                  <c:v>#N/A</c:v>
                </c:pt>
                <c:pt idx="3943">
                  <c:v>#N/A</c:v>
                </c:pt>
                <c:pt idx="3944">
                  <c:v>#N/A</c:v>
                </c:pt>
                <c:pt idx="3945">
                  <c:v>#N/A</c:v>
                </c:pt>
                <c:pt idx="3946">
                  <c:v>#N/A</c:v>
                </c:pt>
                <c:pt idx="3947">
                  <c:v>#N/A</c:v>
                </c:pt>
                <c:pt idx="3948">
                  <c:v>#N/A</c:v>
                </c:pt>
                <c:pt idx="3949">
                  <c:v>#N/A</c:v>
                </c:pt>
                <c:pt idx="3950">
                  <c:v>#N/A</c:v>
                </c:pt>
                <c:pt idx="3951">
                  <c:v>#N/A</c:v>
                </c:pt>
                <c:pt idx="3952">
                  <c:v>#N/A</c:v>
                </c:pt>
                <c:pt idx="3953">
                  <c:v>#N/A</c:v>
                </c:pt>
                <c:pt idx="3954">
                  <c:v>#N/A</c:v>
                </c:pt>
                <c:pt idx="3955">
                  <c:v>#N/A</c:v>
                </c:pt>
                <c:pt idx="3956">
                  <c:v>#N/A</c:v>
                </c:pt>
                <c:pt idx="3957">
                  <c:v>#N/A</c:v>
                </c:pt>
                <c:pt idx="3958">
                  <c:v>#N/A</c:v>
                </c:pt>
                <c:pt idx="3959">
                  <c:v>#N/A</c:v>
                </c:pt>
                <c:pt idx="3960">
                  <c:v>#N/A</c:v>
                </c:pt>
                <c:pt idx="3961">
                  <c:v>#N/A</c:v>
                </c:pt>
                <c:pt idx="3962">
                  <c:v>#N/A</c:v>
                </c:pt>
                <c:pt idx="3963">
                  <c:v>#N/A</c:v>
                </c:pt>
                <c:pt idx="3964">
                  <c:v>#N/A</c:v>
                </c:pt>
                <c:pt idx="3965">
                  <c:v>#N/A</c:v>
                </c:pt>
                <c:pt idx="3966">
                  <c:v>#N/A</c:v>
                </c:pt>
                <c:pt idx="3967">
                  <c:v>#N/A</c:v>
                </c:pt>
                <c:pt idx="3968">
                  <c:v>#N/A</c:v>
                </c:pt>
                <c:pt idx="3969">
                  <c:v>#N/A</c:v>
                </c:pt>
                <c:pt idx="3970">
                  <c:v>#N/A</c:v>
                </c:pt>
                <c:pt idx="3971">
                  <c:v>#N/A</c:v>
                </c:pt>
                <c:pt idx="3972">
                  <c:v>#N/A</c:v>
                </c:pt>
                <c:pt idx="3973">
                  <c:v>#N/A</c:v>
                </c:pt>
                <c:pt idx="3974">
                  <c:v>#N/A</c:v>
                </c:pt>
                <c:pt idx="3975">
                  <c:v>#N/A</c:v>
                </c:pt>
                <c:pt idx="3976">
                  <c:v>#N/A</c:v>
                </c:pt>
                <c:pt idx="3977">
                  <c:v>#N/A</c:v>
                </c:pt>
                <c:pt idx="3978">
                  <c:v>#N/A</c:v>
                </c:pt>
                <c:pt idx="3979">
                  <c:v>#N/A</c:v>
                </c:pt>
                <c:pt idx="3980">
                  <c:v>#N/A</c:v>
                </c:pt>
                <c:pt idx="3981">
                  <c:v>#N/A</c:v>
                </c:pt>
                <c:pt idx="3982">
                  <c:v>#N/A</c:v>
                </c:pt>
                <c:pt idx="3983">
                  <c:v>#N/A</c:v>
                </c:pt>
                <c:pt idx="3984">
                  <c:v>#N/A</c:v>
                </c:pt>
                <c:pt idx="3985">
                  <c:v>#N/A</c:v>
                </c:pt>
                <c:pt idx="3986">
                  <c:v>#N/A</c:v>
                </c:pt>
                <c:pt idx="3987">
                  <c:v>#N/A</c:v>
                </c:pt>
                <c:pt idx="3988">
                  <c:v>#N/A</c:v>
                </c:pt>
                <c:pt idx="3989">
                  <c:v>#N/A</c:v>
                </c:pt>
                <c:pt idx="3990">
                  <c:v>#N/A</c:v>
                </c:pt>
                <c:pt idx="3991">
                  <c:v>#N/A</c:v>
                </c:pt>
                <c:pt idx="3992">
                  <c:v>#N/A</c:v>
                </c:pt>
                <c:pt idx="3993">
                  <c:v>#N/A</c:v>
                </c:pt>
                <c:pt idx="3994">
                  <c:v>#N/A</c:v>
                </c:pt>
                <c:pt idx="3995">
                  <c:v>#N/A</c:v>
                </c:pt>
                <c:pt idx="3996">
                  <c:v>#N/A</c:v>
                </c:pt>
                <c:pt idx="3997">
                  <c:v>#N/A</c:v>
                </c:pt>
                <c:pt idx="3998">
                  <c:v>#N/A</c:v>
                </c:pt>
                <c:pt idx="3999">
                  <c:v>#N/A</c:v>
                </c:pt>
                <c:pt idx="4000">
                  <c:v>#N/A</c:v>
                </c:pt>
                <c:pt idx="4001">
                  <c:v>#N/A</c:v>
                </c:pt>
                <c:pt idx="4002">
                  <c:v>#N/A</c:v>
                </c:pt>
                <c:pt idx="4003">
                  <c:v>#N/A</c:v>
                </c:pt>
                <c:pt idx="4004">
                  <c:v>#N/A</c:v>
                </c:pt>
                <c:pt idx="4005">
                  <c:v>#N/A</c:v>
                </c:pt>
                <c:pt idx="4006">
                  <c:v>#N/A</c:v>
                </c:pt>
                <c:pt idx="4007">
                  <c:v>#N/A</c:v>
                </c:pt>
                <c:pt idx="4008">
                  <c:v>#N/A</c:v>
                </c:pt>
                <c:pt idx="4009">
                  <c:v>#N/A</c:v>
                </c:pt>
                <c:pt idx="4010">
                  <c:v>#N/A</c:v>
                </c:pt>
                <c:pt idx="4011">
                  <c:v>#N/A</c:v>
                </c:pt>
                <c:pt idx="4012">
                  <c:v>#N/A</c:v>
                </c:pt>
                <c:pt idx="4013">
                  <c:v>#N/A</c:v>
                </c:pt>
                <c:pt idx="4014">
                  <c:v>#N/A</c:v>
                </c:pt>
                <c:pt idx="4015">
                  <c:v>#N/A</c:v>
                </c:pt>
                <c:pt idx="4016">
                  <c:v>#N/A</c:v>
                </c:pt>
                <c:pt idx="4017">
                  <c:v>#N/A</c:v>
                </c:pt>
                <c:pt idx="4018">
                  <c:v>#N/A</c:v>
                </c:pt>
                <c:pt idx="4019">
                  <c:v>#N/A</c:v>
                </c:pt>
                <c:pt idx="4020">
                  <c:v>#N/A</c:v>
                </c:pt>
                <c:pt idx="4021">
                  <c:v>#N/A</c:v>
                </c:pt>
                <c:pt idx="4022">
                  <c:v>#N/A</c:v>
                </c:pt>
                <c:pt idx="4023">
                  <c:v>#N/A</c:v>
                </c:pt>
                <c:pt idx="4024">
                  <c:v>#N/A</c:v>
                </c:pt>
                <c:pt idx="4025">
                  <c:v>#N/A</c:v>
                </c:pt>
                <c:pt idx="4026">
                  <c:v>#N/A</c:v>
                </c:pt>
                <c:pt idx="4027">
                  <c:v>#N/A</c:v>
                </c:pt>
                <c:pt idx="4028">
                  <c:v>#N/A</c:v>
                </c:pt>
                <c:pt idx="4029">
                  <c:v>#N/A</c:v>
                </c:pt>
                <c:pt idx="4030">
                  <c:v>#N/A</c:v>
                </c:pt>
                <c:pt idx="4031">
                  <c:v>#N/A</c:v>
                </c:pt>
                <c:pt idx="4032">
                  <c:v>#N/A</c:v>
                </c:pt>
                <c:pt idx="4033">
                  <c:v>#N/A</c:v>
                </c:pt>
                <c:pt idx="4034">
                  <c:v>#N/A</c:v>
                </c:pt>
                <c:pt idx="4035">
                  <c:v>#N/A</c:v>
                </c:pt>
                <c:pt idx="4036">
                  <c:v>#N/A</c:v>
                </c:pt>
                <c:pt idx="4037">
                  <c:v>#N/A</c:v>
                </c:pt>
                <c:pt idx="4038">
                  <c:v>#N/A</c:v>
                </c:pt>
                <c:pt idx="4039">
                  <c:v>#N/A</c:v>
                </c:pt>
                <c:pt idx="4040">
                  <c:v>#N/A</c:v>
                </c:pt>
                <c:pt idx="4041">
                  <c:v>#N/A</c:v>
                </c:pt>
                <c:pt idx="4042">
                  <c:v>#N/A</c:v>
                </c:pt>
                <c:pt idx="4043">
                  <c:v>#N/A</c:v>
                </c:pt>
                <c:pt idx="4044">
                  <c:v>#N/A</c:v>
                </c:pt>
                <c:pt idx="4045">
                  <c:v>#N/A</c:v>
                </c:pt>
                <c:pt idx="4046">
                  <c:v>#N/A</c:v>
                </c:pt>
                <c:pt idx="4047">
                  <c:v>#N/A</c:v>
                </c:pt>
                <c:pt idx="4048">
                  <c:v>#N/A</c:v>
                </c:pt>
                <c:pt idx="4049">
                  <c:v>#N/A</c:v>
                </c:pt>
                <c:pt idx="4050">
                  <c:v>#N/A</c:v>
                </c:pt>
                <c:pt idx="4051">
                  <c:v>#N/A</c:v>
                </c:pt>
                <c:pt idx="4052">
                  <c:v>#N/A</c:v>
                </c:pt>
                <c:pt idx="4053">
                  <c:v>#N/A</c:v>
                </c:pt>
                <c:pt idx="4054">
                  <c:v>#N/A</c:v>
                </c:pt>
                <c:pt idx="4055">
                  <c:v>#N/A</c:v>
                </c:pt>
                <c:pt idx="4056">
                  <c:v>#N/A</c:v>
                </c:pt>
                <c:pt idx="4057">
                  <c:v>#N/A</c:v>
                </c:pt>
                <c:pt idx="4058">
                  <c:v>#N/A</c:v>
                </c:pt>
                <c:pt idx="4059">
                  <c:v>#N/A</c:v>
                </c:pt>
                <c:pt idx="4060">
                  <c:v>#N/A</c:v>
                </c:pt>
                <c:pt idx="4061">
                  <c:v>#N/A</c:v>
                </c:pt>
                <c:pt idx="4062">
                  <c:v>#N/A</c:v>
                </c:pt>
                <c:pt idx="4063">
                  <c:v>#N/A</c:v>
                </c:pt>
                <c:pt idx="4064">
                  <c:v>#N/A</c:v>
                </c:pt>
                <c:pt idx="4065">
                  <c:v>#N/A</c:v>
                </c:pt>
                <c:pt idx="4066">
                  <c:v>#N/A</c:v>
                </c:pt>
                <c:pt idx="4067">
                  <c:v>#N/A</c:v>
                </c:pt>
                <c:pt idx="4068">
                  <c:v>#N/A</c:v>
                </c:pt>
                <c:pt idx="4069">
                  <c:v>#N/A</c:v>
                </c:pt>
                <c:pt idx="4070">
                  <c:v>#N/A</c:v>
                </c:pt>
                <c:pt idx="4071">
                  <c:v>#N/A</c:v>
                </c:pt>
                <c:pt idx="4072">
                  <c:v>#N/A</c:v>
                </c:pt>
                <c:pt idx="4073">
                  <c:v>#N/A</c:v>
                </c:pt>
                <c:pt idx="4074">
                  <c:v>#N/A</c:v>
                </c:pt>
                <c:pt idx="4075">
                  <c:v>#N/A</c:v>
                </c:pt>
                <c:pt idx="4076">
                  <c:v>#N/A</c:v>
                </c:pt>
                <c:pt idx="4077">
                  <c:v>#N/A</c:v>
                </c:pt>
                <c:pt idx="4078">
                  <c:v>#N/A</c:v>
                </c:pt>
                <c:pt idx="4079">
                  <c:v>#N/A</c:v>
                </c:pt>
                <c:pt idx="4080">
                  <c:v>#N/A</c:v>
                </c:pt>
                <c:pt idx="4081">
                  <c:v>#N/A</c:v>
                </c:pt>
                <c:pt idx="4082">
                  <c:v>#N/A</c:v>
                </c:pt>
                <c:pt idx="4083">
                  <c:v>#N/A</c:v>
                </c:pt>
                <c:pt idx="4084">
                  <c:v>#N/A</c:v>
                </c:pt>
                <c:pt idx="4085">
                  <c:v>#N/A</c:v>
                </c:pt>
                <c:pt idx="4086">
                  <c:v>#N/A</c:v>
                </c:pt>
                <c:pt idx="4087">
                  <c:v>#N/A</c:v>
                </c:pt>
                <c:pt idx="4088">
                  <c:v>#N/A</c:v>
                </c:pt>
                <c:pt idx="4089">
                  <c:v>#N/A</c:v>
                </c:pt>
                <c:pt idx="4090">
                  <c:v>#N/A</c:v>
                </c:pt>
                <c:pt idx="4091">
                  <c:v>#N/A</c:v>
                </c:pt>
                <c:pt idx="4092">
                  <c:v>#N/A</c:v>
                </c:pt>
                <c:pt idx="4093">
                  <c:v>#N/A</c:v>
                </c:pt>
                <c:pt idx="4094">
                  <c:v>#N/A</c:v>
                </c:pt>
                <c:pt idx="4095">
                  <c:v>#N/A</c:v>
                </c:pt>
                <c:pt idx="4096">
                  <c:v>#N/A</c:v>
                </c:pt>
                <c:pt idx="4097">
                  <c:v>#N/A</c:v>
                </c:pt>
                <c:pt idx="4098">
                  <c:v>#N/A</c:v>
                </c:pt>
                <c:pt idx="4099">
                  <c:v>#N/A</c:v>
                </c:pt>
                <c:pt idx="4100">
                  <c:v>#N/A</c:v>
                </c:pt>
                <c:pt idx="4101">
                  <c:v>#N/A</c:v>
                </c:pt>
                <c:pt idx="4102">
                  <c:v>#N/A</c:v>
                </c:pt>
                <c:pt idx="4103">
                  <c:v>#N/A</c:v>
                </c:pt>
                <c:pt idx="4104">
                  <c:v>#N/A</c:v>
                </c:pt>
                <c:pt idx="4105">
                  <c:v>#N/A</c:v>
                </c:pt>
                <c:pt idx="4106">
                  <c:v>#N/A</c:v>
                </c:pt>
                <c:pt idx="4107">
                  <c:v>#N/A</c:v>
                </c:pt>
                <c:pt idx="4108">
                  <c:v>#N/A</c:v>
                </c:pt>
                <c:pt idx="4109">
                  <c:v>#N/A</c:v>
                </c:pt>
                <c:pt idx="4110">
                  <c:v>#N/A</c:v>
                </c:pt>
                <c:pt idx="4111">
                  <c:v>#N/A</c:v>
                </c:pt>
                <c:pt idx="4112">
                  <c:v>#N/A</c:v>
                </c:pt>
                <c:pt idx="4113">
                  <c:v>#N/A</c:v>
                </c:pt>
                <c:pt idx="4114">
                  <c:v>#N/A</c:v>
                </c:pt>
                <c:pt idx="4115">
                  <c:v>#N/A</c:v>
                </c:pt>
                <c:pt idx="4116">
                  <c:v>#N/A</c:v>
                </c:pt>
                <c:pt idx="4117">
                  <c:v>#N/A</c:v>
                </c:pt>
                <c:pt idx="4118">
                  <c:v>#N/A</c:v>
                </c:pt>
                <c:pt idx="4119">
                  <c:v>#N/A</c:v>
                </c:pt>
                <c:pt idx="4120">
                  <c:v>#N/A</c:v>
                </c:pt>
                <c:pt idx="4121">
                  <c:v>#N/A</c:v>
                </c:pt>
                <c:pt idx="4122">
                  <c:v>#N/A</c:v>
                </c:pt>
                <c:pt idx="4123">
                  <c:v>#N/A</c:v>
                </c:pt>
                <c:pt idx="4124">
                  <c:v>#N/A</c:v>
                </c:pt>
                <c:pt idx="4125">
                  <c:v>#N/A</c:v>
                </c:pt>
                <c:pt idx="4126">
                  <c:v>#N/A</c:v>
                </c:pt>
                <c:pt idx="4127">
                  <c:v>#N/A</c:v>
                </c:pt>
                <c:pt idx="4128">
                  <c:v>#N/A</c:v>
                </c:pt>
                <c:pt idx="4129">
                  <c:v>#N/A</c:v>
                </c:pt>
                <c:pt idx="4130">
                  <c:v>#N/A</c:v>
                </c:pt>
                <c:pt idx="4131">
                  <c:v>#N/A</c:v>
                </c:pt>
                <c:pt idx="4132">
                  <c:v>#N/A</c:v>
                </c:pt>
                <c:pt idx="4133">
                  <c:v>#N/A</c:v>
                </c:pt>
                <c:pt idx="4134">
                  <c:v>#N/A</c:v>
                </c:pt>
                <c:pt idx="4135">
                  <c:v>#N/A</c:v>
                </c:pt>
                <c:pt idx="4136">
                  <c:v>#N/A</c:v>
                </c:pt>
                <c:pt idx="4137">
                  <c:v>#N/A</c:v>
                </c:pt>
                <c:pt idx="4138">
                  <c:v>#N/A</c:v>
                </c:pt>
                <c:pt idx="4139">
                  <c:v>#N/A</c:v>
                </c:pt>
                <c:pt idx="4140">
                  <c:v>#N/A</c:v>
                </c:pt>
                <c:pt idx="4141">
                  <c:v>#N/A</c:v>
                </c:pt>
                <c:pt idx="4142">
                  <c:v>#N/A</c:v>
                </c:pt>
                <c:pt idx="4143">
                  <c:v>#N/A</c:v>
                </c:pt>
                <c:pt idx="4144">
                  <c:v>#N/A</c:v>
                </c:pt>
                <c:pt idx="4145">
                  <c:v>#N/A</c:v>
                </c:pt>
                <c:pt idx="4146">
                  <c:v>#N/A</c:v>
                </c:pt>
                <c:pt idx="4147">
                  <c:v>#N/A</c:v>
                </c:pt>
                <c:pt idx="4148">
                  <c:v>#N/A</c:v>
                </c:pt>
                <c:pt idx="4149">
                  <c:v>#N/A</c:v>
                </c:pt>
                <c:pt idx="4150">
                  <c:v>#N/A</c:v>
                </c:pt>
                <c:pt idx="4151">
                  <c:v>#N/A</c:v>
                </c:pt>
                <c:pt idx="4152">
                  <c:v>#N/A</c:v>
                </c:pt>
                <c:pt idx="4153">
                  <c:v>#N/A</c:v>
                </c:pt>
                <c:pt idx="4154">
                  <c:v>#N/A</c:v>
                </c:pt>
                <c:pt idx="4155">
                  <c:v>#N/A</c:v>
                </c:pt>
                <c:pt idx="4156">
                  <c:v>#N/A</c:v>
                </c:pt>
                <c:pt idx="4157">
                  <c:v>#N/A</c:v>
                </c:pt>
                <c:pt idx="4158">
                  <c:v>#N/A</c:v>
                </c:pt>
                <c:pt idx="4159">
                  <c:v>#N/A</c:v>
                </c:pt>
                <c:pt idx="4160">
                  <c:v>#N/A</c:v>
                </c:pt>
                <c:pt idx="4161">
                  <c:v>#N/A</c:v>
                </c:pt>
                <c:pt idx="4162">
                  <c:v>#N/A</c:v>
                </c:pt>
                <c:pt idx="4163">
                  <c:v>#N/A</c:v>
                </c:pt>
                <c:pt idx="4164">
                  <c:v>#N/A</c:v>
                </c:pt>
                <c:pt idx="4165">
                  <c:v>#N/A</c:v>
                </c:pt>
                <c:pt idx="4166">
                  <c:v>#N/A</c:v>
                </c:pt>
                <c:pt idx="4167">
                  <c:v>#N/A</c:v>
                </c:pt>
                <c:pt idx="4168">
                  <c:v>#N/A</c:v>
                </c:pt>
                <c:pt idx="4169">
                  <c:v>#N/A</c:v>
                </c:pt>
                <c:pt idx="4170">
                  <c:v>#N/A</c:v>
                </c:pt>
                <c:pt idx="4171">
                  <c:v>#N/A</c:v>
                </c:pt>
                <c:pt idx="4172">
                  <c:v>#N/A</c:v>
                </c:pt>
                <c:pt idx="4173">
                  <c:v>#N/A</c:v>
                </c:pt>
                <c:pt idx="4174">
                  <c:v>#N/A</c:v>
                </c:pt>
                <c:pt idx="4175">
                  <c:v>#N/A</c:v>
                </c:pt>
                <c:pt idx="4176">
                  <c:v>#N/A</c:v>
                </c:pt>
                <c:pt idx="4177">
                  <c:v>#N/A</c:v>
                </c:pt>
                <c:pt idx="4178">
                  <c:v>#N/A</c:v>
                </c:pt>
                <c:pt idx="4179">
                  <c:v>#N/A</c:v>
                </c:pt>
                <c:pt idx="4180">
                  <c:v>#N/A</c:v>
                </c:pt>
                <c:pt idx="4181">
                  <c:v>#N/A</c:v>
                </c:pt>
                <c:pt idx="4182">
                  <c:v>#N/A</c:v>
                </c:pt>
                <c:pt idx="4183">
                  <c:v>#N/A</c:v>
                </c:pt>
                <c:pt idx="4184">
                  <c:v>#N/A</c:v>
                </c:pt>
                <c:pt idx="4185">
                  <c:v>#N/A</c:v>
                </c:pt>
                <c:pt idx="4186">
                  <c:v>#N/A</c:v>
                </c:pt>
                <c:pt idx="4187">
                  <c:v>#N/A</c:v>
                </c:pt>
                <c:pt idx="4188">
                  <c:v>#N/A</c:v>
                </c:pt>
                <c:pt idx="4189">
                  <c:v>#N/A</c:v>
                </c:pt>
                <c:pt idx="4190">
                  <c:v>#N/A</c:v>
                </c:pt>
                <c:pt idx="4191">
                  <c:v>#N/A</c:v>
                </c:pt>
                <c:pt idx="4192">
                  <c:v>#N/A</c:v>
                </c:pt>
                <c:pt idx="4193">
                  <c:v>#N/A</c:v>
                </c:pt>
                <c:pt idx="4194">
                  <c:v>#N/A</c:v>
                </c:pt>
                <c:pt idx="4195">
                  <c:v>#N/A</c:v>
                </c:pt>
                <c:pt idx="4196">
                  <c:v>#N/A</c:v>
                </c:pt>
                <c:pt idx="4197">
                  <c:v>#N/A</c:v>
                </c:pt>
                <c:pt idx="4198">
                  <c:v>#N/A</c:v>
                </c:pt>
                <c:pt idx="4199">
                  <c:v>#N/A</c:v>
                </c:pt>
                <c:pt idx="4200">
                  <c:v>#N/A</c:v>
                </c:pt>
                <c:pt idx="4201">
                  <c:v>#N/A</c:v>
                </c:pt>
                <c:pt idx="4202">
                  <c:v>#N/A</c:v>
                </c:pt>
                <c:pt idx="4203">
                  <c:v>#N/A</c:v>
                </c:pt>
                <c:pt idx="4204">
                  <c:v>#N/A</c:v>
                </c:pt>
                <c:pt idx="4205">
                  <c:v>#N/A</c:v>
                </c:pt>
                <c:pt idx="4206">
                  <c:v>#N/A</c:v>
                </c:pt>
                <c:pt idx="4207">
                  <c:v>#N/A</c:v>
                </c:pt>
                <c:pt idx="4208">
                  <c:v>#N/A</c:v>
                </c:pt>
                <c:pt idx="4209">
                  <c:v>#N/A</c:v>
                </c:pt>
                <c:pt idx="4210">
                  <c:v>#N/A</c:v>
                </c:pt>
                <c:pt idx="4211">
                  <c:v>#N/A</c:v>
                </c:pt>
                <c:pt idx="4212">
                  <c:v>#N/A</c:v>
                </c:pt>
                <c:pt idx="4213">
                  <c:v>#N/A</c:v>
                </c:pt>
                <c:pt idx="4214">
                  <c:v>#N/A</c:v>
                </c:pt>
                <c:pt idx="4215">
                  <c:v>#N/A</c:v>
                </c:pt>
                <c:pt idx="4216">
                  <c:v>#N/A</c:v>
                </c:pt>
                <c:pt idx="4217">
                  <c:v>#N/A</c:v>
                </c:pt>
                <c:pt idx="4218">
                  <c:v>#N/A</c:v>
                </c:pt>
                <c:pt idx="4219">
                  <c:v>#N/A</c:v>
                </c:pt>
                <c:pt idx="4220">
                  <c:v>#N/A</c:v>
                </c:pt>
                <c:pt idx="4221">
                  <c:v>#N/A</c:v>
                </c:pt>
                <c:pt idx="4222">
                  <c:v>#N/A</c:v>
                </c:pt>
                <c:pt idx="4223">
                  <c:v>#N/A</c:v>
                </c:pt>
                <c:pt idx="4224">
                  <c:v>#N/A</c:v>
                </c:pt>
                <c:pt idx="4225">
                  <c:v>#N/A</c:v>
                </c:pt>
                <c:pt idx="4226">
                  <c:v>#N/A</c:v>
                </c:pt>
                <c:pt idx="4227">
                  <c:v>#N/A</c:v>
                </c:pt>
                <c:pt idx="4228">
                  <c:v>#N/A</c:v>
                </c:pt>
                <c:pt idx="4229">
                  <c:v>#N/A</c:v>
                </c:pt>
                <c:pt idx="4230">
                  <c:v>#N/A</c:v>
                </c:pt>
                <c:pt idx="4231">
                  <c:v>#N/A</c:v>
                </c:pt>
                <c:pt idx="4232">
                  <c:v>#N/A</c:v>
                </c:pt>
                <c:pt idx="4233">
                  <c:v>#N/A</c:v>
                </c:pt>
                <c:pt idx="4234">
                  <c:v>#N/A</c:v>
                </c:pt>
                <c:pt idx="4235">
                  <c:v>#N/A</c:v>
                </c:pt>
                <c:pt idx="4236">
                  <c:v>#N/A</c:v>
                </c:pt>
                <c:pt idx="4237">
                  <c:v>#N/A</c:v>
                </c:pt>
                <c:pt idx="4238">
                  <c:v>#N/A</c:v>
                </c:pt>
                <c:pt idx="4239">
                  <c:v>#N/A</c:v>
                </c:pt>
                <c:pt idx="4240">
                  <c:v>#N/A</c:v>
                </c:pt>
                <c:pt idx="4241">
                  <c:v>#N/A</c:v>
                </c:pt>
                <c:pt idx="4242">
                  <c:v>#N/A</c:v>
                </c:pt>
                <c:pt idx="4243">
                  <c:v>#N/A</c:v>
                </c:pt>
                <c:pt idx="4244">
                  <c:v>#N/A</c:v>
                </c:pt>
                <c:pt idx="4245">
                  <c:v>#N/A</c:v>
                </c:pt>
                <c:pt idx="4246">
                  <c:v>#N/A</c:v>
                </c:pt>
                <c:pt idx="4247">
                  <c:v>#N/A</c:v>
                </c:pt>
                <c:pt idx="4248">
                  <c:v>#N/A</c:v>
                </c:pt>
                <c:pt idx="4249">
                  <c:v>#N/A</c:v>
                </c:pt>
                <c:pt idx="4250">
                  <c:v>#N/A</c:v>
                </c:pt>
                <c:pt idx="4251">
                  <c:v>#N/A</c:v>
                </c:pt>
                <c:pt idx="4252">
                  <c:v>#N/A</c:v>
                </c:pt>
                <c:pt idx="4253">
                  <c:v>#N/A</c:v>
                </c:pt>
                <c:pt idx="4254">
                  <c:v>#N/A</c:v>
                </c:pt>
                <c:pt idx="4255">
                  <c:v>#N/A</c:v>
                </c:pt>
                <c:pt idx="4256">
                  <c:v>#N/A</c:v>
                </c:pt>
                <c:pt idx="4257">
                  <c:v>#N/A</c:v>
                </c:pt>
                <c:pt idx="4258">
                  <c:v>#N/A</c:v>
                </c:pt>
                <c:pt idx="4259">
                  <c:v>#N/A</c:v>
                </c:pt>
                <c:pt idx="4260">
                  <c:v>#N/A</c:v>
                </c:pt>
                <c:pt idx="4261">
                  <c:v>#N/A</c:v>
                </c:pt>
                <c:pt idx="4262">
                  <c:v>#N/A</c:v>
                </c:pt>
                <c:pt idx="4263">
                  <c:v>#N/A</c:v>
                </c:pt>
                <c:pt idx="4264">
                  <c:v>#N/A</c:v>
                </c:pt>
                <c:pt idx="4265">
                  <c:v>#N/A</c:v>
                </c:pt>
                <c:pt idx="4266">
                  <c:v>#N/A</c:v>
                </c:pt>
                <c:pt idx="4267">
                  <c:v>#N/A</c:v>
                </c:pt>
                <c:pt idx="4268">
                  <c:v>#N/A</c:v>
                </c:pt>
                <c:pt idx="4269">
                  <c:v>#N/A</c:v>
                </c:pt>
                <c:pt idx="4270">
                  <c:v>#N/A</c:v>
                </c:pt>
                <c:pt idx="4271">
                  <c:v>#N/A</c:v>
                </c:pt>
                <c:pt idx="4272">
                  <c:v>#N/A</c:v>
                </c:pt>
                <c:pt idx="4273">
                  <c:v>#N/A</c:v>
                </c:pt>
                <c:pt idx="4274">
                  <c:v>#N/A</c:v>
                </c:pt>
                <c:pt idx="4275">
                  <c:v>#N/A</c:v>
                </c:pt>
                <c:pt idx="4276">
                  <c:v>#N/A</c:v>
                </c:pt>
                <c:pt idx="4277">
                  <c:v>#N/A</c:v>
                </c:pt>
                <c:pt idx="4278">
                  <c:v>#N/A</c:v>
                </c:pt>
                <c:pt idx="4279">
                  <c:v>#N/A</c:v>
                </c:pt>
                <c:pt idx="4280">
                  <c:v>#N/A</c:v>
                </c:pt>
                <c:pt idx="4281">
                  <c:v>#N/A</c:v>
                </c:pt>
                <c:pt idx="4282">
                  <c:v>#N/A</c:v>
                </c:pt>
                <c:pt idx="4283">
                  <c:v>#N/A</c:v>
                </c:pt>
                <c:pt idx="4284">
                  <c:v>#N/A</c:v>
                </c:pt>
                <c:pt idx="4285">
                  <c:v>#N/A</c:v>
                </c:pt>
                <c:pt idx="4286">
                  <c:v>#N/A</c:v>
                </c:pt>
                <c:pt idx="4287">
                  <c:v>#N/A</c:v>
                </c:pt>
                <c:pt idx="4288">
                  <c:v>#N/A</c:v>
                </c:pt>
                <c:pt idx="4289">
                  <c:v>#N/A</c:v>
                </c:pt>
                <c:pt idx="4290">
                  <c:v>#N/A</c:v>
                </c:pt>
                <c:pt idx="4291">
                  <c:v>#N/A</c:v>
                </c:pt>
                <c:pt idx="4292">
                  <c:v>#N/A</c:v>
                </c:pt>
                <c:pt idx="4293">
                  <c:v>#N/A</c:v>
                </c:pt>
                <c:pt idx="4294">
                  <c:v>#N/A</c:v>
                </c:pt>
                <c:pt idx="4295">
                  <c:v>#N/A</c:v>
                </c:pt>
                <c:pt idx="4296">
                  <c:v>#N/A</c:v>
                </c:pt>
                <c:pt idx="4297">
                  <c:v>#N/A</c:v>
                </c:pt>
                <c:pt idx="4298">
                  <c:v>#N/A</c:v>
                </c:pt>
                <c:pt idx="4299">
                  <c:v>#N/A</c:v>
                </c:pt>
                <c:pt idx="4300">
                  <c:v>#N/A</c:v>
                </c:pt>
                <c:pt idx="4301">
                  <c:v>#N/A</c:v>
                </c:pt>
                <c:pt idx="4302">
                  <c:v>#N/A</c:v>
                </c:pt>
                <c:pt idx="4303">
                  <c:v>#N/A</c:v>
                </c:pt>
                <c:pt idx="4304">
                  <c:v>#N/A</c:v>
                </c:pt>
                <c:pt idx="4305">
                  <c:v>#N/A</c:v>
                </c:pt>
                <c:pt idx="4306">
                  <c:v>#N/A</c:v>
                </c:pt>
                <c:pt idx="4307">
                  <c:v>#N/A</c:v>
                </c:pt>
                <c:pt idx="4308">
                  <c:v>#N/A</c:v>
                </c:pt>
                <c:pt idx="4309">
                  <c:v>#N/A</c:v>
                </c:pt>
                <c:pt idx="4310">
                  <c:v>#N/A</c:v>
                </c:pt>
                <c:pt idx="4311">
                  <c:v>#N/A</c:v>
                </c:pt>
                <c:pt idx="4312">
                  <c:v>#N/A</c:v>
                </c:pt>
                <c:pt idx="4313">
                  <c:v>#N/A</c:v>
                </c:pt>
                <c:pt idx="4314">
                  <c:v>#N/A</c:v>
                </c:pt>
                <c:pt idx="4315">
                  <c:v>#N/A</c:v>
                </c:pt>
                <c:pt idx="4316">
                  <c:v>#N/A</c:v>
                </c:pt>
                <c:pt idx="4317">
                  <c:v>#N/A</c:v>
                </c:pt>
                <c:pt idx="4318">
                  <c:v>#N/A</c:v>
                </c:pt>
                <c:pt idx="4319">
                  <c:v>#N/A</c:v>
                </c:pt>
                <c:pt idx="4320">
                  <c:v>#N/A</c:v>
                </c:pt>
                <c:pt idx="4321">
                  <c:v>#N/A</c:v>
                </c:pt>
                <c:pt idx="4322">
                  <c:v>#N/A</c:v>
                </c:pt>
                <c:pt idx="4323">
                  <c:v>#N/A</c:v>
                </c:pt>
                <c:pt idx="4324">
                  <c:v>#N/A</c:v>
                </c:pt>
                <c:pt idx="4325">
                  <c:v>#N/A</c:v>
                </c:pt>
                <c:pt idx="4326">
                  <c:v>#N/A</c:v>
                </c:pt>
                <c:pt idx="4327">
                  <c:v>#N/A</c:v>
                </c:pt>
                <c:pt idx="4328">
                  <c:v>#N/A</c:v>
                </c:pt>
                <c:pt idx="4329">
                  <c:v>#N/A</c:v>
                </c:pt>
                <c:pt idx="4330">
                  <c:v>#N/A</c:v>
                </c:pt>
                <c:pt idx="4331">
                  <c:v>#N/A</c:v>
                </c:pt>
                <c:pt idx="4332">
                  <c:v>#N/A</c:v>
                </c:pt>
                <c:pt idx="4333">
                  <c:v>#N/A</c:v>
                </c:pt>
                <c:pt idx="4334">
                  <c:v>#N/A</c:v>
                </c:pt>
                <c:pt idx="4335">
                  <c:v>#N/A</c:v>
                </c:pt>
                <c:pt idx="4336">
                  <c:v>#N/A</c:v>
                </c:pt>
                <c:pt idx="4337">
                  <c:v>#N/A</c:v>
                </c:pt>
                <c:pt idx="4338">
                  <c:v>#N/A</c:v>
                </c:pt>
                <c:pt idx="4339">
                  <c:v>#N/A</c:v>
                </c:pt>
                <c:pt idx="4340">
                  <c:v>#N/A</c:v>
                </c:pt>
                <c:pt idx="4341">
                  <c:v>#N/A</c:v>
                </c:pt>
                <c:pt idx="4342">
                  <c:v>#N/A</c:v>
                </c:pt>
                <c:pt idx="4343">
                  <c:v>#N/A</c:v>
                </c:pt>
                <c:pt idx="4344">
                  <c:v>#N/A</c:v>
                </c:pt>
                <c:pt idx="4345">
                  <c:v>#N/A</c:v>
                </c:pt>
                <c:pt idx="4346">
                  <c:v>#N/A</c:v>
                </c:pt>
                <c:pt idx="4347">
                  <c:v>#N/A</c:v>
                </c:pt>
                <c:pt idx="4348">
                  <c:v>#N/A</c:v>
                </c:pt>
                <c:pt idx="4349">
                  <c:v>#N/A</c:v>
                </c:pt>
                <c:pt idx="4350">
                  <c:v>#N/A</c:v>
                </c:pt>
                <c:pt idx="4351">
                  <c:v>#N/A</c:v>
                </c:pt>
                <c:pt idx="4352">
                  <c:v>#N/A</c:v>
                </c:pt>
                <c:pt idx="4353">
                  <c:v>#N/A</c:v>
                </c:pt>
                <c:pt idx="4354">
                  <c:v>#N/A</c:v>
                </c:pt>
                <c:pt idx="4355">
                  <c:v>#N/A</c:v>
                </c:pt>
                <c:pt idx="4356">
                  <c:v>#N/A</c:v>
                </c:pt>
                <c:pt idx="4357">
                  <c:v>#N/A</c:v>
                </c:pt>
                <c:pt idx="4358">
                  <c:v>#N/A</c:v>
                </c:pt>
                <c:pt idx="4359">
                  <c:v>#N/A</c:v>
                </c:pt>
                <c:pt idx="4360">
                  <c:v>#N/A</c:v>
                </c:pt>
                <c:pt idx="4361">
                  <c:v>#N/A</c:v>
                </c:pt>
                <c:pt idx="4362">
                  <c:v>#N/A</c:v>
                </c:pt>
                <c:pt idx="4363">
                  <c:v>#N/A</c:v>
                </c:pt>
                <c:pt idx="4364">
                  <c:v>#N/A</c:v>
                </c:pt>
                <c:pt idx="4365">
                  <c:v>#N/A</c:v>
                </c:pt>
                <c:pt idx="4366">
                  <c:v>#N/A</c:v>
                </c:pt>
                <c:pt idx="4367">
                  <c:v>#N/A</c:v>
                </c:pt>
                <c:pt idx="4368">
                  <c:v>#N/A</c:v>
                </c:pt>
                <c:pt idx="4369">
                  <c:v>#N/A</c:v>
                </c:pt>
                <c:pt idx="4370">
                  <c:v>#N/A</c:v>
                </c:pt>
                <c:pt idx="4371">
                  <c:v>#N/A</c:v>
                </c:pt>
                <c:pt idx="4372">
                  <c:v>#N/A</c:v>
                </c:pt>
                <c:pt idx="4373">
                  <c:v>#N/A</c:v>
                </c:pt>
                <c:pt idx="4374">
                  <c:v>#N/A</c:v>
                </c:pt>
                <c:pt idx="4375">
                  <c:v>#N/A</c:v>
                </c:pt>
                <c:pt idx="4376">
                  <c:v>#N/A</c:v>
                </c:pt>
                <c:pt idx="4377">
                  <c:v>#N/A</c:v>
                </c:pt>
                <c:pt idx="4378">
                  <c:v>#N/A</c:v>
                </c:pt>
                <c:pt idx="4379">
                  <c:v>#N/A</c:v>
                </c:pt>
                <c:pt idx="4380">
                  <c:v>#N/A</c:v>
                </c:pt>
                <c:pt idx="4381">
                  <c:v>#N/A</c:v>
                </c:pt>
                <c:pt idx="4382">
                  <c:v>#N/A</c:v>
                </c:pt>
                <c:pt idx="4383">
                  <c:v>#N/A</c:v>
                </c:pt>
                <c:pt idx="4384">
                  <c:v>#N/A</c:v>
                </c:pt>
                <c:pt idx="4385">
                  <c:v>#N/A</c:v>
                </c:pt>
                <c:pt idx="4386">
                  <c:v>#N/A</c:v>
                </c:pt>
                <c:pt idx="4387">
                  <c:v>#N/A</c:v>
                </c:pt>
                <c:pt idx="4388">
                  <c:v>#N/A</c:v>
                </c:pt>
                <c:pt idx="4389">
                  <c:v>#N/A</c:v>
                </c:pt>
                <c:pt idx="4390">
                  <c:v>#N/A</c:v>
                </c:pt>
                <c:pt idx="4391">
                  <c:v>#N/A</c:v>
                </c:pt>
                <c:pt idx="4392">
                  <c:v>#N/A</c:v>
                </c:pt>
                <c:pt idx="4393">
                  <c:v>#N/A</c:v>
                </c:pt>
                <c:pt idx="4394">
                  <c:v>#N/A</c:v>
                </c:pt>
                <c:pt idx="4395">
                  <c:v>#N/A</c:v>
                </c:pt>
                <c:pt idx="4396">
                  <c:v>#N/A</c:v>
                </c:pt>
                <c:pt idx="4397">
                  <c:v>#N/A</c:v>
                </c:pt>
                <c:pt idx="4398">
                  <c:v>#N/A</c:v>
                </c:pt>
                <c:pt idx="4399">
                  <c:v>#N/A</c:v>
                </c:pt>
                <c:pt idx="4400">
                  <c:v>#N/A</c:v>
                </c:pt>
                <c:pt idx="4401">
                  <c:v>#N/A</c:v>
                </c:pt>
                <c:pt idx="4402">
                  <c:v>#N/A</c:v>
                </c:pt>
                <c:pt idx="4403">
                  <c:v>#N/A</c:v>
                </c:pt>
                <c:pt idx="4404">
                  <c:v>#N/A</c:v>
                </c:pt>
                <c:pt idx="4405">
                  <c:v>#N/A</c:v>
                </c:pt>
                <c:pt idx="4406">
                  <c:v>#N/A</c:v>
                </c:pt>
                <c:pt idx="4407">
                  <c:v>#N/A</c:v>
                </c:pt>
                <c:pt idx="4408">
                  <c:v>#N/A</c:v>
                </c:pt>
                <c:pt idx="4409">
                  <c:v>#N/A</c:v>
                </c:pt>
                <c:pt idx="4410">
                  <c:v>#N/A</c:v>
                </c:pt>
                <c:pt idx="4411">
                  <c:v>#N/A</c:v>
                </c:pt>
                <c:pt idx="4412">
                  <c:v>#N/A</c:v>
                </c:pt>
                <c:pt idx="4413">
                  <c:v>#N/A</c:v>
                </c:pt>
                <c:pt idx="4414">
                  <c:v>#N/A</c:v>
                </c:pt>
                <c:pt idx="4415">
                  <c:v>#N/A</c:v>
                </c:pt>
                <c:pt idx="4416">
                  <c:v>#N/A</c:v>
                </c:pt>
                <c:pt idx="4417">
                  <c:v>#N/A</c:v>
                </c:pt>
                <c:pt idx="4418">
                  <c:v>#N/A</c:v>
                </c:pt>
                <c:pt idx="4419">
                  <c:v>#N/A</c:v>
                </c:pt>
                <c:pt idx="4420">
                  <c:v>#N/A</c:v>
                </c:pt>
                <c:pt idx="4421">
                  <c:v>#N/A</c:v>
                </c:pt>
                <c:pt idx="4422">
                  <c:v>#N/A</c:v>
                </c:pt>
                <c:pt idx="4423">
                  <c:v>#N/A</c:v>
                </c:pt>
                <c:pt idx="4424">
                  <c:v>#N/A</c:v>
                </c:pt>
                <c:pt idx="4425">
                  <c:v>#N/A</c:v>
                </c:pt>
                <c:pt idx="4426">
                  <c:v>#N/A</c:v>
                </c:pt>
                <c:pt idx="4427">
                  <c:v>#N/A</c:v>
                </c:pt>
                <c:pt idx="4428">
                  <c:v>#N/A</c:v>
                </c:pt>
                <c:pt idx="4429">
                  <c:v>#N/A</c:v>
                </c:pt>
                <c:pt idx="4430">
                  <c:v>#N/A</c:v>
                </c:pt>
                <c:pt idx="4431">
                  <c:v>#N/A</c:v>
                </c:pt>
                <c:pt idx="4432">
                  <c:v>#N/A</c:v>
                </c:pt>
                <c:pt idx="4433">
                  <c:v>#N/A</c:v>
                </c:pt>
                <c:pt idx="4434">
                  <c:v>#N/A</c:v>
                </c:pt>
                <c:pt idx="4435">
                  <c:v>#N/A</c:v>
                </c:pt>
                <c:pt idx="4436">
                  <c:v>#N/A</c:v>
                </c:pt>
                <c:pt idx="4437">
                  <c:v>#N/A</c:v>
                </c:pt>
                <c:pt idx="4438">
                  <c:v>#N/A</c:v>
                </c:pt>
                <c:pt idx="4439">
                  <c:v>#N/A</c:v>
                </c:pt>
                <c:pt idx="4440">
                  <c:v>#N/A</c:v>
                </c:pt>
                <c:pt idx="4441">
                  <c:v>#N/A</c:v>
                </c:pt>
                <c:pt idx="4442">
                  <c:v>#N/A</c:v>
                </c:pt>
                <c:pt idx="4443">
                  <c:v>#N/A</c:v>
                </c:pt>
                <c:pt idx="4444">
                  <c:v>#N/A</c:v>
                </c:pt>
                <c:pt idx="4445">
                  <c:v>#N/A</c:v>
                </c:pt>
                <c:pt idx="4446">
                  <c:v>#N/A</c:v>
                </c:pt>
                <c:pt idx="4447">
                  <c:v>#N/A</c:v>
                </c:pt>
                <c:pt idx="4448">
                  <c:v>#N/A</c:v>
                </c:pt>
                <c:pt idx="4449">
                  <c:v>#N/A</c:v>
                </c:pt>
                <c:pt idx="4450">
                  <c:v>#N/A</c:v>
                </c:pt>
                <c:pt idx="4451">
                  <c:v>#N/A</c:v>
                </c:pt>
                <c:pt idx="4452">
                  <c:v>#N/A</c:v>
                </c:pt>
                <c:pt idx="4453">
                  <c:v>#N/A</c:v>
                </c:pt>
                <c:pt idx="4454">
                  <c:v>#N/A</c:v>
                </c:pt>
                <c:pt idx="4455">
                  <c:v>#N/A</c:v>
                </c:pt>
                <c:pt idx="4456">
                  <c:v>#N/A</c:v>
                </c:pt>
                <c:pt idx="4457">
                  <c:v>#N/A</c:v>
                </c:pt>
                <c:pt idx="4458">
                  <c:v>#N/A</c:v>
                </c:pt>
                <c:pt idx="4459">
                  <c:v>#N/A</c:v>
                </c:pt>
                <c:pt idx="4460">
                  <c:v>#N/A</c:v>
                </c:pt>
                <c:pt idx="4461">
                  <c:v>#N/A</c:v>
                </c:pt>
                <c:pt idx="4462">
                  <c:v>#N/A</c:v>
                </c:pt>
                <c:pt idx="4463">
                  <c:v>#N/A</c:v>
                </c:pt>
                <c:pt idx="4464">
                  <c:v>#N/A</c:v>
                </c:pt>
                <c:pt idx="4465">
                  <c:v>#N/A</c:v>
                </c:pt>
                <c:pt idx="4466">
                  <c:v>#N/A</c:v>
                </c:pt>
                <c:pt idx="4467">
                  <c:v>#N/A</c:v>
                </c:pt>
                <c:pt idx="4468">
                  <c:v>#N/A</c:v>
                </c:pt>
                <c:pt idx="4469">
                  <c:v>#N/A</c:v>
                </c:pt>
                <c:pt idx="4470">
                  <c:v>#N/A</c:v>
                </c:pt>
                <c:pt idx="4471">
                  <c:v>#N/A</c:v>
                </c:pt>
                <c:pt idx="4472">
                  <c:v>#N/A</c:v>
                </c:pt>
                <c:pt idx="4473">
                  <c:v>#N/A</c:v>
                </c:pt>
                <c:pt idx="4474">
                  <c:v>#N/A</c:v>
                </c:pt>
                <c:pt idx="4475">
                  <c:v>#N/A</c:v>
                </c:pt>
                <c:pt idx="4476">
                  <c:v>#N/A</c:v>
                </c:pt>
                <c:pt idx="4477">
                  <c:v>#N/A</c:v>
                </c:pt>
                <c:pt idx="4478">
                  <c:v>#N/A</c:v>
                </c:pt>
                <c:pt idx="4479">
                  <c:v>#N/A</c:v>
                </c:pt>
                <c:pt idx="4480">
                  <c:v>#N/A</c:v>
                </c:pt>
                <c:pt idx="4481">
                  <c:v>#N/A</c:v>
                </c:pt>
                <c:pt idx="4482">
                  <c:v>#N/A</c:v>
                </c:pt>
                <c:pt idx="4483">
                  <c:v>#N/A</c:v>
                </c:pt>
                <c:pt idx="4484">
                  <c:v>#N/A</c:v>
                </c:pt>
                <c:pt idx="4485">
                  <c:v>#N/A</c:v>
                </c:pt>
                <c:pt idx="4486">
                  <c:v>#N/A</c:v>
                </c:pt>
                <c:pt idx="4487">
                  <c:v>#N/A</c:v>
                </c:pt>
                <c:pt idx="4488">
                  <c:v>#N/A</c:v>
                </c:pt>
                <c:pt idx="4489">
                  <c:v>#N/A</c:v>
                </c:pt>
                <c:pt idx="4490">
                  <c:v>#N/A</c:v>
                </c:pt>
                <c:pt idx="4491">
                  <c:v>#N/A</c:v>
                </c:pt>
                <c:pt idx="4492">
                  <c:v>#N/A</c:v>
                </c:pt>
                <c:pt idx="4493">
                  <c:v>#N/A</c:v>
                </c:pt>
                <c:pt idx="4494">
                  <c:v>#N/A</c:v>
                </c:pt>
                <c:pt idx="4495">
                  <c:v>#N/A</c:v>
                </c:pt>
                <c:pt idx="4496">
                  <c:v>#N/A</c:v>
                </c:pt>
                <c:pt idx="4497">
                  <c:v>#N/A</c:v>
                </c:pt>
                <c:pt idx="4498">
                  <c:v>#N/A</c:v>
                </c:pt>
                <c:pt idx="4499">
                  <c:v>#N/A</c:v>
                </c:pt>
                <c:pt idx="4500">
                  <c:v>#N/A</c:v>
                </c:pt>
                <c:pt idx="4501">
                  <c:v>#N/A</c:v>
                </c:pt>
                <c:pt idx="4502">
                  <c:v>#N/A</c:v>
                </c:pt>
                <c:pt idx="4503">
                  <c:v>#N/A</c:v>
                </c:pt>
                <c:pt idx="4504">
                  <c:v>#N/A</c:v>
                </c:pt>
                <c:pt idx="4505">
                  <c:v>#N/A</c:v>
                </c:pt>
                <c:pt idx="4506">
                  <c:v>#N/A</c:v>
                </c:pt>
                <c:pt idx="4507">
                  <c:v>#N/A</c:v>
                </c:pt>
                <c:pt idx="4508">
                  <c:v>#N/A</c:v>
                </c:pt>
                <c:pt idx="4509">
                  <c:v>#N/A</c:v>
                </c:pt>
                <c:pt idx="4510">
                  <c:v>#N/A</c:v>
                </c:pt>
                <c:pt idx="4511">
                  <c:v>#N/A</c:v>
                </c:pt>
                <c:pt idx="4512">
                  <c:v>#N/A</c:v>
                </c:pt>
                <c:pt idx="4513">
                  <c:v>#N/A</c:v>
                </c:pt>
                <c:pt idx="4514">
                  <c:v>#N/A</c:v>
                </c:pt>
                <c:pt idx="4515">
                  <c:v>#N/A</c:v>
                </c:pt>
                <c:pt idx="4516">
                  <c:v>#N/A</c:v>
                </c:pt>
                <c:pt idx="4517">
                  <c:v>#N/A</c:v>
                </c:pt>
                <c:pt idx="4518">
                  <c:v>#N/A</c:v>
                </c:pt>
                <c:pt idx="4519">
                  <c:v>#N/A</c:v>
                </c:pt>
                <c:pt idx="4520">
                  <c:v>#N/A</c:v>
                </c:pt>
                <c:pt idx="4521">
                  <c:v>#N/A</c:v>
                </c:pt>
                <c:pt idx="4522">
                  <c:v>#N/A</c:v>
                </c:pt>
                <c:pt idx="4523">
                  <c:v>#N/A</c:v>
                </c:pt>
                <c:pt idx="4524">
                  <c:v>#N/A</c:v>
                </c:pt>
                <c:pt idx="4525">
                  <c:v>#N/A</c:v>
                </c:pt>
                <c:pt idx="4526">
                  <c:v>#N/A</c:v>
                </c:pt>
                <c:pt idx="4527">
                  <c:v>#N/A</c:v>
                </c:pt>
                <c:pt idx="4528">
                  <c:v>#N/A</c:v>
                </c:pt>
                <c:pt idx="4529">
                  <c:v>#N/A</c:v>
                </c:pt>
                <c:pt idx="4530">
                  <c:v>#N/A</c:v>
                </c:pt>
                <c:pt idx="4531">
                  <c:v>#N/A</c:v>
                </c:pt>
                <c:pt idx="4532">
                  <c:v>#N/A</c:v>
                </c:pt>
                <c:pt idx="4533">
                  <c:v>#N/A</c:v>
                </c:pt>
                <c:pt idx="4534">
                  <c:v>#N/A</c:v>
                </c:pt>
                <c:pt idx="4535">
                  <c:v>#N/A</c:v>
                </c:pt>
                <c:pt idx="4536">
                  <c:v>#N/A</c:v>
                </c:pt>
                <c:pt idx="4537">
                  <c:v>#N/A</c:v>
                </c:pt>
                <c:pt idx="4538">
                  <c:v>#N/A</c:v>
                </c:pt>
                <c:pt idx="4539">
                  <c:v>#N/A</c:v>
                </c:pt>
                <c:pt idx="4540">
                  <c:v>#N/A</c:v>
                </c:pt>
                <c:pt idx="4541">
                  <c:v>#N/A</c:v>
                </c:pt>
                <c:pt idx="4542">
                  <c:v>#N/A</c:v>
                </c:pt>
                <c:pt idx="4543">
                  <c:v>#N/A</c:v>
                </c:pt>
                <c:pt idx="4544">
                  <c:v>#N/A</c:v>
                </c:pt>
                <c:pt idx="4545">
                  <c:v>#N/A</c:v>
                </c:pt>
                <c:pt idx="4546">
                  <c:v>#N/A</c:v>
                </c:pt>
                <c:pt idx="4547">
                  <c:v>#N/A</c:v>
                </c:pt>
                <c:pt idx="4548">
                  <c:v>#N/A</c:v>
                </c:pt>
                <c:pt idx="4549">
                  <c:v>#N/A</c:v>
                </c:pt>
                <c:pt idx="4550">
                  <c:v>#N/A</c:v>
                </c:pt>
                <c:pt idx="4551">
                  <c:v>#N/A</c:v>
                </c:pt>
                <c:pt idx="4552">
                  <c:v>#N/A</c:v>
                </c:pt>
                <c:pt idx="4553">
                  <c:v>#N/A</c:v>
                </c:pt>
                <c:pt idx="4554">
                  <c:v>#N/A</c:v>
                </c:pt>
                <c:pt idx="4555">
                  <c:v>#N/A</c:v>
                </c:pt>
                <c:pt idx="4556">
                  <c:v>#N/A</c:v>
                </c:pt>
                <c:pt idx="4557">
                  <c:v>#N/A</c:v>
                </c:pt>
                <c:pt idx="4558">
                  <c:v>#N/A</c:v>
                </c:pt>
                <c:pt idx="4559">
                  <c:v>#N/A</c:v>
                </c:pt>
                <c:pt idx="4560">
                  <c:v>#N/A</c:v>
                </c:pt>
                <c:pt idx="4561">
                  <c:v>#N/A</c:v>
                </c:pt>
                <c:pt idx="4562">
                  <c:v>#N/A</c:v>
                </c:pt>
                <c:pt idx="4563">
                  <c:v>#N/A</c:v>
                </c:pt>
                <c:pt idx="4564">
                  <c:v>#N/A</c:v>
                </c:pt>
                <c:pt idx="4565">
                  <c:v>#N/A</c:v>
                </c:pt>
                <c:pt idx="4566">
                  <c:v>#N/A</c:v>
                </c:pt>
                <c:pt idx="4567">
                  <c:v>#N/A</c:v>
                </c:pt>
                <c:pt idx="4568">
                  <c:v>#N/A</c:v>
                </c:pt>
                <c:pt idx="4569">
                  <c:v>#N/A</c:v>
                </c:pt>
                <c:pt idx="4570">
                  <c:v>#N/A</c:v>
                </c:pt>
                <c:pt idx="4571">
                  <c:v>#N/A</c:v>
                </c:pt>
                <c:pt idx="4572">
                  <c:v>#N/A</c:v>
                </c:pt>
                <c:pt idx="4573">
                  <c:v>#N/A</c:v>
                </c:pt>
                <c:pt idx="4574">
                  <c:v>#N/A</c:v>
                </c:pt>
                <c:pt idx="4575">
                  <c:v>#N/A</c:v>
                </c:pt>
                <c:pt idx="4576">
                  <c:v>#N/A</c:v>
                </c:pt>
                <c:pt idx="4577">
                  <c:v>#N/A</c:v>
                </c:pt>
                <c:pt idx="4578">
                  <c:v>#N/A</c:v>
                </c:pt>
                <c:pt idx="4579">
                  <c:v>#N/A</c:v>
                </c:pt>
                <c:pt idx="4580">
                  <c:v>#N/A</c:v>
                </c:pt>
                <c:pt idx="4581">
                  <c:v>#N/A</c:v>
                </c:pt>
                <c:pt idx="4582">
                  <c:v>#N/A</c:v>
                </c:pt>
                <c:pt idx="4583">
                  <c:v>#N/A</c:v>
                </c:pt>
                <c:pt idx="4584">
                  <c:v>#N/A</c:v>
                </c:pt>
                <c:pt idx="4585">
                  <c:v>#N/A</c:v>
                </c:pt>
                <c:pt idx="4586">
                  <c:v>#N/A</c:v>
                </c:pt>
                <c:pt idx="4587">
                  <c:v>#N/A</c:v>
                </c:pt>
                <c:pt idx="4588">
                  <c:v>#N/A</c:v>
                </c:pt>
                <c:pt idx="4589">
                  <c:v>#N/A</c:v>
                </c:pt>
                <c:pt idx="4590">
                  <c:v>#N/A</c:v>
                </c:pt>
                <c:pt idx="4591">
                  <c:v>#N/A</c:v>
                </c:pt>
                <c:pt idx="4592">
                  <c:v>#N/A</c:v>
                </c:pt>
                <c:pt idx="4593">
                  <c:v>#N/A</c:v>
                </c:pt>
                <c:pt idx="4594">
                  <c:v>#N/A</c:v>
                </c:pt>
                <c:pt idx="4595">
                  <c:v>#N/A</c:v>
                </c:pt>
                <c:pt idx="4596">
                  <c:v>#N/A</c:v>
                </c:pt>
                <c:pt idx="4597">
                  <c:v>#N/A</c:v>
                </c:pt>
                <c:pt idx="4598">
                  <c:v>#N/A</c:v>
                </c:pt>
                <c:pt idx="4599">
                  <c:v>#N/A</c:v>
                </c:pt>
                <c:pt idx="4600">
                  <c:v>#N/A</c:v>
                </c:pt>
                <c:pt idx="4601">
                  <c:v>#N/A</c:v>
                </c:pt>
                <c:pt idx="4602">
                  <c:v>#N/A</c:v>
                </c:pt>
                <c:pt idx="4603">
                  <c:v>#N/A</c:v>
                </c:pt>
                <c:pt idx="4604">
                  <c:v>#N/A</c:v>
                </c:pt>
                <c:pt idx="4605">
                  <c:v>#N/A</c:v>
                </c:pt>
                <c:pt idx="4606">
                  <c:v>#N/A</c:v>
                </c:pt>
                <c:pt idx="4607">
                  <c:v>#N/A</c:v>
                </c:pt>
                <c:pt idx="4608">
                  <c:v>#N/A</c:v>
                </c:pt>
                <c:pt idx="4609">
                  <c:v>#N/A</c:v>
                </c:pt>
                <c:pt idx="4610">
                  <c:v>#N/A</c:v>
                </c:pt>
                <c:pt idx="4611">
                  <c:v>#N/A</c:v>
                </c:pt>
                <c:pt idx="4612">
                  <c:v>#N/A</c:v>
                </c:pt>
                <c:pt idx="4613">
                  <c:v>#N/A</c:v>
                </c:pt>
                <c:pt idx="4614">
                  <c:v>#N/A</c:v>
                </c:pt>
                <c:pt idx="4615">
                  <c:v>#N/A</c:v>
                </c:pt>
                <c:pt idx="4616">
                  <c:v>#N/A</c:v>
                </c:pt>
                <c:pt idx="4617">
                  <c:v>#N/A</c:v>
                </c:pt>
                <c:pt idx="4618">
                  <c:v>#N/A</c:v>
                </c:pt>
                <c:pt idx="4619">
                  <c:v>#N/A</c:v>
                </c:pt>
                <c:pt idx="4620">
                  <c:v>#N/A</c:v>
                </c:pt>
                <c:pt idx="4621">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numCache>
            </c:numRef>
          </c:xVal>
          <c:yVal>
            <c:numRef>
              <c:f>'Resultados 2D'!Y_P_nominal</c:f>
              <c:numCache>
                <c:formatCode>General</c:formatCode>
                <c:ptCount val="499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0</c:v>
                </c:pt>
                <c:pt idx="99">
                  <c:v>#N/A</c:v>
                </c:pt>
                <c:pt idx="100">
                  <c:v>#N/A</c:v>
                </c:pt>
                <c:pt idx="101">
                  <c:v>0</c:v>
                </c:pt>
                <c:pt idx="102">
                  <c:v>0</c:v>
                </c:pt>
                <c:pt idx="103">
                  <c:v>0</c:v>
                </c:pt>
                <c:pt idx="104">
                  <c:v>0</c:v>
                </c:pt>
                <c:pt idx="105">
                  <c:v>0</c:v>
                </c:pt>
                <c:pt idx="106">
                  <c:v>#N/A</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#N/A</c:v>
                </c:pt>
                <c:pt idx="342">
                  <c:v>0</c:v>
                </c:pt>
                <c:pt idx="343">
                  <c:v>0</c:v>
                </c:pt>
                <c:pt idx="344">
                  <c:v>0</c:v>
                </c:pt>
                <c:pt idx="345">
                  <c:v>0</c:v>
                </c:pt>
                <c:pt idx="346">
                  <c:v>#N/A</c:v>
                </c:pt>
                <c:pt idx="347">
                  <c:v>#N/A</c:v>
                </c:pt>
                <c:pt idx="348">
                  <c:v>0</c:v>
                </c:pt>
                <c:pt idx="349">
                  <c:v>#N/A</c:v>
                </c:pt>
                <c:pt idx="350">
                  <c:v>0</c:v>
                </c:pt>
                <c:pt idx="351">
                  <c:v>#N/A</c:v>
                </c:pt>
                <c:pt idx="352">
                  <c:v>#N/A</c:v>
                </c:pt>
                <c:pt idx="353">
                  <c:v>0</c:v>
                </c:pt>
                <c:pt idx="354">
                  <c:v>#N/A</c:v>
                </c:pt>
                <c:pt idx="355">
                  <c:v>#N/A</c:v>
                </c:pt>
                <c:pt idx="356">
                  <c:v>#N/A</c:v>
                </c:pt>
                <c:pt idx="357">
                  <c:v>0</c:v>
                </c:pt>
                <c:pt idx="358">
                  <c:v>#N/A</c:v>
                </c:pt>
                <c:pt idx="359">
                  <c:v>#N/A</c:v>
                </c:pt>
                <c:pt idx="360">
                  <c:v>#N/A</c:v>
                </c:pt>
                <c:pt idx="361">
                  <c:v>0</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0</c:v>
                </c:pt>
                <c:pt idx="436">
                  <c:v>#N/A</c:v>
                </c:pt>
                <c:pt idx="437">
                  <c:v>#N/A</c:v>
                </c:pt>
                <c:pt idx="438">
                  <c:v>0</c:v>
                </c:pt>
                <c:pt idx="439">
                  <c:v>#N/A</c:v>
                </c:pt>
                <c:pt idx="440">
                  <c:v>#N/A</c:v>
                </c:pt>
                <c:pt idx="441">
                  <c:v>#N/A</c:v>
                </c:pt>
                <c:pt idx="442">
                  <c:v>#N/A</c:v>
                </c:pt>
                <c:pt idx="443">
                  <c:v>0</c:v>
                </c:pt>
                <c:pt idx="444">
                  <c:v>#N/A</c:v>
                </c:pt>
                <c:pt idx="445">
                  <c:v>#N/A</c:v>
                </c:pt>
                <c:pt idx="446">
                  <c:v>#N/A</c:v>
                </c:pt>
                <c:pt idx="447">
                  <c:v>0</c:v>
                </c:pt>
                <c:pt idx="448">
                  <c:v>0</c:v>
                </c:pt>
                <c:pt idx="449">
                  <c:v>#N/A</c:v>
                </c:pt>
                <c:pt idx="450">
                  <c:v>#N/A</c:v>
                </c:pt>
                <c:pt idx="451">
                  <c:v>#N/A</c:v>
                </c:pt>
                <c:pt idx="452">
                  <c:v>0</c:v>
                </c:pt>
                <c:pt idx="453">
                  <c:v>#N/A</c:v>
                </c:pt>
                <c:pt idx="454">
                  <c:v>#N/A</c:v>
                </c:pt>
                <c:pt idx="455">
                  <c:v>0</c:v>
                </c:pt>
                <c:pt idx="456">
                  <c:v>0</c:v>
                </c:pt>
                <c:pt idx="457">
                  <c:v>#N/A</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#N/A</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pt idx="3534">
                  <c:v>#N/A</c:v>
                </c:pt>
                <c:pt idx="3535">
                  <c:v>#N/A</c:v>
                </c:pt>
                <c:pt idx="3536">
                  <c:v>#N/A</c:v>
                </c:pt>
                <c:pt idx="3537">
                  <c:v>#N/A</c:v>
                </c:pt>
                <c:pt idx="3538">
                  <c:v>#N/A</c:v>
                </c:pt>
                <c:pt idx="3539">
                  <c:v>#N/A</c:v>
                </c:pt>
                <c:pt idx="3540">
                  <c:v>#N/A</c:v>
                </c:pt>
                <c:pt idx="3541">
                  <c:v>#N/A</c:v>
                </c:pt>
                <c:pt idx="3542">
                  <c:v>#N/A</c:v>
                </c:pt>
                <c:pt idx="3543">
                  <c:v>#N/A</c:v>
                </c:pt>
                <c:pt idx="3544">
                  <c:v>#N/A</c:v>
                </c:pt>
                <c:pt idx="3545">
                  <c:v>#N/A</c:v>
                </c:pt>
                <c:pt idx="3546">
                  <c:v>#N/A</c:v>
                </c:pt>
                <c:pt idx="3547">
                  <c:v>#N/A</c:v>
                </c:pt>
                <c:pt idx="3548">
                  <c:v>#N/A</c:v>
                </c:pt>
                <c:pt idx="3549">
                  <c:v>#N/A</c:v>
                </c:pt>
                <c:pt idx="3550">
                  <c:v>#N/A</c:v>
                </c:pt>
                <c:pt idx="3551">
                  <c:v>#N/A</c:v>
                </c:pt>
                <c:pt idx="3552">
                  <c:v>#N/A</c:v>
                </c:pt>
                <c:pt idx="3553">
                  <c:v>#N/A</c:v>
                </c:pt>
                <c:pt idx="3554">
                  <c:v>#N/A</c:v>
                </c:pt>
                <c:pt idx="3555">
                  <c:v>#N/A</c:v>
                </c:pt>
                <c:pt idx="3556">
                  <c:v>#N/A</c:v>
                </c:pt>
                <c:pt idx="3557">
                  <c:v>#N/A</c:v>
                </c:pt>
                <c:pt idx="3558">
                  <c:v>#N/A</c:v>
                </c:pt>
                <c:pt idx="3559">
                  <c:v>#N/A</c:v>
                </c:pt>
                <c:pt idx="3560">
                  <c:v>#N/A</c:v>
                </c:pt>
                <c:pt idx="3561">
                  <c:v>#N/A</c:v>
                </c:pt>
                <c:pt idx="3562">
                  <c:v>#N/A</c:v>
                </c:pt>
                <c:pt idx="3563">
                  <c:v>#N/A</c:v>
                </c:pt>
                <c:pt idx="3564">
                  <c:v>#N/A</c:v>
                </c:pt>
                <c:pt idx="3565">
                  <c:v>#N/A</c:v>
                </c:pt>
                <c:pt idx="3566">
                  <c:v>#N/A</c:v>
                </c:pt>
                <c:pt idx="3567">
                  <c:v>#N/A</c:v>
                </c:pt>
                <c:pt idx="3568">
                  <c:v>#N/A</c:v>
                </c:pt>
                <c:pt idx="3569">
                  <c:v>#N/A</c:v>
                </c:pt>
                <c:pt idx="3570">
                  <c:v>#N/A</c:v>
                </c:pt>
                <c:pt idx="3571">
                  <c:v>#N/A</c:v>
                </c:pt>
                <c:pt idx="3572">
                  <c:v>#N/A</c:v>
                </c:pt>
                <c:pt idx="3573">
                  <c:v>#N/A</c:v>
                </c:pt>
                <c:pt idx="3574">
                  <c:v>#N/A</c:v>
                </c:pt>
                <c:pt idx="3575">
                  <c:v>#N/A</c:v>
                </c:pt>
                <c:pt idx="3576">
                  <c:v>#N/A</c:v>
                </c:pt>
                <c:pt idx="3577">
                  <c:v>#N/A</c:v>
                </c:pt>
                <c:pt idx="3578">
                  <c:v>#N/A</c:v>
                </c:pt>
                <c:pt idx="3579">
                  <c:v>#N/A</c:v>
                </c:pt>
                <c:pt idx="3580">
                  <c:v>#N/A</c:v>
                </c:pt>
                <c:pt idx="3581">
                  <c:v>#N/A</c:v>
                </c:pt>
                <c:pt idx="3582">
                  <c:v>#N/A</c:v>
                </c:pt>
                <c:pt idx="3583">
                  <c:v>#N/A</c:v>
                </c:pt>
                <c:pt idx="3584">
                  <c:v>#N/A</c:v>
                </c:pt>
                <c:pt idx="3585">
                  <c:v>#N/A</c:v>
                </c:pt>
                <c:pt idx="3586">
                  <c:v>#N/A</c:v>
                </c:pt>
                <c:pt idx="3587">
                  <c:v>#N/A</c:v>
                </c:pt>
                <c:pt idx="3588">
                  <c:v>#N/A</c:v>
                </c:pt>
                <c:pt idx="3589">
                  <c:v>#N/A</c:v>
                </c:pt>
                <c:pt idx="3590">
                  <c:v>#N/A</c:v>
                </c:pt>
                <c:pt idx="3591">
                  <c:v>#N/A</c:v>
                </c:pt>
                <c:pt idx="3592">
                  <c:v>#N/A</c:v>
                </c:pt>
                <c:pt idx="3593">
                  <c:v>#N/A</c:v>
                </c:pt>
                <c:pt idx="3594">
                  <c:v>#N/A</c:v>
                </c:pt>
                <c:pt idx="3595">
                  <c:v>#N/A</c:v>
                </c:pt>
                <c:pt idx="3596">
                  <c:v>#N/A</c:v>
                </c:pt>
                <c:pt idx="3597">
                  <c:v>#N/A</c:v>
                </c:pt>
                <c:pt idx="3598">
                  <c:v>#N/A</c:v>
                </c:pt>
                <c:pt idx="3599">
                  <c:v>#N/A</c:v>
                </c:pt>
                <c:pt idx="3600">
                  <c:v>#N/A</c:v>
                </c:pt>
                <c:pt idx="3601">
                  <c:v>#N/A</c:v>
                </c:pt>
                <c:pt idx="3602">
                  <c:v>#N/A</c:v>
                </c:pt>
                <c:pt idx="3603">
                  <c:v>#N/A</c:v>
                </c:pt>
                <c:pt idx="3604">
                  <c:v>#N/A</c:v>
                </c:pt>
                <c:pt idx="3605">
                  <c:v>#N/A</c:v>
                </c:pt>
                <c:pt idx="3606">
                  <c:v>#N/A</c:v>
                </c:pt>
                <c:pt idx="3607">
                  <c:v>#N/A</c:v>
                </c:pt>
                <c:pt idx="3608">
                  <c:v>#N/A</c:v>
                </c:pt>
                <c:pt idx="3609">
                  <c:v>#N/A</c:v>
                </c:pt>
                <c:pt idx="3610">
                  <c:v>#N/A</c:v>
                </c:pt>
                <c:pt idx="3611">
                  <c:v>#N/A</c:v>
                </c:pt>
                <c:pt idx="3612">
                  <c:v>#N/A</c:v>
                </c:pt>
                <c:pt idx="3613">
                  <c:v>#N/A</c:v>
                </c:pt>
                <c:pt idx="3614">
                  <c:v>#N/A</c:v>
                </c:pt>
                <c:pt idx="3615">
                  <c:v>#N/A</c:v>
                </c:pt>
                <c:pt idx="3616">
                  <c:v>#N/A</c:v>
                </c:pt>
                <c:pt idx="3617">
                  <c:v>#N/A</c:v>
                </c:pt>
                <c:pt idx="3618">
                  <c:v>#N/A</c:v>
                </c:pt>
                <c:pt idx="3619">
                  <c:v>#N/A</c:v>
                </c:pt>
                <c:pt idx="3620">
                  <c:v>#N/A</c:v>
                </c:pt>
                <c:pt idx="3621">
                  <c:v>#N/A</c:v>
                </c:pt>
                <c:pt idx="3622">
                  <c:v>#N/A</c:v>
                </c:pt>
                <c:pt idx="3623">
                  <c:v>#N/A</c:v>
                </c:pt>
                <c:pt idx="3624">
                  <c:v>#N/A</c:v>
                </c:pt>
                <c:pt idx="3625">
                  <c:v>#N/A</c:v>
                </c:pt>
                <c:pt idx="3626">
                  <c:v>#N/A</c:v>
                </c:pt>
                <c:pt idx="3627">
                  <c:v>#N/A</c:v>
                </c:pt>
                <c:pt idx="3628">
                  <c:v>#N/A</c:v>
                </c:pt>
                <c:pt idx="3629">
                  <c:v>#N/A</c:v>
                </c:pt>
                <c:pt idx="3630">
                  <c:v>#N/A</c:v>
                </c:pt>
                <c:pt idx="3631">
                  <c:v>#N/A</c:v>
                </c:pt>
                <c:pt idx="3632">
                  <c:v>#N/A</c:v>
                </c:pt>
                <c:pt idx="3633">
                  <c:v>#N/A</c:v>
                </c:pt>
                <c:pt idx="3634">
                  <c:v>#N/A</c:v>
                </c:pt>
                <c:pt idx="3635">
                  <c:v>#N/A</c:v>
                </c:pt>
                <c:pt idx="3636">
                  <c:v>#N/A</c:v>
                </c:pt>
                <c:pt idx="3637">
                  <c:v>#N/A</c:v>
                </c:pt>
                <c:pt idx="3638">
                  <c:v>#N/A</c:v>
                </c:pt>
                <c:pt idx="3639">
                  <c:v>#N/A</c:v>
                </c:pt>
                <c:pt idx="3640">
                  <c:v>#N/A</c:v>
                </c:pt>
                <c:pt idx="3641">
                  <c:v>#N/A</c:v>
                </c:pt>
                <c:pt idx="3642">
                  <c:v>#N/A</c:v>
                </c:pt>
                <c:pt idx="3643">
                  <c:v>#N/A</c:v>
                </c:pt>
                <c:pt idx="3644">
                  <c:v>#N/A</c:v>
                </c:pt>
                <c:pt idx="3645">
                  <c:v>#N/A</c:v>
                </c:pt>
                <c:pt idx="3646">
                  <c:v>#N/A</c:v>
                </c:pt>
                <c:pt idx="3647">
                  <c:v>#N/A</c:v>
                </c:pt>
                <c:pt idx="3648">
                  <c:v>#N/A</c:v>
                </c:pt>
                <c:pt idx="3649">
                  <c:v>#N/A</c:v>
                </c:pt>
                <c:pt idx="3650">
                  <c:v>#N/A</c:v>
                </c:pt>
                <c:pt idx="3651">
                  <c:v>#N/A</c:v>
                </c:pt>
                <c:pt idx="3652">
                  <c:v>#N/A</c:v>
                </c:pt>
                <c:pt idx="3653">
                  <c:v>#N/A</c:v>
                </c:pt>
                <c:pt idx="3654">
                  <c:v>#N/A</c:v>
                </c:pt>
                <c:pt idx="3655">
                  <c:v>#N/A</c:v>
                </c:pt>
                <c:pt idx="3656">
                  <c:v>#N/A</c:v>
                </c:pt>
                <c:pt idx="3657">
                  <c:v>#N/A</c:v>
                </c:pt>
                <c:pt idx="3658">
                  <c:v>#N/A</c:v>
                </c:pt>
                <c:pt idx="3659">
                  <c:v>#N/A</c:v>
                </c:pt>
                <c:pt idx="3660">
                  <c:v>#N/A</c:v>
                </c:pt>
                <c:pt idx="3661">
                  <c:v>#N/A</c:v>
                </c:pt>
                <c:pt idx="3662">
                  <c:v>#N/A</c:v>
                </c:pt>
                <c:pt idx="3663">
                  <c:v>#N/A</c:v>
                </c:pt>
                <c:pt idx="3664">
                  <c:v>#N/A</c:v>
                </c:pt>
                <c:pt idx="3665">
                  <c:v>#N/A</c:v>
                </c:pt>
                <c:pt idx="3666">
                  <c:v>#N/A</c:v>
                </c:pt>
                <c:pt idx="3667">
                  <c:v>#N/A</c:v>
                </c:pt>
                <c:pt idx="3668">
                  <c:v>#N/A</c:v>
                </c:pt>
                <c:pt idx="3669">
                  <c:v>#N/A</c:v>
                </c:pt>
                <c:pt idx="3670">
                  <c:v>#N/A</c:v>
                </c:pt>
                <c:pt idx="3671">
                  <c:v>#N/A</c:v>
                </c:pt>
                <c:pt idx="3672">
                  <c:v>#N/A</c:v>
                </c:pt>
                <c:pt idx="3673">
                  <c:v>#N/A</c:v>
                </c:pt>
                <c:pt idx="3674">
                  <c:v>#N/A</c:v>
                </c:pt>
                <c:pt idx="3675">
                  <c:v>#N/A</c:v>
                </c:pt>
                <c:pt idx="3676">
                  <c:v>#N/A</c:v>
                </c:pt>
                <c:pt idx="3677">
                  <c:v>#N/A</c:v>
                </c:pt>
                <c:pt idx="3678">
                  <c:v>#N/A</c:v>
                </c:pt>
                <c:pt idx="3679">
                  <c:v>#N/A</c:v>
                </c:pt>
                <c:pt idx="3680">
                  <c:v>#N/A</c:v>
                </c:pt>
                <c:pt idx="3681">
                  <c:v>#N/A</c:v>
                </c:pt>
                <c:pt idx="3682">
                  <c:v>#N/A</c:v>
                </c:pt>
                <c:pt idx="3683">
                  <c:v>#N/A</c:v>
                </c:pt>
                <c:pt idx="3684">
                  <c:v>#N/A</c:v>
                </c:pt>
                <c:pt idx="3685">
                  <c:v>#N/A</c:v>
                </c:pt>
                <c:pt idx="3686">
                  <c:v>#N/A</c:v>
                </c:pt>
                <c:pt idx="3687">
                  <c:v>#N/A</c:v>
                </c:pt>
                <c:pt idx="3688">
                  <c:v>#N/A</c:v>
                </c:pt>
                <c:pt idx="3689">
                  <c:v>#N/A</c:v>
                </c:pt>
                <c:pt idx="3690">
                  <c:v>#N/A</c:v>
                </c:pt>
                <c:pt idx="3691">
                  <c:v>#N/A</c:v>
                </c:pt>
                <c:pt idx="3692">
                  <c:v>#N/A</c:v>
                </c:pt>
                <c:pt idx="3693">
                  <c:v>#N/A</c:v>
                </c:pt>
                <c:pt idx="3694">
                  <c:v>#N/A</c:v>
                </c:pt>
                <c:pt idx="3695">
                  <c:v>#N/A</c:v>
                </c:pt>
                <c:pt idx="3696">
                  <c:v>#N/A</c:v>
                </c:pt>
                <c:pt idx="3697">
                  <c:v>#N/A</c:v>
                </c:pt>
                <c:pt idx="3698">
                  <c:v>#N/A</c:v>
                </c:pt>
                <c:pt idx="3699">
                  <c:v>#N/A</c:v>
                </c:pt>
                <c:pt idx="3700">
                  <c:v>#N/A</c:v>
                </c:pt>
                <c:pt idx="3701">
                  <c:v>#N/A</c:v>
                </c:pt>
                <c:pt idx="3702">
                  <c:v>#N/A</c:v>
                </c:pt>
                <c:pt idx="3703">
                  <c:v>#N/A</c:v>
                </c:pt>
                <c:pt idx="3704">
                  <c:v>#N/A</c:v>
                </c:pt>
                <c:pt idx="3705">
                  <c:v>#N/A</c:v>
                </c:pt>
                <c:pt idx="3706">
                  <c:v>#N/A</c:v>
                </c:pt>
                <c:pt idx="3707">
                  <c:v>#N/A</c:v>
                </c:pt>
                <c:pt idx="3708">
                  <c:v>#N/A</c:v>
                </c:pt>
                <c:pt idx="3709">
                  <c:v>#N/A</c:v>
                </c:pt>
                <c:pt idx="3710">
                  <c:v>#N/A</c:v>
                </c:pt>
                <c:pt idx="3711">
                  <c:v>#N/A</c:v>
                </c:pt>
                <c:pt idx="3712">
                  <c:v>#N/A</c:v>
                </c:pt>
                <c:pt idx="3713">
                  <c:v>#N/A</c:v>
                </c:pt>
                <c:pt idx="3714">
                  <c:v>#N/A</c:v>
                </c:pt>
                <c:pt idx="3715">
                  <c:v>#N/A</c:v>
                </c:pt>
                <c:pt idx="3716">
                  <c:v>#N/A</c:v>
                </c:pt>
                <c:pt idx="3717">
                  <c:v>#N/A</c:v>
                </c:pt>
                <c:pt idx="3718">
                  <c:v>#N/A</c:v>
                </c:pt>
                <c:pt idx="3719">
                  <c:v>#N/A</c:v>
                </c:pt>
                <c:pt idx="3720">
                  <c:v>#N/A</c:v>
                </c:pt>
                <c:pt idx="3721">
                  <c:v>#N/A</c:v>
                </c:pt>
                <c:pt idx="3722">
                  <c:v>#N/A</c:v>
                </c:pt>
                <c:pt idx="3723">
                  <c:v>#N/A</c:v>
                </c:pt>
                <c:pt idx="3724">
                  <c:v>#N/A</c:v>
                </c:pt>
                <c:pt idx="3725">
                  <c:v>#N/A</c:v>
                </c:pt>
                <c:pt idx="3726">
                  <c:v>#N/A</c:v>
                </c:pt>
                <c:pt idx="3727">
                  <c:v>#N/A</c:v>
                </c:pt>
                <c:pt idx="3728">
                  <c:v>#N/A</c:v>
                </c:pt>
                <c:pt idx="3729">
                  <c:v>#N/A</c:v>
                </c:pt>
                <c:pt idx="3730">
                  <c:v>#N/A</c:v>
                </c:pt>
                <c:pt idx="3731">
                  <c:v>#N/A</c:v>
                </c:pt>
                <c:pt idx="3732">
                  <c:v>#N/A</c:v>
                </c:pt>
                <c:pt idx="3733">
                  <c:v>#N/A</c:v>
                </c:pt>
                <c:pt idx="3734">
                  <c:v>#N/A</c:v>
                </c:pt>
                <c:pt idx="3735">
                  <c:v>#N/A</c:v>
                </c:pt>
                <c:pt idx="3736">
                  <c:v>#N/A</c:v>
                </c:pt>
                <c:pt idx="3737">
                  <c:v>#N/A</c:v>
                </c:pt>
                <c:pt idx="3738">
                  <c:v>#N/A</c:v>
                </c:pt>
                <c:pt idx="3739">
                  <c:v>#N/A</c:v>
                </c:pt>
                <c:pt idx="3740">
                  <c:v>#N/A</c:v>
                </c:pt>
                <c:pt idx="3741">
                  <c:v>#N/A</c:v>
                </c:pt>
                <c:pt idx="3742">
                  <c:v>#N/A</c:v>
                </c:pt>
                <c:pt idx="3743">
                  <c:v>#N/A</c:v>
                </c:pt>
                <c:pt idx="3744">
                  <c:v>#N/A</c:v>
                </c:pt>
                <c:pt idx="3745">
                  <c:v>#N/A</c:v>
                </c:pt>
                <c:pt idx="3746">
                  <c:v>#N/A</c:v>
                </c:pt>
                <c:pt idx="3747">
                  <c:v>#N/A</c:v>
                </c:pt>
                <c:pt idx="3748">
                  <c:v>#N/A</c:v>
                </c:pt>
                <c:pt idx="3749">
                  <c:v>#N/A</c:v>
                </c:pt>
                <c:pt idx="3750">
                  <c:v>#N/A</c:v>
                </c:pt>
                <c:pt idx="3751">
                  <c:v>#N/A</c:v>
                </c:pt>
                <c:pt idx="3752">
                  <c:v>#N/A</c:v>
                </c:pt>
                <c:pt idx="3753">
                  <c:v>#N/A</c:v>
                </c:pt>
                <c:pt idx="3754">
                  <c:v>#N/A</c:v>
                </c:pt>
                <c:pt idx="3755">
                  <c:v>#N/A</c:v>
                </c:pt>
                <c:pt idx="3756">
                  <c:v>#N/A</c:v>
                </c:pt>
                <c:pt idx="3757">
                  <c:v>#N/A</c:v>
                </c:pt>
                <c:pt idx="3758">
                  <c:v>#N/A</c:v>
                </c:pt>
                <c:pt idx="3759">
                  <c:v>#N/A</c:v>
                </c:pt>
                <c:pt idx="3760">
                  <c:v>#N/A</c:v>
                </c:pt>
                <c:pt idx="3761">
                  <c:v>#N/A</c:v>
                </c:pt>
                <c:pt idx="3762">
                  <c:v>#N/A</c:v>
                </c:pt>
                <c:pt idx="3763">
                  <c:v>#N/A</c:v>
                </c:pt>
                <c:pt idx="3764">
                  <c:v>#N/A</c:v>
                </c:pt>
                <c:pt idx="3765">
                  <c:v>#N/A</c:v>
                </c:pt>
                <c:pt idx="3766">
                  <c:v>#N/A</c:v>
                </c:pt>
                <c:pt idx="3767">
                  <c:v>#N/A</c:v>
                </c:pt>
                <c:pt idx="3768">
                  <c:v>#N/A</c:v>
                </c:pt>
                <c:pt idx="3769">
                  <c:v>#N/A</c:v>
                </c:pt>
                <c:pt idx="3770">
                  <c:v>#N/A</c:v>
                </c:pt>
                <c:pt idx="3771">
                  <c:v>#N/A</c:v>
                </c:pt>
                <c:pt idx="3772">
                  <c:v>#N/A</c:v>
                </c:pt>
                <c:pt idx="3773">
                  <c:v>#N/A</c:v>
                </c:pt>
                <c:pt idx="3774">
                  <c:v>#N/A</c:v>
                </c:pt>
                <c:pt idx="3775">
                  <c:v>#N/A</c:v>
                </c:pt>
                <c:pt idx="3776">
                  <c:v>#N/A</c:v>
                </c:pt>
                <c:pt idx="3777">
                  <c:v>#N/A</c:v>
                </c:pt>
                <c:pt idx="3778">
                  <c:v>#N/A</c:v>
                </c:pt>
                <c:pt idx="3779">
                  <c:v>#N/A</c:v>
                </c:pt>
                <c:pt idx="3780">
                  <c:v>#N/A</c:v>
                </c:pt>
                <c:pt idx="3781">
                  <c:v>#N/A</c:v>
                </c:pt>
                <c:pt idx="3782">
                  <c:v>#N/A</c:v>
                </c:pt>
                <c:pt idx="3783">
                  <c:v>#N/A</c:v>
                </c:pt>
                <c:pt idx="3784">
                  <c:v>#N/A</c:v>
                </c:pt>
                <c:pt idx="3785">
                  <c:v>#N/A</c:v>
                </c:pt>
                <c:pt idx="3786">
                  <c:v>#N/A</c:v>
                </c:pt>
                <c:pt idx="3787">
                  <c:v>#N/A</c:v>
                </c:pt>
                <c:pt idx="3788">
                  <c:v>#N/A</c:v>
                </c:pt>
                <c:pt idx="3789">
                  <c:v>#N/A</c:v>
                </c:pt>
                <c:pt idx="3790">
                  <c:v>#N/A</c:v>
                </c:pt>
                <c:pt idx="3791">
                  <c:v>#N/A</c:v>
                </c:pt>
                <c:pt idx="3792">
                  <c:v>#N/A</c:v>
                </c:pt>
                <c:pt idx="3793">
                  <c:v>#N/A</c:v>
                </c:pt>
                <c:pt idx="3794">
                  <c:v>#N/A</c:v>
                </c:pt>
                <c:pt idx="3795">
                  <c:v>#N/A</c:v>
                </c:pt>
                <c:pt idx="3796">
                  <c:v>#N/A</c:v>
                </c:pt>
                <c:pt idx="3797">
                  <c:v>#N/A</c:v>
                </c:pt>
                <c:pt idx="3798">
                  <c:v>#N/A</c:v>
                </c:pt>
                <c:pt idx="3799">
                  <c:v>#N/A</c:v>
                </c:pt>
                <c:pt idx="3800">
                  <c:v>#N/A</c:v>
                </c:pt>
                <c:pt idx="3801">
                  <c:v>#N/A</c:v>
                </c:pt>
                <c:pt idx="3802">
                  <c:v>#N/A</c:v>
                </c:pt>
                <c:pt idx="3803">
                  <c:v>#N/A</c:v>
                </c:pt>
                <c:pt idx="3804">
                  <c:v>#N/A</c:v>
                </c:pt>
                <c:pt idx="3805">
                  <c:v>#N/A</c:v>
                </c:pt>
                <c:pt idx="3806">
                  <c:v>#N/A</c:v>
                </c:pt>
                <c:pt idx="3807">
                  <c:v>#N/A</c:v>
                </c:pt>
                <c:pt idx="3808">
                  <c:v>#N/A</c:v>
                </c:pt>
                <c:pt idx="3809">
                  <c:v>#N/A</c:v>
                </c:pt>
                <c:pt idx="3810">
                  <c:v>#N/A</c:v>
                </c:pt>
                <c:pt idx="3811">
                  <c:v>#N/A</c:v>
                </c:pt>
                <c:pt idx="3812">
                  <c:v>#N/A</c:v>
                </c:pt>
                <c:pt idx="3813">
                  <c:v>#N/A</c:v>
                </c:pt>
                <c:pt idx="3814">
                  <c:v>#N/A</c:v>
                </c:pt>
                <c:pt idx="3815">
                  <c:v>#N/A</c:v>
                </c:pt>
                <c:pt idx="3816">
                  <c:v>#N/A</c:v>
                </c:pt>
                <c:pt idx="3817">
                  <c:v>#N/A</c:v>
                </c:pt>
                <c:pt idx="3818">
                  <c:v>#N/A</c:v>
                </c:pt>
                <c:pt idx="3819">
                  <c:v>#N/A</c:v>
                </c:pt>
                <c:pt idx="3820">
                  <c:v>#N/A</c:v>
                </c:pt>
                <c:pt idx="3821">
                  <c:v>#N/A</c:v>
                </c:pt>
                <c:pt idx="3822">
                  <c:v>#N/A</c:v>
                </c:pt>
                <c:pt idx="3823">
                  <c:v>#N/A</c:v>
                </c:pt>
                <c:pt idx="3824">
                  <c:v>#N/A</c:v>
                </c:pt>
                <c:pt idx="3825">
                  <c:v>#N/A</c:v>
                </c:pt>
                <c:pt idx="3826">
                  <c:v>#N/A</c:v>
                </c:pt>
                <c:pt idx="3827">
                  <c:v>#N/A</c:v>
                </c:pt>
                <c:pt idx="3828">
                  <c:v>#N/A</c:v>
                </c:pt>
                <c:pt idx="3829">
                  <c:v>#N/A</c:v>
                </c:pt>
                <c:pt idx="3830">
                  <c:v>#N/A</c:v>
                </c:pt>
                <c:pt idx="3831">
                  <c:v>#N/A</c:v>
                </c:pt>
                <c:pt idx="3832">
                  <c:v>#N/A</c:v>
                </c:pt>
                <c:pt idx="3833">
                  <c:v>#N/A</c:v>
                </c:pt>
                <c:pt idx="3834">
                  <c:v>#N/A</c:v>
                </c:pt>
                <c:pt idx="3835">
                  <c:v>#N/A</c:v>
                </c:pt>
                <c:pt idx="3836">
                  <c:v>#N/A</c:v>
                </c:pt>
                <c:pt idx="3837">
                  <c:v>#N/A</c:v>
                </c:pt>
                <c:pt idx="3838">
                  <c:v>#N/A</c:v>
                </c:pt>
                <c:pt idx="3839">
                  <c:v>#N/A</c:v>
                </c:pt>
                <c:pt idx="3840">
                  <c:v>#N/A</c:v>
                </c:pt>
                <c:pt idx="3841">
                  <c:v>#N/A</c:v>
                </c:pt>
                <c:pt idx="3842">
                  <c:v>#N/A</c:v>
                </c:pt>
                <c:pt idx="3843">
                  <c:v>#N/A</c:v>
                </c:pt>
                <c:pt idx="3844">
                  <c:v>#N/A</c:v>
                </c:pt>
                <c:pt idx="3845">
                  <c:v>#N/A</c:v>
                </c:pt>
                <c:pt idx="3846">
                  <c:v>#N/A</c:v>
                </c:pt>
                <c:pt idx="3847">
                  <c:v>#N/A</c:v>
                </c:pt>
                <c:pt idx="3848">
                  <c:v>#N/A</c:v>
                </c:pt>
                <c:pt idx="3849">
                  <c:v>#N/A</c:v>
                </c:pt>
                <c:pt idx="3850">
                  <c:v>#N/A</c:v>
                </c:pt>
                <c:pt idx="3851">
                  <c:v>#N/A</c:v>
                </c:pt>
                <c:pt idx="3852">
                  <c:v>#N/A</c:v>
                </c:pt>
                <c:pt idx="3853">
                  <c:v>#N/A</c:v>
                </c:pt>
                <c:pt idx="3854">
                  <c:v>#N/A</c:v>
                </c:pt>
                <c:pt idx="3855">
                  <c:v>#N/A</c:v>
                </c:pt>
                <c:pt idx="3856">
                  <c:v>#N/A</c:v>
                </c:pt>
                <c:pt idx="3857">
                  <c:v>#N/A</c:v>
                </c:pt>
                <c:pt idx="3858">
                  <c:v>#N/A</c:v>
                </c:pt>
                <c:pt idx="3859">
                  <c:v>#N/A</c:v>
                </c:pt>
                <c:pt idx="3860">
                  <c:v>#N/A</c:v>
                </c:pt>
                <c:pt idx="3861">
                  <c:v>#N/A</c:v>
                </c:pt>
                <c:pt idx="3862">
                  <c:v>#N/A</c:v>
                </c:pt>
                <c:pt idx="3863">
                  <c:v>#N/A</c:v>
                </c:pt>
                <c:pt idx="3864">
                  <c:v>#N/A</c:v>
                </c:pt>
                <c:pt idx="3865">
                  <c:v>#N/A</c:v>
                </c:pt>
                <c:pt idx="3866">
                  <c:v>#N/A</c:v>
                </c:pt>
                <c:pt idx="3867">
                  <c:v>#N/A</c:v>
                </c:pt>
                <c:pt idx="3868">
                  <c:v>#N/A</c:v>
                </c:pt>
                <c:pt idx="3869">
                  <c:v>#N/A</c:v>
                </c:pt>
                <c:pt idx="3870">
                  <c:v>#N/A</c:v>
                </c:pt>
                <c:pt idx="3871">
                  <c:v>#N/A</c:v>
                </c:pt>
                <c:pt idx="3872">
                  <c:v>#N/A</c:v>
                </c:pt>
                <c:pt idx="3873">
                  <c:v>#N/A</c:v>
                </c:pt>
                <c:pt idx="3874">
                  <c:v>#N/A</c:v>
                </c:pt>
                <c:pt idx="3875">
                  <c:v>#N/A</c:v>
                </c:pt>
                <c:pt idx="3876">
                  <c:v>#N/A</c:v>
                </c:pt>
                <c:pt idx="3877">
                  <c:v>#N/A</c:v>
                </c:pt>
                <c:pt idx="3878">
                  <c:v>#N/A</c:v>
                </c:pt>
                <c:pt idx="3879">
                  <c:v>#N/A</c:v>
                </c:pt>
                <c:pt idx="3880">
                  <c:v>#N/A</c:v>
                </c:pt>
                <c:pt idx="3881">
                  <c:v>#N/A</c:v>
                </c:pt>
                <c:pt idx="3882">
                  <c:v>#N/A</c:v>
                </c:pt>
                <c:pt idx="3883">
                  <c:v>#N/A</c:v>
                </c:pt>
                <c:pt idx="3884">
                  <c:v>#N/A</c:v>
                </c:pt>
                <c:pt idx="3885">
                  <c:v>#N/A</c:v>
                </c:pt>
                <c:pt idx="3886">
                  <c:v>#N/A</c:v>
                </c:pt>
                <c:pt idx="3887">
                  <c:v>#N/A</c:v>
                </c:pt>
                <c:pt idx="3888">
                  <c:v>#N/A</c:v>
                </c:pt>
                <c:pt idx="3889">
                  <c:v>#N/A</c:v>
                </c:pt>
                <c:pt idx="3890">
                  <c:v>#N/A</c:v>
                </c:pt>
                <c:pt idx="3891">
                  <c:v>#N/A</c:v>
                </c:pt>
                <c:pt idx="3892">
                  <c:v>#N/A</c:v>
                </c:pt>
                <c:pt idx="3893">
                  <c:v>#N/A</c:v>
                </c:pt>
                <c:pt idx="3894">
                  <c:v>#N/A</c:v>
                </c:pt>
                <c:pt idx="3895">
                  <c:v>#N/A</c:v>
                </c:pt>
                <c:pt idx="3896">
                  <c:v>#N/A</c:v>
                </c:pt>
                <c:pt idx="3897">
                  <c:v>#N/A</c:v>
                </c:pt>
                <c:pt idx="3898">
                  <c:v>#N/A</c:v>
                </c:pt>
                <c:pt idx="3899">
                  <c:v>#N/A</c:v>
                </c:pt>
                <c:pt idx="3900">
                  <c:v>#N/A</c:v>
                </c:pt>
                <c:pt idx="3901">
                  <c:v>#N/A</c:v>
                </c:pt>
                <c:pt idx="3902">
                  <c:v>#N/A</c:v>
                </c:pt>
                <c:pt idx="3903">
                  <c:v>#N/A</c:v>
                </c:pt>
                <c:pt idx="3904">
                  <c:v>#N/A</c:v>
                </c:pt>
                <c:pt idx="3905">
                  <c:v>#N/A</c:v>
                </c:pt>
                <c:pt idx="3906">
                  <c:v>#N/A</c:v>
                </c:pt>
                <c:pt idx="3907">
                  <c:v>#N/A</c:v>
                </c:pt>
                <c:pt idx="3908">
                  <c:v>#N/A</c:v>
                </c:pt>
                <c:pt idx="3909">
                  <c:v>#N/A</c:v>
                </c:pt>
                <c:pt idx="3910">
                  <c:v>#N/A</c:v>
                </c:pt>
                <c:pt idx="3911">
                  <c:v>#N/A</c:v>
                </c:pt>
                <c:pt idx="3912">
                  <c:v>#N/A</c:v>
                </c:pt>
                <c:pt idx="3913">
                  <c:v>#N/A</c:v>
                </c:pt>
                <c:pt idx="3914">
                  <c:v>#N/A</c:v>
                </c:pt>
                <c:pt idx="3915">
                  <c:v>#N/A</c:v>
                </c:pt>
                <c:pt idx="3916">
                  <c:v>#N/A</c:v>
                </c:pt>
                <c:pt idx="3917">
                  <c:v>#N/A</c:v>
                </c:pt>
                <c:pt idx="3918">
                  <c:v>#N/A</c:v>
                </c:pt>
                <c:pt idx="3919">
                  <c:v>#N/A</c:v>
                </c:pt>
                <c:pt idx="3920">
                  <c:v>#N/A</c:v>
                </c:pt>
                <c:pt idx="3921">
                  <c:v>#N/A</c:v>
                </c:pt>
                <c:pt idx="3922">
                  <c:v>#N/A</c:v>
                </c:pt>
                <c:pt idx="3923">
                  <c:v>#N/A</c:v>
                </c:pt>
                <c:pt idx="3924">
                  <c:v>#N/A</c:v>
                </c:pt>
                <c:pt idx="3925">
                  <c:v>#N/A</c:v>
                </c:pt>
                <c:pt idx="3926">
                  <c:v>#N/A</c:v>
                </c:pt>
                <c:pt idx="3927">
                  <c:v>#N/A</c:v>
                </c:pt>
                <c:pt idx="3928">
                  <c:v>#N/A</c:v>
                </c:pt>
                <c:pt idx="3929">
                  <c:v>#N/A</c:v>
                </c:pt>
                <c:pt idx="3930">
                  <c:v>#N/A</c:v>
                </c:pt>
                <c:pt idx="3931">
                  <c:v>#N/A</c:v>
                </c:pt>
                <c:pt idx="3932">
                  <c:v>#N/A</c:v>
                </c:pt>
                <c:pt idx="3933">
                  <c:v>#N/A</c:v>
                </c:pt>
                <c:pt idx="3934">
                  <c:v>#N/A</c:v>
                </c:pt>
                <c:pt idx="3935">
                  <c:v>#N/A</c:v>
                </c:pt>
                <c:pt idx="3936">
                  <c:v>#N/A</c:v>
                </c:pt>
                <c:pt idx="3937">
                  <c:v>#N/A</c:v>
                </c:pt>
                <c:pt idx="3938">
                  <c:v>#N/A</c:v>
                </c:pt>
                <c:pt idx="3939">
                  <c:v>#N/A</c:v>
                </c:pt>
                <c:pt idx="3940">
                  <c:v>#N/A</c:v>
                </c:pt>
                <c:pt idx="3941">
                  <c:v>#N/A</c:v>
                </c:pt>
                <c:pt idx="3942">
                  <c:v>#N/A</c:v>
                </c:pt>
                <c:pt idx="3943">
                  <c:v>#N/A</c:v>
                </c:pt>
                <c:pt idx="3944">
                  <c:v>#N/A</c:v>
                </c:pt>
                <c:pt idx="3945">
                  <c:v>#N/A</c:v>
                </c:pt>
                <c:pt idx="3946">
                  <c:v>#N/A</c:v>
                </c:pt>
                <c:pt idx="3947">
                  <c:v>#N/A</c:v>
                </c:pt>
                <c:pt idx="3948">
                  <c:v>#N/A</c:v>
                </c:pt>
                <c:pt idx="3949">
                  <c:v>#N/A</c:v>
                </c:pt>
                <c:pt idx="3950">
                  <c:v>#N/A</c:v>
                </c:pt>
                <c:pt idx="3951">
                  <c:v>#N/A</c:v>
                </c:pt>
                <c:pt idx="3952">
                  <c:v>#N/A</c:v>
                </c:pt>
                <c:pt idx="3953">
                  <c:v>#N/A</c:v>
                </c:pt>
                <c:pt idx="3954">
                  <c:v>#N/A</c:v>
                </c:pt>
                <c:pt idx="3955">
                  <c:v>#N/A</c:v>
                </c:pt>
                <c:pt idx="3956">
                  <c:v>#N/A</c:v>
                </c:pt>
                <c:pt idx="3957">
                  <c:v>#N/A</c:v>
                </c:pt>
                <c:pt idx="3958">
                  <c:v>#N/A</c:v>
                </c:pt>
                <c:pt idx="3959">
                  <c:v>#N/A</c:v>
                </c:pt>
                <c:pt idx="3960">
                  <c:v>#N/A</c:v>
                </c:pt>
                <c:pt idx="3961">
                  <c:v>#N/A</c:v>
                </c:pt>
                <c:pt idx="3962">
                  <c:v>#N/A</c:v>
                </c:pt>
                <c:pt idx="3963">
                  <c:v>#N/A</c:v>
                </c:pt>
                <c:pt idx="3964">
                  <c:v>#N/A</c:v>
                </c:pt>
                <c:pt idx="3965">
                  <c:v>#N/A</c:v>
                </c:pt>
                <c:pt idx="3966">
                  <c:v>#N/A</c:v>
                </c:pt>
                <c:pt idx="3967">
                  <c:v>#N/A</c:v>
                </c:pt>
                <c:pt idx="3968">
                  <c:v>#N/A</c:v>
                </c:pt>
                <c:pt idx="3969">
                  <c:v>#N/A</c:v>
                </c:pt>
                <c:pt idx="3970">
                  <c:v>#N/A</c:v>
                </c:pt>
                <c:pt idx="3971">
                  <c:v>#N/A</c:v>
                </c:pt>
                <c:pt idx="3972">
                  <c:v>#N/A</c:v>
                </c:pt>
                <c:pt idx="3973">
                  <c:v>#N/A</c:v>
                </c:pt>
                <c:pt idx="3974">
                  <c:v>#N/A</c:v>
                </c:pt>
                <c:pt idx="3975">
                  <c:v>#N/A</c:v>
                </c:pt>
                <c:pt idx="3976">
                  <c:v>#N/A</c:v>
                </c:pt>
                <c:pt idx="3977">
                  <c:v>#N/A</c:v>
                </c:pt>
                <c:pt idx="3978">
                  <c:v>#N/A</c:v>
                </c:pt>
                <c:pt idx="3979">
                  <c:v>#N/A</c:v>
                </c:pt>
                <c:pt idx="3980">
                  <c:v>#N/A</c:v>
                </c:pt>
                <c:pt idx="3981">
                  <c:v>#N/A</c:v>
                </c:pt>
                <c:pt idx="3982">
                  <c:v>#N/A</c:v>
                </c:pt>
                <c:pt idx="3983">
                  <c:v>#N/A</c:v>
                </c:pt>
                <c:pt idx="3984">
                  <c:v>#N/A</c:v>
                </c:pt>
                <c:pt idx="3985">
                  <c:v>#N/A</c:v>
                </c:pt>
                <c:pt idx="3986">
                  <c:v>#N/A</c:v>
                </c:pt>
                <c:pt idx="3987">
                  <c:v>#N/A</c:v>
                </c:pt>
                <c:pt idx="3988">
                  <c:v>#N/A</c:v>
                </c:pt>
                <c:pt idx="3989">
                  <c:v>#N/A</c:v>
                </c:pt>
                <c:pt idx="3990">
                  <c:v>#N/A</c:v>
                </c:pt>
                <c:pt idx="3991">
                  <c:v>#N/A</c:v>
                </c:pt>
                <c:pt idx="3992">
                  <c:v>#N/A</c:v>
                </c:pt>
                <c:pt idx="3993">
                  <c:v>#N/A</c:v>
                </c:pt>
                <c:pt idx="3994">
                  <c:v>#N/A</c:v>
                </c:pt>
                <c:pt idx="3995">
                  <c:v>#N/A</c:v>
                </c:pt>
                <c:pt idx="3996">
                  <c:v>#N/A</c:v>
                </c:pt>
                <c:pt idx="3997">
                  <c:v>#N/A</c:v>
                </c:pt>
                <c:pt idx="3998">
                  <c:v>#N/A</c:v>
                </c:pt>
                <c:pt idx="3999">
                  <c:v>#N/A</c:v>
                </c:pt>
                <c:pt idx="4000">
                  <c:v>#N/A</c:v>
                </c:pt>
                <c:pt idx="4001">
                  <c:v>#N/A</c:v>
                </c:pt>
                <c:pt idx="4002">
                  <c:v>#N/A</c:v>
                </c:pt>
                <c:pt idx="4003">
                  <c:v>#N/A</c:v>
                </c:pt>
                <c:pt idx="4004">
                  <c:v>#N/A</c:v>
                </c:pt>
                <c:pt idx="4005">
                  <c:v>#N/A</c:v>
                </c:pt>
                <c:pt idx="4006">
                  <c:v>#N/A</c:v>
                </c:pt>
                <c:pt idx="4007">
                  <c:v>#N/A</c:v>
                </c:pt>
                <c:pt idx="4008">
                  <c:v>#N/A</c:v>
                </c:pt>
                <c:pt idx="4009">
                  <c:v>#N/A</c:v>
                </c:pt>
                <c:pt idx="4010">
                  <c:v>#N/A</c:v>
                </c:pt>
                <c:pt idx="4011">
                  <c:v>#N/A</c:v>
                </c:pt>
                <c:pt idx="4012">
                  <c:v>#N/A</c:v>
                </c:pt>
                <c:pt idx="4013">
                  <c:v>#N/A</c:v>
                </c:pt>
                <c:pt idx="4014">
                  <c:v>#N/A</c:v>
                </c:pt>
                <c:pt idx="4015">
                  <c:v>#N/A</c:v>
                </c:pt>
                <c:pt idx="4016">
                  <c:v>#N/A</c:v>
                </c:pt>
                <c:pt idx="4017">
                  <c:v>#N/A</c:v>
                </c:pt>
                <c:pt idx="4018">
                  <c:v>#N/A</c:v>
                </c:pt>
                <c:pt idx="4019">
                  <c:v>#N/A</c:v>
                </c:pt>
                <c:pt idx="4020">
                  <c:v>#N/A</c:v>
                </c:pt>
                <c:pt idx="4021">
                  <c:v>#N/A</c:v>
                </c:pt>
                <c:pt idx="4022">
                  <c:v>#N/A</c:v>
                </c:pt>
                <c:pt idx="4023">
                  <c:v>#N/A</c:v>
                </c:pt>
                <c:pt idx="4024">
                  <c:v>#N/A</c:v>
                </c:pt>
                <c:pt idx="4025">
                  <c:v>#N/A</c:v>
                </c:pt>
                <c:pt idx="4026">
                  <c:v>#N/A</c:v>
                </c:pt>
                <c:pt idx="4027">
                  <c:v>#N/A</c:v>
                </c:pt>
                <c:pt idx="4028">
                  <c:v>#N/A</c:v>
                </c:pt>
                <c:pt idx="4029">
                  <c:v>#N/A</c:v>
                </c:pt>
                <c:pt idx="4030">
                  <c:v>#N/A</c:v>
                </c:pt>
                <c:pt idx="4031">
                  <c:v>#N/A</c:v>
                </c:pt>
                <c:pt idx="4032">
                  <c:v>#N/A</c:v>
                </c:pt>
                <c:pt idx="4033">
                  <c:v>#N/A</c:v>
                </c:pt>
                <c:pt idx="4034">
                  <c:v>#N/A</c:v>
                </c:pt>
                <c:pt idx="4035">
                  <c:v>#N/A</c:v>
                </c:pt>
                <c:pt idx="4036">
                  <c:v>#N/A</c:v>
                </c:pt>
                <c:pt idx="4037">
                  <c:v>#N/A</c:v>
                </c:pt>
                <c:pt idx="4038">
                  <c:v>#N/A</c:v>
                </c:pt>
                <c:pt idx="4039">
                  <c:v>#N/A</c:v>
                </c:pt>
                <c:pt idx="4040">
                  <c:v>#N/A</c:v>
                </c:pt>
                <c:pt idx="4041">
                  <c:v>#N/A</c:v>
                </c:pt>
                <c:pt idx="4042">
                  <c:v>#N/A</c:v>
                </c:pt>
                <c:pt idx="4043">
                  <c:v>#N/A</c:v>
                </c:pt>
                <c:pt idx="4044">
                  <c:v>#N/A</c:v>
                </c:pt>
                <c:pt idx="4045">
                  <c:v>#N/A</c:v>
                </c:pt>
                <c:pt idx="4046">
                  <c:v>#N/A</c:v>
                </c:pt>
                <c:pt idx="4047">
                  <c:v>#N/A</c:v>
                </c:pt>
                <c:pt idx="4048">
                  <c:v>#N/A</c:v>
                </c:pt>
                <c:pt idx="4049">
                  <c:v>#N/A</c:v>
                </c:pt>
                <c:pt idx="4050">
                  <c:v>#N/A</c:v>
                </c:pt>
                <c:pt idx="4051">
                  <c:v>#N/A</c:v>
                </c:pt>
                <c:pt idx="4052">
                  <c:v>#N/A</c:v>
                </c:pt>
                <c:pt idx="4053">
                  <c:v>#N/A</c:v>
                </c:pt>
                <c:pt idx="4054">
                  <c:v>#N/A</c:v>
                </c:pt>
                <c:pt idx="4055">
                  <c:v>#N/A</c:v>
                </c:pt>
                <c:pt idx="4056">
                  <c:v>#N/A</c:v>
                </c:pt>
                <c:pt idx="4057">
                  <c:v>#N/A</c:v>
                </c:pt>
                <c:pt idx="4058">
                  <c:v>#N/A</c:v>
                </c:pt>
                <c:pt idx="4059">
                  <c:v>#N/A</c:v>
                </c:pt>
                <c:pt idx="4060">
                  <c:v>#N/A</c:v>
                </c:pt>
                <c:pt idx="4061">
                  <c:v>#N/A</c:v>
                </c:pt>
                <c:pt idx="4062">
                  <c:v>#N/A</c:v>
                </c:pt>
                <c:pt idx="4063">
                  <c:v>#N/A</c:v>
                </c:pt>
                <c:pt idx="4064">
                  <c:v>#N/A</c:v>
                </c:pt>
                <c:pt idx="4065">
                  <c:v>#N/A</c:v>
                </c:pt>
                <c:pt idx="4066">
                  <c:v>#N/A</c:v>
                </c:pt>
                <c:pt idx="4067">
                  <c:v>#N/A</c:v>
                </c:pt>
                <c:pt idx="4068">
                  <c:v>#N/A</c:v>
                </c:pt>
                <c:pt idx="4069">
                  <c:v>#N/A</c:v>
                </c:pt>
                <c:pt idx="4070">
                  <c:v>#N/A</c:v>
                </c:pt>
                <c:pt idx="4071">
                  <c:v>#N/A</c:v>
                </c:pt>
                <c:pt idx="4072">
                  <c:v>#N/A</c:v>
                </c:pt>
                <c:pt idx="4073">
                  <c:v>#N/A</c:v>
                </c:pt>
                <c:pt idx="4074">
                  <c:v>#N/A</c:v>
                </c:pt>
                <c:pt idx="4075">
                  <c:v>#N/A</c:v>
                </c:pt>
                <c:pt idx="4076">
                  <c:v>#N/A</c:v>
                </c:pt>
                <c:pt idx="4077">
                  <c:v>#N/A</c:v>
                </c:pt>
                <c:pt idx="4078">
                  <c:v>#N/A</c:v>
                </c:pt>
                <c:pt idx="4079">
                  <c:v>#N/A</c:v>
                </c:pt>
                <c:pt idx="4080">
                  <c:v>#N/A</c:v>
                </c:pt>
                <c:pt idx="4081">
                  <c:v>#N/A</c:v>
                </c:pt>
                <c:pt idx="4082">
                  <c:v>#N/A</c:v>
                </c:pt>
                <c:pt idx="4083">
                  <c:v>#N/A</c:v>
                </c:pt>
                <c:pt idx="4084">
                  <c:v>#N/A</c:v>
                </c:pt>
                <c:pt idx="4085">
                  <c:v>#N/A</c:v>
                </c:pt>
                <c:pt idx="4086">
                  <c:v>#N/A</c:v>
                </c:pt>
                <c:pt idx="4087">
                  <c:v>#N/A</c:v>
                </c:pt>
                <c:pt idx="4088">
                  <c:v>#N/A</c:v>
                </c:pt>
                <c:pt idx="4089">
                  <c:v>#N/A</c:v>
                </c:pt>
                <c:pt idx="4090">
                  <c:v>#N/A</c:v>
                </c:pt>
                <c:pt idx="4091">
                  <c:v>#N/A</c:v>
                </c:pt>
                <c:pt idx="4092">
                  <c:v>#N/A</c:v>
                </c:pt>
                <c:pt idx="4093">
                  <c:v>#N/A</c:v>
                </c:pt>
                <c:pt idx="4094">
                  <c:v>#N/A</c:v>
                </c:pt>
                <c:pt idx="4095">
                  <c:v>#N/A</c:v>
                </c:pt>
                <c:pt idx="4096">
                  <c:v>#N/A</c:v>
                </c:pt>
                <c:pt idx="4097">
                  <c:v>#N/A</c:v>
                </c:pt>
                <c:pt idx="4098">
                  <c:v>#N/A</c:v>
                </c:pt>
                <c:pt idx="4099">
                  <c:v>#N/A</c:v>
                </c:pt>
                <c:pt idx="4100">
                  <c:v>#N/A</c:v>
                </c:pt>
                <c:pt idx="4101">
                  <c:v>#N/A</c:v>
                </c:pt>
                <c:pt idx="4102">
                  <c:v>#N/A</c:v>
                </c:pt>
                <c:pt idx="4103">
                  <c:v>#N/A</c:v>
                </c:pt>
                <c:pt idx="4104">
                  <c:v>#N/A</c:v>
                </c:pt>
                <c:pt idx="4105">
                  <c:v>#N/A</c:v>
                </c:pt>
                <c:pt idx="4106">
                  <c:v>#N/A</c:v>
                </c:pt>
                <c:pt idx="4107">
                  <c:v>#N/A</c:v>
                </c:pt>
                <c:pt idx="4108">
                  <c:v>#N/A</c:v>
                </c:pt>
                <c:pt idx="4109">
                  <c:v>#N/A</c:v>
                </c:pt>
                <c:pt idx="4110">
                  <c:v>#N/A</c:v>
                </c:pt>
                <c:pt idx="4111">
                  <c:v>#N/A</c:v>
                </c:pt>
                <c:pt idx="4112">
                  <c:v>#N/A</c:v>
                </c:pt>
                <c:pt idx="4113">
                  <c:v>#N/A</c:v>
                </c:pt>
                <c:pt idx="4114">
                  <c:v>#N/A</c:v>
                </c:pt>
                <c:pt idx="4115">
                  <c:v>#N/A</c:v>
                </c:pt>
                <c:pt idx="4116">
                  <c:v>#N/A</c:v>
                </c:pt>
                <c:pt idx="4117">
                  <c:v>#N/A</c:v>
                </c:pt>
                <c:pt idx="4118">
                  <c:v>#N/A</c:v>
                </c:pt>
                <c:pt idx="4119">
                  <c:v>#N/A</c:v>
                </c:pt>
                <c:pt idx="4120">
                  <c:v>#N/A</c:v>
                </c:pt>
                <c:pt idx="4121">
                  <c:v>#N/A</c:v>
                </c:pt>
                <c:pt idx="4122">
                  <c:v>#N/A</c:v>
                </c:pt>
                <c:pt idx="4123">
                  <c:v>#N/A</c:v>
                </c:pt>
                <c:pt idx="4124">
                  <c:v>#N/A</c:v>
                </c:pt>
                <c:pt idx="4125">
                  <c:v>#N/A</c:v>
                </c:pt>
                <c:pt idx="4126">
                  <c:v>#N/A</c:v>
                </c:pt>
                <c:pt idx="4127">
                  <c:v>#N/A</c:v>
                </c:pt>
                <c:pt idx="4128">
                  <c:v>#N/A</c:v>
                </c:pt>
                <c:pt idx="4129">
                  <c:v>#N/A</c:v>
                </c:pt>
                <c:pt idx="4130">
                  <c:v>#N/A</c:v>
                </c:pt>
                <c:pt idx="4131">
                  <c:v>#N/A</c:v>
                </c:pt>
                <c:pt idx="4132">
                  <c:v>#N/A</c:v>
                </c:pt>
                <c:pt idx="4133">
                  <c:v>#N/A</c:v>
                </c:pt>
                <c:pt idx="4134">
                  <c:v>#N/A</c:v>
                </c:pt>
                <c:pt idx="4135">
                  <c:v>#N/A</c:v>
                </c:pt>
                <c:pt idx="4136">
                  <c:v>#N/A</c:v>
                </c:pt>
                <c:pt idx="4137">
                  <c:v>#N/A</c:v>
                </c:pt>
                <c:pt idx="4138">
                  <c:v>#N/A</c:v>
                </c:pt>
                <c:pt idx="4139">
                  <c:v>#N/A</c:v>
                </c:pt>
                <c:pt idx="4140">
                  <c:v>#N/A</c:v>
                </c:pt>
                <c:pt idx="4141">
                  <c:v>#N/A</c:v>
                </c:pt>
                <c:pt idx="4142">
                  <c:v>#N/A</c:v>
                </c:pt>
                <c:pt idx="4143">
                  <c:v>#N/A</c:v>
                </c:pt>
                <c:pt idx="4144">
                  <c:v>#N/A</c:v>
                </c:pt>
                <c:pt idx="4145">
                  <c:v>#N/A</c:v>
                </c:pt>
                <c:pt idx="4146">
                  <c:v>#N/A</c:v>
                </c:pt>
                <c:pt idx="4147">
                  <c:v>#N/A</c:v>
                </c:pt>
                <c:pt idx="4148">
                  <c:v>#N/A</c:v>
                </c:pt>
                <c:pt idx="4149">
                  <c:v>#N/A</c:v>
                </c:pt>
                <c:pt idx="4150">
                  <c:v>#N/A</c:v>
                </c:pt>
                <c:pt idx="4151">
                  <c:v>#N/A</c:v>
                </c:pt>
                <c:pt idx="4152">
                  <c:v>#N/A</c:v>
                </c:pt>
                <c:pt idx="4153">
                  <c:v>#N/A</c:v>
                </c:pt>
                <c:pt idx="4154">
                  <c:v>#N/A</c:v>
                </c:pt>
                <c:pt idx="4155">
                  <c:v>#N/A</c:v>
                </c:pt>
                <c:pt idx="4156">
                  <c:v>#N/A</c:v>
                </c:pt>
                <c:pt idx="4157">
                  <c:v>#N/A</c:v>
                </c:pt>
                <c:pt idx="4158">
                  <c:v>#N/A</c:v>
                </c:pt>
                <c:pt idx="4159">
                  <c:v>#N/A</c:v>
                </c:pt>
                <c:pt idx="4160">
                  <c:v>#N/A</c:v>
                </c:pt>
                <c:pt idx="4161">
                  <c:v>#N/A</c:v>
                </c:pt>
                <c:pt idx="4162">
                  <c:v>#N/A</c:v>
                </c:pt>
                <c:pt idx="4163">
                  <c:v>#N/A</c:v>
                </c:pt>
                <c:pt idx="4164">
                  <c:v>#N/A</c:v>
                </c:pt>
                <c:pt idx="4165">
                  <c:v>#N/A</c:v>
                </c:pt>
                <c:pt idx="4166">
                  <c:v>#N/A</c:v>
                </c:pt>
                <c:pt idx="4167">
                  <c:v>#N/A</c:v>
                </c:pt>
                <c:pt idx="4168">
                  <c:v>#N/A</c:v>
                </c:pt>
                <c:pt idx="4169">
                  <c:v>#N/A</c:v>
                </c:pt>
                <c:pt idx="4170">
                  <c:v>#N/A</c:v>
                </c:pt>
                <c:pt idx="4171">
                  <c:v>#N/A</c:v>
                </c:pt>
                <c:pt idx="4172">
                  <c:v>#N/A</c:v>
                </c:pt>
                <c:pt idx="4173">
                  <c:v>#N/A</c:v>
                </c:pt>
                <c:pt idx="4174">
                  <c:v>#N/A</c:v>
                </c:pt>
                <c:pt idx="4175">
                  <c:v>#N/A</c:v>
                </c:pt>
                <c:pt idx="4176">
                  <c:v>#N/A</c:v>
                </c:pt>
                <c:pt idx="4177">
                  <c:v>#N/A</c:v>
                </c:pt>
                <c:pt idx="4178">
                  <c:v>#N/A</c:v>
                </c:pt>
                <c:pt idx="4179">
                  <c:v>#N/A</c:v>
                </c:pt>
                <c:pt idx="4180">
                  <c:v>#N/A</c:v>
                </c:pt>
                <c:pt idx="4181">
                  <c:v>#N/A</c:v>
                </c:pt>
                <c:pt idx="4182">
                  <c:v>#N/A</c:v>
                </c:pt>
                <c:pt idx="4183">
                  <c:v>#N/A</c:v>
                </c:pt>
                <c:pt idx="4184">
                  <c:v>#N/A</c:v>
                </c:pt>
                <c:pt idx="4185">
                  <c:v>#N/A</c:v>
                </c:pt>
                <c:pt idx="4186">
                  <c:v>#N/A</c:v>
                </c:pt>
                <c:pt idx="4187">
                  <c:v>#N/A</c:v>
                </c:pt>
                <c:pt idx="4188">
                  <c:v>#N/A</c:v>
                </c:pt>
                <c:pt idx="4189">
                  <c:v>#N/A</c:v>
                </c:pt>
                <c:pt idx="4190">
                  <c:v>#N/A</c:v>
                </c:pt>
                <c:pt idx="4191">
                  <c:v>#N/A</c:v>
                </c:pt>
                <c:pt idx="4192">
                  <c:v>#N/A</c:v>
                </c:pt>
                <c:pt idx="4193">
                  <c:v>#N/A</c:v>
                </c:pt>
                <c:pt idx="4194">
                  <c:v>#N/A</c:v>
                </c:pt>
                <c:pt idx="4195">
                  <c:v>#N/A</c:v>
                </c:pt>
                <c:pt idx="4196">
                  <c:v>#N/A</c:v>
                </c:pt>
                <c:pt idx="4197">
                  <c:v>#N/A</c:v>
                </c:pt>
                <c:pt idx="4198">
                  <c:v>#N/A</c:v>
                </c:pt>
                <c:pt idx="4199">
                  <c:v>#N/A</c:v>
                </c:pt>
                <c:pt idx="4200">
                  <c:v>#N/A</c:v>
                </c:pt>
                <c:pt idx="4201">
                  <c:v>#N/A</c:v>
                </c:pt>
                <c:pt idx="4202">
                  <c:v>#N/A</c:v>
                </c:pt>
                <c:pt idx="4203">
                  <c:v>#N/A</c:v>
                </c:pt>
                <c:pt idx="4204">
                  <c:v>#N/A</c:v>
                </c:pt>
                <c:pt idx="4205">
                  <c:v>#N/A</c:v>
                </c:pt>
                <c:pt idx="4206">
                  <c:v>#N/A</c:v>
                </c:pt>
                <c:pt idx="4207">
                  <c:v>#N/A</c:v>
                </c:pt>
                <c:pt idx="4208">
                  <c:v>#N/A</c:v>
                </c:pt>
                <c:pt idx="4209">
                  <c:v>#N/A</c:v>
                </c:pt>
                <c:pt idx="4210">
                  <c:v>#N/A</c:v>
                </c:pt>
                <c:pt idx="4211">
                  <c:v>#N/A</c:v>
                </c:pt>
                <c:pt idx="4212">
                  <c:v>#N/A</c:v>
                </c:pt>
                <c:pt idx="4213">
                  <c:v>#N/A</c:v>
                </c:pt>
                <c:pt idx="4214">
                  <c:v>#N/A</c:v>
                </c:pt>
                <c:pt idx="4215">
                  <c:v>#N/A</c:v>
                </c:pt>
                <c:pt idx="4216">
                  <c:v>#N/A</c:v>
                </c:pt>
                <c:pt idx="4217">
                  <c:v>#N/A</c:v>
                </c:pt>
                <c:pt idx="4218">
                  <c:v>#N/A</c:v>
                </c:pt>
                <c:pt idx="4219">
                  <c:v>#N/A</c:v>
                </c:pt>
                <c:pt idx="4220">
                  <c:v>#N/A</c:v>
                </c:pt>
                <c:pt idx="4221">
                  <c:v>#N/A</c:v>
                </c:pt>
                <c:pt idx="4222">
                  <c:v>#N/A</c:v>
                </c:pt>
                <c:pt idx="4223">
                  <c:v>#N/A</c:v>
                </c:pt>
                <c:pt idx="4224">
                  <c:v>#N/A</c:v>
                </c:pt>
                <c:pt idx="4225">
                  <c:v>#N/A</c:v>
                </c:pt>
                <c:pt idx="4226">
                  <c:v>#N/A</c:v>
                </c:pt>
                <c:pt idx="4227">
                  <c:v>#N/A</c:v>
                </c:pt>
                <c:pt idx="4228">
                  <c:v>#N/A</c:v>
                </c:pt>
                <c:pt idx="4229">
                  <c:v>#N/A</c:v>
                </c:pt>
                <c:pt idx="4230">
                  <c:v>#N/A</c:v>
                </c:pt>
                <c:pt idx="4231">
                  <c:v>#N/A</c:v>
                </c:pt>
                <c:pt idx="4232">
                  <c:v>#N/A</c:v>
                </c:pt>
                <c:pt idx="4233">
                  <c:v>#N/A</c:v>
                </c:pt>
                <c:pt idx="4234">
                  <c:v>#N/A</c:v>
                </c:pt>
                <c:pt idx="4235">
                  <c:v>#N/A</c:v>
                </c:pt>
                <c:pt idx="4236">
                  <c:v>#N/A</c:v>
                </c:pt>
                <c:pt idx="4237">
                  <c:v>#N/A</c:v>
                </c:pt>
                <c:pt idx="4238">
                  <c:v>#N/A</c:v>
                </c:pt>
                <c:pt idx="4239">
                  <c:v>#N/A</c:v>
                </c:pt>
                <c:pt idx="4240">
                  <c:v>#N/A</c:v>
                </c:pt>
                <c:pt idx="4241">
                  <c:v>#N/A</c:v>
                </c:pt>
                <c:pt idx="4242">
                  <c:v>#N/A</c:v>
                </c:pt>
                <c:pt idx="4243">
                  <c:v>#N/A</c:v>
                </c:pt>
                <c:pt idx="4244">
                  <c:v>#N/A</c:v>
                </c:pt>
                <c:pt idx="4245">
                  <c:v>#N/A</c:v>
                </c:pt>
                <c:pt idx="4246">
                  <c:v>#N/A</c:v>
                </c:pt>
                <c:pt idx="4247">
                  <c:v>#N/A</c:v>
                </c:pt>
                <c:pt idx="4248">
                  <c:v>#N/A</c:v>
                </c:pt>
                <c:pt idx="4249">
                  <c:v>#N/A</c:v>
                </c:pt>
                <c:pt idx="4250">
                  <c:v>#N/A</c:v>
                </c:pt>
                <c:pt idx="4251">
                  <c:v>#N/A</c:v>
                </c:pt>
                <c:pt idx="4252">
                  <c:v>#N/A</c:v>
                </c:pt>
                <c:pt idx="4253">
                  <c:v>#N/A</c:v>
                </c:pt>
                <c:pt idx="4254">
                  <c:v>#N/A</c:v>
                </c:pt>
                <c:pt idx="4255">
                  <c:v>#N/A</c:v>
                </c:pt>
                <c:pt idx="4256">
                  <c:v>#N/A</c:v>
                </c:pt>
                <c:pt idx="4257">
                  <c:v>#N/A</c:v>
                </c:pt>
                <c:pt idx="4258">
                  <c:v>#N/A</c:v>
                </c:pt>
                <c:pt idx="4259">
                  <c:v>#N/A</c:v>
                </c:pt>
                <c:pt idx="4260">
                  <c:v>#N/A</c:v>
                </c:pt>
                <c:pt idx="4261">
                  <c:v>#N/A</c:v>
                </c:pt>
                <c:pt idx="4262">
                  <c:v>#N/A</c:v>
                </c:pt>
                <c:pt idx="4263">
                  <c:v>#N/A</c:v>
                </c:pt>
                <c:pt idx="4264">
                  <c:v>#N/A</c:v>
                </c:pt>
                <c:pt idx="4265">
                  <c:v>#N/A</c:v>
                </c:pt>
                <c:pt idx="4266">
                  <c:v>#N/A</c:v>
                </c:pt>
                <c:pt idx="4267">
                  <c:v>#N/A</c:v>
                </c:pt>
                <c:pt idx="4268">
                  <c:v>#N/A</c:v>
                </c:pt>
                <c:pt idx="4269">
                  <c:v>#N/A</c:v>
                </c:pt>
                <c:pt idx="4270">
                  <c:v>#N/A</c:v>
                </c:pt>
                <c:pt idx="4271">
                  <c:v>#N/A</c:v>
                </c:pt>
                <c:pt idx="4272">
                  <c:v>#N/A</c:v>
                </c:pt>
                <c:pt idx="4273">
                  <c:v>#N/A</c:v>
                </c:pt>
                <c:pt idx="4274">
                  <c:v>#N/A</c:v>
                </c:pt>
                <c:pt idx="4275">
                  <c:v>#N/A</c:v>
                </c:pt>
                <c:pt idx="4276">
                  <c:v>#N/A</c:v>
                </c:pt>
                <c:pt idx="4277">
                  <c:v>#N/A</c:v>
                </c:pt>
                <c:pt idx="4278">
                  <c:v>#N/A</c:v>
                </c:pt>
                <c:pt idx="4279">
                  <c:v>#N/A</c:v>
                </c:pt>
                <c:pt idx="4280">
                  <c:v>#N/A</c:v>
                </c:pt>
                <c:pt idx="4281">
                  <c:v>#N/A</c:v>
                </c:pt>
                <c:pt idx="4282">
                  <c:v>#N/A</c:v>
                </c:pt>
                <c:pt idx="4283">
                  <c:v>#N/A</c:v>
                </c:pt>
                <c:pt idx="4284">
                  <c:v>#N/A</c:v>
                </c:pt>
                <c:pt idx="4285">
                  <c:v>#N/A</c:v>
                </c:pt>
                <c:pt idx="4286">
                  <c:v>#N/A</c:v>
                </c:pt>
                <c:pt idx="4287">
                  <c:v>#N/A</c:v>
                </c:pt>
                <c:pt idx="4288">
                  <c:v>#N/A</c:v>
                </c:pt>
                <c:pt idx="4289">
                  <c:v>#N/A</c:v>
                </c:pt>
                <c:pt idx="4290">
                  <c:v>#N/A</c:v>
                </c:pt>
                <c:pt idx="4291">
                  <c:v>#N/A</c:v>
                </c:pt>
                <c:pt idx="4292">
                  <c:v>#N/A</c:v>
                </c:pt>
                <c:pt idx="4293">
                  <c:v>#N/A</c:v>
                </c:pt>
                <c:pt idx="4294">
                  <c:v>#N/A</c:v>
                </c:pt>
                <c:pt idx="4295">
                  <c:v>#N/A</c:v>
                </c:pt>
                <c:pt idx="4296">
                  <c:v>#N/A</c:v>
                </c:pt>
                <c:pt idx="4297">
                  <c:v>#N/A</c:v>
                </c:pt>
                <c:pt idx="4298">
                  <c:v>#N/A</c:v>
                </c:pt>
                <c:pt idx="4299">
                  <c:v>#N/A</c:v>
                </c:pt>
                <c:pt idx="4300">
                  <c:v>#N/A</c:v>
                </c:pt>
                <c:pt idx="4301">
                  <c:v>#N/A</c:v>
                </c:pt>
                <c:pt idx="4302">
                  <c:v>#N/A</c:v>
                </c:pt>
                <c:pt idx="4303">
                  <c:v>#N/A</c:v>
                </c:pt>
                <c:pt idx="4304">
                  <c:v>#N/A</c:v>
                </c:pt>
                <c:pt idx="4305">
                  <c:v>#N/A</c:v>
                </c:pt>
                <c:pt idx="4306">
                  <c:v>#N/A</c:v>
                </c:pt>
                <c:pt idx="4307">
                  <c:v>#N/A</c:v>
                </c:pt>
                <c:pt idx="4308">
                  <c:v>#N/A</c:v>
                </c:pt>
                <c:pt idx="4309">
                  <c:v>#N/A</c:v>
                </c:pt>
                <c:pt idx="4310">
                  <c:v>#N/A</c:v>
                </c:pt>
                <c:pt idx="4311">
                  <c:v>#N/A</c:v>
                </c:pt>
                <c:pt idx="4312">
                  <c:v>#N/A</c:v>
                </c:pt>
                <c:pt idx="4313">
                  <c:v>#N/A</c:v>
                </c:pt>
                <c:pt idx="4314">
                  <c:v>#N/A</c:v>
                </c:pt>
                <c:pt idx="4315">
                  <c:v>#N/A</c:v>
                </c:pt>
                <c:pt idx="4316">
                  <c:v>#N/A</c:v>
                </c:pt>
                <c:pt idx="4317">
                  <c:v>#N/A</c:v>
                </c:pt>
                <c:pt idx="4318">
                  <c:v>#N/A</c:v>
                </c:pt>
                <c:pt idx="4319">
                  <c:v>#N/A</c:v>
                </c:pt>
                <c:pt idx="4320">
                  <c:v>#N/A</c:v>
                </c:pt>
                <c:pt idx="4321">
                  <c:v>#N/A</c:v>
                </c:pt>
                <c:pt idx="4322">
                  <c:v>#N/A</c:v>
                </c:pt>
                <c:pt idx="4323">
                  <c:v>#N/A</c:v>
                </c:pt>
                <c:pt idx="4324">
                  <c:v>#N/A</c:v>
                </c:pt>
                <c:pt idx="4325">
                  <c:v>#N/A</c:v>
                </c:pt>
                <c:pt idx="4326">
                  <c:v>#N/A</c:v>
                </c:pt>
                <c:pt idx="4327">
                  <c:v>#N/A</c:v>
                </c:pt>
                <c:pt idx="4328">
                  <c:v>#N/A</c:v>
                </c:pt>
                <c:pt idx="4329">
                  <c:v>#N/A</c:v>
                </c:pt>
                <c:pt idx="4330">
                  <c:v>#N/A</c:v>
                </c:pt>
                <c:pt idx="4331">
                  <c:v>#N/A</c:v>
                </c:pt>
                <c:pt idx="4332">
                  <c:v>#N/A</c:v>
                </c:pt>
                <c:pt idx="4333">
                  <c:v>#N/A</c:v>
                </c:pt>
                <c:pt idx="4334">
                  <c:v>#N/A</c:v>
                </c:pt>
                <c:pt idx="4335">
                  <c:v>#N/A</c:v>
                </c:pt>
                <c:pt idx="4336">
                  <c:v>#N/A</c:v>
                </c:pt>
                <c:pt idx="4337">
                  <c:v>#N/A</c:v>
                </c:pt>
                <c:pt idx="4338">
                  <c:v>#N/A</c:v>
                </c:pt>
                <c:pt idx="4339">
                  <c:v>#N/A</c:v>
                </c:pt>
                <c:pt idx="4340">
                  <c:v>#N/A</c:v>
                </c:pt>
                <c:pt idx="4341">
                  <c:v>#N/A</c:v>
                </c:pt>
                <c:pt idx="4342">
                  <c:v>#N/A</c:v>
                </c:pt>
                <c:pt idx="4343">
                  <c:v>#N/A</c:v>
                </c:pt>
                <c:pt idx="4344">
                  <c:v>#N/A</c:v>
                </c:pt>
                <c:pt idx="4345">
                  <c:v>#N/A</c:v>
                </c:pt>
                <c:pt idx="4346">
                  <c:v>#N/A</c:v>
                </c:pt>
                <c:pt idx="4347">
                  <c:v>#N/A</c:v>
                </c:pt>
                <c:pt idx="4348">
                  <c:v>#N/A</c:v>
                </c:pt>
                <c:pt idx="4349">
                  <c:v>#N/A</c:v>
                </c:pt>
                <c:pt idx="4350">
                  <c:v>#N/A</c:v>
                </c:pt>
                <c:pt idx="4351">
                  <c:v>#N/A</c:v>
                </c:pt>
                <c:pt idx="4352">
                  <c:v>#N/A</c:v>
                </c:pt>
                <c:pt idx="4353">
                  <c:v>#N/A</c:v>
                </c:pt>
                <c:pt idx="4354">
                  <c:v>#N/A</c:v>
                </c:pt>
                <c:pt idx="4355">
                  <c:v>#N/A</c:v>
                </c:pt>
                <c:pt idx="4356">
                  <c:v>#N/A</c:v>
                </c:pt>
                <c:pt idx="4357">
                  <c:v>#N/A</c:v>
                </c:pt>
                <c:pt idx="4358">
                  <c:v>#N/A</c:v>
                </c:pt>
                <c:pt idx="4359">
                  <c:v>#N/A</c:v>
                </c:pt>
                <c:pt idx="4360">
                  <c:v>#N/A</c:v>
                </c:pt>
                <c:pt idx="4361">
                  <c:v>#N/A</c:v>
                </c:pt>
                <c:pt idx="4362">
                  <c:v>#N/A</c:v>
                </c:pt>
                <c:pt idx="4363">
                  <c:v>#N/A</c:v>
                </c:pt>
                <c:pt idx="4364">
                  <c:v>#N/A</c:v>
                </c:pt>
                <c:pt idx="4365">
                  <c:v>#N/A</c:v>
                </c:pt>
                <c:pt idx="4366">
                  <c:v>#N/A</c:v>
                </c:pt>
                <c:pt idx="4367">
                  <c:v>#N/A</c:v>
                </c:pt>
                <c:pt idx="4368">
                  <c:v>#N/A</c:v>
                </c:pt>
                <c:pt idx="4369">
                  <c:v>#N/A</c:v>
                </c:pt>
                <c:pt idx="4370">
                  <c:v>#N/A</c:v>
                </c:pt>
                <c:pt idx="4371">
                  <c:v>#N/A</c:v>
                </c:pt>
                <c:pt idx="4372">
                  <c:v>#N/A</c:v>
                </c:pt>
                <c:pt idx="4373">
                  <c:v>#N/A</c:v>
                </c:pt>
                <c:pt idx="4374">
                  <c:v>#N/A</c:v>
                </c:pt>
                <c:pt idx="4375">
                  <c:v>#N/A</c:v>
                </c:pt>
                <c:pt idx="4376">
                  <c:v>#N/A</c:v>
                </c:pt>
                <c:pt idx="4377">
                  <c:v>#N/A</c:v>
                </c:pt>
                <c:pt idx="4378">
                  <c:v>#N/A</c:v>
                </c:pt>
                <c:pt idx="4379">
                  <c:v>#N/A</c:v>
                </c:pt>
                <c:pt idx="4380">
                  <c:v>#N/A</c:v>
                </c:pt>
                <c:pt idx="4381">
                  <c:v>#N/A</c:v>
                </c:pt>
                <c:pt idx="4382">
                  <c:v>#N/A</c:v>
                </c:pt>
                <c:pt idx="4383">
                  <c:v>#N/A</c:v>
                </c:pt>
                <c:pt idx="4384">
                  <c:v>#N/A</c:v>
                </c:pt>
                <c:pt idx="4385">
                  <c:v>#N/A</c:v>
                </c:pt>
                <c:pt idx="4386">
                  <c:v>#N/A</c:v>
                </c:pt>
                <c:pt idx="4387">
                  <c:v>#N/A</c:v>
                </c:pt>
                <c:pt idx="4388">
                  <c:v>#N/A</c:v>
                </c:pt>
                <c:pt idx="4389">
                  <c:v>#N/A</c:v>
                </c:pt>
                <c:pt idx="4390">
                  <c:v>#N/A</c:v>
                </c:pt>
                <c:pt idx="4391">
                  <c:v>#N/A</c:v>
                </c:pt>
                <c:pt idx="4392">
                  <c:v>#N/A</c:v>
                </c:pt>
                <c:pt idx="4393">
                  <c:v>#N/A</c:v>
                </c:pt>
                <c:pt idx="4394">
                  <c:v>#N/A</c:v>
                </c:pt>
                <c:pt idx="4395">
                  <c:v>#N/A</c:v>
                </c:pt>
                <c:pt idx="4396">
                  <c:v>#N/A</c:v>
                </c:pt>
                <c:pt idx="4397">
                  <c:v>#N/A</c:v>
                </c:pt>
                <c:pt idx="4398">
                  <c:v>#N/A</c:v>
                </c:pt>
                <c:pt idx="4399">
                  <c:v>#N/A</c:v>
                </c:pt>
                <c:pt idx="4400">
                  <c:v>#N/A</c:v>
                </c:pt>
                <c:pt idx="4401">
                  <c:v>#N/A</c:v>
                </c:pt>
                <c:pt idx="4402">
                  <c:v>#N/A</c:v>
                </c:pt>
                <c:pt idx="4403">
                  <c:v>#N/A</c:v>
                </c:pt>
                <c:pt idx="4404">
                  <c:v>#N/A</c:v>
                </c:pt>
                <c:pt idx="4405">
                  <c:v>#N/A</c:v>
                </c:pt>
                <c:pt idx="4406">
                  <c:v>#N/A</c:v>
                </c:pt>
                <c:pt idx="4407">
                  <c:v>#N/A</c:v>
                </c:pt>
                <c:pt idx="4408">
                  <c:v>#N/A</c:v>
                </c:pt>
                <c:pt idx="4409">
                  <c:v>#N/A</c:v>
                </c:pt>
                <c:pt idx="4410">
                  <c:v>#N/A</c:v>
                </c:pt>
                <c:pt idx="4411">
                  <c:v>#N/A</c:v>
                </c:pt>
                <c:pt idx="4412">
                  <c:v>#N/A</c:v>
                </c:pt>
                <c:pt idx="4413">
                  <c:v>#N/A</c:v>
                </c:pt>
                <c:pt idx="4414">
                  <c:v>#N/A</c:v>
                </c:pt>
                <c:pt idx="4415">
                  <c:v>#N/A</c:v>
                </c:pt>
                <c:pt idx="4416">
                  <c:v>#N/A</c:v>
                </c:pt>
                <c:pt idx="4417">
                  <c:v>#N/A</c:v>
                </c:pt>
                <c:pt idx="4418">
                  <c:v>#N/A</c:v>
                </c:pt>
                <c:pt idx="4419">
                  <c:v>#N/A</c:v>
                </c:pt>
                <c:pt idx="4420">
                  <c:v>#N/A</c:v>
                </c:pt>
                <c:pt idx="4421">
                  <c:v>#N/A</c:v>
                </c:pt>
                <c:pt idx="4422">
                  <c:v>#N/A</c:v>
                </c:pt>
                <c:pt idx="4423">
                  <c:v>#N/A</c:v>
                </c:pt>
                <c:pt idx="4424">
                  <c:v>#N/A</c:v>
                </c:pt>
                <c:pt idx="4425">
                  <c:v>#N/A</c:v>
                </c:pt>
                <c:pt idx="4426">
                  <c:v>#N/A</c:v>
                </c:pt>
                <c:pt idx="4427">
                  <c:v>#N/A</c:v>
                </c:pt>
                <c:pt idx="4428">
                  <c:v>#N/A</c:v>
                </c:pt>
                <c:pt idx="4429">
                  <c:v>#N/A</c:v>
                </c:pt>
                <c:pt idx="4430">
                  <c:v>#N/A</c:v>
                </c:pt>
                <c:pt idx="4431">
                  <c:v>#N/A</c:v>
                </c:pt>
                <c:pt idx="4432">
                  <c:v>#N/A</c:v>
                </c:pt>
                <c:pt idx="4433">
                  <c:v>#N/A</c:v>
                </c:pt>
                <c:pt idx="4434">
                  <c:v>#N/A</c:v>
                </c:pt>
                <c:pt idx="4435">
                  <c:v>#N/A</c:v>
                </c:pt>
                <c:pt idx="4436">
                  <c:v>#N/A</c:v>
                </c:pt>
                <c:pt idx="4437">
                  <c:v>#N/A</c:v>
                </c:pt>
                <c:pt idx="4438">
                  <c:v>#N/A</c:v>
                </c:pt>
                <c:pt idx="4439">
                  <c:v>#N/A</c:v>
                </c:pt>
                <c:pt idx="4440">
                  <c:v>#N/A</c:v>
                </c:pt>
                <c:pt idx="4441">
                  <c:v>#N/A</c:v>
                </c:pt>
                <c:pt idx="4442">
                  <c:v>#N/A</c:v>
                </c:pt>
                <c:pt idx="4443">
                  <c:v>#N/A</c:v>
                </c:pt>
                <c:pt idx="4444">
                  <c:v>#N/A</c:v>
                </c:pt>
                <c:pt idx="4445">
                  <c:v>#N/A</c:v>
                </c:pt>
                <c:pt idx="4446">
                  <c:v>#N/A</c:v>
                </c:pt>
                <c:pt idx="4447">
                  <c:v>#N/A</c:v>
                </c:pt>
                <c:pt idx="4448">
                  <c:v>#N/A</c:v>
                </c:pt>
                <c:pt idx="4449">
                  <c:v>#N/A</c:v>
                </c:pt>
                <c:pt idx="4450">
                  <c:v>#N/A</c:v>
                </c:pt>
                <c:pt idx="4451">
                  <c:v>#N/A</c:v>
                </c:pt>
                <c:pt idx="4452">
                  <c:v>#N/A</c:v>
                </c:pt>
                <c:pt idx="4453">
                  <c:v>#N/A</c:v>
                </c:pt>
                <c:pt idx="4454">
                  <c:v>#N/A</c:v>
                </c:pt>
                <c:pt idx="4455">
                  <c:v>#N/A</c:v>
                </c:pt>
                <c:pt idx="4456">
                  <c:v>#N/A</c:v>
                </c:pt>
                <c:pt idx="4457">
                  <c:v>#N/A</c:v>
                </c:pt>
                <c:pt idx="4458">
                  <c:v>#N/A</c:v>
                </c:pt>
                <c:pt idx="4459">
                  <c:v>#N/A</c:v>
                </c:pt>
                <c:pt idx="4460">
                  <c:v>#N/A</c:v>
                </c:pt>
                <c:pt idx="4461">
                  <c:v>#N/A</c:v>
                </c:pt>
                <c:pt idx="4462">
                  <c:v>#N/A</c:v>
                </c:pt>
                <c:pt idx="4463">
                  <c:v>#N/A</c:v>
                </c:pt>
                <c:pt idx="4464">
                  <c:v>#N/A</c:v>
                </c:pt>
                <c:pt idx="4465">
                  <c:v>#N/A</c:v>
                </c:pt>
                <c:pt idx="4466">
                  <c:v>#N/A</c:v>
                </c:pt>
                <c:pt idx="4467">
                  <c:v>#N/A</c:v>
                </c:pt>
                <c:pt idx="4468">
                  <c:v>#N/A</c:v>
                </c:pt>
                <c:pt idx="4469">
                  <c:v>#N/A</c:v>
                </c:pt>
                <c:pt idx="4470">
                  <c:v>#N/A</c:v>
                </c:pt>
                <c:pt idx="4471">
                  <c:v>#N/A</c:v>
                </c:pt>
                <c:pt idx="4472">
                  <c:v>#N/A</c:v>
                </c:pt>
                <c:pt idx="4473">
                  <c:v>#N/A</c:v>
                </c:pt>
                <c:pt idx="4474">
                  <c:v>#N/A</c:v>
                </c:pt>
                <c:pt idx="4475">
                  <c:v>#N/A</c:v>
                </c:pt>
                <c:pt idx="4476">
                  <c:v>#N/A</c:v>
                </c:pt>
                <c:pt idx="4477">
                  <c:v>#N/A</c:v>
                </c:pt>
                <c:pt idx="4478">
                  <c:v>#N/A</c:v>
                </c:pt>
                <c:pt idx="4479">
                  <c:v>#N/A</c:v>
                </c:pt>
                <c:pt idx="4480">
                  <c:v>#N/A</c:v>
                </c:pt>
                <c:pt idx="4481">
                  <c:v>#N/A</c:v>
                </c:pt>
                <c:pt idx="4482">
                  <c:v>#N/A</c:v>
                </c:pt>
                <c:pt idx="4483">
                  <c:v>#N/A</c:v>
                </c:pt>
                <c:pt idx="4484">
                  <c:v>#N/A</c:v>
                </c:pt>
                <c:pt idx="4485">
                  <c:v>#N/A</c:v>
                </c:pt>
                <c:pt idx="4486">
                  <c:v>#N/A</c:v>
                </c:pt>
                <c:pt idx="4487">
                  <c:v>#N/A</c:v>
                </c:pt>
                <c:pt idx="4488">
                  <c:v>#N/A</c:v>
                </c:pt>
                <c:pt idx="4489">
                  <c:v>#N/A</c:v>
                </c:pt>
                <c:pt idx="4490">
                  <c:v>#N/A</c:v>
                </c:pt>
                <c:pt idx="4491">
                  <c:v>#N/A</c:v>
                </c:pt>
                <c:pt idx="4492">
                  <c:v>#N/A</c:v>
                </c:pt>
                <c:pt idx="4493">
                  <c:v>#N/A</c:v>
                </c:pt>
                <c:pt idx="4494">
                  <c:v>#N/A</c:v>
                </c:pt>
                <c:pt idx="4495">
                  <c:v>#N/A</c:v>
                </c:pt>
                <c:pt idx="4496">
                  <c:v>#N/A</c:v>
                </c:pt>
                <c:pt idx="4497">
                  <c:v>#N/A</c:v>
                </c:pt>
                <c:pt idx="4498">
                  <c:v>#N/A</c:v>
                </c:pt>
                <c:pt idx="4499">
                  <c:v>#N/A</c:v>
                </c:pt>
                <c:pt idx="4500">
                  <c:v>#N/A</c:v>
                </c:pt>
                <c:pt idx="4501">
                  <c:v>#N/A</c:v>
                </c:pt>
                <c:pt idx="4502">
                  <c:v>#N/A</c:v>
                </c:pt>
                <c:pt idx="4503">
                  <c:v>#N/A</c:v>
                </c:pt>
                <c:pt idx="4504">
                  <c:v>#N/A</c:v>
                </c:pt>
                <c:pt idx="4505">
                  <c:v>#N/A</c:v>
                </c:pt>
                <c:pt idx="4506">
                  <c:v>#N/A</c:v>
                </c:pt>
                <c:pt idx="4507">
                  <c:v>#N/A</c:v>
                </c:pt>
                <c:pt idx="4508">
                  <c:v>#N/A</c:v>
                </c:pt>
                <c:pt idx="4509">
                  <c:v>#N/A</c:v>
                </c:pt>
                <c:pt idx="4510">
                  <c:v>#N/A</c:v>
                </c:pt>
                <c:pt idx="4511">
                  <c:v>#N/A</c:v>
                </c:pt>
                <c:pt idx="4512">
                  <c:v>#N/A</c:v>
                </c:pt>
                <c:pt idx="4513">
                  <c:v>#N/A</c:v>
                </c:pt>
                <c:pt idx="4514">
                  <c:v>#N/A</c:v>
                </c:pt>
                <c:pt idx="4515">
                  <c:v>#N/A</c:v>
                </c:pt>
                <c:pt idx="4516">
                  <c:v>#N/A</c:v>
                </c:pt>
                <c:pt idx="4517">
                  <c:v>#N/A</c:v>
                </c:pt>
                <c:pt idx="4518">
                  <c:v>#N/A</c:v>
                </c:pt>
                <c:pt idx="4519">
                  <c:v>#N/A</c:v>
                </c:pt>
                <c:pt idx="4520">
                  <c:v>#N/A</c:v>
                </c:pt>
                <c:pt idx="4521">
                  <c:v>#N/A</c:v>
                </c:pt>
                <c:pt idx="4522">
                  <c:v>#N/A</c:v>
                </c:pt>
                <c:pt idx="4523">
                  <c:v>#N/A</c:v>
                </c:pt>
                <c:pt idx="4524">
                  <c:v>#N/A</c:v>
                </c:pt>
                <c:pt idx="4525">
                  <c:v>#N/A</c:v>
                </c:pt>
                <c:pt idx="4526">
                  <c:v>#N/A</c:v>
                </c:pt>
                <c:pt idx="4527">
                  <c:v>#N/A</c:v>
                </c:pt>
                <c:pt idx="4528">
                  <c:v>#N/A</c:v>
                </c:pt>
                <c:pt idx="4529">
                  <c:v>#N/A</c:v>
                </c:pt>
                <c:pt idx="4530">
                  <c:v>#N/A</c:v>
                </c:pt>
                <c:pt idx="4531">
                  <c:v>#N/A</c:v>
                </c:pt>
                <c:pt idx="4532">
                  <c:v>#N/A</c:v>
                </c:pt>
                <c:pt idx="4533">
                  <c:v>#N/A</c:v>
                </c:pt>
                <c:pt idx="4534">
                  <c:v>#N/A</c:v>
                </c:pt>
                <c:pt idx="4535">
                  <c:v>#N/A</c:v>
                </c:pt>
                <c:pt idx="4536">
                  <c:v>#N/A</c:v>
                </c:pt>
                <c:pt idx="4537">
                  <c:v>#N/A</c:v>
                </c:pt>
                <c:pt idx="4538">
                  <c:v>#N/A</c:v>
                </c:pt>
                <c:pt idx="4539">
                  <c:v>#N/A</c:v>
                </c:pt>
                <c:pt idx="4540">
                  <c:v>#N/A</c:v>
                </c:pt>
                <c:pt idx="4541">
                  <c:v>#N/A</c:v>
                </c:pt>
                <c:pt idx="4542">
                  <c:v>#N/A</c:v>
                </c:pt>
                <c:pt idx="4543">
                  <c:v>#N/A</c:v>
                </c:pt>
                <c:pt idx="4544">
                  <c:v>#N/A</c:v>
                </c:pt>
                <c:pt idx="4545">
                  <c:v>#N/A</c:v>
                </c:pt>
                <c:pt idx="4546">
                  <c:v>#N/A</c:v>
                </c:pt>
                <c:pt idx="4547">
                  <c:v>#N/A</c:v>
                </c:pt>
                <c:pt idx="4548">
                  <c:v>#N/A</c:v>
                </c:pt>
                <c:pt idx="4549">
                  <c:v>#N/A</c:v>
                </c:pt>
                <c:pt idx="4550">
                  <c:v>#N/A</c:v>
                </c:pt>
                <c:pt idx="4551">
                  <c:v>#N/A</c:v>
                </c:pt>
                <c:pt idx="4552">
                  <c:v>#N/A</c:v>
                </c:pt>
                <c:pt idx="4553">
                  <c:v>#N/A</c:v>
                </c:pt>
                <c:pt idx="4554">
                  <c:v>#N/A</c:v>
                </c:pt>
                <c:pt idx="4555">
                  <c:v>#N/A</c:v>
                </c:pt>
                <c:pt idx="4556">
                  <c:v>#N/A</c:v>
                </c:pt>
                <c:pt idx="4557">
                  <c:v>#N/A</c:v>
                </c:pt>
                <c:pt idx="4558">
                  <c:v>#N/A</c:v>
                </c:pt>
                <c:pt idx="4559">
                  <c:v>#N/A</c:v>
                </c:pt>
                <c:pt idx="4560">
                  <c:v>#N/A</c:v>
                </c:pt>
                <c:pt idx="4561">
                  <c:v>#N/A</c:v>
                </c:pt>
                <c:pt idx="4562">
                  <c:v>#N/A</c:v>
                </c:pt>
                <c:pt idx="4563">
                  <c:v>#N/A</c:v>
                </c:pt>
                <c:pt idx="4564">
                  <c:v>#N/A</c:v>
                </c:pt>
                <c:pt idx="4565">
                  <c:v>#N/A</c:v>
                </c:pt>
                <c:pt idx="4566">
                  <c:v>#N/A</c:v>
                </c:pt>
                <c:pt idx="4567">
                  <c:v>#N/A</c:v>
                </c:pt>
                <c:pt idx="4568">
                  <c:v>#N/A</c:v>
                </c:pt>
                <c:pt idx="4569">
                  <c:v>#N/A</c:v>
                </c:pt>
                <c:pt idx="4570">
                  <c:v>#N/A</c:v>
                </c:pt>
                <c:pt idx="4571">
                  <c:v>#N/A</c:v>
                </c:pt>
                <c:pt idx="4572">
                  <c:v>#N/A</c:v>
                </c:pt>
                <c:pt idx="4573">
                  <c:v>#N/A</c:v>
                </c:pt>
                <c:pt idx="4574">
                  <c:v>#N/A</c:v>
                </c:pt>
                <c:pt idx="4575">
                  <c:v>#N/A</c:v>
                </c:pt>
                <c:pt idx="4576">
                  <c:v>#N/A</c:v>
                </c:pt>
                <c:pt idx="4577">
                  <c:v>#N/A</c:v>
                </c:pt>
                <c:pt idx="4578">
                  <c:v>#N/A</c:v>
                </c:pt>
                <c:pt idx="4579">
                  <c:v>#N/A</c:v>
                </c:pt>
                <c:pt idx="4580">
                  <c:v>#N/A</c:v>
                </c:pt>
                <c:pt idx="4581">
                  <c:v>#N/A</c:v>
                </c:pt>
                <c:pt idx="4582">
                  <c:v>#N/A</c:v>
                </c:pt>
                <c:pt idx="4583">
                  <c:v>#N/A</c:v>
                </c:pt>
                <c:pt idx="4584">
                  <c:v>#N/A</c:v>
                </c:pt>
                <c:pt idx="4585">
                  <c:v>#N/A</c:v>
                </c:pt>
                <c:pt idx="4586">
                  <c:v>#N/A</c:v>
                </c:pt>
                <c:pt idx="4587">
                  <c:v>#N/A</c:v>
                </c:pt>
                <c:pt idx="4588">
                  <c:v>#N/A</c:v>
                </c:pt>
                <c:pt idx="4589">
                  <c:v>#N/A</c:v>
                </c:pt>
                <c:pt idx="4590">
                  <c:v>#N/A</c:v>
                </c:pt>
                <c:pt idx="4591">
                  <c:v>#N/A</c:v>
                </c:pt>
                <c:pt idx="4592">
                  <c:v>#N/A</c:v>
                </c:pt>
                <c:pt idx="4593">
                  <c:v>#N/A</c:v>
                </c:pt>
                <c:pt idx="4594">
                  <c:v>#N/A</c:v>
                </c:pt>
                <c:pt idx="4595">
                  <c:v>#N/A</c:v>
                </c:pt>
                <c:pt idx="4596">
                  <c:v>#N/A</c:v>
                </c:pt>
                <c:pt idx="4597">
                  <c:v>#N/A</c:v>
                </c:pt>
                <c:pt idx="4598">
                  <c:v>#N/A</c:v>
                </c:pt>
                <c:pt idx="4599">
                  <c:v>#N/A</c:v>
                </c:pt>
                <c:pt idx="4600">
                  <c:v>#N/A</c:v>
                </c:pt>
                <c:pt idx="4601">
                  <c:v>#N/A</c:v>
                </c:pt>
                <c:pt idx="4602">
                  <c:v>#N/A</c:v>
                </c:pt>
                <c:pt idx="4603">
                  <c:v>#N/A</c:v>
                </c:pt>
                <c:pt idx="4604">
                  <c:v>#N/A</c:v>
                </c:pt>
                <c:pt idx="4605">
                  <c:v>#N/A</c:v>
                </c:pt>
                <c:pt idx="4606">
                  <c:v>#N/A</c:v>
                </c:pt>
                <c:pt idx="4607">
                  <c:v>#N/A</c:v>
                </c:pt>
                <c:pt idx="4608">
                  <c:v>#N/A</c:v>
                </c:pt>
                <c:pt idx="4609">
                  <c:v>#N/A</c:v>
                </c:pt>
                <c:pt idx="4610">
                  <c:v>#N/A</c:v>
                </c:pt>
                <c:pt idx="4611">
                  <c:v>#N/A</c:v>
                </c:pt>
                <c:pt idx="4612">
                  <c:v>#N/A</c:v>
                </c:pt>
                <c:pt idx="4613">
                  <c:v>#N/A</c:v>
                </c:pt>
                <c:pt idx="4614">
                  <c:v>#N/A</c:v>
                </c:pt>
                <c:pt idx="4615">
                  <c:v>#N/A</c:v>
                </c:pt>
                <c:pt idx="4616">
                  <c:v>#N/A</c:v>
                </c:pt>
                <c:pt idx="4617">
                  <c:v>#N/A</c:v>
                </c:pt>
                <c:pt idx="4618">
                  <c:v>#N/A</c:v>
                </c:pt>
                <c:pt idx="4619">
                  <c:v>#N/A</c:v>
                </c:pt>
                <c:pt idx="4620">
                  <c:v>#N/A</c:v>
                </c:pt>
                <c:pt idx="4621">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numCache>
            </c:numRef>
          </c:yVal>
          <c:smooth val="0"/>
          <c:extLst>
            <c:ext xmlns:c16="http://schemas.microsoft.com/office/drawing/2014/chart" uri="{C3380CC4-5D6E-409C-BE32-E72D297353CC}">
              <c16:uniqueId val="{00000000-E3EB-4A09-A394-3C4BEA581352}"/>
            </c:ext>
          </c:extLst>
        </c:ser>
        <c:ser>
          <c:idx val="1"/>
          <c:order val="1"/>
          <c:tx>
            <c:v>(M. P) Estados a verificar</c:v>
          </c:tx>
          <c:spPr>
            <a:ln w="19050">
              <a:noFill/>
            </a:ln>
          </c:spPr>
          <c:marker>
            <c:symbol val="square"/>
            <c:size val="8"/>
            <c:spPr>
              <a:solidFill>
                <a:srgbClr val="FF0000"/>
              </a:solidFill>
              <a:ln>
                <a:solidFill>
                  <a:srgbClr val="FF0000"/>
                </a:solidFill>
              </a:ln>
            </c:spPr>
          </c:marker>
          <c:xVal>
            <c:numRef>
              <c:f>'Resultados 2D'!$P$4:$P$1048576</c:f>
              <c:numCache>
                <c:formatCode>0.00</c:formatCode>
                <c:ptCount val="1048573"/>
              </c:numCache>
            </c:numRef>
          </c:xVal>
          <c:yVal>
            <c:numRef>
              <c:f>'Resultados 2D'!$O$4:$O$1048576</c:f>
              <c:numCache>
                <c:formatCode>0.00</c:formatCode>
                <c:ptCount val="1048573"/>
              </c:numCache>
            </c:numRef>
          </c:yVal>
          <c:smooth val="0"/>
          <c:extLst>
            <c:ext xmlns:c16="http://schemas.microsoft.com/office/drawing/2014/chart" uri="{C3380CC4-5D6E-409C-BE32-E72D297353CC}">
              <c16:uniqueId val="{00000001-E3EB-4A09-A394-3C4BEA581352}"/>
            </c:ext>
          </c:extLst>
        </c:ser>
        <c:ser>
          <c:idx val="2"/>
          <c:order val="2"/>
          <c:tx>
            <c:v>(M, P) Diseño No Limitados</c:v>
          </c:tx>
          <c:spPr>
            <a:ln w="19050">
              <a:noFill/>
            </a:ln>
          </c:spPr>
          <c:marker>
            <c:symbol val="diamond"/>
            <c:size val="5"/>
            <c:spPr>
              <a:ln>
                <a:solidFill>
                  <a:schemeClr val="bg1">
                    <a:lumMod val="75000"/>
                  </a:schemeClr>
                </a:solidFill>
              </a:ln>
            </c:spPr>
          </c:marker>
          <c:xVal>
            <c:numRef>
              <c:f>'Resultados 2D'!X_P_NoLimitado</c:f>
              <c:numCache>
                <c:formatCode>General</c:formatCode>
                <c:ptCount val="499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#N/A</c:v>
                </c:pt>
                <c:pt idx="99">
                  <c:v>0</c:v>
                </c:pt>
                <c:pt idx="100">
                  <c:v>0</c:v>
                </c:pt>
                <c:pt idx="101">
                  <c:v>#N/A</c:v>
                </c:pt>
                <c:pt idx="102">
                  <c:v>#N/A</c:v>
                </c:pt>
                <c:pt idx="103">
                  <c:v>#N/A</c:v>
                </c:pt>
                <c:pt idx="104">
                  <c:v>#N/A</c:v>
                </c:pt>
                <c:pt idx="105">
                  <c:v>#N/A</c:v>
                </c:pt>
                <c:pt idx="106">
                  <c:v>0</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0</c:v>
                </c:pt>
                <c:pt idx="342">
                  <c:v>#N/A</c:v>
                </c:pt>
                <c:pt idx="343">
                  <c:v>#N/A</c:v>
                </c:pt>
                <c:pt idx="344">
                  <c:v>#N/A</c:v>
                </c:pt>
                <c:pt idx="345">
                  <c:v>#N/A</c:v>
                </c:pt>
                <c:pt idx="346">
                  <c:v>0</c:v>
                </c:pt>
                <c:pt idx="347">
                  <c:v>0</c:v>
                </c:pt>
                <c:pt idx="348">
                  <c:v>#N/A</c:v>
                </c:pt>
                <c:pt idx="349">
                  <c:v>0</c:v>
                </c:pt>
                <c:pt idx="350">
                  <c:v>#N/A</c:v>
                </c:pt>
                <c:pt idx="351">
                  <c:v>0</c:v>
                </c:pt>
                <c:pt idx="352">
                  <c:v>0</c:v>
                </c:pt>
                <c:pt idx="353">
                  <c:v>#N/A</c:v>
                </c:pt>
                <c:pt idx="354">
                  <c:v>0</c:v>
                </c:pt>
                <c:pt idx="355">
                  <c:v>0</c:v>
                </c:pt>
                <c:pt idx="356">
                  <c:v>0</c:v>
                </c:pt>
                <c:pt idx="357">
                  <c:v>#N/A</c:v>
                </c:pt>
                <c:pt idx="358">
                  <c:v>0</c:v>
                </c:pt>
                <c:pt idx="359">
                  <c:v>0</c:v>
                </c:pt>
                <c:pt idx="360">
                  <c:v>0</c:v>
                </c:pt>
                <c:pt idx="361">
                  <c:v>#N/A</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#N/A</c:v>
                </c:pt>
                <c:pt idx="436">
                  <c:v>0</c:v>
                </c:pt>
                <c:pt idx="437">
                  <c:v>0</c:v>
                </c:pt>
                <c:pt idx="438">
                  <c:v>#N/A</c:v>
                </c:pt>
                <c:pt idx="439">
                  <c:v>0</c:v>
                </c:pt>
                <c:pt idx="440">
                  <c:v>0</c:v>
                </c:pt>
                <c:pt idx="441">
                  <c:v>0</c:v>
                </c:pt>
                <c:pt idx="442">
                  <c:v>0</c:v>
                </c:pt>
                <c:pt idx="443">
                  <c:v>#N/A</c:v>
                </c:pt>
                <c:pt idx="444">
                  <c:v>0</c:v>
                </c:pt>
                <c:pt idx="445">
                  <c:v>0</c:v>
                </c:pt>
                <c:pt idx="446">
                  <c:v>0</c:v>
                </c:pt>
                <c:pt idx="447">
                  <c:v>#N/A</c:v>
                </c:pt>
                <c:pt idx="448">
                  <c:v>#N/A</c:v>
                </c:pt>
                <c:pt idx="449">
                  <c:v>0</c:v>
                </c:pt>
                <c:pt idx="450">
                  <c:v>0</c:v>
                </c:pt>
                <c:pt idx="451">
                  <c:v>0</c:v>
                </c:pt>
                <c:pt idx="452">
                  <c:v>#N/A</c:v>
                </c:pt>
                <c:pt idx="453">
                  <c:v>0</c:v>
                </c:pt>
                <c:pt idx="454">
                  <c:v>0</c:v>
                </c:pt>
                <c:pt idx="455">
                  <c:v>#N/A</c:v>
                </c:pt>
                <c:pt idx="456">
                  <c:v>#N/A</c:v>
                </c:pt>
                <c:pt idx="457">
                  <c:v>0</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0</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pt idx="3534">
                  <c:v>#N/A</c:v>
                </c:pt>
                <c:pt idx="3535">
                  <c:v>#N/A</c:v>
                </c:pt>
                <c:pt idx="3536">
                  <c:v>#N/A</c:v>
                </c:pt>
                <c:pt idx="3537">
                  <c:v>#N/A</c:v>
                </c:pt>
                <c:pt idx="3538">
                  <c:v>#N/A</c:v>
                </c:pt>
                <c:pt idx="3539">
                  <c:v>#N/A</c:v>
                </c:pt>
                <c:pt idx="3540">
                  <c:v>#N/A</c:v>
                </c:pt>
                <c:pt idx="3541">
                  <c:v>#N/A</c:v>
                </c:pt>
                <c:pt idx="3542">
                  <c:v>#N/A</c:v>
                </c:pt>
                <c:pt idx="3543">
                  <c:v>#N/A</c:v>
                </c:pt>
                <c:pt idx="3544">
                  <c:v>#N/A</c:v>
                </c:pt>
                <c:pt idx="3545">
                  <c:v>#N/A</c:v>
                </c:pt>
                <c:pt idx="3546">
                  <c:v>#N/A</c:v>
                </c:pt>
                <c:pt idx="3547">
                  <c:v>#N/A</c:v>
                </c:pt>
                <c:pt idx="3548">
                  <c:v>#N/A</c:v>
                </c:pt>
                <c:pt idx="3549">
                  <c:v>#N/A</c:v>
                </c:pt>
                <c:pt idx="3550">
                  <c:v>#N/A</c:v>
                </c:pt>
                <c:pt idx="3551">
                  <c:v>#N/A</c:v>
                </c:pt>
                <c:pt idx="3552">
                  <c:v>#N/A</c:v>
                </c:pt>
                <c:pt idx="3553">
                  <c:v>#N/A</c:v>
                </c:pt>
                <c:pt idx="3554">
                  <c:v>#N/A</c:v>
                </c:pt>
                <c:pt idx="3555">
                  <c:v>#N/A</c:v>
                </c:pt>
                <c:pt idx="3556">
                  <c:v>#N/A</c:v>
                </c:pt>
                <c:pt idx="3557">
                  <c:v>#N/A</c:v>
                </c:pt>
                <c:pt idx="3558">
                  <c:v>#N/A</c:v>
                </c:pt>
                <c:pt idx="3559">
                  <c:v>#N/A</c:v>
                </c:pt>
                <c:pt idx="3560">
                  <c:v>#N/A</c:v>
                </c:pt>
                <c:pt idx="3561">
                  <c:v>#N/A</c:v>
                </c:pt>
                <c:pt idx="3562">
                  <c:v>#N/A</c:v>
                </c:pt>
                <c:pt idx="3563">
                  <c:v>#N/A</c:v>
                </c:pt>
                <c:pt idx="3564">
                  <c:v>#N/A</c:v>
                </c:pt>
                <c:pt idx="3565">
                  <c:v>#N/A</c:v>
                </c:pt>
                <c:pt idx="3566">
                  <c:v>#N/A</c:v>
                </c:pt>
                <c:pt idx="3567">
                  <c:v>#N/A</c:v>
                </c:pt>
                <c:pt idx="3568">
                  <c:v>#N/A</c:v>
                </c:pt>
                <c:pt idx="3569">
                  <c:v>#N/A</c:v>
                </c:pt>
                <c:pt idx="3570">
                  <c:v>#N/A</c:v>
                </c:pt>
                <c:pt idx="3571">
                  <c:v>#N/A</c:v>
                </c:pt>
                <c:pt idx="3572">
                  <c:v>#N/A</c:v>
                </c:pt>
                <c:pt idx="3573">
                  <c:v>#N/A</c:v>
                </c:pt>
                <c:pt idx="3574">
                  <c:v>#N/A</c:v>
                </c:pt>
                <c:pt idx="3575">
                  <c:v>#N/A</c:v>
                </c:pt>
                <c:pt idx="3576">
                  <c:v>#N/A</c:v>
                </c:pt>
                <c:pt idx="3577">
                  <c:v>#N/A</c:v>
                </c:pt>
                <c:pt idx="3578">
                  <c:v>#N/A</c:v>
                </c:pt>
                <c:pt idx="3579">
                  <c:v>#N/A</c:v>
                </c:pt>
                <c:pt idx="3580">
                  <c:v>#N/A</c:v>
                </c:pt>
                <c:pt idx="3581">
                  <c:v>#N/A</c:v>
                </c:pt>
                <c:pt idx="3582">
                  <c:v>#N/A</c:v>
                </c:pt>
                <c:pt idx="3583">
                  <c:v>#N/A</c:v>
                </c:pt>
                <c:pt idx="3584">
                  <c:v>#N/A</c:v>
                </c:pt>
                <c:pt idx="3585">
                  <c:v>#N/A</c:v>
                </c:pt>
                <c:pt idx="3586">
                  <c:v>#N/A</c:v>
                </c:pt>
                <c:pt idx="3587">
                  <c:v>#N/A</c:v>
                </c:pt>
                <c:pt idx="3588">
                  <c:v>#N/A</c:v>
                </c:pt>
                <c:pt idx="3589">
                  <c:v>#N/A</c:v>
                </c:pt>
                <c:pt idx="3590">
                  <c:v>#N/A</c:v>
                </c:pt>
                <c:pt idx="3591">
                  <c:v>#N/A</c:v>
                </c:pt>
                <c:pt idx="3592">
                  <c:v>#N/A</c:v>
                </c:pt>
                <c:pt idx="3593">
                  <c:v>#N/A</c:v>
                </c:pt>
                <c:pt idx="3594">
                  <c:v>#N/A</c:v>
                </c:pt>
                <c:pt idx="3595">
                  <c:v>#N/A</c:v>
                </c:pt>
                <c:pt idx="3596">
                  <c:v>#N/A</c:v>
                </c:pt>
                <c:pt idx="3597">
                  <c:v>#N/A</c:v>
                </c:pt>
                <c:pt idx="3598">
                  <c:v>#N/A</c:v>
                </c:pt>
                <c:pt idx="3599">
                  <c:v>#N/A</c:v>
                </c:pt>
                <c:pt idx="3600">
                  <c:v>#N/A</c:v>
                </c:pt>
                <c:pt idx="3601">
                  <c:v>#N/A</c:v>
                </c:pt>
                <c:pt idx="3602">
                  <c:v>#N/A</c:v>
                </c:pt>
                <c:pt idx="3603">
                  <c:v>#N/A</c:v>
                </c:pt>
                <c:pt idx="3604">
                  <c:v>#N/A</c:v>
                </c:pt>
                <c:pt idx="3605">
                  <c:v>#N/A</c:v>
                </c:pt>
                <c:pt idx="3606">
                  <c:v>#N/A</c:v>
                </c:pt>
                <c:pt idx="3607">
                  <c:v>#N/A</c:v>
                </c:pt>
                <c:pt idx="3608">
                  <c:v>#N/A</c:v>
                </c:pt>
                <c:pt idx="3609">
                  <c:v>#N/A</c:v>
                </c:pt>
                <c:pt idx="3610">
                  <c:v>#N/A</c:v>
                </c:pt>
                <c:pt idx="3611">
                  <c:v>#N/A</c:v>
                </c:pt>
                <c:pt idx="3612">
                  <c:v>#N/A</c:v>
                </c:pt>
                <c:pt idx="3613">
                  <c:v>#N/A</c:v>
                </c:pt>
                <c:pt idx="3614">
                  <c:v>#N/A</c:v>
                </c:pt>
                <c:pt idx="3615">
                  <c:v>#N/A</c:v>
                </c:pt>
                <c:pt idx="3616">
                  <c:v>#N/A</c:v>
                </c:pt>
                <c:pt idx="3617">
                  <c:v>#N/A</c:v>
                </c:pt>
                <c:pt idx="3618">
                  <c:v>#N/A</c:v>
                </c:pt>
                <c:pt idx="3619">
                  <c:v>#N/A</c:v>
                </c:pt>
                <c:pt idx="3620">
                  <c:v>#N/A</c:v>
                </c:pt>
                <c:pt idx="3621">
                  <c:v>#N/A</c:v>
                </c:pt>
                <c:pt idx="3622">
                  <c:v>#N/A</c:v>
                </c:pt>
                <c:pt idx="3623">
                  <c:v>#N/A</c:v>
                </c:pt>
                <c:pt idx="3624">
                  <c:v>#N/A</c:v>
                </c:pt>
                <c:pt idx="3625">
                  <c:v>#N/A</c:v>
                </c:pt>
                <c:pt idx="3626">
                  <c:v>#N/A</c:v>
                </c:pt>
                <c:pt idx="3627">
                  <c:v>#N/A</c:v>
                </c:pt>
                <c:pt idx="3628">
                  <c:v>#N/A</c:v>
                </c:pt>
                <c:pt idx="3629">
                  <c:v>#N/A</c:v>
                </c:pt>
                <c:pt idx="3630">
                  <c:v>#N/A</c:v>
                </c:pt>
                <c:pt idx="3631">
                  <c:v>#N/A</c:v>
                </c:pt>
                <c:pt idx="3632">
                  <c:v>#N/A</c:v>
                </c:pt>
                <c:pt idx="3633">
                  <c:v>#N/A</c:v>
                </c:pt>
                <c:pt idx="3634">
                  <c:v>#N/A</c:v>
                </c:pt>
                <c:pt idx="3635">
                  <c:v>#N/A</c:v>
                </c:pt>
                <c:pt idx="3636">
                  <c:v>#N/A</c:v>
                </c:pt>
                <c:pt idx="3637">
                  <c:v>#N/A</c:v>
                </c:pt>
                <c:pt idx="3638">
                  <c:v>#N/A</c:v>
                </c:pt>
                <c:pt idx="3639">
                  <c:v>#N/A</c:v>
                </c:pt>
                <c:pt idx="3640">
                  <c:v>#N/A</c:v>
                </c:pt>
                <c:pt idx="3641">
                  <c:v>#N/A</c:v>
                </c:pt>
                <c:pt idx="3642">
                  <c:v>#N/A</c:v>
                </c:pt>
                <c:pt idx="3643">
                  <c:v>#N/A</c:v>
                </c:pt>
                <c:pt idx="3644">
                  <c:v>#N/A</c:v>
                </c:pt>
                <c:pt idx="3645">
                  <c:v>#N/A</c:v>
                </c:pt>
                <c:pt idx="3646">
                  <c:v>#N/A</c:v>
                </c:pt>
                <c:pt idx="3647">
                  <c:v>#N/A</c:v>
                </c:pt>
                <c:pt idx="3648">
                  <c:v>#N/A</c:v>
                </c:pt>
                <c:pt idx="3649">
                  <c:v>#N/A</c:v>
                </c:pt>
                <c:pt idx="3650">
                  <c:v>#N/A</c:v>
                </c:pt>
                <c:pt idx="3651">
                  <c:v>#N/A</c:v>
                </c:pt>
                <c:pt idx="3652">
                  <c:v>#N/A</c:v>
                </c:pt>
                <c:pt idx="3653">
                  <c:v>#N/A</c:v>
                </c:pt>
                <c:pt idx="3654">
                  <c:v>#N/A</c:v>
                </c:pt>
                <c:pt idx="3655">
                  <c:v>#N/A</c:v>
                </c:pt>
                <c:pt idx="3656">
                  <c:v>#N/A</c:v>
                </c:pt>
                <c:pt idx="3657">
                  <c:v>#N/A</c:v>
                </c:pt>
                <c:pt idx="3658">
                  <c:v>#N/A</c:v>
                </c:pt>
                <c:pt idx="3659">
                  <c:v>#N/A</c:v>
                </c:pt>
                <c:pt idx="3660">
                  <c:v>#N/A</c:v>
                </c:pt>
                <c:pt idx="3661">
                  <c:v>#N/A</c:v>
                </c:pt>
                <c:pt idx="3662">
                  <c:v>#N/A</c:v>
                </c:pt>
                <c:pt idx="3663">
                  <c:v>#N/A</c:v>
                </c:pt>
                <c:pt idx="3664">
                  <c:v>#N/A</c:v>
                </c:pt>
                <c:pt idx="3665">
                  <c:v>#N/A</c:v>
                </c:pt>
                <c:pt idx="3666">
                  <c:v>#N/A</c:v>
                </c:pt>
                <c:pt idx="3667">
                  <c:v>#N/A</c:v>
                </c:pt>
                <c:pt idx="3668">
                  <c:v>#N/A</c:v>
                </c:pt>
                <c:pt idx="3669">
                  <c:v>#N/A</c:v>
                </c:pt>
                <c:pt idx="3670">
                  <c:v>#N/A</c:v>
                </c:pt>
                <c:pt idx="3671">
                  <c:v>#N/A</c:v>
                </c:pt>
                <c:pt idx="3672">
                  <c:v>#N/A</c:v>
                </c:pt>
                <c:pt idx="3673">
                  <c:v>#N/A</c:v>
                </c:pt>
                <c:pt idx="3674">
                  <c:v>#N/A</c:v>
                </c:pt>
                <c:pt idx="3675">
                  <c:v>#N/A</c:v>
                </c:pt>
                <c:pt idx="3676">
                  <c:v>#N/A</c:v>
                </c:pt>
                <c:pt idx="3677">
                  <c:v>#N/A</c:v>
                </c:pt>
                <c:pt idx="3678">
                  <c:v>#N/A</c:v>
                </c:pt>
                <c:pt idx="3679">
                  <c:v>#N/A</c:v>
                </c:pt>
                <c:pt idx="3680">
                  <c:v>#N/A</c:v>
                </c:pt>
                <c:pt idx="3681">
                  <c:v>#N/A</c:v>
                </c:pt>
                <c:pt idx="3682">
                  <c:v>#N/A</c:v>
                </c:pt>
                <c:pt idx="3683">
                  <c:v>#N/A</c:v>
                </c:pt>
                <c:pt idx="3684">
                  <c:v>#N/A</c:v>
                </c:pt>
                <c:pt idx="3685">
                  <c:v>#N/A</c:v>
                </c:pt>
                <c:pt idx="3686">
                  <c:v>#N/A</c:v>
                </c:pt>
                <c:pt idx="3687">
                  <c:v>#N/A</c:v>
                </c:pt>
                <c:pt idx="3688">
                  <c:v>#N/A</c:v>
                </c:pt>
                <c:pt idx="3689">
                  <c:v>#N/A</c:v>
                </c:pt>
                <c:pt idx="3690">
                  <c:v>#N/A</c:v>
                </c:pt>
                <c:pt idx="3691">
                  <c:v>#N/A</c:v>
                </c:pt>
                <c:pt idx="3692">
                  <c:v>#N/A</c:v>
                </c:pt>
                <c:pt idx="3693">
                  <c:v>#N/A</c:v>
                </c:pt>
                <c:pt idx="3694">
                  <c:v>#N/A</c:v>
                </c:pt>
                <c:pt idx="3695">
                  <c:v>#N/A</c:v>
                </c:pt>
                <c:pt idx="3696">
                  <c:v>#N/A</c:v>
                </c:pt>
                <c:pt idx="3697">
                  <c:v>#N/A</c:v>
                </c:pt>
                <c:pt idx="3698">
                  <c:v>#N/A</c:v>
                </c:pt>
                <c:pt idx="3699">
                  <c:v>#N/A</c:v>
                </c:pt>
                <c:pt idx="3700">
                  <c:v>#N/A</c:v>
                </c:pt>
                <c:pt idx="3701">
                  <c:v>#N/A</c:v>
                </c:pt>
                <c:pt idx="3702">
                  <c:v>#N/A</c:v>
                </c:pt>
                <c:pt idx="3703">
                  <c:v>#N/A</c:v>
                </c:pt>
                <c:pt idx="3704">
                  <c:v>#N/A</c:v>
                </c:pt>
                <c:pt idx="3705">
                  <c:v>#N/A</c:v>
                </c:pt>
                <c:pt idx="3706">
                  <c:v>#N/A</c:v>
                </c:pt>
                <c:pt idx="3707">
                  <c:v>#N/A</c:v>
                </c:pt>
                <c:pt idx="3708">
                  <c:v>#N/A</c:v>
                </c:pt>
                <c:pt idx="3709">
                  <c:v>#N/A</c:v>
                </c:pt>
                <c:pt idx="3710">
                  <c:v>#N/A</c:v>
                </c:pt>
                <c:pt idx="3711">
                  <c:v>#N/A</c:v>
                </c:pt>
                <c:pt idx="3712">
                  <c:v>#N/A</c:v>
                </c:pt>
                <c:pt idx="3713">
                  <c:v>#N/A</c:v>
                </c:pt>
                <c:pt idx="3714">
                  <c:v>#N/A</c:v>
                </c:pt>
                <c:pt idx="3715">
                  <c:v>#N/A</c:v>
                </c:pt>
                <c:pt idx="3716">
                  <c:v>#N/A</c:v>
                </c:pt>
                <c:pt idx="3717">
                  <c:v>#N/A</c:v>
                </c:pt>
                <c:pt idx="3718">
                  <c:v>#N/A</c:v>
                </c:pt>
                <c:pt idx="3719">
                  <c:v>#N/A</c:v>
                </c:pt>
                <c:pt idx="3720">
                  <c:v>#N/A</c:v>
                </c:pt>
                <c:pt idx="3721">
                  <c:v>#N/A</c:v>
                </c:pt>
                <c:pt idx="3722">
                  <c:v>#N/A</c:v>
                </c:pt>
                <c:pt idx="3723">
                  <c:v>#N/A</c:v>
                </c:pt>
                <c:pt idx="3724">
                  <c:v>#N/A</c:v>
                </c:pt>
                <c:pt idx="3725">
                  <c:v>#N/A</c:v>
                </c:pt>
                <c:pt idx="3726">
                  <c:v>#N/A</c:v>
                </c:pt>
                <c:pt idx="3727">
                  <c:v>#N/A</c:v>
                </c:pt>
                <c:pt idx="3728">
                  <c:v>#N/A</c:v>
                </c:pt>
                <c:pt idx="3729">
                  <c:v>#N/A</c:v>
                </c:pt>
                <c:pt idx="3730">
                  <c:v>#N/A</c:v>
                </c:pt>
                <c:pt idx="3731">
                  <c:v>#N/A</c:v>
                </c:pt>
                <c:pt idx="3732">
                  <c:v>#N/A</c:v>
                </c:pt>
                <c:pt idx="3733">
                  <c:v>#N/A</c:v>
                </c:pt>
                <c:pt idx="3734">
                  <c:v>#N/A</c:v>
                </c:pt>
                <c:pt idx="3735">
                  <c:v>#N/A</c:v>
                </c:pt>
                <c:pt idx="3736">
                  <c:v>#N/A</c:v>
                </c:pt>
                <c:pt idx="3737">
                  <c:v>#N/A</c:v>
                </c:pt>
                <c:pt idx="3738">
                  <c:v>#N/A</c:v>
                </c:pt>
                <c:pt idx="3739">
                  <c:v>#N/A</c:v>
                </c:pt>
                <c:pt idx="3740">
                  <c:v>#N/A</c:v>
                </c:pt>
                <c:pt idx="3741">
                  <c:v>#N/A</c:v>
                </c:pt>
                <c:pt idx="3742">
                  <c:v>#N/A</c:v>
                </c:pt>
                <c:pt idx="3743">
                  <c:v>#N/A</c:v>
                </c:pt>
                <c:pt idx="3744">
                  <c:v>#N/A</c:v>
                </c:pt>
                <c:pt idx="3745">
                  <c:v>#N/A</c:v>
                </c:pt>
                <c:pt idx="3746">
                  <c:v>#N/A</c:v>
                </c:pt>
                <c:pt idx="3747">
                  <c:v>#N/A</c:v>
                </c:pt>
                <c:pt idx="3748">
                  <c:v>#N/A</c:v>
                </c:pt>
                <c:pt idx="3749">
                  <c:v>#N/A</c:v>
                </c:pt>
                <c:pt idx="3750">
                  <c:v>#N/A</c:v>
                </c:pt>
                <c:pt idx="3751">
                  <c:v>#N/A</c:v>
                </c:pt>
                <c:pt idx="3752">
                  <c:v>#N/A</c:v>
                </c:pt>
                <c:pt idx="3753">
                  <c:v>#N/A</c:v>
                </c:pt>
                <c:pt idx="3754">
                  <c:v>#N/A</c:v>
                </c:pt>
                <c:pt idx="3755">
                  <c:v>#N/A</c:v>
                </c:pt>
                <c:pt idx="3756">
                  <c:v>#N/A</c:v>
                </c:pt>
                <c:pt idx="3757">
                  <c:v>#N/A</c:v>
                </c:pt>
                <c:pt idx="3758">
                  <c:v>#N/A</c:v>
                </c:pt>
                <c:pt idx="3759">
                  <c:v>#N/A</c:v>
                </c:pt>
                <c:pt idx="3760">
                  <c:v>#N/A</c:v>
                </c:pt>
                <c:pt idx="3761">
                  <c:v>#N/A</c:v>
                </c:pt>
                <c:pt idx="3762">
                  <c:v>#N/A</c:v>
                </c:pt>
                <c:pt idx="3763">
                  <c:v>#N/A</c:v>
                </c:pt>
                <c:pt idx="3764">
                  <c:v>#N/A</c:v>
                </c:pt>
                <c:pt idx="3765">
                  <c:v>#N/A</c:v>
                </c:pt>
                <c:pt idx="3766">
                  <c:v>#N/A</c:v>
                </c:pt>
                <c:pt idx="3767">
                  <c:v>#N/A</c:v>
                </c:pt>
                <c:pt idx="3768">
                  <c:v>#N/A</c:v>
                </c:pt>
                <c:pt idx="3769">
                  <c:v>#N/A</c:v>
                </c:pt>
                <c:pt idx="3770">
                  <c:v>#N/A</c:v>
                </c:pt>
                <c:pt idx="3771">
                  <c:v>#N/A</c:v>
                </c:pt>
                <c:pt idx="3772">
                  <c:v>#N/A</c:v>
                </c:pt>
                <c:pt idx="3773">
                  <c:v>#N/A</c:v>
                </c:pt>
                <c:pt idx="3774">
                  <c:v>#N/A</c:v>
                </c:pt>
                <c:pt idx="3775">
                  <c:v>#N/A</c:v>
                </c:pt>
                <c:pt idx="3776">
                  <c:v>#N/A</c:v>
                </c:pt>
                <c:pt idx="3777">
                  <c:v>#N/A</c:v>
                </c:pt>
                <c:pt idx="3778">
                  <c:v>#N/A</c:v>
                </c:pt>
                <c:pt idx="3779">
                  <c:v>#N/A</c:v>
                </c:pt>
                <c:pt idx="3780">
                  <c:v>#N/A</c:v>
                </c:pt>
                <c:pt idx="3781">
                  <c:v>#N/A</c:v>
                </c:pt>
                <c:pt idx="3782">
                  <c:v>#N/A</c:v>
                </c:pt>
                <c:pt idx="3783">
                  <c:v>#N/A</c:v>
                </c:pt>
                <c:pt idx="3784">
                  <c:v>#N/A</c:v>
                </c:pt>
                <c:pt idx="3785">
                  <c:v>#N/A</c:v>
                </c:pt>
                <c:pt idx="3786">
                  <c:v>#N/A</c:v>
                </c:pt>
                <c:pt idx="3787">
                  <c:v>#N/A</c:v>
                </c:pt>
                <c:pt idx="3788">
                  <c:v>#N/A</c:v>
                </c:pt>
                <c:pt idx="3789">
                  <c:v>#N/A</c:v>
                </c:pt>
                <c:pt idx="3790">
                  <c:v>#N/A</c:v>
                </c:pt>
                <c:pt idx="3791">
                  <c:v>#N/A</c:v>
                </c:pt>
                <c:pt idx="3792">
                  <c:v>#N/A</c:v>
                </c:pt>
                <c:pt idx="3793">
                  <c:v>#N/A</c:v>
                </c:pt>
                <c:pt idx="3794">
                  <c:v>#N/A</c:v>
                </c:pt>
                <c:pt idx="3795">
                  <c:v>#N/A</c:v>
                </c:pt>
                <c:pt idx="3796">
                  <c:v>#N/A</c:v>
                </c:pt>
                <c:pt idx="3797">
                  <c:v>#N/A</c:v>
                </c:pt>
                <c:pt idx="3798">
                  <c:v>#N/A</c:v>
                </c:pt>
                <c:pt idx="3799">
                  <c:v>#N/A</c:v>
                </c:pt>
                <c:pt idx="3800">
                  <c:v>#N/A</c:v>
                </c:pt>
                <c:pt idx="3801">
                  <c:v>#N/A</c:v>
                </c:pt>
                <c:pt idx="3802">
                  <c:v>#N/A</c:v>
                </c:pt>
                <c:pt idx="3803">
                  <c:v>#N/A</c:v>
                </c:pt>
                <c:pt idx="3804">
                  <c:v>#N/A</c:v>
                </c:pt>
                <c:pt idx="3805">
                  <c:v>#N/A</c:v>
                </c:pt>
                <c:pt idx="3806">
                  <c:v>#N/A</c:v>
                </c:pt>
                <c:pt idx="3807">
                  <c:v>#N/A</c:v>
                </c:pt>
                <c:pt idx="3808">
                  <c:v>#N/A</c:v>
                </c:pt>
                <c:pt idx="3809">
                  <c:v>#N/A</c:v>
                </c:pt>
                <c:pt idx="3810">
                  <c:v>#N/A</c:v>
                </c:pt>
                <c:pt idx="3811">
                  <c:v>#N/A</c:v>
                </c:pt>
                <c:pt idx="3812">
                  <c:v>#N/A</c:v>
                </c:pt>
                <c:pt idx="3813">
                  <c:v>#N/A</c:v>
                </c:pt>
                <c:pt idx="3814">
                  <c:v>#N/A</c:v>
                </c:pt>
                <c:pt idx="3815">
                  <c:v>#N/A</c:v>
                </c:pt>
                <c:pt idx="3816">
                  <c:v>#N/A</c:v>
                </c:pt>
                <c:pt idx="3817">
                  <c:v>#N/A</c:v>
                </c:pt>
                <c:pt idx="3818">
                  <c:v>#N/A</c:v>
                </c:pt>
                <c:pt idx="3819">
                  <c:v>#N/A</c:v>
                </c:pt>
                <c:pt idx="3820">
                  <c:v>#N/A</c:v>
                </c:pt>
                <c:pt idx="3821">
                  <c:v>#N/A</c:v>
                </c:pt>
                <c:pt idx="3822">
                  <c:v>#N/A</c:v>
                </c:pt>
                <c:pt idx="3823">
                  <c:v>#N/A</c:v>
                </c:pt>
                <c:pt idx="3824">
                  <c:v>#N/A</c:v>
                </c:pt>
                <c:pt idx="3825">
                  <c:v>#N/A</c:v>
                </c:pt>
                <c:pt idx="3826">
                  <c:v>#N/A</c:v>
                </c:pt>
                <c:pt idx="3827">
                  <c:v>#N/A</c:v>
                </c:pt>
                <c:pt idx="3828">
                  <c:v>#N/A</c:v>
                </c:pt>
                <c:pt idx="3829">
                  <c:v>#N/A</c:v>
                </c:pt>
                <c:pt idx="3830">
                  <c:v>#N/A</c:v>
                </c:pt>
                <c:pt idx="3831">
                  <c:v>#N/A</c:v>
                </c:pt>
                <c:pt idx="3832">
                  <c:v>#N/A</c:v>
                </c:pt>
                <c:pt idx="3833">
                  <c:v>#N/A</c:v>
                </c:pt>
                <c:pt idx="3834">
                  <c:v>#N/A</c:v>
                </c:pt>
                <c:pt idx="3835">
                  <c:v>#N/A</c:v>
                </c:pt>
                <c:pt idx="3836">
                  <c:v>#N/A</c:v>
                </c:pt>
                <c:pt idx="3837">
                  <c:v>#N/A</c:v>
                </c:pt>
                <c:pt idx="3838">
                  <c:v>#N/A</c:v>
                </c:pt>
                <c:pt idx="3839">
                  <c:v>#N/A</c:v>
                </c:pt>
                <c:pt idx="3840">
                  <c:v>#N/A</c:v>
                </c:pt>
                <c:pt idx="3841">
                  <c:v>#N/A</c:v>
                </c:pt>
                <c:pt idx="3842">
                  <c:v>#N/A</c:v>
                </c:pt>
                <c:pt idx="3843">
                  <c:v>#N/A</c:v>
                </c:pt>
                <c:pt idx="3844">
                  <c:v>#N/A</c:v>
                </c:pt>
                <c:pt idx="3845">
                  <c:v>#N/A</c:v>
                </c:pt>
                <c:pt idx="3846">
                  <c:v>#N/A</c:v>
                </c:pt>
                <c:pt idx="3847">
                  <c:v>#N/A</c:v>
                </c:pt>
                <c:pt idx="3848">
                  <c:v>#N/A</c:v>
                </c:pt>
                <c:pt idx="3849">
                  <c:v>#N/A</c:v>
                </c:pt>
                <c:pt idx="3850">
                  <c:v>#N/A</c:v>
                </c:pt>
                <c:pt idx="3851">
                  <c:v>#N/A</c:v>
                </c:pt>
                <c:pt idx="3852">
                  <c:v>#N/A</c:v>
                </c:pt>
                <c:pt idx="3853">
                  <c:v>#N/A</c:v>
                </c:pt>
                <c:pt idx="3854">
                  <c:v>#N/A</c:v>
                </c:pt>
                <c:pt idx="3855">
                  <c:v>#N/A</c:v>
                </c:pt>
                <c:pt idx="3856">
                  <c:v>#N/A</c:v>
                </c:pt>
                <c:pt idx="3857">
                  <c:v>#N/A</c:v>
                </c:pt>
                <c:pt idx="3858">
                  <c:v>#N/A</c:v>
                </c:pt>
                <c:pt idx="3859">
                  <c:v>#N/A</c:v>
                </c:pt>
                <c:pt idx="3860">
                  <c:v>#N/A</c:v>
                </c:pt>
                <c:pt idx="3861">
                  <c:v>#N/A</c:v>
                </c:pt>
                <c:pt idx="3862">
                  <c:v>#N/A</c:v>
                </c:pt>
                <c:pt idx="3863">
                  <c:v>#N/A</c:v>
                </c:pt>
                <c:pt idx="3864">
                  <c:v>#N/A</c:v>
                </c:pt>
                <c:pt idx="3865">
                  <c:v>#N/A</c:v>
                </c:pt>
                <c:pt idx="3866">
                  <c:v>#N/A</c:v>
                </c:pt>
                <c:pt idx="3867">
                  <c:v>#N/A</c:v>
                </c:pt>
                <c:pt idx="3868">
                  <c:v>#N/A</c:v>
                </c:pt>
                <c:pt idx="3869">
                  <c:v>#N/A</c:v>
                </c:pt>
                <c:pt idx="3870">
                  <c:v>#N/A</c:v>
                </c:pt>
                <c:pt idx="3871">
                  <c:v>#N/A</c:v>
                </c:pt>
                <c:pt idx="3872">
                  <c:v>#N/A</c:v>
                </c:pt>
                <c:pt idx="3873">
                  <c:v>#N/A</c:v>
                </c:pt>
                <c:pt idx="3874">
                  <c:v>#N/A</c:v>
                </c:pt>
                <c:pt idx="3875">
                  <c:v>#N/A</c:v>
                </c:pt>
                <c:pt idx="3876">
                  <c:v>#N/A</c:v>
                </c:pt>
                <c:pt idx="3877">
                  <c:v>#N/A</c:v>
                </c:pt>
                <c:pt idx="3878">
                  <c:v>#N/A</c:v>
                </c:pt>
                <c:pt idx="3879">
                  <c:v>#N/A</c:v>
                </c:pt>
                <c:pt idx="3880">
                  <c:v>#N/A</c:v>
                </c:pt>
                <c:pt idx="3881">
                  <c:v>#N/A</c:v>
                </c:pt>
                <c:pt idx="3882">
                  <c:v>#N/A</c:v>
                </c:pt>
                <c:pt idx="3883">
                  <c:v>#N/A</c:v>
                </c:pt>
                <c:pt idx="3884">
                  <c:v>#N/A</c:v>
                </c:pt>
                <c:pt idx="3885">
                  <c:v>#N/A</c:v>
                </c:pt>
                <c:pt idx="3886">
                  <c:v>#N/A</c:v>
                </c:pt>
                <c:pt idx="3887">
                  <c:v>#N/A</c:v>
                </c:pt>
                <c:pt idx="3888">
                  <c:v>#N/A</c:v>
                </c:pt>
                <c:pt idx="3889">
                  <c:v>#N/A</c:v>
                </c:pt>
                <c:pt idx="3890">
                  <c:v>#N/A</c:v>
                </c:pt>
                <c:pt idx="3891">
                  <c:v>#N/A</c:v>
                </c:pt>
                <c:pt idx="3892">
                  <c:v>#N/A</c:v>
                </c:pt>
                <c:pt idx="3893">
                  <c:v>#N/A</c:v>
                </c:pt>
                <c:pt idx="3894">
                  <c:v>#N/A</c:v>
                </c:pt>
                <c:pt idx="3895">
                  <c:v>#N/A</c:v>
                </c:pt>
                <c:pt idx="3896">
                  <c:v>#N/A</c:v>
                </c:pt>
                <c:pt idx="3897">
                  <c:v>#N/A</c:v>
                </c:pt>
                <c:pt idx="3898">
                  <c:v>#N/A</c:v>
                </c:pt>
                <c:pt idx="3899">
                  <c:v>#N/A</c:v>
                </c:pt>
                <c:pt idx="3900">
                  <c:v>#N/A</c:v>
                </c:pt>
                <c:pt idx="3901">
                  <c:v>#N/A</c:v>
                </c:pt>
                <c:pt idx="3902">
                  <c:v>#N/A</c:v>
                </c:pt>
                <c:pt idx="3903">
                  <c:v>#N/A</c:v>
                </c:pt>
                <c:pt idx="3904">
                  <c:v>#N/A</c:v>
                </c:pt>
                <c:pt idx="3905">
                  <c:v>#N/A</c:v>
                </c:pt>
                <c:pt idx="3906">
                  <c:v>#N/A</c:v>
                </c:pt>
                <c:pt idx="3907">
                  <c:v>#N/A</c:v>
                </c:pt>
                <c:pt idx="3908">
                  <c:v>#N/A</c:v>
                </c:pt>
                <c:pt idx="3909">
                  <c:v>#N/A</c:v>
                </c:pt>
                <c:pt idx="3910">
                  <c:v>#N/A</c:v>
                </c:pt>
                <c:pt idx="3911">
                  <c:v>#N/A</c:v>
                </c:pt>
                <c:pt idx="3912">
                  <c:v>#N/A</c:v>
                </c:pt>
                <c:pt idx="3913">
                  <c:v>#N/A</c:v>
                </c:pt>
                <c:pt idx="3914">
                  <c:v>#N/A</c:v>
                </c:pt>
                <c:pt idx="3915">
                  <c:v>#N/A</c:v>
                </c:pt>
                <c:pt idx="3916">
                  <c:v>#N/A</c:v>
                </c:pt>
                <c:pt idx="3917">
                  <c:v>#N/A</c:v>
                </c:pt>
                <c:pt idx="3918">
                  <c:v>#N/A</c:v>
                </c:pt>
                <c:pt idx="3919">
                  <c:v>#N/A</c:v>
                </c:pt>
                <c:pt idx="3920">
                  <c:v>#N/A</c:v>
                </c:pt>
                <c:pt idx="3921">
                  <c:v>#N/A</c:v>
                </c:pt>
                <c:pt idx="3922">
                  <c:v>#N/A</c:v>
                </c:pt>
                <c:pt idx="3923">
                  <c:v>#N/A</c:v>
                </c:pt>
                <c:pt idx="3924">
                  <c:v>#N/A</c:v>
                </c:pt>
                <c:pt idx="3925">
                  <c:v>#N/A</c:v>
                </c:pt>
                <c:pt idx="3926">
                  <c:v>#N/A</c:v>
                </c:pt>
                <c:pt idx="3927">
                  <c:v>#N/A</c:v>
                </c:pt>
                <c:pt idx="3928">
                  <c:v>#N/A</c:v>
                </c:pt>
                <c:pt idx="3929">
                  <c:v>#N/A</c:v>
                </c:pt>
                <c:pt idx="3930">
                  <c:v>#N/A</c:v>
                </c:pt>
                <c:pt idx="3931">
                  <c:v>#N/A</c:v>
                </c:pt>
                <c:pt idx="3932">
                  <c:v>#N/A</c:v>
                </c:pt>
                <c:pt idx="3933">
                  <c:v>#N/A</c:v>
                </c:pt>
                <c:pt idx="3934">
                  <c:v>#N/A</c:v>
                </c:pt>
                <c:pt idx="3935">
                  <c:v>#N/A</c:v>
                </c:pt>
                <c:pt idx="3936">
                  <c:v>#N/A</c:v>
                </c:pt>
                <c:pt idx="3937">
                  <c:v>#N/A</c:v>
                </c:pt>
                <c:pt idx="3938">
                  <c:v>#N/A</c:v>
                </c:pt>
                <c:pt idx="3939">
                  <c:v>#N/A</c:v>
                </c:pt>
                <c:pt idx="3940">
                  <c:v>#N/A</c:v>
                </c:pt>
                <c:pt idx="3941">
                  <c:v>#N/A</c:v>
                </c:pt>
                <c:pt idx="3942">
                  <c:v>#N/A</c:v>
                </c:pt>
                <c:pt idx="3943">
                  <c:v>#N/A</c:v>
                </c:pt>
                <c:pt idx="3944">
                  <c:v>#N/A</c:v>
                </c:pt>
                <c:pt idx="3945">
                  <c:v>#N/A</c:v>
                </c:pt>
                <c:pt idx="3946">
                  <c:v>#N/A</c:v>
                </c:pt>
                <c:pt idx="3947">
                  <c:v>#N/A</c:v>
                </c:pt>
                <c:pt idx="3948">
                  <c:v>#N/A</c:v>
                </c:pt>
                <c:pt idx="3949">
                  <c:v>#N/A</c:v>
                </c:pt>
                <c:pt idx="3950">
                  <c:v>#N/A</c:v>
                </c:pt>
                <c:pt idx="3951">
                  <c:v>#N/A</c:v>
                </c:pt>
                <c:pt idx="3952">
                  <c:v>#N/A</c:v>
                </c:pt>
                <c:pt idx="3953">
                  <c:v>#N/A</c:v>
                </c:pt>
                <c:pt idx="3954">
                  <c:v>#N/A</c:v>
                </c:pt>
                <c:pt idx="3955">
                  <c:v>#N/A</c:v>
                </c:pt>
                <c:pt idx="3956">
                  <c:v>#N/A</c:v>
                </c:pt>
                <c:pt idx="3957">
                  <c:v>#N/A</c:v>
                </c:pt>
                <c:pt idx="3958">
                  <c:v>#N/A</c:v>
                </c:pt>
                <c:pt idx="3959">
                  <c:v>#N/A</c:v>
                </c:pt>
                <c:pt idx="3960">
                  <c:v>#N/A</c:v>
                </c:pt>
                <c:pt idx="3961">
                  <c:v>#N/A</c:v>
                </c:pt>
                <c:pt idx="3962">
                  <c:v>#N/A</c:v>
                </c:pt>
                <c:pt idx="3963">
                  <c:v>#N/A</c:v>
                </c:pt>
                <c:pt idx="3964">
                  <c:v>#N/A</c:v>
                </c:pt>
                <c:pt idx="3965">
                  <c:v>#N/A</c:v>
                </c:pt>
                <c:pt idx="3966">
                  <c:v>#N/A</c:v>
                </c:pt>
                <c:pt idx="3967">
                  <c:v>#N/A</c:v>
                </c:pt>
                <c:pt idx="3968">
                  <c:v>#N/A</c:v>
                </c:pt>
                <c:pt idx="3969">
                  <c:v>#N/A</c:v>
                </c:pt>
                <c:pt idx="3970">
                  <c:v>#N/A</c:v>
                </c:pt>
                <c:pt idx="3971">
                  <c:v>#N/A</c:v>
                </c:pt>
                <c:pt idx="3972">
                  <c:v>#N/A</c:v>
                </c:pt>
                <c:pt idx="3973">
                  <c:v>#N/A</c:v>
                </c:pt>
                <c:pt idx="3974">
                  <c:v>#N/A</c:v>
                </c:pt>
                <c:pt idx="3975">
                  <c:v>#N/A</c:v>
                </c:pt>
                <c:pt idx="3976">
                  <c:v>#N/A</c:v>
                </c:pt>
                <c:pt idx="3977">
                  <c:v>#N/A</c:v>
                </c:pt>
                <c:pt idx="3978">
                  <c:v>#N/A</c:v>
                </c:pt>
                <c:pt idx="3979">
                  <c:v>#N/A</c:v>
                </c:pt>
                <c:pt idx="3980">
                  <c:v>#N/A</c:v>
                </c:pt>
                <c:pt idx="3981">
                  <c:v>#N/A</c:v>
                </c:pt>
                <c:pt idx="3982">
                  <c:v>#N/A</c:v>
                </c:pt>
                <c:pt idx="3983">
                  <c:v>#N/A</c:v>
                </c:pt>
                <c:pt idx="3984">
                  <c:v>#N/A</c:v>
                </c:pt>
                <c:pt idx="3985">
                  <c:v>#N/A</c:v>
                </c:pt>
                <c:pt idx="3986">
                  <c:v>#N/A</c:v>
                </c:pt>
                <c:pt idx="3987">
                  <c:v>#N/A</c:v>
                </c:pt>
                <c:pt idx="3988">
                  <c:v>#N/A</c:v>
                </c:pt>
                <c:pt idx="3989">
                  <c:v>#N/A</c:v>
                </c:pt>
                <c:pt idx="3990">
                  <c:v>#N/A</c:v>
                </c:pt>
                <c:pt idx="3991">
                  <c:v>#N/A</c:v>
                </c:pt>
                <c:pt idx="3992">
                  <c:v>#N/A</c:v>
                </c:pt>
                <c:pt idx="3993">
                  <c:v>#N/A</c:v>
                </c:pt>
                <c:pt idx="3994">
                  <c:v>#N/A</c:v>
                </c:pt>
                <c:pt idx="3995">
                  <c:v>#N/A</c:v>
                </c:pt>
                <c:pt idx="3996">
                  <c:v>#N/A</c:v>
                </c:pt>
                <c:pt idx="3997">
                  <c:v>#N/A</c:v>
                </c:pt>
                <c:pt idx="3998">
                  <c:v>#N/A</c:v>
                </c:pt>
                <c:pt idx="3999">
                  <c:v>#N/A</c:v>
                </c:pt>
                <c:pt idx="4000">
                  <c:v>#N/A</c:v>
                </c:pt>
                <c:pt idx="4001">
                  <c:v>#N/A</c:v>
                </c:pt>
                <c:pt idx="4002">
                  <c:v>#N/A</c:v>
                </c:pt>
                <c:pt idx="4003">
                  <c:v>#N/A</c:v>
                </c:pt>
                <c:pt idx="4004">
                  <c:v>#N/A</c:v>
                </c:pt>
                <c:pt idx="4005">
                  <c:v>#N/A</c:v>
                </c:pt>
                <c:pt idx="4006">
                  <c:v>#N/A</c:v>
                </c:pt>
                <c:pt idx="4007">
                  <c:v>#N/A</c:v>
                </c:pt>
                <c:pt idx="4008">
                  <c:v>#N/A</c:v>
                </c:pt>
                <c:pt idx="4009">
                  <c:v>#N/A</c:v>
                </c:pt>
                <c:pt idx="4010">
                  <c:v>#N/A</c:v>
                </c:pt>
                <c:pt idx="4011">
                  <c:v>#N/A</c:v>
                </c:pt>
                <c:pt idx="4012">
                  <c:v>#N/A</c:v>
                </c:pt>
                <c:pt idx="4013">
                  <c:v>#N/A</c:v>
                </c:pt>
                <c:pt idx="4014">
                  <c:v>#N/A</c:v>
                </c:pt>
                <c:pt idx="4015">
                  <c:v>#N/A</c:v>
                </c:pt>
                <c:pt idx="4016">
                  <c:v>#N/A</c:v>
                </c:pt>
                <c:pt idx="4017">
                  <c:v>#N/A</c:v>
                </c:pt>
                <c:pt idx="4018">
                  <c:v>#N/A</c:v>
                </c:pt>
                <c:pt idx="4019">
                  <c:v>#N/A</c:v>
                </c:pt>
                <c:pt idx="4020">
                  <c:v>#N/A</c:v>
                </c:pt>
                <c:pt idx="4021">
                  <c:v>#N/A</c:v>
                </c:pt>
                <c:pt idx="4022">
                  <c:v>#N/A</c:v>
                </c:pt>
                <c:pt idx="4023">
                  <c:v>#N/A</c:v>
                </c:pt>
                <c:pt idx="4024">
                  <c:v>#N/A</c:v>
                </c:pt>
                <c:pt idx="4025">
                  <c:v>#N/A</c:v>
                </c:pt>
                <c:pt idx="4026">
                  <c:v>#N/A</c:v>
                </c:pt>
                <c:pt idx="4027">
                  <c:v>#N/A</c:v>
                </c:pt>
                <c:pt idx="4028">
                  <c:v>#N/A</c:v>
                </c:pt>
                <c:pt idx="4029">
                  <c:v>#N/A</c:v>
                </c:pt>
                <c:pt idx="4030">
                  <c:v>#N/A</c:v>
                </c:pt>
                <c:pt idx="4031">
                  <c:v>#N/A</c:v>
                </c:pt>
                <c:pt idx="4032">
                  <c:v>#N/A</c:v>
                </c:pt>
                <c:pt idx="4033">
                  <c:v>#N/A</c:v>
                </c:pt>
                <c:pt idx="4034">
                  <c:v>#N/A</c:v>
                </c:pt>
                <c:pt idx="4035">
                  <c:v>#N/A</c:v>
                </c:pt>
                <c:pt idx="4036">
                  <c:v>#N/A</c:v>
                </c:pt>
                <c:pt idx="4037">
                  <c:v>#N/A</c:v>
                </c:pt>
                <c:pt idx="4038">
                  <c:v>#N/A</c:v>
                </c:pt>
                <c:pt idx="4039">
                  <c:v>#N/A</c:v>
                </c:pt>
                <c:pt idx="4040">
                  <c:v>#N/A</c:v>
                </c:pt>
                <c:pt idx="4041">
                  <c:v>#N/A</c:v>
                </c:pt>
                <c:pt idx="4042">
                  <c:v>#N/A</c:v>
                </c:pt>
                <c:pt idx="4043">
                  <c:v>#N/A</c:v>
                </c:pt>
                <c:pt idx="4044">
                  <c:v>#N/A</c:v>
                </c:pt>
                <c:pt idx="4045">
                  <c:v>#N/A</c:v>
                </c:pt>
                <c:pt idx="4046">
                  <c:v>#N/A</c:v>
                </c:pt>
                <c:pt idx="4047">
                  <c:v>#N/A</c:v>
                </c:pt>
                <c:pt idx="4048">
                  <c:v>#N/A</c:v>
                </c:pt>
                <c:pt idx="4049">
                  <c:v>#N/A</c:v>
                </c:pt>
                <c:pt idx="4050">
                  <c:v>#N/A</c:v>
                </c:pt>
                <c:pt idx="4051">
                  <c:v>#N/A</c:v>
                </c:pt>
                <c:pt idx="4052">
                  <c:v>#N/A</c:v>
                </c:pt>
                <c:pt idx="4053">
                  <c:v>#N/A</c:v>
                </c:pt>
                <c:pt idx="4054">
                  <c:v>#N/A</c:v>
                </c:pt>
                <c:pt idx="4055">
                  <c:v>#N/A</c:v>
                </c:pt>
                <c:pt idx="4056">
                  <c:v>#N/A</c:v>
                </c:pt>
                <c:pt idx="4057">
                  <c:v>#N/A</c:v>
                </c:pt>
                <c:pt idx="4058">
                  <c:v>#N/A</c:v>
                </c:pt>
                <c:pt idx="4059">
                  <c:v>#N/A</c:v>
                </c:pt>
                <c:pt idx="4060">
                  <c:v>#N/A</c:v>
                </c:pt>
                <c:pt idx="4061">
                  <c:v>#N/A</c:v>
                </c:pt>
                <c:pt idx="4062">
                  <c:v>#N/A</c:v>
                </c:pt>
                <c:pt idx="4063">
                  <c:v>#N/A</c:v>
                </c:pt>
                <c:pt idx="4064">
                  <c:v>#N/A</c:v>
                </c:pt>
                <c:pt idx="4065">
                  <c:v>#N/A</c:v>
                </c:pt>
                <c:pt idx="4066">
                  <c:v>#N/A</c:v>
                </c:pt>
                <c:pt idx="4067">
                  <c:v>#N/A</c:v>
                </c:pt>
                <c:pt idx="4068">
                  <c:v>#N/A</c:v>
                </c:pt>
                <c:pt idx="4069">
                  <c:v>#N/A</c:v>
                </c:pt>
                <c:pt idx="4070">
                  <c:v>#N/A</c:v>
                </c:pt>
                <c:pt idx="4071">
                  <c:v>#N/A</c:v>
                </c:pt>
                <c:pt idx="4072">
                  <c:v>#N/A</c:v>
                </c:pt>
                <c:pt idx="4073">
                  <c:v>#N/A</c:v>
                </c:pt>
                <c:pt idx="4074">
                  <c:v>#N/A</c:v>
                </c:pt>
                <c:pt idx="4075">
                  <c:v>#N/A</c:v>
                </c:pt>
                <c:pt idx="4076">
                  <c:v>#N/A</c:v>
                </c:pt>
                <c:pt idx="4077">
                  <c:v>#N/A</c:v>
                </c:pt>
                <c:pt idx="4078">
                  <c:v>#N/A</c:v>
                </c:pt>
                <c:pt idx="4079">
                  <c:v>#N/A</c:v>
                </c:pt>
                <c:pt idx="4080">
                  <c:v>#N/A</c:v>
                </c:pt>
                <c:pt idx="4081">
                  <c:v>#N/A</c:v>
                </c:pt>
                <c:pt idx="4082">
                  <c:v>#N/A</c:v>
                </c:pt>
                <c:pt idx="4083">
                  <c:v>#N/A</c:v>
                </c:pt>
                <c:pt idx="4084">
                  <c:v>#N/A</c:v>
                </c:pt>
                <c:pt idx="4085">
                  <c:v>#N/A</c:v>
                </c:pt>
                <c:pt idx="4086">
                  <c:v>#N/A</c:v>
                </c:pt>
                <c:pt idx="4087">
                  <c:v>#N/A</c:v>
                </c:pt>
                <c:pt idx="4088">
                  <c:v>#N/A</c:v>
                </c:pt>
                <c:pt idx="4089">
                  <c:v>#N/A</c:v>
                </c:pt>
                <c:pt idx="4090">
                  <c:v>#N/A</c:v>
                </c:pt>
                <c:pt idx="4091">
                  <c:v>#N/A</c:v>
                </c:pt>
                <c:pt idx="4092">
                  <c:v>#N/A</c:v>
                </c:pt>
                <c:pt idx="4093">
                  <c:v>#N/A</c:v>
                </c:pt>
                <c:pt idx="4094">
                  <c:v>#N/A</c:v>
                </c:pt>
                <c:pt idx="4095">
                  <c:v>#N/A</c:v>
                </c:pt>
                <c:pt idx="4096">
                  <c:v>#N/A</c:v>
                </c:pt>
                <c:pt idx="4097">
                  <c:v>#N/A</c:v>
                </c:pt>
                <c:pt idx="4098">
                  <c:v>#N/A</c:v>
                </c:pt>
                <c:pt idx="4099">
                  <c:v>#N/A</c:v>
                </c:pt>
                <c:pt idx="4100">
                  <c:v>#N/A</c:v>
                </c:pt>
                <c:pt idx="4101">
                  <c:v>#N/A</c:v>
                </c:pt>
                <c:pt idx="4102">
                  <c:v>#N/A</c:v>
                </c:pt>
                <c:pt idx="4103">
                  <c:v>#N/A</c:v>
                </c:pt>
                <c:pt idx="4104">
                  <c:v>#N/A</c:v>
                </c:pt>
                <c:pt idx="4105">
                  <c:v>#N/A</c:v>
                </c:pt>
                <c:pt idx="4106">
                  <c:v>#N/A</c:v>
                </c:pt>
                <c:pt idx="4107">
                  <c:v>#N/A</c:v>
                </c:pt>
                <c:pt idx="4108">
                  <c:v>#N/A</c:v>
                </c:pt>
                <c:pt idx="4109">
                  <c:v>#N/A</c:v>
                </c:pt>
                <c:pt idx="4110">
                  <c:v>#N/A</c:v>
                </c:pt>
                <c:pt idx="4111">
                  <c:v>#N/A</c:v>
                </c:pt>
                <c:pt idx="4112">
                  <c:v>#N/A</c:v>
                </c:pt>
                <c:pt idx="4113">
                  <c:v>#N/A</c:v>
                </c:pt>
                <c:pt idx="4114">
                  <c:v>#N/A</c:v>
                </c:pt>
                <c:pt idx="4115">
                  <c:v>#N/A</c:v>
                </c:pt>
                <c:pt idx="4116">
                  <c:v>#N/A</c:v>
                </c:pt>
                <c:pt idx="4117">
                  <c:v>#N/A</c:v>
                </c:pt>
                <c:pt idx="4118">
                  <c:v>#N/A</c:v>
                </c:pt>
                <c:pt idx="4119">
                  <c:v>#N/A</c:v>
                </c:pt>
                <c:pt idx="4120">
                  <c:v>#N/A</c:v>
                </c:pt>
                <c:pt idx="4121">
                  <c:v>#N/A</c:v>
                </c:pt>
                <c:pt idx="4122">
                  <c:v>#N/A</c:v>
                </c:pt>
                <c:pt idx="4123">
                  <c:v>#N/A</c:v>
                </c:pt>
                <c:pt idx="4124">
                  <c:v>#N/A</c:v>
                </c:pt>
                <c:pt idx="4125">
                  <c:v>#N/A</c:v>
                </c:pt>
                <c:pt idx="4126">
                  <c:v>#N/A</c:v>
                </c:pt>
                <c:pt idx="4127">
                  <c:v>#N/A</c:v>
                </c:pt>
                <c:pt idx="4128">
                  <c:v>#N/A</c:v>
                </c:pt>
                <c:pt idx="4129">
                  <c:v>#N/A</c:v>
                </c:pt>
                <c:pt idx="4130">
                  <c:v>#N/A</c:v>
                </c:pt>
                <c:pt idx="4131">
                  <c:v>#N/A</c:v>
                </c:pt>
                <c:pt idx="4132">
                  <c:v>#N/A</c:v>
                </c:pt>
                <c:pt idx="4133">
                  <c:v>#N/A</c:v>
                </c:pt>
                <c:pt idx="4134">
                  <c:v>#N/A</c:v>
                </c:pt>
                <c:pt idx="4135">
                  <c:v>#N/A</c:v>
                </c:pt>
                <c:pt idx="4136">
                  <c:v>#N/A</c:v>
                </c:pt>
                <c:pt idx="4137">
                  <c:v>#N/A</c:v>
                </c:pt>
                <c:pt idx="4138">
                  <c:v>#N/A</c:v>
                </c:pt>
                <c:pt idx="4139">
                  <c:v>#N/A</c:v>
                </c:pt>
                <c:pt idx="4140">
                  <c:v>#N/A</c:v>
                </c:pt>
                <c:pt idx="4141">
                  <c:v>#N/A</c:v>
                </c:pt>
                <c:pt idx="4142">
                  <c:v>#N/A</c:v>
                </c:pt>
                <c:pt idx="4143">
                  <c:v>#N/A</c:v>
                </c:pt>
                <c:pt idx="4144">
                  <c:v>#N/A</c:v>
                </c:pt>
                <c:pt idx="4145">
                  <c:v>#N/A</c:v>
                </c:pt>
                <c:pt idx="4146">
                  <c:v>#N/A</c:v>
                </c:pt>
                <c:pt idx="4147">
                  <c:v>#N/A</c:v>
                </c:pt>
                <c:pt idx="4148">
                  <c:v>#N/A</c:v>
                </c:pt>
                <c:pt idx="4149">
                  <c:v>#N/A</c:v>
                </c:pt>
                <c:pt idx="4150">
                  <c:v>#N/A</c:v>
                </c:pt>
                <c:pt idx="4151">
                  <c:v>#N/A</c:v>
                </c:pt>
                <c:pt idx="4152">
                  <c:v>#N/A</c:v>
                </c:pt>
                <c:pt idx="4153">
                  <c:v>#N/A</c:v>
                </c:pt>
                <c:pt idx="4154">
                  <c:v>#N/A</c:v>
                </c:pt>
                <c:pt idx="4155">
                  <c:v>#N/A</c:v>
                </c:pt>
                <c:pt idx="4156">
                  <c:v>#N/A</c:v>
                </c:pt>
                <c:pt idx="4157">
                  <c:v>#N/A</c:v>
                </c:pt>
                <c:pt idx="4158">
                  <c:v>#N/A</c:v>
                </c:pt>
                <c:pt idx="4159">
                  <c:v>#N/A</c:v>
                </c:pt>
                <c:pt idx="4160">
                  <c:v>#N/A</c:v>
                </c:pt>
                <c:pt idx="4161">
                  <c:v>#N/A</c:v>
                </c:pt>
                <c:pt idx="4162">
                  <c:v>#N/A</c:v>
                </c:pt>
                <c:pt idx="4163">
                  <c:v>#N/A</c:v>
                </c:pt>
                <c:pt idx="4164">
                  <c:v>#N/A</c:v>
                </c:pt>
                <c:pt idx="4165">
                  <c:v>#N/A</c:v>
                </c:pt>
                <c:pt idx="4166">
                  <c:v>#N/A</c:v>
                </c:pt>
                <c:pt idx="4167">
                  <c:v>#N/A</c:v>
                </c:pt>
                <c:pt idx="4168">
                  <c:v>#N/A</c:v>
                </c:pt>
                <c:pt idx="4169">
                  <c:v>#N/A</c:v>
                </c:pt>
                <c:pt idx="4170">
                  <c:v>#N/A</c:v>
                </c:pt>
                <c:pt idx="4171">
                  <c:v>#N/A</c:v>
                </c:pt>
                <c:pt idx="4172">
                  <c:v>#N/A</c:v>
                </c:pt>
                <c:pt idx="4173">
                  <c:v>#N/A</c:v>
                </c:pt>
                <c:pt idx="4174">
                  <c:v>#N/A</c:v>
                </c:pt>
                <c:pt idx="4175">
                  <c:v>#N/A</c:v>
                </c:pt>
                <c:pt idx="4176">
                  <c:v>#N/A</c:v>
                </c:pt>
                <c:pt idx="4177">
                  <c:v>#N/A</c:v>
                </c:pt>
                <c:pt idx="4178">
                  <c:v>#N/A</c:v>
                </c:pt>
                <c:pt idx="4179">
                  <c:v>#N/A</c:v>
                </c:pt>
                <c:pt idx="4180">
                  <c:v>#N/A</c:v>
                </c:pt>
                <c:pt idx="4181">
                  <c:v>#N/A</c:v>
                </c:pt>
                <c:pt idx="4182">
                  <c:v>#N/A</c:v>
                </c:pt>
                <c:pt idx="4183">
                  <c:v>#N/A</c:v>
                </c:pt>
                <c:pt idx="4184">
                  <c:v>#N/A</c:v>
                </c:pt>
                <c:pt idx="4185">
                  <c:v>#N/A</c:v>
                </c:pt>
                <c:pt idx="4186">
                  <c:v>#N/A</c:v>
                </c:pt>
                <c:pt idx="4187">
                  <c:v>#N/A</c:v>
                </c:pt>
                <c:pt idx="4188">
                  <c:v>#N/A</c:v>
                </c:pt>
                <c:pt idx="4189">
                  <c:v>#N/A</c:v>
                </c:pt>
                <c:pt idx="4190">
                  <c:v>#N/A</c:v>
                </c:pt>
                <c:pt idx="4191">
                  <c:v>#N/A</c:v>
                </c:pt>
                <c:pt idx="4192">
                  <c:v>#N/A</c:v>
                </c:pt>
                <c:pt idx="4193">
                  <c:v>#N/A</c:v>
                </c:pt>
                <c:pt idx="4194">
                  <c:v>#N/A</c:v>
                </c:pt>
                <c:pt idx="4195">
                  <c:v>#N/A</c:v>
                </c:pt>
                <c:pt idx="4196">
                  <c:v>#N/A</c:v>
                </c:pt>
                <c:pt idx="4197">
                  <c:v>#N/A</c:v>
                </c:pt>
                <c:pt idx="4198">
                  <c:v>#N/A</c:v>
                </c:pt>
                <c:pt idx="4199">
                  <c:v>#N/A</c:v>
                </c:pt>
                <c:pt idx="4200">
                  <c:v>#N/A</c:v>
                </c:pt>
                <c:pt idx="4201">
                  <c:v>#N/A</c:v>
                </c:pt>
                <c:pt idx="4202">
                  <c:v>#N/A</c:v>
                </c:pt>
                <c:pt idx="4203">
                  <c:v>#N/A</c:v>
                </c:pt>
                <c:pt idx="4204">
                  <c:v>#N/A</c:v>
                </c:pt>
                <c:pt idx="4205">
                  <c:v>#N/A</c:v>
                </c:pt>
                <c:pt idx="4206">
                  <c:v>#N/A</c:v>
                </c:pt>
                <c:pt idx="4207">
                  <c:v>#N/A</c:v>
                </c:pt>
                <c:pt idx="4208">
                  <c:v>#N/A</c:v>
                </c:pt>
                <c:pt idx="4209">
                  <c:v>#N/A</c:v>
                </c:pt>
                <c:pt idx="4210">
                  <c:v>#N/A</c:v>
                </c:pt>
                <c:pt idx="4211">
                  <c:v>#N/A</c:v>
                </c:pt>
                <c:pt idx="4212">
                  <c:v>#N/A</c:v>
                </c:pt>
                <c:pt idx="4213">
                  <c:v>#N/A</c:v>
                </c:pt>
                <c:pt idx="4214">
                  <c:v>#N/A</c:v>
                </c:pt>
                <c:pt idx="4215">
                  <c:v>#N/A</c:v>
                </c:pt>
                <c:pt idx="4216">
                  <c:v>#N/A</c:v>
                </c:pt>
                <c:pt idx="4217">
                  <c:v>#N/A</c:v>
                </c:pt>
                <c:pt idx="4218">
                  <c:v>#N/A</c:v>
                </c:pt>
                <c:pt idx="4219">
                  <c:v>#N/A</c:v>
                </c:pt>
                <c:pt idx="4220">
                  <c:v>#N/A</c:v>
                </c:pt>
                <c:pt idx="4221">
                  <c:v>#N/A</c:v>
                </c:pt>
                <c:pt idx="4222">
                  <c:v>#N/A</c:v>
                </c:pt>
                <c:pt idx="4223">
                  <c:v>#N/A</c:v>
                </c:pt>
                <c:pt idx="4224">
                  <c:v>#N/A</c:v>
                </c:pt>
                <c:pt idx="4225">
                  <c:v>#N/A</c:v>
                </c:pt>
                <c:pt idx="4226">
                  <c:v>#N/A</c:v>
                </c:pt>
                <c:pt idx="4227">
                  <c:v>#N/A</c:v>
                </c:pt>
                <c:pt idx="4228">
                  <c:v>#N/A</c:v>
                </c:pt>
                <c:pt idx="4229">
                  <c:v>#N/A</c:v>
                </c:pt>
                <c:pt idx="4230">
                  <c:v>#N/A</c:v>
                </c:pt>
                <c:pt idx="4231">
                  <c:v>#N/A</c:v>
                </c:pt>
                <c:pt idx="4232">
                  <c:v>#N/A</c:v>
                </c:pt>
                <c:pt idx="4233">
                  <c:v>#N/A</c:v>
                </c:pt>
                <c:pt idx="4234">
                  <c:v>#N/A</c:v>
                </c:pt>
                <c:pt idx="4235">
                  <c:v>#N/A</c:v>
                </c:pt>
                <c:pt idx="4236">
                  <c:v>#N/A</c:v>
                </c:pt>
                <c:pt idx="4237">
                  <c:v>#N/A</c:v>
                </c:pt>
                <c:pt idx="4238">
                  <c:v>#N/A</c:v>
                </c:pt>
                <c:pt idx="4239">
                  <c:v>#N/A</c:v>
                </c:pt>
                <c:pt idx="4240">
                  <c:v>#N/A</c:v>
                </c:pt>
                <c:pt idx="4241">
                  <c:v>#N/A</c:v>
                </c:pt>
                <c:pt idx="4242">
                  <c:v>#N/A</c:v>
                </c:pt>
                <c:pt idx="4243">
                  <c:v>#N/A</c:v>
                </c:pt>
                <c:pt idx="4244">
                  <c:v>#N/A</c:v>
                </c:pt>
                <c:pt idx="4245">
                  <c:v>#N/A</c:v>
                </c:pt>
                <c:pt idx="4246">
                  <c:v>#N/A</c:v>
                </c:pt>
                <c:pt idx="4247">
                  <c:v>#N/A</c:v>
                </c:pt>
                <c:pt idx="4248">
                  <c:v>#N/A</c:v>
                </c:pt>
                <c:pt idx="4249">
                  <c:v>#N/A</c:v>
                </c:pt>
                <c:pt idx="4250">
                  <c:v>#N/A</c:v>
                </c:pt>
                <c:pt idx="4251">
                  <c:v>#N/A</c:v>
                </c:pt>
                <c:pt idx="4252">
                  <c:v>#N/A</c:v>
                </c:pt>
                <c:pt idx="4253">
                  <c:v>#N/A</c:v>
                </c:pt>
                <c:pt idx="4254">
                  <c:v>#N/A</c:v>
                </c:pt>
                <c:pt idx="4255">
                  <c:v>#N/A</c:v>
                </c:pt>
                <c:pt idx="4256">
                  <c:v>#N/A</c:v>
                </c:pt>
                <c:pt idx="4257">
                  <c:v>#N/A</c:v>
                </c:pt>
                <c:pt idx="4258">
                  <c:v>#N/A</c:v>
                </c:pt>
                <c:pt idx="4259">
                  <c:v>#N/A</c:v>
                </c:pt>
                <c:pt idx="4260">
                  <c:v>#N/A</c:v>
                </c:pt>
                <c:pt idx="4261">
                  <c:v>#N/A</c:v>
                </c:pt>
                <c:pt idx="4262">
                  <c:v>#N/A</c:v>
                </c:pt>
                <c:pt idx="4263">
                  <c:v>#N/A</c:v>
                </c:pt>
                <c:pt idx="4264">
                  <c:v>#N/A</c:v>
                </c:pt>
                <c:pt idx="4265">
                  <c:v>#N/A</c:v>
                </c:pt>
                <c:pt idx="4266">
                  <c:v>#N/A</c:v>
                </c:pt>
                <c:pt idx="4267">
                  <c:v>#N/A</c:v>
                </c:pt>
                <c:pt idx="4268">
                  <c:v>#N/A</c:v>
                </c:pt>
                <c:pt idx="4269">
                  <c:v>#N/A</c:v>
                </c:pt>
                <c:pt idx="4270">
                  <c:v>#N/A</c:v>
                </c:pt>
                <c:pt idx="4271">
                  <c:v>#N/A</c:v>
                </c:pt>
                <c:pt idx="4272">
                  <c:v>#N/A</c:v>
                </c:pt>
                <c:pt idx="4273">
                  <c:v>#N/A</c:v>
                </c:pt>
                <c:pt idx="4274">
                  <c:v>#N/A</c:v>
                </c:pt>
                <c:pt idx="4275">
                  <c:v>#N/A</c:v>
                </c:pt>
                <c:pt idx="4276">
                  <c:v>#N/A</c:v>
                </c:pt>
                <c:pt idx="4277">
                  <c:v>#N/A</c:v>
                </c:pt>
                <c:pt idx="4278">
                  <c:v>#N/A</c:v>
                </c:pt>
                <c:pt idx="4279">
                  <c:v>#N/A</c:v>
                </c:pt>
                <c:pt idx="4280">
                  <c:v>#N/A</c:v>
                </c:pt>
                <c:pt idx="4281">
                  <c:v>#N/A</c:v>
                </c:pt>
                <c:pt idx="4282">
                  <c:v>#N/A</c:v>
                </c:pt>
                <c:pt idx="4283">
                  <c:v>#N/A</c:v>
                </c:pt>
                <c:pt idx="4284">
                  <c:v>#N/A</c:v>
                </c:pt>
                <c:pt idx="4285">
                  <c:v>#N/A</c:v>
                </c:pt>
                <c:pt idx="4286">
                  <c:v>#N/A</c:v>
                </c:pt>
                <c:pt idx="4287">
                  <c:v>#N/A</c:v>
                </c:pt>
                <c:pt idx="4288">
                  <c:v>#N/A</c:v>
                </c:pt>
                <c:pt idx="4289">
                  <c:v>#N/A</c:v>
                </c:pt>
                <c:pt idx="4290">
                  <c:v>#N/A</c:v>
                </c:pt>
                <c:pt idx="4291">
                  <c:v>#N/A</c:v>
                </c:pt>
                <c:pt idx="4292">
                  <c:v>#N/A</c:v>
                </c:pt>
                <c:pt idx="4293">
                  <c:v>#N/A</c:v>
                </c:pt>
                <c:pt idx="4294">
                  <c:v>#N/A</c:v>
                </c:pt>
                <c:pt idx="4295">
                  <c:v>#N/A</c:v>
                </c:pt>
                <c:pt idx="4296">
                  <c:v>#N/A</c:v>
                </c:pt>
                <c:pt idx="4297">
                  <c:v>#N/A</c:v>
                </c:pt>
                <c:pt idx="4298">
                  <c:v>#N/A</c:v>
                </c:pt>
                <c:pt idx="4299">
                  <c:v>#N/A</c:v>
                </c:pt>
                <c:pt idx="4300">
                  <c:v>#N/A</c:v>
                </c:pt>
                <c:pt idx="4301">
                  <c:v>#N/A</c:v>
                </c:pt>
                <c:pt idx="4302">
                  <c:v>#N/A</c:v>
                </c:pt>
                <c:pt idx="4303">
                  <c:v>#N/A</c:v>
                </c:pt>
                <c:pt idx="4304">
                  <c:v>#N/A</c:v>
                </c:pt>
                <c:pt idx="4305">
                  <c:v>#N/A</c:v>
                </c:pt>
                <c:pt idx="4306">
                  <c:v>#N/A</c:v>
                </c:pt>
                <c:pt idx="4307">
                  <c:v>#N/A</c:v>
                </c:pt>
                <c:pt idx="4308">
                  <c:v>#N/A</c:v>
                </c:pt>
                <c:pt idx="4309">
                  <c:v>#N/A</c:v>
                </c:pt>
                <c:pt idx="4310">
                  <c:v>#N/A</c:v>
                </c:pt>
                <c:pt idx="4311">
                  <c:v>#N/A</c:v>
                </c:pt>
                <c:pt idx="4312">
                  <c:v>#N/A</c:v>
                </c:pt>
                <c:pt idx="4313">
                  <c:v>#N/A</c:v>
                </c:pt>
                <c:pt idx="4314">
                  <c:v>#N/A</c:v>
                </c:pt>
                <c:pt idx="4315">
                  <c:v>#N/A</c:v>
                </c:pt>
                <c:pt idx="4316">
                  <c:v>#N/A</c:v>
                </c:pt>
                <c:pt idx="4317">
                  <c:v>#N/A</c:v>
                </c:pt>
                <c:pt idx="4318">
                  <c:v>#N/A</c:v>
                </c:pt>
                <c:pt idx="4319">
                  <c:v>#N/A</c:v>
                </c:pt>
                <c:pt idx="4320">
                  <c:v>#N/A</c:v>
                </c:pt>
                <c:pt idx="4321">
                  <c:v>#N/A</c:v>
                </c:pt>
                <c:pt idx="4322">
                  <c:v>#N/A</c:v>
                </c:pt>
                <c:pt idx="4323">
                  <c:v>#N/A</c:v>
                </c:pt>
                <c:pt idx="4324">
                  <c:v>#N/A</c:v>
                </c:pt>
                <c:pt idx="4325">
                  <c:v>#N/A</c:v>
                </c:pt>
                <c:pt idx="4326">
                  <c:v>#N/A</c:v>
                </c:pt>
                <c:pt idx="4327">
                  <c:v>#N/A</c:v>
                </c:pt>
                <c:pt idx="4328">
                  <c:v>#N/A</c:v>
                </c:pt>
                <c:pt idx="4329">
                  <c:v>#N/A</c:v>
                </c:pt>
                <c:pt idx="4330">
                  <c:v>#N/A</c:v>
                </c:pt>
                <c:pt idx="4331">
                  <c:v>#N/A</c:v>
                </c:pt>
                <c:pt idx="4332">
                  <c:v>#N/A</c:v>
                </c:pt>
                <c:pt idx="4333">
                  <c:v>#N/A</c:v>
                </c:pt>
                <c:pt idx="4334">
                  <c:v>#N/A</c:v>
                </c:pt>
                <c:pt idx="4335">
                  <c:v>#N/A</c:v>
                </c:pt>
                <c:pt idx="4336">
                  <c:v>#N/A</c:v>
                </c:pt>
                <c:pt idx="4337">
                  <c:v>#N/A</c:v>
                </c:pt>
                <c:pt idx="4338">
                  <c:v>#N/A</c:v>
                </c:pt>
                <c:pt idx="4339">
                  <c:v>#N/A</c:v>
                </c:pt>
                <c:pt idx="4340">
                  <c:v>#N/A</c:v>
                </c:pt>
                <c:pt idx="4341">
                  <c:v>#N/A</c:v>
                </c:pt>
                <c:pt idx="4342">
                  <c:v>#N/A</c:v>
                </c:pt>
                <c:pt idx="4343">
                  <c:v>#N/A</c:v>
                </c:pt>
                <c:pt idx="4344">
                  <c:v>#N/A</c:v>
                </c:pt>
                <c:pt idx="4345">
                  <c:v>#N/A</c:v>
                </c:pt>
                <c:pt idx="4346">
                  <c:v>#N/A</c:v>
                </c:pt>
                <c:pt idx="4347">
                  <c:v>#N/A</c:v>
                </c:pt>
                <c:pt idx="4348">
                  <c:v>#N/A</c:v>
                </c:pt>
                <c:pt idx="4349">
                  <c:v>#N/A</c:v>
                </c:pt>
                <c:pt idx="4350">
                  <c:v>#N/A</c:v>
                </c:pt>
                <c:pt idx="4351">
                  <c:v>#N/A</c:v>
                </c:pt>
                <c:pt idx="4352">
                  <c:v>#N/A</c:v>
                </c:pt>
                <c:pt idx="4353">
                  <c:v>#N/A</c:v>
                </c:pt>
                <c:pt idx="4354">
                  <c:v>#N/A</c:v>
                </c:pt>
                <c:pt idx="4355">
                  <c:v>#N/A</c:v>
                </c:pt>
                <c:pt idx="4356">
                  <c:v>#N/A</c:v>
                </c:pt>
                <c:pt idx="4357">
                  <c:v>#N/A</c:v>
                </c:pt>
                <c:pt idx="4358">
                  <c:v>#N/A</c:v>
                </c:pt>
                <c:pt idx="4359">
                  <c:v>#N/A</c:v>
                </c:pt>
                <c:pt idx="4360">
                  <c:v>#N/A</c:v>
                </c:pt>
                <c:pt idx="4361">
                  <c:v>#N/A</c:v>
                </c:pt>
                <c:pt idx="4362">
                  <c:v>#N/A</c:v>
                </c:pt>
                <c:pt idx="4363">
                  <c:v>#N/A</c:v>
                </c:pt>
                <c:pt idx="4364">
                  <c:v>#N/A</c:v>
                </c:pt>
                <c:pt idx="4365">
                  <c:v>#N/A</c:v>
                </c:pt>
                <c:pt idx="4366">
                  <c:v>#N/A</c:v>
                </c:pt>
                <c:pt idx="4367">
                  <c:v>#N/A</c:v>
                </c:pt>
                <c:pt idx="4368">
                  <c:v>#N/A</c:v>
                </c:pt>
                <c:pt idx="4369">
                  <c:v>#N/A</c:v>
                </c:pt>
                <c:pt idx="4370">
                  <c:v>#N/A</c:v>
                </c:pt>
                <c:pt idx="4371">
                  <c:v>#N/A</c:v>
                </c:pt>
                <c:pt idx="4372">
                  <c:v>#N/A</c:v>
                </c:pt>
                <c:pt idx="4373">
                  <c:v>#N/A</c:v>
                </c:pt>
                <c:pt idx="4374">
                  <c:v>#N/A</c:v>
                </c:pt>
                <c:pt idx="4375">
                  <c:v>#N/A</c:v>
                </c:pt>
                <c:pt idx="4376">
                  <c:v>#N/A</c:v>
                </c:pt>
                <c:pt idx="4377">
                  <c:v>#N/A</c:v>
                </c:pt>
                <c:pt idx="4378">
                  <c:v>#N/A</c:v>
                </c:pt>
                <c:pt idx="4379">
                  <c:v>#N/A</c:v>
                </c:pt>
                <c:pt idx="4380">
                  <c:v>#N/A</c:v>
                </c:pt>
                <c:pt idx="4381">
                  <c:v>#N/A</c:v>
                </c:pt>
                <c:pt idx="4382">
                  <c:v>#N/A</c:v>
                </c:pt>
                <c:pt idx="4383">
                  <c:v>#N/A</c:v>
                </c:pt>
                <c:pt idx="4384">
                  <c:v>#N/A</c:v>
                </c:pt>
                <c:pt idx="4385">
                  <c:v>#N/A</c:v>
                </c:pt>
                <c:pt idx="4386">
                  <c:v>#N/A</c:v>
                </c:pt>
                <c:pt idx="4387">
                  <c:v>#N/A</c:v>
                </c:pt>
                <c:pt idx="4388">
                  <c:v>#N/A</c:v>
                </c:pt>
                <c:pt idx="4389">
                  <c:v>#N/A</c:v>
                </c:pt>
                <c:pt idx="4390">
                  <c:v>#N/A</c:v>
                </c:pt>
                <c:pt idx="4391">
                  <c:v>#N/A</c:v>
                </c:pt>
                <c:pt idx="4392">
                  <c:v>#N/A</c:v>
                </c:pt>
                <c:pt idx="4393">
                  <c:v>#N/A</c:v>
                </c:pt>
                <c:pt idx="4394">
                  <c:v>#N/A</c:v>
                </c:pt>
                <c:pt idx="4395">
                  <c:v>#N/A</c:v>
                </c:pt>
                <c:pt idx="4396">
                  <c:v>#N/A</c:v>
                </c:pt>
                <c:pt idx="4397">
                  <c:v>#N/A</c:v>
                </c:pt>
                <c:pt idx="4398">
                  <c:v>#N/A</c:v>
                </c:pt>
                <c:pt idx="4399">
                  <c:v>#N/A</c:v>
                </c:pt>
                <c:pt idx="4400">
                  <c:v>#N/A</c:v>
                </c:pt>
                <c:pt idx="4401">
                  <c:v>#N/A</c:v>
                </c:pt>
                <c:pt idx="4402">
                  <c:v>#N/A</c:v>
                </c:pt>
                <c:pt idx="4403">
                  <c:v>#N/A</c:v>
                </c:pt>
                <c:pt idx="4404">
                  <c:v>#N/A</c:v>
                </c:pt>
                <c:pt idx="4405">
                  <c:v>#N/A</c:v>
                </c:pt>
                <c:pt idx="4406">
                  <c:v>#N/A</c:v>
                </c:pt>
                <c:pt idx="4407">
                  <c:v>#N/A</c:v>
                </c:pt>
                <c:pt idx="4408">
                  <c:v>#N/A</c:v>
                </c:pt>
                <c:pt idx="4409">
                  <c:v>#N/A</c:v>
                </c:pt>
                <c:pt idx="4410">
                  <c:v>#N/A</c:v>
                </c:pt>
                <c:pt idx="4411">
                  <c:v>#N/A</c:v>
                </c:pt>
                <c:pt idx="4412">
                  <c:v>#N/A</c:v>
                </c:pt>
                <c:pt idx="4413">
                  <c:v>#N/A</c:v>
                </c:pt>
                <c:pt idx="4414">
                  <c:v>#N/A</c:v>
                </c:pt>
                <c:pt idx="4415">
                  <c:v>#N/A</c:v>
                </c:pt>
                <c:pt idx="4416">
                  <c:v>#N/A</c:v>
                </c:pt>
                <c:pt idx="4417">
                  <c:v>#N/A</c:v>
                </c:pt>
                <c:pt idx="4418">
                  <c:v>#N/A</c:v>
                </c:pt>
                <c:pt idx="4419">
                  <c:v>#N/A</c:v>
                </c:pt>
                <c:pt idx="4420">
                  <c:v>#N/A</c:v>
                </c:pt>
                <c:pt idx="4421">
                  <c:v>#N/A</c:v>
                </c:pt>
                <c:pt idx="4422">
                  <c:v>#N/A</c:v>
                </c:pt>
                <c:pt idx="4423">
                  <c:v>#N/A</c:v>
                </c:pt>
                <c:pt idx="4424">
                  <c:v>#N/A</c:v>
                </c:pt>
                <c:pt idx="4425">
                  <c:v>#N/A</c:v>
                </c:pt>
                <c:pt idx="4426">
                  <c:v>#N/A</c:v>
                </c:pt>
                <c:pt idx="4427">
                  <c:v>#N/A</c:v>
                </c:pt>
                <c:pt idx="4428">
                  <c:v>#N/A</c:v>
                </c:pt>
                <c:pt idx="4429">
                  <c:v>#N/A</c:v>
                </c:pt>
                <c:pt idx="4430">
                  <c:v>#N/A</c:v>
                </c:pt>
                <c:pt idx="4431">
                  <c:v>#N/A</c:v>
                </c:pt>
                <c:pt idx="4432">
                  <c:v>#N/A</c:v>
                </c:pt>
                <c:pt idx="4433">
                  <c:v>#N/A</c:v>
                </c:pt>
                <c:pt idx="4434">
                  <c:v>#N/A</c:v>
                </c:pt>
                <c:pt idx="4435">
                  <c:v>#N/A</c:v>
                </c:pt>
                <c:pt idx="4436">
                  <c:v>#N/A</c:v>
                </c:pt>
                <c:pt idx="4437">
                  <c:v>#N/A</c:v>
                </c:pt>
                <c:pt idx="4438">
                  <c:v>#N/A</c:v>
                </c:pt>
                <c:pt idx="4439">
                  <c:v>#N/A</c:v>
                </c:pt>
                <c:pt idx="4440">
                  <c:v>#N/A</c:v>
                </c:pt>
                <c:pt idx="4441">
                  <c:v>#N/A</c:v>
                </c:pt>
                <c:pt idx="4442">
                  <c:v>#N/A</c:v>
                </c:pt>
                <c:pt idx="4443">
                  <c:v>#N/A</c:v>
                </c:pt>
                <c:pt idx="4444">
                  <c:v>#N/A</c:v>
                </c:pt>
                <c:pt idx="4445">
                  <c:v>#N/A</c:v>
                </c:pt>
                <c:pt idx="4446">
                  <c:v>#N/A</c:v>
                </c:pt>
                <c:pt idx="4447">
                  <c:v>#N/A</c:v>
                </c:pt>
                <c:pt idx="4448">
                  <c:v>#N/A</c:v>
                </c:pt>
                <c:pt idx="4449">
                  <c:v>#N/A</c:v>
                </c:pt>
                <c:pt idx="4450">
                  <c:v>#N/A</c:v>
                </c:pt>
                <c:pt idx="4451">
                  <c:v>#N/A</c:v>
                </c:pt>
                <c:pt idx="4452">
                  <c:v>#N/A</c:v>
                </c:pt>
                <c:pt idx="4453">
                  <c:v>#N/A</c:v>
                </c:pt>
                <c:pt idx="4454">
                  <c:v>#N/A</c:v>
                </c:pt>
                <c:pt idx="4455">
                  <c:v>#N/A</c:v>
                </c:pt>
                <c:pt idx="4456">
                  <c:v>#N/A</c:v>
                </c:pt>
                <c:pt idx="4457">
                  <c:v>#N/A</c:v>
                </c:pt>
                <c:pt idx="4458">
                  <c:v>#N/A</c:v>
                </c:pt>
                <c:pt idx="4459">
                  <c:v>#N/A</c:v>
                </c:pt>
                <c:pt idx="4460">
                  <c:v>#N/A</c:v>
                </c:pt>
                <c:pt idx="4461">
                  <c:v>#N/A</c:v>
                </c:pt>
                <c:pt idx="4462">
                  <c:v>#N/A</c:v>
                </c:pt>
                <c:pt idx="4463">
                  <c:v>#N/A</c:v>
                </c:pt>
                <c:pt idx="4464">
                  <c:v>#N/A</c:v>
                </c:pt>
                <c:pt idx="4465">
                  <c:v>#N/A</c:v>
                </c:pt>
                <c:pt idx="4466">
                  <c:v>#N/A</c:v>
                </c:pt>
                <c:pt idx="4467">
                  <c:v>#N/A</c:v>
                </c:pt>
                <c:pt idx="4468">
                  <c:v>#N/A</c:v>
                </c:pt>
                <c:pt idx="4469">
                  <c:v>#N/A</c:v>
                </c:pt>
                <c:pt idx="4470">
                  <c:v>#N/A</c:v>
                </c:pt>
                <c:pt idx="4471">
                  <c:v>#N/A</c:v>
                </c:pt>
                <c:pt idx="4472">
                  <c:v>#N/A</c:v>
                </c:pt>
                <c:pt idx="4473">
                  <c:v>#N/A</c:v>
                </c:pt>
                <c:pt idx="4474">
                  <c:v>#N/A</c:v>
                </c:pt>
                <c:pt idx="4475">
                  <c:v>#N/A</c:v>
                </c:pt>
                <c:pt idx="4476">
                  <c:v>#N/A</c:v>
                </c:pt>
                <c:pt idx="4477">
                  <c:v>#N/A</c:v>
                </c:pt>
                <c:pt idx="4478">
                  <c:v>#N/A</c:v>
                </c:pt>
                <c:pt idx="4479">
                  <c:v>#N/A</c:v>
                </c:pt>
                <c:pt idx="4480">
                  <c:v>#N/A</c:v>
                </c:pt>
                <c:pt idx="4481">
                  <c:v>#N/A</c:v>
                </c:pt>
                <c:pt idx="4482">
                  <c:v>#N/A</c:v>
                </c:pt>
                <c:pt idx="4483">
                  <c:v>#N/A</c:v>
                </c:pt>
                <c:pt idx="4484">
                  <c:v>#N/A</c:v>
                </c:pt>
                <c:pt idx="4485">
                  <c:v>#N/A</c:v>
                </c:pt>
                <c:pt idx="4486">
                  <c:v>#N/A</c:v>
                </c:pt>
                <c:pt idx="4487">
                  <c:v>#N/A</c:v>
                </c:pt>
                <c:pt idx="4488">
                  <c:v>#N/A</c:v>
                </c:pt>
                <c:pt idx="4489">
                  <c:v>#N/A</c:v>
                </c:pt>
                <c:pt idx="4490">
                  <c:v>#N/A</c:v>
                </c:pt>
                <c:pt idx="4491">
                  <c:v>#N/A</c:v>
                </c:pt>
                <c:pt idx="4492">
                  <c:v>#N/A</c:v>
                </c:pt>
                <c:pt idx="4493">
                  <c:v>#N/A</c:v>
                </c:pt>
                <c:pt idx="4494">
                  <c:v>#N/A</c:v>
                </c:pt>
                <c:pt idx="4495">
                  <c:v>#N/A</c:v>
                </c:pt>
                <c:pt idx="4496">
                  <c:v>#N/A</c:v>
                </c:pt>
                <c:pt idx="4497">
                  <c:v>#N/A</c:v>
                </c:pt>
                <c:pt idx="4498">
                  <c:v>#N/A</c:v>
                </c:pt>
                <c:pt idx="4499">
                  <c:v>#N/A</c:v>
                </c:pt>
                <c:pt idx="4500">
                  <c:v>#N/A</c:v>
                </c:pt>
                <c:pt idx="4501">
                  <c:v>#N/A</c:v>
                </c:pt>
                <c:pt idx="4502">
                  <c:v>#N/A</c:v>
                </c:pt>
                <c:pt idx="4503">
                  <c:v>#N/A</c:v>
                </c:pt>
                <c:pt idx="4504">
                  <c:v>#N/A</c:v>
                </c:pt>
                <c:pt idx="4505">
                  <c:v>#N/A</c:v>
                </c:pt>
                <c:pt idx="4506">
                  <c:v>#N/A</c:v>
                </c:pt>
                <c:pt idx="4507">
                  <c:v>#N/A</c:v>
                </c:pt>
                <c:pt idx="4508">
                  <c:v>#N/A</c:v>
                </c:pt>
                <c:pt idx="4509">
                  <c:v>#N/A</c:v>
                </c:pt>
                <c:pt idx="4510">
                  <c:v>#N/A</c:v>
                </c:pt>
                <c:pt idx="4511">
                  <c:v>#N/A</c:v>
                </c:pt>
                <c:pt idx="4512">
                  <c:v>#N/A</c:v>
                </c:pt>
                <c:pt idx="4513">
                  <c:v>#N/A</c:v>
                </c:pt>
                <c:pt idx="4514">
                  <c:v>#N/A</c:v>
                </c:pt>
                <c:pt idx="4515">
                  <c:v>#N/A</c:v>
                </c:pt>
                <c:pt idx="4516">
                  <c:v>#N/A</c:v>
                </c:pt>
                <c:pt idx="4517">
                  <c:v>#N/A</c:v>
                </c:pt>
                <c:pt idx="4518">
                  <c:v>#N/A</c:v>
                </c:pt>
                <c:pt idx="4519">
                  <c:v>#N/A</c:v>
                </c:pt>
                <c:pt idx="4520">
                  <c:v>#N/A</c:v>
                </c:pt>
                <c:pt idx="4521">
                  <c:v>#N/A</c:v>
                </c:pt>
                <c:pt idx="4522">
                  <c:v>#N/A</c:v>
                </c:pt>
                <c:pt idx="4523">
                  <c:v>#N/A</c:v>
                </c:pt>
                <c:pt idx="4524">
                  <c:v>#N/A</c:v>
                </c:pt>
                <c:pt idx="4525">
                  <c:v>#N/A</c:v>
                </c:pt>
                <c:pt idx="4526">
                  <c:v>#N/A</c:v>
                </c:pt>
                <c:pt idx="4527">
                  <c:v>#N/A</c:v>
                </c:pt>
                <c:pt idx="4528">
                  <c:v>#N/A</c:v>
                </c:pt>
                <c:pt idx="4529">
                  <c:v>#N/A</c:v>
                </c:pt>
                <c:pt idx="4530">
                  <c:v>#N/A</c:v>
                </c:pt>
                <c:pt idx="4531">
                  <c:v>#N/A</c:v>
                </c:pt>
                <c:pt idx="4532">
                  <c:v>#N/A</c:v>
                </c:pt>
                <c:pt idx="4533">
                  <c:v>#N/A</c:v>
                </c:pt>
                <c:pt idx="4534">
                  <c:v>#N/A</c:v>
                </c:pt>
                <c:pt idx="4535">
                  <c:v>#N/A</c:v>
                </c:pt>
                <c:pt idx="4536">
                  <c:v>#N/A</c:v>
                </c:pt>
                <c:pt idx="4537">
                  <c:v>#N/A</c:v>
                </c:pt>
                <c:pt idx="4538">
                  <c:v>#N/A</c:v>
                </c:pt>
                <c:pt idx="4539">
                  <c:v>#N/A</c:v>
                </c:pt>
                <c:pt idx="4540">
                  <c:v>#N/A</c:v>
                </c:pt>
                <c:pt idx="4541">
                  <c:v>#N/A</c:v>
                </c:pt>
                <c:pt idx="4542">
                  <c:v>#N/A</c:v>
                </c:pt>
                <c:pt idx="4543">
                  <c:v>#N/A</c:v>
                </c:pt>
                <c:pt idx="4544">
                  <c:v>#N/A</c:v>
                </c:pt>
                <c:pt idx="4545">
                  <c:v>#N/A</c:v>
                </c:pt>
                <c:pt idx="4546">
                  <c:v>#N/A</c:v>
                </c:pt>
                <c:pt idx="4547">
                  <c:v>#N/A</c:v>
                </c:pt>
                <c:pt idx="4548">
                  <c:v>#N/A</c:v>
                </c:pt>
                <c:pt idx="4549">
                  <c:v>#N/A</c:v>
                </c:pt>
                <c:pt idx="4550">
                  <c:v>#N/A</c:v>
                </c:pt>
                <c:pt idx="4551">
                  <c:v>#N/A</c:v>
                </c:pt>
                <c:pt idx="4552">
                  <c:v>#N/A</c:v>
                </c:pt>
                <c:pt idx="4553">
                  <c:v>#N/A</c:v>
                </c:pt>
                <c:pt idx="4554">
                  <c:v>#N/A</c:v>
                </c:pt>
                <c:pt idx="4555">
                  <c:v>#N/A</c:v>
                </c:pt>
                <c:pt idx="4556">
                  <c:v>#N/A</c:v>
                </c:pt>
                <c:pt idx="4557">
                  <c:v>#N/A</c:v>
                </c:pt>
                <c:pt idx="4558">
                  <c:v>#N/A</c:v>
                </c:pt>
                <c:pt idx="4559">
                  <c:v>#N/A</c:v>
                </c:pt>
                <c:pt idx="4560">
                  <c:v>#N/A</c:v>
                </c:pt>
                <c:pt idx="4561">
                  <c:v>#N/A</c:v>
                </c:pt>
                <c:pt idx="4562">
                  <c:v>#N/A</c:v>
                </c:pt>
                <c:pt idx="4563">
                  <c:v>#N/A</c:v>
                </c:pt>
                <c:pt idx="4564">
                  <c:v>#N/A</c:v>
                </c:pt>
                <c:pt idx="4565">
                  <c:v>#N/A</c:v>
                </c:pt>
                <c:pt idx="4566">
                  <c:v>#N/A</c:v>
                </c:pt>
                <c:pt idx="4567">
                  <c:v>#N/A</c:v>
                </c:pt>
                <c:pt idx="4568">
                  <c:v>#N/A</c:v>
                </c:pt>
                <c:pt idx="4569">
                  <c:v>#N/A</c:v>
                </c:pt>
                <c:pt idx="4570">
                  <c:v>#N/A</c:v>
                </c:pt>
                <c:pt idx="4571">
                  <c:v>#N/A</c:v>
                </c:pt>
                <c:pt idx="4572">
                  <c:v>#N/A</c:v>
                </c:pt>
                <c:pt idx="4573">
                  <c:v>#N/A</c:v>
                </c:pt>
                <c:pt idx="4574">
                  <c:v>#N/A</c:v>
                </c:pt>
                <c:pt idx="4575">
                  <c:v>#N/A</c:v>
                </c:pt>
                <c:pt idx="4576">
                  <c:v>#N/A</c:v>
                </c:pt>
                <c:pt idx="4577">
                  <c:v>#N/A</c:v>
                </c:pt>
                <c:pt idx="4578">
                  <c:v>#N/A</c:v>
                </c:pt>
                <c:pt idx="4579">
                  <c:v>#N/A</c:v>
                </c:pt>
                <c:pt idx="4580">
                  <c:v>#N/A</c:v>
                </c:pt>
                <c:pt idx="4581">
                  <c:v>#N/A</c:v>
                </c:pt>
                <c:pt idx="4582">
                  <c:v>#N/A</c:v>
                </c:pt>
                <c:pt idx="4583">
                  <c:v>#N/A</c:v>
                </c:pt>
                <c:pt idx="4584">
                  <c:v>#N/A</c:v>
                </c:pt>
                <c:pt idx="4585">
                  <c:v>#N/A</c:v>
                </c:pt>
                <c:pt idx="4586">
                  <c:v>#N/A</c:v>
                </c:pt>
                <c:pt idx="4587">
                  <c:v>#N/A</c:v>
                </c:pt>
                <c:pt idx="4588">
                  <c:v>#N/A</c:v>
                </c:pt>
                <c:pt idx="4589">
                  <c:v>#N/A</c:v>
                </c:pt>
                <c:pt idx="4590">
                  <c:v>#N/A</c:v>
                </c:pt>
                <c:pt idx="4591">
                  <c:v>#N/A</c:v>
                </c:pt>
                <c:pt idx="4592">
                  <c:v>#N/A</c:v>
                </c:pt>
                <c:pt idx="4593">
                  <c:v>#N/A</c:v>
                </c:pt>
                <c:pt idx="4594">
                  <c:v>#N/A</c:v>
                </c:pt>
                <c:pt idx="4595">
                  <c:v>#N/A</c:v>
                </c:pt>
                <c:pt idx="4596">
                  <c:v>#N/A</c:v>
                </c:pt>
                <c:pt idx="4597">
                  <c:v>#N/A</c:v>
                </c:pt>
                <c:pt idx="4598">
                  <c:v>#N/A</c:v>
                </c:pt>
                <c:pt idx="4599">
                  <c:v>#N/A</c:v>
                </c:pt>
                <c:pt idx="4600">
                  <c:v>#N/A</c:v>
                </c:pt>
                <c:pt idx="4601">
                  <c:v>#N/A</c:v>
                </c:pt>
                <c:pt idx="4602">
                  <c:v>#N/A</c:v>
                </c:pt>
                <c:pt idx="4603">
                  <c:v>#N/A</c:v>
                </c:pt>
                <c:pt idx="4604">
                  <c:v>#N/A</c:v>
                </c:pt>
                <c:pt idx="4605">
                  <c:v>#N/A</c:v>
                </c:pt>
                <c:pt idx="4606">
                  <c:v>#N/A</c:v>
                </c:pt>
                <c:pt idx="4607">
                  <c:v>#N/A</c:v>
                </c:pt>
                <c:pt idx="4608">
                  <c:v>#N/A</c:v>
                </c:pt>
                <c:pt idx="4609">
                  <c:v>#N/A</c:v>
                </c:pt>
                <c:pt idx="4610">
                  <c:v>#N/A</c:v>
                </c:pt>
                <c:pt idx="4611">
                  <c:v>#N/A</c:v>
                </c:pt>
                <c:pt idx="4612">
                  <c:v>#N/A</c:v>
                </c:pt>
                <c:pt idx="4613">
                  <c:v>#N/A</c:v>
                </c:pt>
                <c:pt idx="4614">
                  <c:v>#N/A</c:v>
                </c:pt>
                <c:pt idx="4615">
                  <c:v>#N/A</c:v>
                </c:pt>
                <c:pt idx="4616">
                  <c:v>#N/A</c:v>
                </c:pt>
                <c:pt idx="4617">
                  <c:v>#N/A</c:v>
                </c:pt>
                <c:pt idx="4618">
                  <c:v>#N/A</c:v>
                </c:pt>
                <c:pt idx="4619">
                  <c:v>#N/A</c:v>
                </c:pt>
                <c:pt idx="4620">
                  <c:v>#N/A</c:v>
                </c:pt>
                <c:pt idx="4621">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numCache>
            </c:numRef>
          </c:xVal>
          <c:yVal>
            <c:numRef>
              <c:f>'Resultados 2D'!Y_P_NoLimitado</c:f>
              <c:numCache>
                <c:formatCode>General</c:formatCode>
                <c:ptCount val="499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#N/A</c:v>
                </c:pt>
                <c:pt idx="99">
                  <c:v>0</c:v>
                </c:pt>
                <c:pt idx="100">
                  <c:v>0</c:v>
                </c:pt>
                <c:pt idx="101">
                  <c:v>#N/A</c:v>
                </c:pt>
                <c:pt idx="102">
                  <c:v>#N/A</c:v>
                </c:pt>
                <c:pt idx="103">
                  <c:v>#N/A</c:v>
                </c:pt>
                <c:pt idx="104">
                  <c:v>#N/A</c:v>
                </c:pt>
                <c:pt idx="105">
                  <c:v>#N/A</c:v>
                </c:pt>
                <c:pt idx="106">
                  <c:v>0</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0</c:v>
                </c:pt>
                <c:pt idx="342">
                  <c:v>#N/A</c:v>
                </c:pt>
                <c:pt idx="343">
                  <c:v>#N/A</c:v>
                </c:pt>
                <c:pt idx="344">
                  <c:v>#N/A</c:v>
                </c:pt>
                <c:pt idx="345">
                  <c:v>#N/A</c:v>
                </c:pt>
                <c:pt idx="346">
                  <c:v>0</c:v>
                </c:pt>
                <c:pt idx="347">
                  <c:v>0</c:v>
                </c:pt>
                <c:pt idx="348">
                  <c:v>#N/A</c:v>
                </c:pt>
                <c:pt idx="349">
                  <c:v>0</c:v>
                </c:pt>
                <c:pt idx="350">
                  <c:v>#N/A</c:v>
                </c:pt>
                <c:pt idx="351">
                  <c:v>0</c:v>
                </c:pt>
                <c:pt idx="352">
                  <c:v>0</c:v>
                </c:pt>
                <c:pt idx="353">
                  <c:v>#N/A</c:v>
                </c:pt>
                <c:pt idx="354">
                  <c:v>0</c:v>
                </c:pt>
                <c:pt idx="355">
                  <c:v>0</c:v>
                </c:pt>
                <c:pt idx="356">
                  <c:v>0</c:v>
                </c:pt>
                <c:pt idx="357">
                  <c:v>#N/A</c:v>
                </c:pt>
                <c:pt idx="358">
                  <c:v>0</c:v>
                </c:pt>
                <c:pt idx="359">
                  <c:v>0</c:v>
                </c:pt>
                <c:pt idx="360">
                  <c:v>0</c:v>
                </c:pt>
                <c:pt idx="361">
                  <c:v>#N/A</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#N/A</c:v>
                </c:pt>
                <c:pt idx="436">
                  <c:v>0</c:v>
                </c:pt>
                <c:pt idx="437">
                  <c:v>0</c:v>
                </c:pt>
                <c:pt idx="438">
                  <c:v>#N/A</c:v>
                </c:pt>
                <c:pt idx="439">
                  <c:v>0</c:v>
                </c:pt>
                <c:pt idx="440">
                  <c:v>0</c:v>
                </c:pt>
                <c:pt idx="441">
                  <c:v>0</c:v>
                </c:pt>
                <c:pt idx="442">
                  <c:v>0</c:v>
                </c:pt>
                <c:pt idx="443">
                  <c:v>#N/A</c:v>
                </c:pt>
                <c:pt idx="444">
                  <c:v>0</c:v>
                </c:pt>
                <c:pt idx="445">
                  <c:v>0</c:v>
                </c:pt>
                <c:pt idx="446">
                  <c:v>0</c:v>
                </c:pt>
                <c:pt idx="447">
                  <c:v>#N/A</c:v>
                </c:pt>
                <c:pt idx="448">
                  <c:v>#N/A</c:v>
                </c:pt>
                <c:pt idx="449">
                  <c:v>0</c:v>
                </c:pt>
                <c:pt idx="450">
                  <c:v>0</c:v>
                </c:pt>
                <c:pt idx="451">
                  <c:v>0</c:v>
                </c:pt>
                <c:pt idx="452">
                  <c:v>#N/A</c:v>
                </c:pt>
                <c:pt idx="453">
                  <c:v>0</c:v>
                </c:pt>
                <c:pt idx="454">
                  <c:v>0</c:v>
                </c:pt>
                <c:pt idx="455">
                  <c:v>#N/A</c:v>
                </c:pt>
                <c:pt idx="456">
                  <c:v>#N/A</c:v>
                </c:pt>
                <c:pt idx="457">
                  <c:v>0</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0</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pt idx="3534">
                  <c:v>#N/A</c:v>
                </c:pt>
                <c:pt idx="3535">
                  <c:v>#N/A</c:v>
                </c:pt>
                <c:pt idx="3536">
                  <c:v>#N/A</c:v>
                </c:pt>
                <c:pt idx="3537">
                  <c:v>#N/A</c:v>
                </c:pt>
                <c:pt idx="3538">
                  <c:v>#N/A</c:v>
                </c:pt>
                <c:pt idx="3539">
                  <c:v>#N/A</c:v>
                </c:pt>
                <c:pt idx="3540">
                  <c:v>#N/A</c:v>
                </c:pt>
                <c:pt idx="3541">
                  <c:v>#N/A</c:v>
                </c:pt>
                <c:pt idx="3542">
                  <c:v>#N/A</c:v>
                </c:pt>
                <c:pt idx="3543">
                  <c:v>#N/A</c:v>
                </c:pt>
                <c:pt idx="3544">
                  <c:v>#N/A</c:v>
                </c:pt>
                <c:pt idx="3545">
                  <c:v>#N/A</c:v>
                </c:pt>
                <c:pt idx="3546">
                  <c:v>#N/A</c:v>
                </c:pt>
                <c:pt idx="3547">
                  <c:v>#N/A</c:v>
                </c:pt>
                <c:pt idx="3548">
                  <c:v>#N/A</c:v>
                </c:pt>
                <c:pt idx="3549">
                  <c:v>#N/A</c:v>
                </c:pt>
                <c:pt idx="3550">
                  <c:v>#N/A</c:v>
                </c:pt>
                <c:pt idx="3551">
                  <c:v>#N/A</c:v>
                </c:pt>
                <c:pt idx="3552">
                  <c:v>#N/A</c:v>
                </c:pt>
                <c:pt idx="3553">
                  <c:v>#N/A</c:v>
                </c:pt>
                <c:pt idx="3554">
                  <c:v>#N/A</c:v>
                </c:pt>
                <c:pt idx="3555">
                  <c:v>#N/A</c:v>
                </c:pt>
                <c:pt idx="3556">
                  <c:v>#N/A</c:v>
                </c:pt>
                <c:pt idx="3557">
                  <c:v>#N/A</c:v>
                </c:pt>
                <c:pt idx="3558">
                  <c:v>#N/A</c:v>
                </c:pt>
                <c:pt idx="3559">
                  <c:v>#N/A</c:v>
                </c:pt>
                <c:pt idx="3560">
                  <c:v>#N/A</c:v>
                </c:pt>
                <c:pt idx="3561">
                  <c:v>#N/A</c:v>
                </c:pt>
                <c:pt idx="3562">
                  <c:v>#N/A</c:v>
                </c:pt>
                <c:pt idx="3563">
                  <c:v>#N/A</c:v>
                </c:pt>
                <c:pt idx="3564">
                  <c:v>#N/A</c:v>
                </c:pt>
                <c:pt idx="3565">
                  <c:v>#N/A</c:v>
                </c:pt>
                <c:pt idx="3566">
                  <c:v>#N/A</c:v>
                </c:pt>
                <c:pt idx="3567">
                  <c:v>#N/A</c:v>
                </c:pt>
                <c:pt idx="3568">
                  <c:v>#N/A</c:v>
                </c:pt>
                <c:pt idx="3569">
                  <c:v>#N/A</c:v>
                </c:pt>
                <c:pt idx="3570">
                  <c:v>#N/A</c:v>
                </c:pt>
                <c:pt idx="3571">
                  <c:v>#N/A</c:v>
                </c:pt>
                <c:pt idx="3572">
                  <c:v>#N/A</c:v>
                </c:pt>
                <c:pt idx="3573">
                  <c:v>#N/A</c:v>
                </c:pt>
                <c:pt idx="3574">
                  <c:v>#N/A</c:v>
                </c:pt>
                <c:pt idx="3575">
                  <c:v>#N/A</c:v>
                </c:pt>
                <c:pt idx="3576">
                  <c:v>#N/A</c:v>
                </c:pt>
                <c:pt idx="3577">
                  <c:v>#N/A</c:v>
                </c:pt>
                <c:pt idx="3578">
                  <c:v>#N/A</c:v>
                </c:pt>
                <c:pt idx="3579">
                  <c:v>#N/A</c:v>
                </c:pt>
                <c:pt idx="3580">
                  <c:v>#N/A</c:v>
                </c:pt>
                <c:pt idx="3581">
                  <c:v>#N/A</c:v>
                </c:pt>
                <c:pt idx="3582">
                  <c:v>#N/A</c:v>
                </c:pt>
                <c:pt idx="3583">
                  <c:v>#N/A</c:v>
                </c:pt>
                <c:pt idx="3584">
                  <c:v>#N/A</c:v>
                </c:pt>
                <c:pt idx="3585">
                  <c:v>#N/A</c:v>
                </c:pt>
                <c:pt idx="3586">
                  <c:v>#N/A</c:v>
                </c:pt>
                <c:pt idx="3587">
                  <c:v>#N/A</c:v>
                </c:pt>
                <c:pt idx="3588">
                  <c:v>#N/A</c:v>
                </c:pt>
                <c:pt idx="3589">
                  <c:v>#N/A</c:v>
                </c:pt>
                <c:pt idx="3590">
                  <c:v>#N/A</c:v>
                </c:pt>
                <c:pt idx="3591">
                  <c:v>#N/A</c:v>
                </c:pt>
                <c:pt idx="3592">
                  <c:v>#N/A</c:v>
                </c:pt>
                <c:pt idx="3593">
                  <c:v>#N/A</c:v>
                </c:pt>
                <c:pt idx="3594">
                  <c:v>#N/A</c:v>
                </c:pt>
                <c:pt idx="3595">
                  <c:v>#N/A</c:v>
                </c:pt>
                <c:pt idx="3596">
                  <c:v>#N/A</c:v>
                </c:pt>
                <c:pt idx="3597">
                  <c:v>#N/A</c:v>
                </c:pt>
                <c:pt idx="3598">
                  <c:v>#N/A</c:v>
                </c:pt>
                <c:pt idx="3599">
                  <c:v>#N/A</c:v>
                </c:pt>
                <c:pt idx="3600">
                  <c:v>#N/A</c:v>
                </c:pt>
                <c:pt idx="3601">
                  <c:v>#N/A</c:v>
                </c:pt>
                <c:pt idx="3602">
                  <c:v>#N/A</c:v>
                </c:pt>
                <c:pt idx="3603">
                  <c:v>#N/A</c:v>
                </c:pt>
                <c:pt idx="3604">
                  <c:v>#N/A</c:v>
                </c:pt>
                <c:pt idx="3605">
                  <c:v>#N/A</c:v>
                </c:pt>
                <c:pt idx="3606">
                  <c:v>#N/A</c:v>
                </c:pt>
                <c:pt idx="3607">
                  <c:v>#N/A</c:v>
                </c:pt>
                <c:pt idx="3608">
                  <c:v>#N/A</c:v>
                </c:pt>
                <c:pt idx="3609">
                  <c:v>#N/A</c:v>
                </c:pt>
                <c:pt idx="3610">
                  <c:v>#N/A</c:v>
                </c:pt>
                <c:pt idx="3611">
                  <c:v>#N/A</c:v>
                </c:pt>
                <c:pt idx="3612">
                  <c:v>#N/A</c:v>
                </c:pt>
                <c:pt idx="3613">
                  <c:v>#N/A</c:v>
                </c:pt>
                <c:pt idx="3614">
                  <c:v>#N/A</c:v>
                </c:pt>
                <c:pt idx="3615">
                  <c:v>#N/A</c:v>
                </c:pt>
                <c:pt idx="3616">
                  <c:v>#N/A</c:v>
                </c:pt>
                <c:pt idx="3617">
                  <c:v>#N/A</c:v>
                </c:pt>
                <c:pt idx="3618">
                  <c:v>#N/A</c:v>
                </c:pt>
                <c:pt idx="3619">
                  <c:v>#N/A</c:v>
                </c:pt>
                <c:pt idx="3620">
                  <c:v>#N/A</c:v>
                </c:pt>
                <c:pt idx="3621">
                  <c:v>#N/A</c:v>
                </c:pt>
                <c:pt idx="3622">
                  <c:v>#N/A</c:v>
                </c:pt>
                <c:pt idx="3623">
                  <c:v>#N/A</c:v>
                </c:pt>
                <c:pt idx="3624">
                  <c:v>#N/A</c:v>
                </c:pt>
                <c:pt idx="3625">
                  <c:v>#N/A</c:v>
                </c:pt>
                <c:pt idx="3626">
                  <c:v>#N/A</c:v>
                </c:pt>
                <c:pt idx="3627">
                  <c:v>#N/A</c:v>
                </c:pt>
                <c:pt idx="3628">
                  <c:v>#N/A</c:v>
                </c:pt>
                <c:pt idx="3629">
                  <c:v>#N/A</c:v>
                </c:pt>
                <c:pt idx="3630">
                  <c:v>#N/A</c:v>
                </c:pt>
                <c:pt idx="3631">
                  <c:v>#N/A</c:v>
                </c:pt>
                <c:pt idx="3632">
                  <c:v>#N/A</c:v>
                </c:pt>
                <c:pt idx="3633">
                  <c:v>#N/A</c:v>
                </c:pt>
                <c:pt idx="3634">
                  <c:v>#N/A</c:v>
                </c:pt>
                <c:pt idx="3635">
                  <c:v>#N/A</c:v>
                </c:pt>
                <c:pt idx="3636">
                  <c:v>#N/A</c:v>
                </c:pt>
                <c:pt idx="3637">
                  <c:v>#N/A</c:v>
                </c:pt>
                <c:pt idx="3638">
                  <c:v>#N/A</c:v>
                </c:pt>
                <c:pt idx="3639">
                  <c:v>#N/A</c:v>
                </c:pt>
                <c:pt idx="3640">
                  <c:v>#N/A</c:v>
                </c:pt>
                <c:pt idx="3641">
                  <c:v>#N/A</c:v>
                </c:pt>
                <c:pt idx="3642">
                  <c:v>#N/A</c:v>
                </c:pt>
                <c:pt idx="3643">
                  <c:v>#N/A</c:v>
                </c:pt>
                <c:pt idx="3644">
                  <c:v>#N/A</c:v>
                </c:pt>
                <c:pt idx="3645">
                  <c:v>#N/A</c:v>
                </c:pt>
                <c:pt idx="3646">
                  <c:v>#N/A</c:v>
                </c:pt>
                <c:pt idx="3647">
                  <c:v>#N/A</c:v>
                </c:pt>
                <c:pt idx="3648">
                  <c:v>#N/A</c:v>
                </c:pt>
                <c:pt idx="3649">
                  <c:v>#N/A</c:v>
                </c:pt>
                <c:pt idx="3650">
                  <c:v>#N/A</c:v>
                </c:pt>
                <c:pt idx="3651">
                  <c:v>#N/A</c:v>
                </c:pt>
                <c:pt idx="3652">
                  <c:v>#N/A</c:v>
                </c:pt>
                <c:pt idx="3653">
                  <c:v>#N/A</c:v>
                </c:pt>
                <c:pt idx="3654">
                  <c:v>#N/A</c:v>
                </c:pt>
                <c:pt idx="3655">
                  <c:v>#N/A</c:v>
                </c:pt>
                <c:pt idx="3656">
                  <c:v>#N/A</c:v>
                </c:pt>
                <c:pt idx="3657">
                  <c:v>#N/A</c:v>
                </c:pt>
                <c:pt idx="3658">
                  <c:v>#N/A</c:v>
                </c:pt>
                <c:pt idx="3659">
                  <c:v>#N/A</c:v>
                </c:pt>
                <c:pt idx="3660">
                  <c:v>#N/A</c:v>
                </c:pt>
                <c:pt idx="3661">
                  <c:v>#N/A</c:v>
                </c:pt>
                <c:pt idx="3662">
                  <c:v>#N/A</c:v>
                </c:pt>
                <c:pt idx="3663">
                  <c:v>#N/A</c:v>
                </c:pt>
                <c:pt idx="3664">
                  <c:v>#N/A</c:v>
                </c:pt>
                <c:pt idx="3665">
                  <c:v>#N/A</c:v>
                </c:pt>
                <c:pt idx="3666">
                  <c:v>#N/A</c:v>
                </c:pt>
                <c:pt idx="3667">
                  <c:v>#N/A</c:v>
                </c:pt>
                <c:pt idx="3668">
                  <c:v>#N/A</c:v>
                </c:pt>
                <c:pt idx="3669">
                  <c:v>#N/A</c:v>
                </c:pt>
                <c:pt idx="3670">
                  <c:v>#N/A</c:v>
                </c:pt>
                <c:pt idx="3671">
                  <c:v>#N/A</c:v>
                </c:pt>
                <c:pt idx="3672">
                  <c:v>#N/A</c:v>
                </c:pt>
                <c:pt idx="3673">
                  <c:v>#N/A</c:v>
                </c:pt>
                <c:pt idx="3674">
                  <c:v>#N/A</c:v>
                </c:pt>
                <c:pt idx="3675">
                  <c:v>#N/A</c:v>
                </c:pt>
                <c:pt idx="3676">
                  <c:v>#N/A</c:v>
                </c:pt>
                <c:pt idx="3677">
                  <c:v>#N/A</c:v>
                </c:pt>
                <c:pt idx="3678">
                  <c:v>#N/A</c:v>
                </c:pt>
                <c:pt idx="3679">
                  <c:v>#N/A</c:v>
                </c:pt>
                <c:pt idx="3680">
                  <c:v>#N/A</c:v>
                </c:pt>
                <c:pt idx="3681">
                  <c:v>#N/A</c:v>
                </c:pt>
                <c:pt idx="3682">
                  <c:v>#N/A</c:v>
                </c:pt>
                <c:pt idx="3683">
                  <c:v>#N/A</c:v>
                </c:pt>
                <c:pt idx="3684">
                  <c:v>#N/A</c:v>
                </c:pt>
                <c:pt idx="3685">
                  <c:v>#N/A</c:v>
                </c:pt>
                <c:pt idx="3686">
                  <c:v>#N/A</c:v>
                </c:pt>
                <c:pt idx="3687">
                  <c:v>#N/A</c:v>
                </c:pt>
                <c:pt idx="3688">
                  <c:v>#N/A</c:v>
                </c:pt>
                <c:pt idx="3689">
                  <c:v>#N/A</c:v>
                </c:pt>
                <c:pt idx="3690">
                  <c:v>#N/A</c:v>
                </c:pt>
                <c:pt idx="3691">
                  <c:v>#N/A</c:v>
                </c:pt>
                <c:pt idx="3692">
                  <c:v>#N/A</c:v>
                </c:pt>
                <c:pt idx="3693">
                  <c:v>#N/A</c:v>
                </c:pt>
                <c:pt idx="3694">
                  <c:v>#N/A</c:v>
                </c:pt>
                <c:pt idx="3695">
                  <c:v>#N/A</c:v>
                </c:pt>
                <c:pt idx="3696">
                  <c:v>#N/A</c:v>
                </c:pt>
                <c:pt idx="3697">
                  <c:v>#N/A</c:v>
                </c:pt>
                <c:pt idx="3698">
                  <c:v>#N/A</c:v>
                </c:pt>
                <c:pt idx="3699">
                  <c:v>#N/A</c:v>
                </c:pt>
                <c:pt idx="3700">
                  <c:v>#N/A</c:v>
                </c:pt>
                <c:pt idx="3701">
                  <c:v>#N/A</c:v>
                </c:pt>
                <c:pt idx="3702">
                  <c:v>#N/A</c:v>
                </c:pt>
                <c:pt idx="3703">
                  <c:v>#N/A</c:v>
                </c:pt>
                <c:pt idx="3704">
                  <c:v>#N/A</c:v>
                </c:pt>
                <c:pt idx="3705">
                  <c:v>#N/A</c:v>
                </c:pt>
                <c:pt idx="3706">
                  <c:v>#N/A</c:v>
                </c:pt>
                <c:pt idx="3707">
                  <c:v>#N/A</c:v>
                </c:pt>
                <c:pt idx="3708">
                  <c:v>#N/A</c:v>
                </c:pt>
                <c:pt idx="3709">
                  <c:v>#N/A</c:v>
                </c:pt>
                <c:pt idx="3710">
                  <c:v>#N/A</c:v>
                </c:pt>
                <c:pt idx="3711">
                  <c:v>#N/A</c:v>
                </c:pt>
                <c:pt idx="3712">
                  <c:v>#N/A</c:v>
                </c:pt>
                <c:pt idx="3713">
                  <c:v>#N/A</c:v>
                </c:pt>
                <c:pt idx="3714">
                  <c:v>#N/A</c:v>
                </c:pt>
                <c:pt idx="3715">
                  <c:v>#N/A</c:v>
                </c:pt>
                <c:pt idx="3716">
                  <c:v>#N/A</c:v>
                </c:pt>
                <c:pt idx="3717">
                  <c:v>#N/A</c:v>
                </c:pt>
                <c:pt idx="3718">
                  <c:v>#N/A</c:v>
                </c:pt>
                <c:pt idx="3719">
                  <c:v>#N/A</c:v>
                </c:pt>
                <c:pt idx="3720">
                  <c:v>#N/A</c:v>
                </c:pt>
                <c:pt idx="3721">
                  <c:v>#N/A</c:v>
                </c:pt>
                <c:pt idx="3722">
                  <c:v>#N/A</c:v>
                </c:pt>
                <c:pt idx="3723">
                  <c:v>#N/A</c:v>
                </c:pt>
                <c:pt idx="3724">
                  <c:v>#N/A</c:v>
                </c:pt>
                <c:pt idx="3725">
                  <c:v>#N/A</c:v>
                </c:pt>
                <c:pt idx="3726">
                  <c:v>#N/A</c:v>
                </c:pt>
                <c:pt idx="3727">
                  <c:v>#N/A</c:v>
                </c:pt>
                <c:pt idx="3728">
                  <c:v>#N/A</c:v>
                </c:pt>
                <c:pt idx="3729">
                  <c:v>#N/A</c:v>
                </c:pt>
                <c:pt idx="3730">
                  <c:v>#N/A</c:v>
                </c:pt>
                <c:pt idx="3731">
                  <c:v>#N/A</c:v>
                </c:pt>
                <c:pt idx="3732">
                  <c:v>#N/A</c:v>
                </c:pt>
                <c:pt idx="3733">
                  <c:v>#N/A</c:v>
                </c:pt>
                <c:pt idx="3734">
                  <c:v>#N/A</c:v>
                </c:pt>
                <c:pt idx="3735">
                  <c:v>#N/A</c:v>
                </c:pt>
                <c:pt idx="3736">
                  <c:v>#N/A</c:v>
                </c:pt>
                <c:pt idx="3737">
                  <c:v>#N/A</c:v>
                </c:pt>
                <c:pt idx="3738">
                  <c:v>#N/A</c:v>
                </c:pt>
                <c:pt idx="3739">
                  <c:v>#N/A</c:v>
                </c:pt>
                <c:pt idx="3740">
                  <c:v>#N/A</c:v>
                </c:pt>
                <c:pt idx="3741">
                  <c:v>#N/A</c:v>
                </c:pt>
                <c:pt idx="3742">
                  <c:v>#N/A</c:v>
                </c:pt>
                <c:pt idx="3743">
                  <c:v>#N/A</c:v>
                </c:pt>
                <c:pt idx="3744">
                  <c:v>#N/A</c:v>
                </c:pt>
                <c:pt idx="3745">
                  <c:v>#N/A</c:v>
                </c:pt>
                <c:pt idx="3746">
                  <c:v>#N/A</c:v>
                </c:pt>
                <c:pt idx="3747">
                  <c:v>#N/A</c:v>
                </c:pt>
                <c:pt idx="3748">
                  <c:v>#N/A</c:v>
                </c:pt>
                <c:pt idx="3749">
                  <c:v>#N/A</c:v>
                </c:pt>
                <c:pt idx="3750">
                  <c:v>#N/A</c:v>
                </c:pt>
                <c:pt idx="3751">
                  <c:v>#N/A</c:v>
                </c:pt>
                <c:pt idx="3752">
                  <c:v>#N/A</c:v>
                </c:pt>
                <c:pt idx="3753">
                  <c:v>#N/A</c:v>
                </c:pt>
                <c:pt idx="3754">
                  <c:v>#N/A</c:v>
                </c:pt>
                <c:pt idx="3755">
                  <c:v>#N/A</c:v>
                </c:pt>
                <c:pt idx="3756">
                  <c:v>#N/A</c:v>
                </c:pt>
                <c:pt idx="3757">
                  <c:v>#N/A</c:v>
                </c:pt>
                <c:pt idx="3758">
                  <c:v>#N/A</c:v>
                </c:pt>
                <c:pt idx="3759">
                  <c:v>#N/A</c:v>
                </c:pt>
                <c:pt idx="3760">
                  <c:v>#N/A</c:v>
                </c:pt>
                <c:pt idx="3761">
                  <c:v>#N/A</c:v>
                </c:pt>
                <c:pt idx="3762">
                  <c:v>#N/A</c:v>
                </c:pt>
                <c:pt idx="3763">
                  <c:v>#N/A</c:v>
                </c:pt>
                <c:pt idx="3764">
                  <c:v>#N/A</c:v>
                </c:pt>
                <c:pt idx="3765">
                  <c:v>#N/A</c:v>
                </c:pt>
                <c:pt idx="3766">
                  <c:v>#N/A</c:v>
                </c:pt>
                <c:pt idx="3767">
                  <c:v>#N/A</c:v>
                </c:pt>
                <c:pt idx="3768">
                  <c:v>#N/A</c:v>
                </c:pt>
                <c:pt idx="3769">
                  <c:v>#N/A</c:v>
                </c:pt>
                <c:pt idx="3770">
                  <c:v>#N/A</c:v>
                </c:pt>
                <c:pt idx="3771">
                  <c:v>#N/A</c:v>
                </c:pt>
                <c:pt idx="3772">
                  <c:v>#N/A</c:v>
                </c:pt>
                <c:pt idx="3773">
                  <c:v>#N/A</c:v>
                </c:pt>
                <c:pt idx="3774">
                  <c:v>#N/A</c:v>
                </c:pt>
                <c:pt idx="3775">
                  <c:v>#N/A</c:v>
                </c:pt>
                <c:pt idx="3776">
                  <c:v>#N/A</c:v>
                </c:pt>
                <c:pt idx="3777">
                  <c:v>#N/A</c:v>
                </c:pt>
                <c:pt idx="3778">
                  <c:v>#N/A</c:v>
                </c:pt>
                <c:pt idx="3779">
                  <c:v>#N/A</c:v>
                </c:pt>
                <c:pt idx="3780">
                  <c:v>#N/A</c:v>
                </c:pt>
                <c:pt idx="3781">
                  <c:v>#N/A</c:v>
                </c:pt>
                <c:pt idx="3782">
                  <c:v>#N/A</c:v>
                </c:pt>
                <c:pt idx="3783">
                  <c:v>#N/A</c:v>
                </c:pt>
                <c:pt idx="3784">
                  <c:v>#N/A</c:v>
                </c:pt>
                <c:pt idx="3785">
                  <c:v>#N/A</c:v>
                </c:pt>
                <c:pt idx="3786">
                  <c:v>#N/A</c:v>
                </c:pt>
                <c:pt idx="3787">
                  <c:v>#N/A</c:v>
                </c:pt>
                <c:pt idx="3788">
                  <c:v>#N/A</c:v>
                </c:pt>
                <c:pt idx="3789">
                  <c:v>#N/A</c:v>
                </c:pt>
                <c:pt idx="3790">
                  <c:v>#N/A</c:v>
                </c:pt>
                <c:pt idx="3791">
                  <c:v>#N/A</c:v>
                </c:pt>
                <c:pt idx="3792">
                  <c:v>#N/A</c:v>
                </c:pt>
                <c:pt idx="3793">
                  <c:v>#N/A</c:v>
                </c:pt>
                <c:pt idx="3794">
                  <c:v>#N/A</c:v>
                </c:pt>
                <c:pt idx="3795">
                  <c:v>#N/A</c:v>
                </c:pt>
                <c:pt idx="3796">
                  <c:v>#N/A</c:v>
                </c:pt>
                <c:pt idx="3797">
                  <c:v>#N/A</c:v>
                </c:pt>
                <c:pt idx="3798">
                  <c:v>#N/A</c:v>
                </c:pt>
                <c:pt idx="3799">
                  <c:v>#N/A</c:v>
                </c:pt>
                <c:pt idx="3800">
                  <c:v>#N/A</c:v>
                </c:pt>
                <c:pt idx="3801">
                  <c:v>#N/A</c:v>
                </c:pt>
                <c:pt idx="3802">
                  <c:v>#N/A</c:v>
                </c:pt>
                <c:pt idx="3803">
                  <c:v>#N/A</c:v>
                </c:pt>
                <c:pt idx="3804">
                  <c:v>#N/A</c:v>
                </c:pt>
                <c:pt idx="3805">
                  <c:v>#N/A</c:v>
                </c:pt>
                <c:pt idx="3806">
                  <c:v>#N/A</c:v>
                </c:pt>
                <c:pt idx="3807">
                  <c:v>#N/A</c:v>
                </c:pt>
                <c:pt idx="3808">
                  <c:v>#N/A</c:v>
                </c:pt>
                <c:pt idx="3809">
                  <c:v>#N/A</c:v>
                </c:pt>
                <c:pt idx="3810">
                  <c:v>#N/A</c:v>
                </c:pt>
                <c:pt idx="3811">
                  <c:v>#N/A</c:v>
                </c:pt>
                <c:pt idx="3812">
                  <c:v>#N/A</c:v>
                </c:pt>
                <c:pt idx="3813">
                  <c:v>#N/A</c:v>
                </c:pt>
                <c:pt idx="3814">
                  <c:v>#N/A</c:v>
                </c:pt>
                <c:pt idx="3815">
                  <c:v>#N/A</c:v>
                </c:pt>
                <c:pt idx="3816">
                  <c:v>#N/A</c:v>
                </c:pt>
                <c:pt idx="3817">
                  <c:v>#N/A</c:v>
                </c:pt>
                <c:pt idx="3818">
                  <c:v>#N/A</c:v>
                </c:pt>
                <c:pt idx="3819">
                  <c:v>#N/A</c:v>
                </c:pt>
                <c:pt idx="3820">
                  <c:v>#N/A</c:v>
                </c:pt>
                <c:pt idx="3821">
                  <c:v>#N/A</c:v>
                </c:pt>
                <c:pt idx="3822">
                  <c:v>#N/A</c:v>
                </c:pt>
                <c:pt idx="3823">
                  <c:v>#N/A</c:v>
                </c:pt>
                <c:pt idx="3824">
                  <c:v>#N/A</c:v>
                </c:pt>
                <c:pt idx="3825">
                  <c:v>#N/A</c:v>
                </c:pt>
                <c:pt idx="3826">
                  <c:v>#N/A</c:v>
                </c:pt>
                <c:pt idx="3827">
                  <c:v>#N/A</c:v>
                </c:pt>
                <c:pt idx="3828">
                  <c:v>#N/A</c:v>
                </c:pt>
                <c:pt idx="3829">
                  <c:v>#N/A</c:v>
                </c:pt>
                <c:pt idx="3830">
                  <c:v>#N/A</c:v>
                </c:pt>
                <c:pt idx="3831">
                  <c:v>#N/A</c:v>
                </c:pt>
                <c:pt idx="3832">
                  <c:v>#N/A</c:v>
                </c:pt>
                <c:pt idx="3833">
                  <c:v>#N/A</c:v>
                </c:pt>
                <c:pt idx="3834">
                  <c:v>#N/A</c:v>
                </c:pt>
                <c:pt idx="3835">
                  <c:v>#N/A</c:v>
                </c:pt>
                <c:pt idx="3836">
                  <c:v>#N/A</c:v>
                </c:pt>
                <c:pt idx="3837">
                  <c:v>#N/A</c:v>
                </c:pt>
                <c:pt idx="3838">
                  <c:v>#N/A</c:v>
                </c:pt>
                <c:pt idx="3839">
                  <c:v>#N/A</c:v>
                </c:pt>
                <c:pt idx="3840">
                  <c:v>#N/A</c:v>
                </c:pt>
                <c:pt idx="3841">
                  <c:v>#N/A</c:v>
                </c:pt>
                <c:pt idx="3842">
                  <c:v>#N/A</c:v>
                </c:pt>
                <c:pt idx="3843">
                  <c:v>#N/A</c:v>
                </c:pt>
                <c:pt idx="3844">
                  <c:v>#N/A</c:v>
                </c:pt>
                <c:pt idx="3845">
                  <c:v>#N/A</c:v>
                </c:pt>
                <c:pt idx="3846">
                  <c:v>#N/A</c:v>
                </c:pt>
                <c:pt idx="3847">
                  <c:v>#N/A</c:v>
                </c:pt>
                <c:pt idx="3848">
                  <c:v>#N/A</c:v>
                </c:pt>
                <c:pt idx="3849">
                  <c:v>#N/A</c:v>
                </c:pt>
                <c:pt idx="3850">
                  <c:v>#N/A</c:v>
                </c:pt>
                <c:pt idx="3851">
                  <c:v>#N/A</c:v>
                </c:pt>
                <c:pt idx="3852">
                  <c:v>#N/A</c:v>
                </c:pt>
                <c:pt idx="3853">
                  <c:v>#N/A</c:v>
                </c:pt>
                <c:pt idx="3854">
                  <c:v>#N/A</c:v>
                </c:pt>
                <c:pt idx="3855">
                  <c:v>#N/A</c:v>
                </c:pt>
                <c:pt idx="3856">
                  <c:v>#N/A</c:v>
                </c:pt>
                <c:pt idx="3857">
                  <c:v>#N/A</c:v>
                </c:pt>
                <c:pt idx="3858">
                  <c:v>#N/A</c:v>
                </c:pt>
                <c:pt idx="3859">
                  <c:v>#N/A</c:v>
                </c:pt>
                <c:pt idx="3860">
                  <c:v>#N/A</c:v>
                </c:pt>
                <c:pt idx="3861">
                  <c:v>#N/A</c:v>
                </c:pt>
                <c:pt idx="3862">
                  <c:v>#N/A</c:v>
                </c:pt>
                <c:pt idx="3863">
                  <c:v>#N/A</c:v>
                </c:pt>
                <c:pt idx="3864">
                  <c:v>#N/A</c:v>
                </c:pt>
                <c:pt idx="3865">
                  <c:v>#N/A</c:v>
                </c:pt>
                <c:pt idx="3866">
                  <c:v>#N/A</c:v>
                </c:pt>
                <c:pt idx="3867">
                  <c:v>#N/A</c:v>
                </c:pt>
                <c:pt idx="3868">
                  <c:v>#N/A</c:v>
                </c:pt>
                <c:pt idx="3869">
                  <c:v>#N/A</c:v>
                </c:pt>
                <c:pt idx="3870">
                  <c:v>#N/A</c:v>
                </c:pt>
                <c:pt idx="3871">
                  <c:v>#N/A</c:v>
                </c:pt>
                <c:pt idx="3872">
                  <c:v>#N/A</c:v>
                </c:pt>
                <c:pt idx="3873">
                  <c:v>#N/A</c:v>
                </c:pt>
                <c:pt idx="3874">
                  <c:v>#N/A</c:v>
                </c:pt>
                <c:pt idx="3875">
                  <c:v>#N/A</c:v>
                </c:pt>
                <c:pt idx="3876">
                  <c:v>#N/A</c:v>
                </c:pt>
                <c:pt idx="3877">
                  <c:v>#N/A</c:v>
                </c:pt>
                <c:pt idx="3878">
                  <c:v>#N/A</c:v>
                </c:pt>
                <c:pt idx="3879">
                  <c:v>#N/A</c:v>
                </c:pt>
                <c:pt idx="3880">
                  <c:v>#N/A</c:v>
                </c:pt>
                <c:pt idx="3881">
                  <c:v>#N/A</c:v>
                </c:pt>
                <c:pt idx="3882">
                  <c:v>#N/A</c:v>
                </c:pt>
                <c:pt idx="3883">
                  <c:v>#N/A</c:v>
                </c:pt>
                <c:pt idx="3884">
                  <c:v>#N/A</c:v>
                </c:pt>
                <c:pt idx="3885">
                  <c:v>#N/A</c:v>
                </c:pt>
                <c:pt idx="3886">
                  <c:v>#N/A</c:v>
                </c:pt>
                <c:pt idx="3887">
                  <c:v>#N/A</c:v>
                </c:pt>
                <c:pt idx="3888">
                  <c:v>#N/A</c:v>
                </c:pt>
                <c:pt idx="3889">
                  <c:v>#N/A</c:v>
                </c:pt>
                <c:pt idx="3890">
                  <c:v>#N/A</c:v>
                </c:pt>
                <c:pt idx="3891">
                  <c:v>#N/A</c:v>
                </c:pt>
                <c:pt idx="3892">
                  <c:v>#N/A</c:v>
                </c:pt>
                <c:pt idx="3893">
                  <c:v>#N/A</c:v>
                </c:pt>
                <c:pt idx="3894">
                  <c:v>#N/A</c:v>
                </c:pt>
                <c:pt idx="3895">
                  <c:v>#N/A</c:v>
                </c:pt>
                <c:pt idx="3896">
                  <c:v>#N/A</c:v>
                </c:pt>
                <c:pt idx="3897">
                  <c:v>#N/A</c:v>
                </c:pt>
                <c:pt idx="3898">
                  <c:v>#N/A</c:v>
                </c:pt>
                <c:pt idx="3899">
                  <c:v>#N/A</c:v>
                </c:pt>
                <c:pt idx="3900">
                  <c:v>#N/A</c:v>
                </c:pt>
                <c:pt idx="3901">
                  <c:v>#N/A</c:v>
                </c:pt>
                <c:pt idx="3902">
                  <c:v>#N/A</c:v>
                </c:pt>
                <c:pt idx="3903">
                  <c:v>#N/A</c:v>
                </c:pt>
                <c:pt idx="3904">
                  <c:v>#N/A</c:v>
                </c:pt>
                <c:pt idx="3905">
                  <c:v>#N/A</c:v>
                </c:pt>
                <c:pt idx="3906">
                  <c:v>#N/A</c:v>
                </c:pt>
                <c:pt idx="3907">
                  <c:v>#N/A</c:v>
                </c:pt>
                <c:pt idx="3908">
                  <c:v>#N/A</c:v>
                </c:pt>
                <c:pt idx="3909">
                  <c:v>#N/A</c:v>
                </c:pt>
                <c:pt idx="3910">
                  <c:v>#N/A</c:v>
                </c:pt>
                <c:pt idx="3911">
                  <c:v>#N/A</c:v>
                </c:pt>
                <c:pt idx="3912">
                  <c:v>#N/A</c:v>
                </c:pt>
                <c:pt idx="3913">
                  <c:v>#N/A</c:v>
                </c:pt>
                <c:pt idx="3914">
                  <c:v>#N/A</c:v>
                </c:pt>
                <c:pt idx="3915">
                  <c:v>#N/A</c:v>
                </c:pt>
                <c:pt idx="3916">
                  <c:v>#N/A</c:v>
                </c:pt>
                <c:pt idx="3917">
                  <c:v>#N/A</c:v>
                </c:pt>
                <c:pt idx="3918">
                  <c:v>#N/A</c:v>
                </c:pt>
                <c:pt idx="3919">
                  <c:v>#N/A</c:v>
                </c:pt>
                <c:pt idx="3920">
                  <c:v>#N/A</c:v>
                </c:pt>
                <c:pt idx="3921">
                  <c:v>#N/A</c:v>
                </c:pt>
                <c:pt idx="3922">
                  <c:v>#N/A</c:v>
                </c:pt>
                <c:pt idx="3923">
                  <c:v>#N/A</c:v>
                </c:pt>
                <c:pt idx="3924">
                  <c:v>#N/A</c:v>
                </c:pt>
                <c:pt idx="3925">
                  <c:v>#N/A</c:v>
                </c:pt>
                <c:pt idx="3926">
                  <c:v>#N/A</c:v>
                </c:pt>
                <c:pt idx="3927">
                  <c:v>#N/A</c:v>
                </c:pt>
                <c:pt idx="3928">
                  <c:v>#N/A</c:v>
                </c:pt>
                <c:pt idx="3929">
                  <c:v>#N/A</c:v>
                </c:pt>
                <c:pt idx="3930">
                  <c:v>#N/A</c:v>
                </c:pt>
                <c:pt idx="3931">
                  <c:v>#N/A</c:v>
                </c:pt>
                <c:pt idx="3932">
                  <c:v>#N/A</c:v>
                </c:pt>
                <c:pt idx="3933">
                  <c:v>#N/A</c:v>
                </c:pt>
                <c:pt idx="3934">
                  <c:v>#N/A</c:v>
                </c:pt>
                <c:pt idx="3935">
                  <c:v>#N/A</c:v>
                </c:pt>
                <c:pt idx="3936">
                  <c:v>#N/A</c:v>
                </c:pt>
                <c:pt idx="3937">
                  <c:v>#N/A</c:v>
                </c:pt>
                <c:pt idx="3938">
                  <c:v>#N/A</c:v>
                </c:pt>
                <c:pt idx="3939">
                  <c:v>#N/A</c:v>
                </c:pt>
                <c:pt idx="3940">
                  <c:v>#N/A</c:v>
                </c:pt>
                <c:pt idx="3941">
                  <c:v>#N/A</c:v>
                </c:pt>
                <c:pt idx="3942">
                  <c:v>#N/A</c:v>
                </c:pt>
                <c:pt idx="3943">
                  <c:v>#N/A</c:v>
                </c:pt>
                <c:pt idx="3944">
                  <c:v>#N/A</c:v>
                </c:pt>
                <c:pt idx="3945">
                  <c:v>#N/A</c:v>
                </c:pt>
                <c:pt idx="3946">
                  <c:v>#N/A</c:v>
                </c:pt>
                <c:pt idx="3947">
                  <c:v>#N/A</c:v>
                </c:pt>
                <c:pt idx="3948">
                  <c:v>#N/A</c:v>
                </c:pt>
                <c:pt idx="3949">
                  <c:v>#N/A</c:v>
                </c:pt>
                <c:pt idx="3950">
                  <c:v>#N/A</c:v>
                </c:pt>
                <c:pt idx="3951">
                  <c:v>#N/A</c:v>
                </c:pt>
                <c:pt idx="3952">
                  <c:v>#N/A</c:v>
                </c:pt>
                <c:pt idx="3953">
                  <c:v>#N/A</c:v>
                </c:pt>
                <c:pt idx="3954">
                  <c:v>#N/A</c:v>
                </c:pt>
                <c:pt idx="3955">
                  <c:v>#N/A</c:v>
                </c:pt>
                <c:pt idx="3956">
                  <c:v>#N/A</c:v>
                </c:pt>
                <c:pt idx="3957">
                  <c:v>#N/A</c:v>
                </c:pt>
                <c:pt idx="3958">
                  <c:v>#N/A</c:v>
                </c:pt>
                <c:pt idx="3959">
                  <c:v>#N/A</c:v>
                </c:pt>
                <c:pt idx="3960">
                  <c:v>#N/A</c:v>
                </c:pt>
                <c:pt idx="3961">
                  <c:v>#N/A</c:v>
                </c:pt>
                <c:pt idx="3962">
                  <c:v>#N/A</c:v>
                </c:pt>
                <c:pt idx="3963">
                  <c:v>#N/A</c:v>
                </c:pt>
                <c:pt idx="3964">
                  <c:v>#N/A</c:v>
                </c:pt>
                <c:pt idx="3965">
                  <c:v>#N/A</c:v>
                </c:pt>
                <c:pt idx="3966">
                  <c:v>#N/A</c:v>
                </c:pt>
                <c:pt idx="3967">
                  <c:v>#N/A</c:v>
                </c:pt>
                <c:pt idx="3968">
                  <c:v>#N/A</c:v>
                </c:pt>
                <c:pt idx="3969">
                  <c:v>#N/A</c:v>
                </c:pt>
                <c:pt idx="3970">
                  <c:v>#N/A</c:v>
                </c:pt>
                <c:pt idx="3971">
                  <c:v>#N/A</c:v>
                </c:pt>
                <c:pt idx="3972">
                  <c:v>#N/A</c:v>
                </c:pt>
                <c:pt idx="3973">
                  <c:v>#N/A</c:v>
                </c:pt>
                <c:pt idx="3974">
                  <c:v>#N/A</c:v>
                </c:pt>
                <c:pt idx="3975">
                  <c:v>#N/A</c:v>
                </c:pt>
                <c:pt idx="3976">
                  <c:v>#N/A</c:v>
                </c:pt>
                <c:pt idx="3977">
                  <c:v>#N/A</c:v>
                </c:pt>
                <c:pt idx="3978">
                  <c:v>#N/A</c:v>
                </c:pt>
                <c:pt idx="3979">
                  <c:v>#N/A</c:v>
                </c:pt>
                <c:pt idx="3980">
                  <c:v>#N/A</c:v>
                </c:pt>
                <c:pt idx="3981">
                  <c:v>#N/A</c:v>
                </c:pt>
                <c:pt idx="3982">
                  <c:v>#N/A</c:v>
                </c:pt>
                <c:pt idx="3983">
                  <c:v>#N/A</c:v>
                </c:pt>
                <c:pt idx="3984">
                  <c:v>#N/A</c:v>
                </c:pt>
                <c:pt idx="3985">
                  <c:v>#N/A</c:v>
                </c:pt>
                <c:pt idx="3986">
                  <c:v>#N/A</c:v>
                </c:pt>
                <c:pt idx="3987">
                  <c:v>#N/A</c:v>
                </c:pt>
                <c:pt idx="3988">
                  <c:v>#N/A</c:v>
                </c:pt>
                <c:pt idx="3989">
                  <c:v>#N/A</c:v>
                </c:pt>
                <c:pt idx="3990">
                  <c:v>#N/A</c:v>
                </c:pt>
                <c:pt idx="3991">
                  <c:v>#N/A</c:v>
                </c:pt>
                <c:pt idx="3992">
                  <c:v>#N/A</c:v>
                </c:pt>
                <c:pt idx="3993">
                  <c:v>#N/A</c:v>
                </c:pt>
                <c:pt idx="3994">
                  <c:v>#N/A</c:v>
                </c:pt>
                <c:pt idx="3995">
                  <c:v>#N/A</c:v>
                </c:pt>
                <c:pt idx="3996">
                  <c:v>#N/A</c:v>
                </c:pt>
                <c:pt idx="3997">
                  <c:v>#N/A</c:v>
                </c:pt>
                <c:pt idx="3998">
                  <c:v>#N/A</c:v>
                </c:pt>
                <c:pt idx="3999">
                  <c:v>#N/A</c:v>
                </c:pt>
                <c:pt idx="4000">
                  <c:v>#N/A</c:v>
                </c:pt>
                <c:pt idx="4001">
                  <c:v>#N/A</c:v>
                </c:pt>
                <c:pt idx="4002">
                  <c:v>#N/A</c:v>
                </c:pt>
                <c:pt idx="4003">
                  <c:v>#N/A</c:v>
                </c:pt>
                <c:pt idx="4004">
                  <c:v>#N/A</c:v>
                </c:pt>
                <c:pt idx="4005">
                  <c:v>#N/A</c:v>
                </c:pt>
                <c:pt idx="4006">
                  <c:v>#N/A</c:v>
                </c:pt>
                <c:pt idx="4007">
                  <c:v>#N/A</c:v>
                </c:pt>
                <c:pt idx="4008">
                  <c:v>#N/A</c:v>
                </c:pt>
                <c:pt idx="4009">
                  <c:v>#N/A</c:v>
                </c:pt>
                <c:pt idx="4010">
                  <c:v>#N/A</c:v>
                </c:pt>
                <c:pt idx="4011">
                  <c:v>#N/A</c:v>
                </c:pt>
                <c:pt idx="4012">
                  <c:v>#N/A</c:v>
                </c:pt>
                <c:pt idx="4013">
                  <c:v>#N/A</c:v>
                </c:pt>
                <c:pt idx="4014">
                  <c:v>#N/A</c:v>
                </c:pt>
                <c:pt idx="4015">
                  <c:v>#N/A</c:v>
                </c:pt>
                <c:pt idx="4016">
                  <c:v>#N/A</c:v>
                </c:pt>
                <c:pt idx="4017">
                  <c:v>#N/A</c:v>
                </c:pt>
                <c:pt idx="4018">
                  <c:v>#N/A</c:v>
                </c:pt>
                <c:pt idx="4019">
                  <c:v>#N/A</c:v>
                </c:pt>
                <c:pt idx="4020">
                  <c:v>#N/A</c:v>
                </c:pt>
                <c:pt idx="4021">
                  <c:v>#N/A</c:v>
                </c:pt>
                <c:pt idx="4022">
                  <c:v>#N/A</c:v>
                </c:pt>
                <c:pt idx="4023">
                  <c:v>#N/A</c:v>
                </c:pt>
                <c:pt idx="4024">
                  <c:v>#N/A</c:v>
                </c:pt>
                <c:pt idx="4025">
                  <c:v>#N/A</c:v>
                </c:pt>
                <c:pt idx="4026">
                  <c:v>#N/A</c:v>
                </c:pt>
                <c:pt idx="4027">
                  <c:v>#N/A</c:v>
                </c:pt>
                <c:pt idx="4028">
                  <c:v>#N/A</c:v>
                </c:pt>
                <c:pt idx="4029">
                  <c:v>#N/A</c:v>
                </c:pt>
                <c:pt idx="4030">
                  <c:v>#N/A</c:v>
                </c:pt>
                <c:pt idx="4031">
                  <c:v>#N/A</c:v>
                </c:pt>
                <c:pt idx="4032">
                  <c:v>#N/A</c:v>
                </c:pt>
                <c:pt idx="4033">
                  <c:v>#N/A</c:v>
                </c:pt>
                <c:pt idx="4034">
                  <c:v>#N/A</c:v>
                </c:pt>
                <c:pt idx="4035">
                  <c:v>#N/A</c:v>
                </c:pt>
                <c:pt idx="4036">
                  <c:v>#N/A</c:v>
                </c:pt>
                <c:pt idx="4037">
                  <c:v>#N/A</c:v>
                </c:pt>
                <c:pt idx="4038">
                  <c:v>#N/A</c:v>
                </c:pt>
                <c:pt idx="4039">
                  <c:v>#N/A</c:v>
                </c:pt>
                <c:pt idx="4040">
                  <c:v>#N/A</c:v>
                </c:pt>
                <c:pt idx="4041">
                  <c:v>#N/A</c:v>
                </c:pt>
                <c:pt idx="4042">
                  <c:v>#N/A</c:v>
                </c:pt>
                <c:pt idx="4043">
                  <c:v>#N/A</c:v>
                </c:pt>
                <c:pt idx="4044">
                  <c:v>#N/A</c:v>
                </c:pt>
                <c:pt idx="4045">
                  <c:v>#N/A</c:v>
                </c:pt>
                <c:pt idx="4046">
                  <c:v>#N/A</c:v>
                </c:pt>
                <c:pt idx="4047">
                  <c:v>#N/A</c:v>
                </c:pt>
                <c:pt idx="4048">
                  <c:v>#N/A</c:v>
                </c:pt>
                <c:pt idx="4049">
                  <c:v>#N/A</c:v>
                </c:pt>
                <c:pt idx="4050">
                  <c:v>#N/A</c:v>
                </c:pt>
                <c:pt idx="4051">
                  <c:v>#N/A</c:v>
                </c:pt>
                <c:pt idx="4052">
                  <c:v>#N/A</c:v>
                </c:pt>
                <c:pt idx="4053">
                  <c:v>#N/A</c:v>
                </c:pt>
                <c:pt idx="4054">
                  <c:v>#N/A</c:v>
                </c:pt>
                <c:pt idx="4055">
                  <c:v>#N/A</c:v>
                </c:pt>
                <c:pt idx="4056">
                  <c:v>#N/A</c:v>
                </c:pt>
                <c:pt idx="4057">
                  <c:v>#N/A</c:v>
                </c:pt>
                <c:pt idx="4058">
                  <c:v>#N/A</c:v>
                </c:pt>
                <c:pt idx="4059">
                  <c:v>#N/A</c:v>
                </c:pt>
                <c:pt idx="4060">
                  <c:v>#N/A</c:v>
                </c:pt>
                <c:pt idx="4061">
                  <c:v>#N/A</c:v>
                </c:pt>
                <c:pt idx="4062">
                  <c:v>#N/A</c:v>
                </c:pt>
                <c:pt idx="4063">
                  <c:v>#N/A</c:v>
                </c:pt>
                <c:pt idx="4064">
                  <c:v>#N/A</c:v>
                </c:pt>
                <c:pt idx="4065">
                  <c:v>#N/A</c:v>
                </c:pt>
                <c:pt idx="4066">
                  <c:v>#N/A</c:v>
                </c:pt>
                <c:pt idx="4067">
                  <c:v>#N/A</c:v>
                </c:pt>
                <c:pt idx="4068">
                  <c:v>#N/A</c:v>
                </c:pt>
                <c:pt idx="4069">
                  <c:v>#N/A</c:v>
                </c:pt>
                <c:pt idx="4070">
                  <c:v>#N/A</c:v>
                </c:pt>
                <c:pt idx="4071">
                  <c:v>#N/A</c:v>
                </c:pt>
                <c:pt idx="4072">
                  <c:v>#N/A</c:v>
                </c:pt>
                <c:pt idx="4073">
                  <c:v>#N/A</c:v>
                </c:pt>
                <c:pt idx="4074">
                  <c:v>#N/A</c:v>
                </c:pt>
                <c:pt idx="4075">
                  <c:v>#N/A</c:v>
                </c:pt>
                <c:pt idx="4076">
                  <c:v>#N/A</c:v>
                </c:pt>
                <c:pt idx="4077">
                  <c:v>#N/A</c:v>
                </c:pt>
                <c:pt idx="4078">
                  <c:v>#N/A</c:v>
                </c:pt>
                <c:pt idx="4079">
                  <c:v>#N/A</c:v>
                </c:pt>
                <c:pt idx="4080">
                  <c:v>#N/A</c:v>
                </c:pt>
                <c:pt idx="4081">
                  <c:v>#N/A</c:v>
                </c:pt>
                <c:pt idx="4082">
                  <c:v>#N/A</c:v>
                </c:pt>
                <c:pt idx="4083">
                  <c:v>#N/A</c:v>
                </c:pt>
                <c:pt idx="4084">
                  <c:v>#N/A</c:v>
                </c:pt>
                <c:pt idx="4085">
                  <c:v>#N/A</c:v>
                </c:pt>
                <c:pt idx="4086">
                  <c:v>#N/A</c:v>
                </c:pt>
                <c:pt idx="4087">
                  <c:v>#N/A</c:v>
                </c:pt>
                <c:pt idx="4088">
                  <c:v>#N/A</c:v>
                </c:pt>
                <c:pt idx="4089">
                  <c:v>#N/A</c:v>
                </c:pt>
                <c:pt idx="4090">
                  <c:v>#N/A</c:v>
                </c:pt>
                <c:pt idx="4091">
                  <c:v>#N/A</c:v>
                </c:pt>
                <c:pt idx="4092">
                  <c:v>#N/A</c:v>
                </c:pt>
                <c:pt idx="4093">
                  <c:v>#N/A</c:v>
                </c:pt>
                <c:pt idx="4094">
                  <c:v>#N/A</c:v>
                </c:pt>
                <c:pt idx="4095">
                  <c:v>#N/A</c:v>
                </c:pt>
                <c:pt idx="4096">
                  <c:v>#N/A</c:v>
                </c:pt>
                <c:pt idx="4097">
                  <c:v>#N/A</c:v>
                </c:pt>
                <c:pt idx="4098">
                  <c:v>#N/A</c:v>
                </c:pt>
                <c:pt idx="4099">
                  <c:v>#N/A</c:v>
                </c:pt>
                <c:pt idx="4100">
                  <c:v>#N/A</c:v>
                </c:pt>
                <c:pt idx="4101">
                  <c:v>#N/A</c:v>
                </c:pt>
                <c:pt idx="4102">
                  <c:v>#N/A</c:v>
                </c:pt>
                <c:pt idx="4103">
                  <c:v>#N/A</c:v>
                </c:pt>
                <c:pt idx="4104">
                  <c:v>#N/A</c:v>
                </c:pt>
                <c:pt idx="4105">
                  <c:v>#N/A</c:v>
                </c:pt>
                <c:pt idx="4106">
                  <c:v>#N/A</c:v>
                </c:pt>
                <c:pt idx="4107">
                  <c:v>#N/A</c:v>
                </c:pt>
                <c:pt idx="4108">
                  <c:v>#N/A</c:v>
                </c:pt>
                <c:pt idx="4109">
                  <c:v>#N/A</c:v>
                </c:pt>
                <c:pt idx="4110">
                  <c:v>#N/A</c:v>
                </c:pt>
                <c:pt idx="4111">
                  <c:v>#N/A</c:v>
                </c:pt>
                <c:pt idx="4112">
                  <c:v>#N/A</c:v>
                </c:pt>
                <c:pt idx="4113">
                  <c:v>#N/A</c:v>
                </c:pt>
                <c:pt idx="4114">
                  <c:v>#N/A</c:v>
                </c:pt>
                <c:pt idx="4115">
                  <c:v>#N/A</c:v>
                </c:pt>
                <c:pt idx="4116">
                  <c:v>#N/A</c:v>
                </c:pt>
                <c:pt idx="4117">
                  <c:v>#N/A</c:v>
                </c:pt>
                <c:pt idx="4118">
                  <c:v>#N/A</c:v>
                </c:pt>
                <c:pt idx="4119">
                  <c:v>#N/A</c:v>
                </c:pt>
                <c:pt idx="4120">
                  <c:v>#N/A</c:v>
                </c:pt>
                <c:pt idx="4121">
                  <c:v>#N/A</c:v>
                </c:pt>
                <c:pt idx="4122">
                  <c:v>#N/A</c:v>
                </c:pt>
                <c:pt idx="4123">
                  <c:v>#N/A</c:v>
                </c:pt>
                <c:pt idx="4124">
                  <c:v>#N/A</c:v>
                </c:pt>
                <c:pt idx="4125">
                  <c:v>#N/A</c:v>
                </c:pt>
                <c:pt idx="4126">
                  <c:v>#N/A</c:v>
                </c:pt>
                <c:pt idx="4127">
                  <c:v>#N/A</c:v>
                </c:pt>
                <c:pt idx="4128">
                  <c:v>#N/A</c:v>
                </c:pt>
                <c:pt idx="4129">
                  <c:v>#N/A</c:v>
                </c:pt>
                <c:pt idx="4130">
                  <c:v>#N/A</c:v>
                </c:pt>
                <c:pt idx="4131">
                  <c:v>#N/A</c:v>
                </c:pt>
                <c:pt idx="4132">
                  <c:v>#N/A</c:v>
                </c:pt>
                <c:pt idx="4133">
                  <c:v>#N/A</c:v>
                </c:pt>
                <c:pt idx="4134">
                  <c:v>#N/A</c:v>
                </c:pt>
                <c:pt idx="4135">
                  <c:v>#N/A</c:v>
                </c:pt>
                <c:pt idx="4136">
                  <c:v>#N/A</c:v>
                </c:pt>
                <c:pt idx="4137">
                  <c:v>#N/A</c:v>
                </c:pt>
                <c:pt idx="4138">
                  <c:v>#N/A</c:v>
                </c:pt>
                <c:pt idx="4139">
                  <c:v>#N/A</c:v>
                </c:pt>
                <c:pt idx="4140">
                  <c:v>#N/A</c:v>
                </c:pt>
                <c:pt idx="4141">
                  <c:v>#N/A</c:v>
                </c:pt>
                <c:pt idx="4142">
                  <c:v>#N/A</c:v>
                </c:pt>
                <c:pt idx="4143">
                  <c:v>#N/A</c:v>
                </c:pt>
                <c:pt idx="4144">
                  <c:v>#N/A</c:v>
                </c:pt>
                <c:pt idx="4145">
                  <c:v>#N/A</c:v>
                </c:pt>
                <c:pt idx="4146">
                  <c:v>#N/A</c:v>
                </c:pt>
                <c:pt idx="4147">
                  <c:v>#N/A</c:v>
                </c:pt>
                <c:pt idx="4148">
                  <c:v>#N/A</c:v>
                </c:pt>
                <c:pt idx="4149">
                  <c:v>#N/A</c:v>
                </c:pt>
                <c:pt idx="4150">
                  <c:v>#N/A</c:v>
                </c:pt>
                <c:pt idx="4151">
                  <c:v>#N/A</c:v>
                </c:pt>
                <c:pt idx="4152">
                  <c:v>#N/A</c:v>
                </c:pt>
                <c:pt idx="4153">
                  <c:v>#N/A</c:v>
                </c:pt>
                <c:pt idx="4154">
                  <c:v>#N/A</c:v>
                </c:pt>
                <c:pt idx="4155">
                  <c:v>#N/A</c:v>
                </c:pt>
                <c:pt idx="4156">
                  <c:v>#N/A</c:v>
                </c:pt>
                <c:pt idx="4157">
                  <c:v>#N/A</c:v>
                </c:pt>
                <c:pt idx="4158">
                  <c:v>#N/A</c:v>
                </c:pt>
                <c:pt idx="4159">
                  <c:v>#N/A</c:v>
                </c:pt>
                <c:pt idx="4160">
                  <c:v>#N/A</c:v>
                </c:pt>
                <c:pt idx="4161">
                  <c:v>#N/A</c:v>
                </c:pt>
                <c:pt idx="4162">
                  <c:v>#N/A</c:v>
                </c:pt>
                <c:pt idx="4163">
                  <c:v>#N/A</c:v>
                </c:pt>
                <c:pt idx="4164">
                  <c:v>#N/A</c:v>
                </c:pt>
                <c:pt idx="4165">
                  <c:v>#N/A</c:v>
                </c:pt>
                <c:pt idx="4166">
                  <c:v>#N/A</c:v>
                </c:pt>
                <c:pt idx="4167">
                  <c:v>#N/A</c:v>
                </c:pt>
                <c:pt idx="4168">
                  <c:v>#N/A</c:v>
                </c:pt>
                <c:pt idx="4169">
                  <c:v>#N/A</c:v>
                </c:pt>
                <c:pt idx="4170">
                  <c:v>#N/A</c:v>
                </c:pt>
                <c:pt idx="4171">
                  <c:v>#N/A</c:v>
                </c:pt>
                <c:pt idx="4172">
                  <c:v>#N/A</c:v>
                </c:pt>
                <c:pt idx="4173">
                  <c:v>#N/A</c:v>
                </c:pt>
                <c:pt idx="4174">
                  <c:v>#N/A</c:v>
                </c:pt>
                <c:pt idx="4175">
                  <c:v>#N/A</c:v>
                </c:pt>
                <c:pt idx="4176">
                  <c:v>#N/A</c:v>
                </c:pt>
                <c:pt idx="4177">
                  <c:v>#N/A</c:v>
                </c:pt>
                <c:pt idx="4178">
                  <c:v>#N/A</c:v>
                </c:pt>
                <c:pt idx="4179">
                  <c:v>#N/A</c:v>
                </c:pt>
                <c:pt idx="4180">
                  <c:v>#N/A</c:v>
                </c:pt>
                <c:pt idx="4181">
                  <c:v>#N/A</c:v>
                </c:pt>
                <c:pt idx="4182">
                  <c:v>#N/A</c:v>
                </c:pt>
                <c:pt idx="4183">
                  <c:v>#N/A</c:v>
                </c:pt>
                <c:pt idx="4184">
                  <c:v>#N/A</c:v>
                </c:pt>
                <c:pt idx="4185">
                  <c:v>#N/A</c:v>
                </c:pt>
                <c:pt idx="4186">
                  <c:v>#N/A</c:v>
                </c:pt>
                <c:pt idx="4187">
                  <c:v>#N/A</c:v>
                </c:pt>
                <c:pt idx="4188">
                  <c:v>#N/A</c:v>
                </c:pt>
                <c:pt idx="4189">
                  <c:v>#N/A</c:v>
                </c:pt>
                <c:pt idx="4190">
                  <c:v>#N/A</c:v>
                </c:pt>
                <c:pt idx="4191">
                  <c:v>#N/A</c:v>
                </c:pt>
                <c:pt idx="4192">
                  <c:v>#N/A</c:v>
                </c:pt>
                <c:pt idx="4193">
                  <c:v>#N/A</c:v>
                </c:pt>
                <c:pt idx="4194">
                  <c:v>#N/A</c:v>
                </c:pt>
                <c:pt idx="4195">
                  <c:v>#N/A</c:v>
                </c:pt>
                <c:pt idx="4196">
                  <c:v>#N/A</c:v>
                </c:pt>
                <c:pt idx="4197">
                  <c:v>#N/A</c:v>
                </c:pt>
                <c:pt idx="4198">
                  <c:v>#N/A</c:v>
                </c:pt>
                <c:pt idx="4199">
                  <c:v>#N/A</c:v>
                </c:pt>
                <c:pt idx="4200">
                  <c:v>#N/A</c:v>
                </c:pt>
                <c:pt idx="4201">
                  <c:v>#N/A</c:v>
                </c:pt>
                <c:pt idx="4202">
                  <c:v>#N/A</c:v>
                </c:pt>
                <c:pt idx="4203">
                  <c:v>#N/A</c:v>
                </c:pt>
                <c:pt idx="4204">
                  <c:v>#N/A</c:v>
                </c:pt>
                <c:pt idx="4205">
                  <c:v>#N/A</c:v>
                </c:pt>
                <c:pt idx="4206">
                  <c:v>#N/A</c:v>
                </c:pt>
                <c:pt idx="4207">
                  <c:v>#N/A</c:v>
                </c:pt>
                <c:pt idx="4208">
                  <c:v>#N/A</c:v>
                </c:pt>
                <c:pt idx="4209">
                  <c:v>#N/A</c:v>
                </c:pt>
                <c:pt idx="4210">
                  <c:v>#N/A</c:v>
                </c:pt>
                <c:pt idx="4211">
                  <c:v>#N/A</c:v>
                </c:pt>
                <c:pt idx="4212">
                  <c:v>#N/A</c:v>
                </c:pt>
                <c:pt idx="4213">
                  <c:v>#N/A</c:v>
                </c:pt>
                <c:pt idx="4214">
                  <c:v>#N/A</c:v>
                </c:pt>
                <c:pt idx="4215">
                  <c:v>#N/A</c:v>
                </c:pt>
                <c:pt idx="4216">
                  <c:v>#N/A</c:v>
                </c:pt>
                <c:pt idx="4217">
                  <c:v>#N/A</c:v>
                </c:pt>
                <c:pt idx="4218">
                  <c:v>#N/A</c:v>
                </c:pt>
                <c:pt idx="4219">
                  <c:v>#N/A</c:v>
                </c:pt>
                <c:pt idx="4220">
                  <c:v>#N/A</c:v>
                </c:pt>
                <c:pt idx="4221">
                  <c:v>#N/A</c:v>
                </c:pt>
                <c:pt idx="4222">
                  <c:v>#N/A</c:v>
                </c:pt>
                <c:pt idx="4223">
                  <c:v>#N/A</c:v>
                </c:pt>
                <c:pt idx="4224">
                  <c:v>#N/A</c:v>
                </c:pt>
                <c:pt idx="4225">
                  <c:v>#N/A</c:v>
                </c:pt>
                <c:pt idx="4226">
                  <c:v>#N/A</c:v>
                </c:pt>
                <c:pt idx="4227">
                  <c:v>#N/A</c:v>
                </c:pt>
                <c:pt idx="4228">
                  <c:v>#N/A</c:v>
                </c:pt>
                <c:pt idx="4229">
                  <c:v>#N/A</c:v>
                </c:pt>
                <c:pt idx="4230">
                  <c:v>#N/A</c:v>
                </c:pt>
                <c:pt idx="4231">
                  <c:v>#N/A</c:v>
                </c:pt>
                <c:pt idx="4232">
                  <c:v>#N/A</c:v>
                </c:pt>
                <c:pt idx="4233">
                  <c:v>#N/A</c:v>
                </c:pt>
                <c:pt idx="4234">
                  <c:v>#N/A</c:v>
                </c:pt>
                <c:pt idx="4235">
                  <c:v>#N/A</c:v>
                </c:pt>
                <c:pt idx="4236">
                  <c:v>#N/A</c:v>
                </c:pt>
                <c:pt idx="4237">
                  <c:v>#N/A</c:v>
                </c:pt>
                <c:pt idx="4238">
                  <c:v>#N/A</c:v>
                </c:pt>
                <c:pt idx="4239">
                  <c:v>#N/A</c:v>
                </c:pt>
                <c:pt idx="4240">
                  <c:v>#N/A</c:v>
                </c:pt>
                <c:pt idx="4241">
                  <c:v>#N/A</c:v>
                </c:pt>
                <c:pt idx="4242">
                  <c:v>#N/A</c:v>
                </c:pt>
                <c:pt idx="4243">
                  <c:v>#N/A</c:v>
                </c:pt>
                <c:pt idx="4244">
                  <c:v>#N/A</c:v>
                </c:pt>
                <c:pt idx="4245">
                  <c:v>#N/A</c:v>
                </c:pt>
                <c:pt idx="4246">
                  <c:v>#N/A</c:v>
                </c:pt>
                <c:pt idx="4247">
                  <c:v>#N/A</c:v>
                </c:pt>
                <c:pt idx="4248">
                  <c:v>#N/A</c:v>
                </c:pt>
                <c:pt idx="4249">
                  <c:v>#N/A</c:v>
                </c:pt>
                <c:pt idx="4250">
                  <c:v>#N/A</c:v>
                </c:pt>
                <c:pt idx="4251">
                  <c:v>#N/A</c:v>
                </c:pt>
                <c:pt idx="4252">
                  <c:v>#N/A</c:v>
                </c:pt>
                <c:pt idx="4253">
                  <c:v>#N/A</c:v>
                </c:pt>
                <c:pt idx="4254">
                  <c:v>#N/A</c:v>
                </c:pt>
                <c:pt idx="4255">
                  <c:v>#N/A</c:v>
                </c:pt>
                <c:pt idx="4256">
                  <c:v>#N/A</c:v>
                </c:pt>
                <c:pt idx="4257">
                  <c:v>#N/A</c:v>
                </c:pt>
                <c:pt idx="4258">
                  <c:v>#N/A</c:v>
                </c:pt>
                <c:pt idx="4259">
                  <c:v>#N/A</c:v>
                </c:pt>
                <c:pt idx="4260">
                  <c:v>#N/A</c:v>
                </c:pt>
                <c:pt idx="4261">
                  <c:v>#N/A</c:v>
                </c:pt>
                <c:pt idx="4262">
                  <c:v>#N/A</c:v>
                </c:pt>
                <c:pt idx="4263">
                  <c:v>#N/A</c:v>
                </c:pt>
                <c:pt idx="4264">
                  <c:v>#N/A</c:v>
                </c:pt>
                <c:pt idx="4265">
                  <c:v>#N/A</c:v>
                </c:pt>
                <c:pt idx="4266">
                  <c:v>#N/A</c:v>
                </c:pt>
                <c:pt idx="4267">
                  <c:v>#N/A</c:v>
                </c:pt>
                <c:pt idx="4268">
                  <c:v>#N/A</c:v>
                </c:pt>
                <c:pt idx="4269">
                  <c:v>#N/A</c:v>
                </c:pt>
                <c:pt idx="4270">
                  <c:v>#N/A</c:v>
                </c:pt>
                <c:pt idx="4271">
                  <c:v>#N/A</c:v>
                </c:pt>
                <c:pt idx="4272">
                  <c:v>#N/A</c:v>
                </c:pt>
                <c:pt idx="4273">
                  <c:v>#N/A</c:v>
                </c:pt>
                <c:pt idx="4274">
                  <c:v>#N/A</c:v>
                </c:pt>
                <c:pt idx="4275">
                  <c:v>#N/A</c:v>
                </c:pt>
                <c:pt idx="4276">
                  <c:v>#N/A</c:v>
                </c:pt>
                <c:pt idx="4277">
                  <c:v>#N/A</c:v>
                </c:pt>
                <c:pt idx="4278">
                  <c:v>#N/A</c:v>
                </c:pt>
                <c:pt idx="4279">
                  <c:v>#N/A</c:v>
                </c:pt>
                <c:pt idx="4280">
                  <c:v>#N/A</c:v>
                </c:pt>
                <c:pt idx="4281">
                  <c:v>#N/A</c:v>
                </c:pt>
                <c:pt idx="4282">
                  <c:v>#N/A</c:v>
                </c:pt>
                <c:pt idx="4283">
                  <c:v>#N/A</c:v>
                </c:pt>
                <c:pt idx="4284">
                  <c:v>#N/A</c:v>
                </c:pt>
                <c:pt idx="4285">
                  <c:v>#N/A</c:v>
                </c:pt>
                <c:pt idx="4286">
                  <c:v>#N/A</c:v>
                </c:pt>
                <c:pt idx="4287">
                  <c:v>#N/A</c:v>
                </c:pt>
                <c:pt idx="4288">
                  <c:v>#N/A</c:v>
                </c:pt>
                <c:pt idx="4289">
                  <c:v>#N/A</c:v>
                </c:pt>
                <c:pt idx="4290">
                  <c:v>#N/A</c:v>
                </c:pt>
                <c:pt idx="4291">
                  <c:v>#N/A</c:v>
                </c:pt>
                <c:pt idx="4292">
                  <c:v>#N/A</c:v>
                </c:pt>
                <c:pt idx="4293">
                  <c:v>#N/A</c:v>
                </c:pt>
                <c:pt idx="4294">
                  <c:v>#N/A</c:v>
                </c:pt>
                <c:pt idx="4295">
                  <c:v>#N/A</c:v>
                </c:pt>
                <c:pt idx="4296">
                  <c:v>#N/A</c:v>
                </c:pt>
                <c:pt idx="4297">
                  <c:v>#N/A</c:v>
                </c:pt>
                <c:pt idx="4298">
                  <c:v>#N/A</c:v>
                </c:pt>
                <c:pt idx="4299">
                  <c:v>#N/A</c:v>
                </c:pt>
                <c:pt idx="4300">
                  <c:v>#N/A</c:v>
                </c:pt>
                <c:pt idx="4301">
                  <c:v>#N/A</c:v>
                </c:pt>
                <c:pt idx="4302">
                  <c:v>#N/A</c:v>
                </c:pt>
                <c:pt idx="4303">
                  <c:v>#N/A</c:v>
                </c:pt>
                <c:pt idx="4304">
                  <c:v>#N/A</c:v>
                </c:pt>
                <c:pt idx="4305">
                  <c:v>#N/A</c:v>
                </c:pt>
                <c:pt idx="4306">
                  <c:v>#N/A</c:v>
                </c:pt>
                <c:pt idx="4307">
                  <c:v>#N/A</c:v>
                </c:pt>
                <c:pt idx="4308">
                  <c:v>#N/A</c:v>
                </c:pt>
                <c:pt idx="4309">
                  <c:v>#N/A</c:v>
                </c:pt>
                <c:pt idx="4310">
                  <c:v>#N/A</c:v>
                </c:pt>
                <c:pt idx="4311">
                  <c:v>#N/A</c:v>
                </c:pt>
                <c:pt idx="4312">
                  <c:v>#N/A</c:v>
                </c:pt>
                <c:pt idx="4313">
                  <c:v>#N/A</c:v>
                </c:pt>
                <c:pt idx="4314">
                  <c:v>#N/A</c:v>
                </c:pt>
                <c:pt idx="4315">
                  <c:v>#N/A</c:v>
                </c:pt>
                <c:pt idx="4316">
                  <c:v>#N/A</c:v>
                </c:pt>
                <c:pt idx="4317">
                  <c:v>#N/A</c:v>
                </c:pt>
                <c:pt idx="4318">
                  <c:v>#N/A</c:v>
                </c:pt>
                <c:pt idx="4319">
                  <c:v>#N/A</c:v>
                </c:pt>
                <c:pt idx="4320">
                  <c:v>#N/A</c:v>
                </c:pt>
                <c:pt idx="4321">
                  <c:v>#N/A</c:v>
                </c:pt>
                <c:pt idx="4322">
                  <c:v>#N/A</c:v>
                </c:pt>
                <c:pt idx="4323">
                  <c:v>#N/A</c:v>
                </c:pt>
                <c:pt idx="4324">
                  <c:v>#N/A</c:v>
                </c:pt>
                <c:pt idx="4325">
                  <c:v>#N/A</c:v>
                </c:pt>
                <c:pt idx="4326">
                  <c:v>#N/A</c:v>
                </c:pt>
                <c:pt idx="4327">
                  <c:v>#N/A</c:v>
                </c:pt>
                <c:pt idx="4328">
                  <c:v>#N/A</c:v>
                </c:pt>
                <c:pt idx="4329">
                  <c:v>#N/A</c:v>
                </c:pt>
                <c:pt idx="4330">
                  <c:v>#N/A</c:v>
                </c:pt>
                <c:pt idx="4331">
                  <c:v>#N/A</c:v>
                </c:pt>
                <c:pt idx="4332">
                  <c:v>#N/A</c:v>
                </c:pt>
                <c:pt idx="4333">
                  <c:v>#N/A</c:v>
                </c:pt>
                <c:pt idx="4334">
                  <c:v>#N/A</c:v>
                </c:pt>
                <c:pt idx="4335">
                  <c:v>#N/A</c:v>
                </c:pt>
                <c:pt idx="4336">
                  <c:v>#N/A</c:v>
                </c:pt>
                <c:pt idx="4337">
                  <c:v>#N/A</c:v>
                </c:pt>
                <c:pt idx="4338">
                  <c:v>#N/A</c:v>
                </c:pt>
                <c:pt idx="4339">
                  <c:v>#N/A</c:v>
                </c:pt>
                <c:pt idx="4340">
                  <c:v>#N/A</c:v>
                </c:pt>
                <c:pt idx="4341">
                  <c:v>#N/A</c:v>
                </c:pt>
                <c:pt idx="4342">
                  <c:v>#N/A</c:v>
                </c:pt>
                <c:pt idx="4343">
                  <c:v>#N/A</c:v>
                </c:pt>
                <c:pt idx="4344">
                  <c:v>#N/A</c:v>
                </c:pt>
                <c:pt idx="4345">
                  <c:v>#N/A</c:v>
                </c:pt>
                <c:pt idx="4346">
                  <c:v>#N/A</c:v>
                </c:pt>
                <c:pt idx="4347">
                  <c:v>#N/A</c:v>
                </c:pt>
                <c:pt idx="4348">
                  <c:v>#N/A</c:v>
                </c:pt>
                <c:pt idx="4349">
                  <c:v>#N/A</c:v>
                </c:pt>
                <c:pt idx="4350">
                  <c:v>#N/A</c:v>
                </c:pt>
                <c:pt idx="4351">
                  <c:v>#N/A</c:v>
                </c:pt>
                <c:pt idx="4352">
                  <c:v>#N/A</c:v>
                </c:pt>
                <c:pt idx="4353">
                  <c:v>#N/A</c:v>
                </c:pt>
                <c:pt idx="4354">
                  <c:v>#N/A</c:v>
                </c:pt>
                <c:pt idx="4355">
                  <c:v>#N/A</c:v>
                </c:pt>
                <c:pt idx="4356">
                  <c:v>#N/A</c:v>
                </c:pt>
                <c:pt idx="4357">
                  <c:v>#N/A</c:v>
                </c:pt>
                <c:pt idx="4358">
                  <c:v>#N/A</c:v>
                </c:pt>
                <c:pt idx="4359">
                  <c:v>#N/A</c:v>
                </c:pt>
                <c:pt idx="4360">
                  <c:v>#N/A</c:v>
                </c:pt>
                <c:pt idx="4361">
                  <c:v>#N/A</c:v>
                </c:pt>
                <c:pt idx="4362">
                  <c:v>#N/A</c:v>
                </c:pt>
                <c:pt idx="4363">
                  <c:v>#N/A</c:v>
                </c:pt>
                <c:pt idx="4364">
                  <c:v>#N/A</c:v>
                </c:pt>
                <c:pt idx="4365">
                  <c:v>#N/A</c:v>
                </c:pt>
                <c:pt idx="4366">
                  <c:v>#N/A</c:v>
                </c:pt>
                <c:pt idx="4367">
                  <c:v>#N/A</c:v>
                </c:pt>
                <c:pt idx="4368">
                  <c:v>#N/A</c:v>
                </c:pt>
                <c:pt idx="4369">
                  <c:v>#N/A</c:v>
                </c:pt>
                <c:pt idx="4370">
                  <c:v>#N/A</c:v>
                </c:pt>
                <c:pt idx="4371">
                  <c:v>#N/A</c:v>
                </c:pt>
                <c:pt idx="4372">
                  <c:v>#N/A</c:v>
                </c:pt>
                <c:pt idx="4373">
                  <c:v>#N/A</c:v>
                </c:pt>
                <c:pt idx="4374">
                  <c:v>#N/A</c:v>
                </c:pt>
                <c:pt idx="4375">
                  <c:v>#N/A</c:v>
                </c:pt>
                <c:pt idx="4376">
                  <c:v>#N/A</c:v>
                </c:pt>
                <c:pt idx="4377">
                  <c:v>#N/A</c:v>
                </c:pt>
                <c:pt idx="4378">
                  <c:v>#N/A</c:v>
                </c:pt>
                <c:pt idx="4379">
                  <c:v>#N/A</c:v>
                </c:pt>
                <c:pt idx="4380">
                  <c:v>#N/A</c:v>
                </c:pt>
                <c:pt idx="4381">
                  <c:v>#N/A</c:v>
                </c:pt>
                <c:pt idx="4382">
                  <c:v>#N/A</c:v>
                </c:pt>
                <c:pt idx="4383">
                  <c:v>#N/A</c:v>
                </c:pt>
                <c:pt idx="4384">
                  <c:v>#N/A</c:v>
                </c:pt>
                <c:pt idx="4385">
                  <c:v>#N/A</c:v>
                </c:pt>
                <c:pt idx="4386">
                  <c:v>#N/A</c:v>
                </c:pt>
                <c:pt idx="4387">
                  <c:v>#N/A</c:v>
                </c:pt>
                <c:pt idx="4388">
                  <c:v>#N/A</c:v>
                </c:pt>
                <c:pt idx="4389">
                  <c:v>#N/A</c:v>
                </c:pt>
                <c:pt idx="4390">
                  <c:v>#N/A</c:v>
                </c:pt>
                <c:pt idx="4391">
                  <c:v>#N/A</c:v>
                </c:pt>
                <c:pt idx="4392">
                  <c:v>#N/A</c:v>
                </c:pt>
                <c:pt idx="4393">
                  <c:v>#N/A</c:v>
                </c:pt>
                <c:pt idx="4394">
                  <c:v>#N/A</c:v>
                </c:pt>
                <c:pt idx="4395">
                  <c:v>#N/A</c:v>
                </c:pt>
                <c:pt idx="4396">
                  <c:v>#N/A</c:v>
                </c:pt>
                <c:pt idx="4397">
                  <c:v>#N/A</c:v>
                </c:pt>
                <c:pt idx="4398">
                  <c:v>#N/A</c:v>
                </c:pt>
                <c:pt idx="4399">
                  <c:v>#N/A</c:v>
                </c:pt>
                <c:pt idx="4400">
                  <c:v>#N/A</c:v>
                </c:pt>
                <c:pt idx="4401">
                  <c:v>#N/A</c:v>
                </c:pt>
                <c:pt idx="4402">
                  <c:v>#N/A</c:v>
                </c:pt>
                <c:pt idx="4403">
                  <c:v>#N/A</c:v>
                </c:pt>
                <c:pt idx="4404">
                  <c:v>#N/A</c:v>
                </c:pt>
                <c:pt idx="4405">
                  <c:v>#N/A</c:v>
                </c:pt>
                <c:pt idx="4406">
                  <c:v>#N/A</c:v>
                </c:pt>
                <c:pt idx="4407">
                  <c:v>#N/A</c:v>
                </c:pt>
                <c:pt idx="4408">
                  <c:v>#N/A</c:v>
                </c:pt>
                <c:pt idx="4409">
                  <c:v>#N/A</c:v>
                </c:pt>
                <c:pt idx="4410">
                  <c:v>#N/A</c:v>
                </c:pt>
                <c:pt idx="4411">
                  <c:v>#N/A</c:v>
                </c:pt>
                <c:pt idx="4412">
                  <c:v>#N/A</c:v>
                </c:pt>
                <c:pt idx="4413">
                  <c:v>#N/A</c:v>
                </c:pt>
                <c:pt idx="4414">
                  <c:v>#N/A</c:v>
                </c:pt>
                <c:pt idx="4415">
                  <c:v>#N/A</c:v>
                </c:pt>
                <c:pt idx="4416">
                  <c:v>#N/A</c:v>
                </c:pt>
                <c:pt idx="4417">
                  <c:v>#N/A</c:v>
                </c:pt>
                <c:pt idx="4418">
                  <c:v>#N/A</c:v>
                </c:pt>
                <c:pt idx="4419">
                  <c:v>#N/A</c:v>
                </c:pt>
                <c:pt idx="4420">
                  <c:v>#N/A</c:v>
                </c:pt>
                <c:pt idx="4421">
                  <c:v>#N/A</c:v>
                </c:pt>
                <c:pt idx="4422">
                  <c:v>#N/A</c:v>
                </c:pt>
                <c:pt idx="4423">
                  <c:v>#N/A</c:v>
                </c:pt>
                <c:pt idx="4424">
                  <c:v>#N/A</c:v>
                </c:pt>
                <c:pt idx="4425">
                  <c:v>#N/A</c:v>
                </c:pt>
                <c:pt idx="4426">
                  <c:v>#N/A</c:v>
                </c:pt>
                <c:pt idx="4427">
                  <c:v>#N/A</c:v>
                </c:pt>
                <c:pt idx="4428">
                  <c:v>#N/A</c:v>
                </c:pt>
                <c:pt idx="4429">
                  <c:v>#N/A</c:v>
                </c:pt>
                <c:pt idx="4430">
                  <c:v>#N/A</c:v>
                </c:pt>
                <c:pt idx="4431">
                  <c:v>#N/A</c:v>
                </c:pt>
                <c:pt idx="4432">
                  <c:v>#N/A</c:v>
                </c:pt>
                <c:pt idx="4433">
                  <c:v>#N/A</c:v>
                </c:pt>
                <c:pt idx="4434">
                  <c:v>#N/A</c:v>
                </c:pt>
                <c:pt idx="4435">
                  <c:v>#N/A</c:v>
                </c:pt>
                <c:pt idx="4436">
                  <c:v>#N/A</c:v>
                </c:pt>
                <c:pt idx="4437">
                  <c:v>#N/A</c:v>
                </c:pt>
                <c:pt idx="4438">
                  <c:v>#N/A</c:v>
                </c:pt>
                <c:pt idx="4439">
                  <c:v>#N/A</c:v>
                </c:pt>
                <c:pt idx="4440">
                  <c:v>#N/A</c:v>
                </c:pt>
                <c:pt idx="4441">
                  <c:v>#N/A</c:v>
                </c:pt>
                <c:pt idx="4442">
                  <c:v>#N/A</c:v>
                </c:pt>
                <c:pt idx="4443">
                  <c:v>#N/A</c:v>
                </c:pt>
                <c:pt idx="4444">
                  <c:v>#N/A</c:v>
                </c:pt>
                <c:pt idx="4445">
                  <c:v>#N/A</c:v>
                </c:pt>
                <c:pt idx="4446">
                  <c:v>#N/A</c:v>
                </c:pt>
                <c:pt idx="4447">
                  <c:v>#N/A</c:v>
                </c:pt>
                <c:pt idx="4448">
                  <c:v>#N/A</c:v>
                </c:pt>
                <c:pt idx="4449">
                  <c:v>#N/A</c:v>
                </c:pt>
                <c:pt idx="4450">
                  <c:v>#N/A</c:v>
                </c:pt>
                <c:pt idx="4451">
                  <c:v>#N/A</c:v>
                </c:pt>
                <c:pt idx="4452">
                  <c:v>#N/A</c:v>
                </c:pt>
                <c:pt idx="4453">
                  <c:v>#N/A</c:v>
                </c:pt>
                <c:pt idx="4454">
                  <c:v>#N/A</c:v>
                </c:pt>
                <c:pt idx="4455">
                  <c:v>#N/A</c:v>
                </c:pt>
                <c:pt idx="4456">
                  <c:v>#N/A</c:v>
                </c:pt>
                <c:pt idx="4457">
                  <c:v>#N/A</c:v>
                </c:pt>
                <c:pt idx="4458">
                  <c:v>#N/A</c:v>
                </c:pt>
                <c:pt idx="4459">
                  <c:v>#N/A</c:v>
                </c:pt>
                <c:pt idx="4460">
                  <c:v>#N/A</c:v>
                </c:pt>
                <c:pt idx="4461">
                  <c:v>#N/A</c:v>
                </c:pt>
                <c:pt idx="4462">
                  <c:v>#N/A</c:v>
                </c:pt>
                <c:pt idx="4463">
                  <c:v>#N/A</c:v>
                </c:pt>
                <c:pt idx="4464">
                  <c:v>#N/A</c:v>
                </c:pt>
                <c:pt idx="4465">
                  <c:v>#N/A</c:v>
                </c:pt>
                <c:pt idx="4466">
                  <c:v>#N/A</c:v>
                </c:pt>
                <c:pt idx="4467">
                  <c:v>#N/A</c:v>
                </c:pt>
                <c:pt idx="4468">
                  <c:v>#N/A</c:v>
                </c:pt>
                <c:pt idx="4469">
                  <c:v>#N/A</c:v>
                </c:pt>
                <c:pt idx="4470">
                  <c:v>#N/A</c:v>
                </c:pt>
                <c:pt idx="4471">
                  <c:v>#N/A</c:v>
                </c:pt>
                <c:pt idx="4472">
                  <c:v>#N/A</c:v>
                </c:pt>
                <c:pt idx="4473">
                  <c:v>#N/A</c:v>
                </c:pt>
                <c:pt idx="4474">
                  <c:v>#N/A</c:v>
                </c:pt>
                <c:pt idx="4475">
                  <c:v>#N/A</c:v>
                </c:pt>
                <c:pt idx="4476">
                  <c:v>#N/A</c:v>
                </c:pt>
                <c:pt idx="4477">
                  <c:v>#N/A</c:v>
                </c:pt>
                <c:pt idx="4478">
                  <c:v>#N/A</c:v>
                </c:pt>
                <c:pt idx="4479">
                  <c:v>#N/A</c:v>
                </c:pt>
                <c:pt idx="4480">
                  <c:v>#N/A</c:v>
                </c:pt>
                <c:pt idx="4481">
                  <c:v>#N/A</c:v>
                </c:pt>
                <c:pt idx="4482">
                  <c:v>#N/A</c:v>
                </c:pt>
                <c:pt idx="4483">
                  <c:v>#N/A</c:v>
                </c:pt>
                <c:pt idx="4484">
                  <c:v>#N/A</c:v>
                </c:pt>
                <c:pt idx="4485">
                  <c:v>#N/A</c:v>
                </c:pt>
                <c:pt idx="4486">
                  <c:v>#N/A</c:v>
                </c:pt>
                <c:pt idx="4487">
                  <c:v>#N/A</c:v>
                </c:pt>
                <c:pt idx="4488">
                  <c:v>#N/A</c:v>
                </c:pt>
                <c:pt idx="4489">
                  <c:v>#N/A</c:v>
                </c:pt>
                <c:pt idx="4490">
                  <c:v>#N/A</c:v>
                </c:pt>
                <c:pt idx="4491">
                  <c:v>#N/A</c:v>
                </c:pt>
                <c:pt idx="4492">
                  <c:v>#N/A</c:v>
                </c:pt>
                <c:pt idx="4493">
                  <c:v>#N/A</c:v>
                </c:pt>
                <c:pt idx="4494">
                  <c:v>#N/A</c:v>
                </c:pt>
                <c:pt idx="4495">
                  <c:v>#N/A</c:v>
                </c:pt>
                <c:pt idx="4496">
                  <c:v>#N/A</c:v>
                </c:pt>
                <c:pt idx="4497">
                  <c:v>#N/A</c:v>
                </c:pt>
                <c:pt idx="4498">
                  <c:v>#N/A</c:v>
                </c:pt>
                <c:pt idx="4499">
                  <c:v>#N/A</c:v>
                </c:pt>
                <c:pt idx="4500">
                  <c:v>#N/A</c:v>
                </c:pt>
                <c:pt idx="4501">
                  <c:v>#N/A</c:v>
                </c:pt>
                <c:pt idx="4502">
                  <c:v>#N/A</c:v>
                </c:pt>
                <c:pt idx="4503">
                  <c:v>#N/A</c:v>
                </c:pt>
                <c:pt idx="4504">
                  <c:v>#N/A</c:v>
                </c:pt>
                <c:pt idx="4505">
                  <c:v>#N/A</c:v>
                </c:pt>
                <c:pt idx="4506">
                  <c:v>#N/A</c:v>
                </c:pt>
                <c:pt idx="4507">
                  <c:v>#N/A</c:v>
                </c:pt>
                <c:pt idx="4508">
                  <c:v>#N/A</c:v>
                </c:pt>
                <c:pt idx="4509">
                  <c:v>#N/A</c:v>
                </c:pt>
                <c:pt idx="4510">
                  <c:v>#N/A</c:v>
                </c:pt>
                <c:pt idx="4511">
                  <c:v>#N/A</c:v>
                </c:pt>
                <c:pt idx="4512">
                  <c:v>#N/A</c:v>
                </c:pt>
                <c:pt idx="4513">
                  <c:v>#N/A</c:v>
                </c:pt>
                <c:pt idx="4514">
                  <c:v>#N/A</c:v>
                </c:pt>
                <c:pt idx="4515">
                  <c:v>#N/A</c:v>
                </c:pt>
                <c:pt idx="4516">
                  <c:v>#N/A</c:v>
                </c:pt>
                <c:pt idx="4517">
                  <c:v>#N/A</c:v>
                </c:pt>
                <c:pt idx="4518">
                  <c:v>#N/A</c:v>
                </c:pt>
                <c:pt idx="4519">
                  <c:v>#N/A</c:v>
                </c:pt>
                <c:pt idx="4520">
                  <c:v>#N/A</c:v>
                </c:pt>
                <c:pt idx="4521">
                  <c:v>#N/A</c:v>
                </c:pt>
                <c:pt idx="4522">
                  <c:v>#N/A</c:v>
                </c:pt>
                <c:pt idx="4523">
                  <c:v>#N/A</c:v>
                </c:pt>
                <c:pt idx="4524">
                  <c:v>#N/A</c:v>
                </c:pt>
                <c:pt idx="4525">
                  <c:v>#N/A</c:v>
                </c:pt>
                <c:pt idx="4526">
                  <c:v>#N/A</c:v>
                </c:pt>
                <c:pt idx="4527">
                  <c:v>#N/A</c:v>
                </c:pt>
                <c:pt idx="4528">
                  <c:v>#N/A</c:v>
                </c:pt>
                <c:pt idx="4529">
                  <c:v>#N/A</c:v>
                </c:pt>
                <c:pt idx="4530">
                  <c:v>#N/A</c:v>
                </c:pt>
                <c:pt idx="4531">
                  <c:v>#N/A</c:v>
                </c:pt>
                <c:pt idx="4532">
                  <c:v>#N/A</c:v>
                </c:pt>
                <c:pt idx="4533">
                  <c:v>#N/A</c:v>
                </c:pt>
                <c:pt idx="4534">
                  <c:v>#N/A</c:v>
                </c:pt>
                <c:pt idx="4535">
                  <c:v>#N/A</c:v>
                </c:pt>
                <c:pt idx="4536">
                  <c:v>#N/A</c:v>
                </c:pt>
                <c:pt idx="4537">
                  <c:v>#N/A</c:v>
                </c:pt>
                <c:pt idx="4538">
                  <c:v>#N/A</c:v>
                </c:pt>
                <c:pt idx="4539">
                  <c:v>#N/A</c:v>
                </c:pt>
                <c:pt idx="4540">
                  <c:v>#N/A</c:v>
                </c:pt>
                <c:pt idx="4541">
                  <c:v>#N/A</c:v>
                </c:pt>
                <c:pt idx="4542">
                  <c:v>#N/A</c:v>
                </c:pt>
                <c:pt idx="4543">
                  <c:v>#N/A</c:v>
                </c:pt>
                <c:pt idx="4544">
                  <c:v>#N/A</c:v>
                </c:pt>
                <c:pt idx="4545">
                  <c:v>#N/A</c:v>
                </c:pt>
                <c:pt idx="4546">
                  <c:v>#N/A</c:v>
                </c:pt>
                <c:pt idx="4547">
                  <c:v>#N/A</c:v>
                </c:pt>
                <c:pt idx="4548">
                  <c:v>#N/A</c:v>
                </c:pt>
                <c:pt idx="4549">
                  <c:v>#N/A</c:v>
                </c:pt>
                <c:pt idx="4550">
                  <c:v>#N/A</c:v>
                </c:pt>
                <c:pt idx="4551">
                  <c:v>#N/A</c:v>
                </c:pt>
                <c:pt idx="4552">
                  <c:v>#N/A</c:v>
                </c:pt>
                <c:pt idx="4553">
                  <c:v>#N/A</c:v>
                </c:pt>
                <c:pt idx="4554">
                  <c:v>#N/A</c:v>
                </c:pt>
                <c:pt idx="4555">
                  <c:v>#N/A</c:v>
                </c:pt>
                <c:pt idx="4556">
                  <c:v>#N/A</c:v>
                </c:pt>
                <c:pt idx="4557">
                  <c:v>#N/A</c:v>
                </c:pt>
                <c:pt idx="4558">
                  <c:v>#N/A</c:v>
                </c:pt>
                <c:pt idx="4559">
                  <c:v>#N/A</c:v>
                </c:pt>
                <c:pt idx="4560">
                  <c:v>#N/A</c:v>
                </c:pt>
                <c:pt idx="4561">
                  <c:v>#N/A</c:v>
                </c:pt>
                <c:pt idx="4562">
                  <c:v>#N/A</c:v>
                </c:pt>
                <c:pt idx="4563">
                  <c:v>#N/A</c:v>
                </c:pt>
                <c:pt idx="4564">
                  <c:v>#N/A</c:v>
                </c:pt>
                <c:pt idx="4565">
                  <c:v>#N/A</c:v>
                </c:pt>
                <c:pt idx="4566">
                  <c:v>#N/A</c:v>
                </c:pt>
                <c:pt idx="4567">
                  <c:v>#N/A</c:v>
                </c:pt>
                <c:pt idx="4568">
                  <c:v>#N/A</c:v>
                </c:pt>
                <c:pt idx="4569">
                  <c:v>#N/A</c:v>
                </c:pt>
                <c:pt idx="4570">
                  <c:v>#N/A</c:v>
                </c:pt>
                <c:pt idx="4571">
                  <c:v>#N/A</c:v>
                </c:pt>
                <c:pt idx="4572">
                  <c:v>#N/A</c:v>
                </c:pt>
                <c:pt idx="4573">
                  <c:v>#N/A</c:v>
                </c:pt>
                <c:pt idx="4574">
                  <c:v>#N/A</c:v>
                </c:pt>
                <c:pt idx="4575">
                  <c:v>#N/A</c:v>
                </c:pt>
                <c:pt idx="4576">
                  <c:v>#N/A</c:v>
                </c:pt>
                <c:pt idx="4577">
                  <c:v>#N/A</c:v>
                </c:pt>
                <c:pt idx="4578">
                  <c:v>#N/A</c:v>
                </c:pt>
                <c:pt idx="4579">
                  <c:v>#N/A</c:v>
                </c:pt>
                <c:pt idx="4580">
                  <c:v>#N/A</c:v>
                </c:pt>
                <c:pt idx="4581">
                  <c:v>#N/A</c:v>
                </c:pt>
                <c:pt idx="4582">
                  <c:v>#N/A</c:v>
                </c:pt>
                <c:pt idx="4583">
                  <c:v>#N/A</c:v>
                </c:pt>
                <c:pt idx="4584">
                  <c:v>#N/A</c:v>
                </c:pt>
                <c:pt idx="4585">
                  <c:v>#N/A</c:v>
                </c:pt>
                <c:pt idx="4586">
                  <c:v>#N/A</c:v>
                </c:pt>
                <c:pt idx="4587">
                  <c:v>#N/A</c:v>
                </c:pt>
                <c:pt idx="4588">
                  <c:v>#N/A</c:v>
                </c:pt>
                <c:pt idx="4589">
                  <c:v>#N/A</c:v>
                </c:pt>
                <c:pt idx="4590">
                  <c:v>#N/A</c:v>
                </c:pt>
                <c:pt idx="4591">
                  <c:v>#N/A</c:v>
                </c:pt>
                <c:pt idx="4592">
                  <c:v>#N/A</c:v>
                </c:pt>
                <c:pt idx="4593">
                  <c:v>#N/A</c:v>
                </c:pt>
                <c:pt idx="4594">
                  <c:v>#N/A</c:v>
                </c:pt>
                <c:pt idx="4595">
                  <c:v>#N/A</c:v>
                </c:pt>
                <c:pt idx="4596">
                  <c:v>#N/A</c:v>
                </c:pt>
                <c:pt idx="4597">
                  <c:v>#N/A</c:v>
                </c:pt>
                <c:pt idx="4598">
                  <c:v>#N/A</c:v>
                </c:pt>
                <c:pt idx="4599">
                  <c:v>#N/A</c:v>
                </c:pt>
                <c:pt idx="4600">
                  <c:v>#N/A</c:v>
                </c:pt>
                <c:pt idx="4601">
                  <c:v>#N/A</c:v>
                </c:pt>
                <c:pt idx="4602">
                  <c:v>#N/A</c:v>
                </c:pt>
                <c:pt idx="4603">
                  <c:v>#N/A</c:v>
                </c:pt>
                <c:pt idx="4604">
                  <c:v>#N/A</c:v>
                </c:pt>
                <c:pt idx="4605">
                  <c:v>#N/A</c:v>
                </c:pt>
                <c:pt idx="4606">
                  <c:v>#N/A</c:v>
                </c:pt>
                <c:pt idx="4607">
                  <c:v>#N/A</c:v>
                </c:pt>
                <c:pt idx="4608">
                  <c:v>#N/A</c:v>
                </c:pt>
                <c:pt idx="4609">
                  <c:v>#N/A</c:v>
                </c:pt>
                <c:pt idx="4610">
                  <c:v>#N/A</c:v>
                </c:pt>
                <c:pt idx="4611">
                  <c:v>#N/A</c:v>
                </c:pt>
                <c:pt idx="4612">
                  <c:v>#N/A</c:v>
                </c:pt>
                <c:pt idx="4613">
                  <c:v>#N/A</c:v>
                </c:pt>
                <c:pt idx="4614">
                  <c:v>#N/A</c:v>
                </c:pt>
                <c:pt idx="4615">
                  <c:v>#N/A</c:v>
                </c:pt>
                <c:pt idx="4616">
                  <c:v>#N/A</c:v>
                </c:pt>
                <c:pt idx="4617">
                  <c:v>#N/A</c:v>
                </c:pt>
                <c:pt idx="4618">
                  <c:v>#N/A</c:v>
                </c:pt>
                <c:pt idx="4619">
                  <c:v>#N/A</c:v>
                </c:pt>
                <c:pt idx="4620">
                  <c:v>#N/A</c:v>
                </c:pt>
                <c:pt idx="4621">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numCache>
            </c:numRef>
          </c:yVal>
          <c:smooth val="0"/>
          <c:extLst>
            <c:ext xmlns:c16="http://schemas.microsoft.com/office/drawing/2014/chart" uri="{C3380CC4-5D6E-409C-BE32-E72D297353CC}">
              <c16:uniqueId val="{00000001-A4E7-49D5-B71E-FE1E5C052344}"/>
            </c:ext>
          </c:extLst>
        </c:ser>
        <c:dLbls>
          <c:showLegendKey val="0"/>
          <c:showVal val="0"/>
          <c:showCatName val="0"/>
          <c:showSerName val="0"/>
          <c:showPercent val="0"/>
          <c:showBubbleSize val="0"/>
        </c:dLbls>
        <c:axId val="176714112"/>
        <c:axId val="176715648"/>
      </c:scatterChart>
      <c:valAx>
        <c:axId val="176714112"/>
        <c:scaling>
          <c:orientation val="minMax"/>
        </c:scaling>
        <c:delete val="0"/>
        <c:axPos val="b"/>
        <c:majorGridlines>
          <c:spPr>
            <a:ln>
              <a:prstDash val="dash"/>
            </a:ln>
          </c:spPr>
        </c:majorGridlines>
        <c:numFmt formatCode="0.0E+00" sourceLinked="0"/>
        <c:majorTickMark val="out"/>
        <c:minorTickMark val="none"/>
        <c:tickLblPos val="low"/>
        <c:spPr>
          <a:ln w="19050">
            <a:solidFill>
              <a:schemeClr val="tx1"/>
            </a:solidFill>
          </a:ln>
        </c:spPr>
        <c:txPr>
          <a:bodyPr anchor="b" anchorCtr="1"/>
          <a:lstStyle/>
          <a:p>
            <a:pPr>
              <a:defRPr>
                <a:latin typeface="Arial" panose="020B0604020202020204" pitchFamily="34" charset="0"/>
                <a:cs typeface="Arial" panose="020B0604020202020204" pitchFamily="34" charset="0"/>
              </a:defRPr>
            </a:pPr>
            <a:endParaRPr lang="es-AR"/>
          </a:p>
        </c:txPr>
        <c:crossAx val="176715648"/>
        <c:crossesAt val="0"/>
        <c:crossBetween val="midCat"/>
      </c:valAx>
      <c:valAx>
        <c:axId val="176715648"/>
        <c:scaling>
          <c:orientation val="minMax"/>
        </c:scaling>
        <c:delete val="0"/>
        <c:axPos val="l"/>
        <c:majorGridlines>
          <c:spPr>
            <a:ln>
              <a:prstDash val="dash"/>
            </a:ln>
          </c:spPr>
        </c:majorGridlines>
        <c:numFmt formatCode="0.0E+00" sourceLinked="0"/>
        <c:majorTickMark val="out"/>
        <c:minorTickMark val="none"/>
        <c:tickLblPos val="low"/>
        <c:spPr>
          <a:ln w="22225">
            <a:solidFill>
              <a:schemeClr val="tx1"/>
            </a:solidFill>
          </a:ln>
        </c:spPr>
        <c:txPr>
          <a:bodyPr/>
          <a:lstStyle/>
          <a:p>
            <a:pPr>
              <a:defRPr>
                <a:latin typeface="Arial" panose="020B0604020202020204" pitchFamily="34" charset="0"/>
                <a:cs typeface="Arial" panose="020B0604020202020204" pitchFamily="34" charset="0"/>
              </a:defRPr>
            </a:pPr>
            <a:endParaRPr lang="es-AR"/>
          </a:p>
        </c:txPr>
        <c:crossAx val="176714112"/>
        <c:crossesAt val="0"/>
        <c:crossBetween val="midCat"/>
      </c:valAx>
    </c:plotArea>
    <c:plotVisOnly val="1"/>
    <c:dispBlanksAs val="gap"/>
    <c:showDLblsOverMax val="0"/>
  </c:chart>
  <c:spPr>
    <a:ln>
      <a:no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49680</xdr:colOff>
      <xdr:row>40</xdr:row>
      <xdr:rowOff>121023</xdr:rowOff>
    </xdr:from>
    <xdr:to>
      <xdr:col>2</xdr:col>
      <xdr:colOff>649819</xdr:colOff>
      <xdr:row>51</xdr:row>
      <xdr:rowOff>71343</xdr:rowOff>
    </xdr:to>
    <xdr:pic>
      <xdr:nvPicPr>
        <xdr:cNvPr id="2" name="3 Imagen" descr="C:\Users\Mauro\AppData\Local\Temp\x10sctmp1.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9680" y="7516905"/>
          <a:ext cx="2294095" cy="19619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182336</xdr:colOff>
      <xdr:row>97</xdr:row>
      <xdr:rowOff>50801</xdr:rowOff>
    </xdr:from>
    <xdr:to>
      <xdr:col>6</xdr:col>
      <xdr:colOff>436336</xdr:colOff>
      <xdr:row>120</xdr:row>
      <xdr:rowOff>168274</xdr:rowOff>
    </xdr:to>
    <xdr:pic>
      <xdr:nvPicPr>
        <xdr:cNvPr id="4" name="5 Imagen" descr="C:\Users\Mauro\AppData\Local\Temp\x10sctmp3.png">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2336" y="15191015"/>
          <a:ext cx="4916261" cy="42994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276225</xdr:colOff>
          <xdr:row>214</xdr:row>
          <xdr:rowOff>161925</xdr:rowOff>
        </xdr:from>
        <xdr:to>
          <xdr:col>4</xdr:col>
          <xdr:colOff>342900</xdr:colOff>
          <xdr:row>217</xdr:row>
          <xdr:rowOff>85725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0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1" i="0" u="none" strike="noStrike" baseline="0">
                  <a:solidFill>
                    <a:srgbClr val="000000"/>
                  </a:solidFill>
                  <a:latin typeface="Calibri"/>
                  <a:ea typeface="Calibri"/>
                  <a:cs typeface="Calibri"/>
                </a:rPr>
                <a:t>He leído las instrucciones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400050</xdr:colOff>
          <xdr:row>1</xdr:row>
          <xdr:rowOff>28575</xdr:rowOff>
        </xdr:from>
        <xdr:to>
          <xdr:col>4</xdr:col>
          <xdr:colOff>104775</xdr:colOff>
          <xdr:row>4</xdr:row>
          <xdr:rowOff>66675</xdr:rowOff>
        </xdr:to>
        <xdr:sp macro="" textlink="">
          <xdr:nvSpPr>
            <xdr:cNvPr id="17410" name="Object 2" hidden="1">
              <a:extLst>
                <a:ext uri="{63B3BB69-23CF-44E3-9099-C40C66FF867C}">
                  <a14:compatExt spid="_x0000_s17410"/>
                </a:ext>
                <a:ext uri="{FF2B5EF4-FFF2-40B4-BE49-F238E27FC236}">
                  <a16:creationId xmlns:a16="http://schemas.microsoft.com/office/drawing/2014/main" id="{00000000-0008-0000-0000-000002440000}"/>
                </a:ext>
              </a:extLst>
            </xdr:cNvPr>
            <xdr:cNvSpPr/>
          </xdr:nvSpPr>
          <xdr:spPr bwMode="auto">
            <a:xfrm>
              <a:off x="0" y="0"/>
              <a:ext cx="0" cy="0"/>
            </a:xfrm>
            <a:prstGeom prst="rect">
              <a:avLst/>
            </a:prstGeom>
            <a:noFill/>
            <a:extLst>
              <a:ext uri="{909E8E84-426E-40DD-AFC4-6F175D3DCCD1}">
                <a14:hiddenFill>
                  <a:solidFill>
                    <a:srgbClr val="00CC99"/>
                  </a:solidFill>
                </a14:hiddenFill>
              </a:ext>
            </a:extLst>
          </xdr:spPr>
        </xdr:sp>
        <xdr:clientData/>
      </xdr:twoCellAnchor>
    </mc:Choice>
    <mc:Fallback/>
  </mc:AlternateContent>
  <xdr:twoCellAnchor>
    <xdr:from>
      <xdr:col>5</xdr:col>
      <xdr:colOff>408146</xdr:colOff>
      <xdr:row>0</xdr:row>
      <xdr:rowOff>176580</xdr:rowOff>
    </xdr:from>
    <xdr:to>
      <xdr:col>6</xdr:col>
      <xdr:colOff>165246</xdr:colOff>
      <xdr:row>4</xdr:row>
      <xdr:rowOff>80596</xdr:rowOff>
    </xdr:to>
    <xdr:grpSp>
      <xdr:nvGrpSpPr>
        <xdr:cNvPr id="8" name="7 Grupo">
          <a:extLst>
            <a:ext uri="{FF2B5EF4-FFF2-40B4-BE49-F238E27FC236}">
              <a16:creationId xmlns:a16="http://schemas.microsoft.com/office/drawing/2014/main" id="{00000000-0008-0000-0000-000008000000}"/>
            </a:ext>
          </a:extLst>
        </xdr:cNvPr>
        <xdr:cNvGrpSpPr>
          <a:grpSpLocks noChangeAspect="1"/>
        </xdr:cNvGrpSpPr>
      </xdr:nvGrpSpPr>
      <xdr:grpSpPr bwMode="auto">
        <a:xfrm>
          <a:off x="4313396" y="176580"/>
          <a:ext cx="519100" cy="627916"/>
          <a:chOff x="2265" y="1712"/>
          <a:chExt cx="1230" cy="1508"/>
        </a:xfrm>
      </xdr:grpSpPr>
      <xdr:sp macro="" textlink="">
        <xdr:nvSpPr>
          <xdr:cNvPr id="9" name="Rectangle 4">
            <a:extLst>
              <a:ext uri="{FF2B5EF4-FFF2-40B4-BE49-F238E27FC236}">
                <a16:creationId xmlns:a16="http://schemas.microsoft.com/office/drawing/2014/main" id="{00000000-0008-0000-0000-000009000000}"/>
              </a:ext>
            </a:extLst>
          </xdr:cNvPr>
          <xdr:cNvSpPr>
            <a:spLocks noChangeAspect="1" noChangeArrowheads="1"/>
          </xdr:cNvSpPr>
        </xdr:nvSpPr>
        <xdr:spPr bwMode="auto">
          <a:xfrm>
            <a:off x="2265" y="2050"/>
            <a:ext cx="405" cy="1170"/>
          </a:xfrm>
          <a:prstGeom prst="rect">
            <a:avLst/>
          </a:prstGeom>
          <a:solidFill>
            <a:srgbClr val="C0C0C0"/>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sp macro="" textlink="">
        <xdr:nvSpPr>
          <xdr:cNvPr id="10" name="Rectangle 5">
            <a:extLst>
              <a:ext uri="{FF2B5EF4-FFF2-40B4-BE49-F238E27FC236}">
                <a16:creationId xmlns:a16="http://schemas.microsoft.com/office/drawing/2014/main" id="{00000000-0008-0000-0000-00000A000000}"/>
              </a:ext>
            </a:extLst>
          </xdr:cNvPr>
          <xdr:cNvSpPr>
            <a:spLocks noChangeAspect="1" noChangeArrowheads="1"/>
          </xdr:cNvSpPr>
        </xdr:nvSpPr>
        <xdr:spPr bwMode="auto">
          <a:xfrm>
            <a:off x="2550" y="2245"/>
            <a:ext cx="930" cy="975"/>
          </a:xfrm>
          <a:prstGeom prst="rect">
            <a:avLst/>
          </a:prstGeom>
          <a:solidFill>
            <a:srgbClr val="333333"/>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sp macro="" textlink="">
        <xdr:nvSpPr>
          <xdr:cNvPr id="11" name="Rectangle 6">
            <a:extLst>
              <a:ext uri="{FF2B5EF4-FFF2-40B4-BE49-F238E27FC236}">
                <a16:creationId xmlns:a16="http://schemas.microsoft.com/office/drawing/2014/main" id="{00000000-0008-0000-0000-00000B000000}"/>
              </a:ext>
            </a:extLst>
          </xdr:cNvPr>
          <xdr:cNvSpPr>
            <a:spLocks noChangeAspect="1" noChangeArrowheads="1"/>
          </xdr:cNvSpPr>
        </xdr:nvSpPr>
        <xdr:spPr bwMode="auto">
          <a:xfrm>
            <a:off x="2985" y="2605"/>
            <a:ext cx="495" cy="25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rot="0" vert="horz" wrap="square" lIns="91440" tIns="45720" rIns="91440" bIns="45720" anchor="t" anchorCtr="0" upright="1">
            <a:noAutofit/>
          </a:bodyPr>
          <a:lstStyle/>
          <a:p>
            <a:endParaRPr lang="es-ES"/>
          </a:p>
        </xdr:txBody>
      </xdr:sp>
      <xdr:cxnSp macro="">
        <xdr:nvCxnSpPr>
          <xdr:cNvPr id="12" name="Line 7">
            <a:extLst>
              <a:ext uri="{FF2B5EF4-FFF2-40B4-BE49-F238E27FC236}">
                <a16:creationId xmlns:a16="http://schemas.microsoft.com/office/drawing/2014/main" id="{00000000-0008-0000-0000-00000C000000}"/>
              </a:ext>
            </a:extLst>
          </xdr:cNvPr>
          <xdr:cNvCxnSpPr/>
        </xdr:nvCxnSpPr>
        <xdr:spPr bwMode="auto">
          <a:xfrm flipV="1">
            <a:off x="2453" y="1714"/>
            <a:ext cx="0" cy="337"/>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3" name="Line 8">
            <a:extLst>
              <a:ext uri="{FF2B5EF4-FFF2-40B4-BE49-F238E27FC236}">
                <a16:creationId xmlns:a16="http://schemas.microsoft.com/office/drawing/2014/main" id="{00000000-0008-0000-0000-00000D000000}"/>
              </a:ext>
            </a:extLst>
          </xdr:cNvPr>
          <xdr:cNvCxnSpPr/>
        </xdr:nvCxnSpPr>
        <xdr:spPr bwMode="auto">
          <a:xfrm>
            <a:off x="2453" y="1712"/>
            <a:ext cx="103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sp macro="" textlink="">
        <xdr:nvSpPr>
          <xdr:cNvPr id="14" name="Oval 9">
            <a:extLst>
              <a:ext uri="{FF2B5EF4-FFF2-40B4-BE49-F238E27FC236}">
                <a16:creationId xmlns:a16="http://schemas.microsoft.com/office/drawing/2014/main" id="{00000000-0008-0000-0000-00000E000000}"/>
              </a:ext>
            </a:extLst>
          </xdr:cNvPr>
          <xdr:cNvSpPr>
            <a:spLocks noChangeAspect="1" noChangeArrowheads="1"/>
          </xdr:cNvSpPr>
        </xdr:nvSpPr>
        <xdr:spPr bwMode="auto">
          <a:xfrm>
            <a:off x="2310" y="1751"/>
            <a:ext cx="300" cy="247"/>
          </a:xfrm>
          <a:prstGeom prst="ellipse">
            <a:avLst/>
          </a:prstGeom>
          <a:solidFill>
            <a:srgbClr val="C0C0C0"/>
          </a:solidFill>
          <a:ln>
            <a:noFill/>
          </a:ln>
          <a:extLst>
            <a:ext uri="{91240B29-F687-4F45-9708-019B960494DF}">
              <a14:hiddenLine xmlns:a14="http://schemas.microsoft.com/office/drawing/2010/main" w="9525">
                <a:solidFill>
                  <a:srgbClr val="000000"/>
                </a:solidFill>
                <a:round/>
                <a:headEnd/>
                <a:tailEnd/>
              </a14:hiddenLine>
            </a:ext>
          </a:extLst>
        </xdr:spPr>
        <xdr:txBody>
          <a:bodyPr rot="0" vert="horz" wrap="square" lIns="91440" tIns="45720" rIns="91440" bIns="45720" anchor="t" anchorCtr="0" upright="1">
            <a:noAutofit/>
          </a:bodyPr>
          <a:lstStyle/>
          <a:p>
            <a:endParaRPr lang="es-ES"/>
          </a:p>
        </xdr:txBody>
      </xdr:sp>
      <xdr:cxnSp macro="">
        <xdr:nvCxnSpPr>
          <xdr:cNvPr id="15" name="Line 10">
            <a:extLst>
              <a:ext uri="{FF2B5EF4-FFF2-40B4-BE49-F238E27FC236}">
                <a16:creationId xmlns:a16="http://schemas.microsoft.com/office/drawing/2014/main" id="{00000000-0008-0000-0000-00000F000000}"/>
              </a:ext>
            </a:extLst>
          </xdr:cNvPr>
          <xdr:cNvCxnSpPr/>
        </xdr:nvCxnSpPr>
        <xdr:spPr bwMode="auto">
          <a:xfrm>
            <a:off x="2820" y="2051"/>
            <a:ext cx="0" cy="20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6" name="Line 11">
            <a:extLst>
              <a:ext uri="{FF2B5EF4-FFF2-40B4-BE49-F238E27FC236}">
                <a16:creationId xmlns:a16="http://schemas.microsoft.com/office/drawing/2014/main" id="{00000000-0008-0000-0000-000010000000}"/>
              </a:ext>
            </a:extLst>
          </xdr:cNvPr>
          <xdr:cNvCxnSpPr/>
        </xdr:nvCxnSpPr>
        <xdr:spPr bwMode="auto">
          <a:xfrm>
            <a:off x="2820" y="2043"/>
            <a:ext cx="6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cxnSp macro="">
        <xdr:nvCxnSpPr>
          <xdr:cNvPr id="17" name="Line 12">
            <a:extLst>
              <a:ext uri="{FF2B5EF4-FFF2-40B4-BE49-F238E27FC236}">
                <a16:creationId xmlns:a16="http://schemas.microsoft.com/office/drawing/2014/main" id="{00000000-0008-0000-0000-000011000000}"/>
              </a:ext>
            </a:extLst>
          </xdr:cNvPr>
          <xdr:cNvCxnSpPr/>
        </xdr:nvCxnSpPr>
        <xdr:spPr bwMode="auto">
          <a:xfrm>
            <a:off x="3495" y="1713"/>
            <a:ext cx="0" cy="33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cxnSp>
    </xdr:grpSp>
    <xdr:clientData/>
  </xdr:twoCellAnchor>
  <mc:AlternateContent xmlns:mc="http://schemas.openxmlformats.org/markup-compatibility/2006">
    <mc:Choice xmlns:a14="http://schemas.microsoft.com/office/drawing/2010/main" Requires="a14">
      <xdr:twoCellAnchor>
        <xdr:from>
          <xdr:col>0</xdr:col>
          <xdr:colOff>238125</xdr:colOff>
          <xdr:row>0</xdr:row>
          <xdr:rowOff>76200</xdr:rowOff>
        </xdr:from>
        <xdr:to>
          <xdr:col>1</xdr:col>
          <xdr:colOff>457200</xdr:colOff>
          <xdr:row>5</xdr:row>
          <xdr:rowOff>76200</xdr:rowOff>
        </xdr:to>
        <xdr:sp macro="" textlink="">
          <xdr:nvSpPr>
            <xdr:cNvPr id="17411" name="Object 3" hidden="1">
              <a:extLst>
                <a:ext uri="{63B3BB69-23CF-44E3-9099-C40C66FF867C}">
                  <a14:compatExt spid="_x0000_s17411"/>
                </a:ext>
                <a:ext uri="{FF2B5EF4-FFF2-40B4-BE49-F238E27FC236}">
                  <a16:creationId xmlns:a16="http://schemas.microsoft.com/office/drawing/2014/main" id="{00000000-0008-0000-0000-0000034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219075</xdr:colOff>
          <xdr:row>204</xdr:row>
          <xdr:rowOff>161925</xdr:rowOff>
        </xdr:from>
        <xdr:to>
          <xdr:col>5</xdr:col>
          <xdr:colOff>438150</xdr:colOff>
          <xdr:row>208</xdr:row>
          <xdr:rowOff>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000-00000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1" i="0" u="none" strike="noStrike" baseline="0">
                  <a:solidFill>
                    <a:srgbClr val="000000"/>
                  </a:solidFill>
                  <a:latin typeface="Calibri"/>
                  <a:ea typeface="Calibri"/>
                  <a:cs typeface="Calibri"/>
                </a:rPr>
                <a:t>Ejecutar ACSAHE</a:t>
              </a:r>
              <a:endParaRPr lang="es-AR" sz="1100" b="0" i="0" u="none" strike="noStrike" baseline="0">
                <a:solidFill>
                  <a:srgbClr val="000000"/>
                </a:solidFill>
                <a:latin typeface="Calibri"/>
                <a:ea typeface="Calibri"/>
                <a:cs typeface="Calibri"/>
              </a:endParaRPr>
            </a:p>
            <a:p>
              <a:pPr algn="ctr" rtl="0">
                <a:defRPr sz="1000"/>
              </a:pPr>
              <a:r>
                <a:rPr lang="es-AR" sz="1100" b="0" i="0" u="none" strike="noStrike" baseline="0">
                  <a:solidFill>
                    <a:srgbClr val="000000"/>
                  </a:solidFill>
                  <a:latin typeface="Calibri"/>
                  <a:ea typeface="Calibri"/>
                  <a:cs typeface="Calibri"/>
                </a:rPr>
                <a:t>Generar Diagrama(s) de Interacción</a:t>
              </a:r>
            </a:p>
          </xdr:txBody>
        </xdr:sp>
        <xdr:clientData fPrintsWithSheet="0"/>
      </xdr:twoCellAnchor>
    </mc:Choice>
    <mc:Fallback/>
  </mc:AlternateContent>
  <xdr:twoCellAnchor editAs="oneCell">
    <xdr:from>
      <xdr:col>3</xdr:col>
      <xdr:colOff>523875</xdr:colOff>
      <xdr:row>40</xdr:row>
      <xdr:rowOff>186836</xdr:rowOff>
    </xdr:from>
    <xdr:to>
      <xdr:col>6</xdr:col>
      <xdr:colOff>14654</xdr:colOff>
      <xdr:row>51</xdr:row>
      <xdr:rowOff>161234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3"/>
        <a:srcRect l="11615" r="8132"/>
        <a:stretch/>
      </xdr:blipFill>
      <xdr:spPr>
        <a:xfrm>
          <a:off x="2905125" y="7660298"/>
          <a:ext cx="1776779" cy="202593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542925</xdr:colOff>
          <xdr:row>1</xdr:row>
          <xdr:rowOff>285750</xdr:rowOff>
        </xdr:from>
        <xdr:to>
          <xdr:col>6</xdr:col>
          <xdr:colOff>771525</xdr:colOff>
          <xdr:row>4</xdr:row>
          <xdr:rowOff>0</xdr:rowOff>
        </xdr:to>
        <xdr:sp macro="" textlink="">
          <xdr:nvSpPr>
            <xdr:cNvPr id="2770" name="Button 722" hidden="1">
              <a:extLst>
                <a:ext uri="{63B3BB69-23CF-44E3-9099-C40C66FF867C}">
                  <a14:compatExt spid="_x0000_s2770"/>
                </a:ext>
                <a:ext uri="{FF2B5EF4-FFF2-40B4-BE49-F238E27FC236}">
                  <a16:creationId xmlns:a16="http://schemas.microsoft.com/office/drawing/2014/main" id="{D2FAA675-FED4-4FEE-8F6C-021A01586D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ea typeface="Calibri"/>
                  <a:cs typeface="Calibri"/>
                </a:rPr>
                <a:t>VOLVER A VALORES POR DEFECTO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46</xdr:row>
          <xdr:rowOff>152399</xdr:rowOff>
        </xdr:from>
        <xdr:to>
          <xdr:col>7</xdr:col>
          <xdr:colOff>114300</xdr:colOff>
          <xdr:row>49</xdr:row>
          <xdr:rowOff>228600</xdr:rowOff>
        </xdr:to>
        <xdr:sp macro="" textlink="">
          <xdr:nvSpPr>
            <xdr:cNvPr id="2771" name="Button 723" hidden="1">
              <a:extLst>
                <a:ext uri="{63B3BB69-23CF-44E3-9099-C40C66FF867C}">
                  <a14:compatExt spid="_x0000_s2771"/>
                </a:ext>
                <a:ext uri="{FF2B5EF4-FFF2-40B4-BE49-F238E27FC236}">
                  <a16:creationId xmlns:a16="http://schemas.microsoft.com/office/drawing/2014/main" id="{498B254D-1A7E-4581-963F-82648A7635F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1" i="0" u="none" strike="noStrike" baseline="0">
                  <a:solidFill>
                    <a:srgbClr val="000000"/>
                  </a:solidFill>
                  <a:latin typeface="Calibri"/>
                  <a:ea typeface="Calibri"/>
                  <a:cs typeface="Calibri"/>
                </a:rPr>
                <a:t>Ejecutar ACSAHE</a:t>
              </a:r>
              <a:endParaRPr lang="es-AR" sz="1100" b="0" i="0" u="none" strike="noStrike" baseline="0">
                <a:solidFill>
                  <a:srgbClr val="000000"/>
                </a:solidFill>
                <a:latin typeface="Calibri"/>
                <a:ea typeface="Calibri"/>
                <a:cs typeface="Calibri"/>
              </a:endParaRPr>
            </a:p>
            <a:p>
              <a:pPr algn="ctr" rtl="0">
                <a:defRPr sz="1000"/>
              </a:pPr>
              <a:r>
                <a:rPr lang="es-AR" sz="1100" b="0" i="0" u="none" strike="noStrike" baseline="0">
                  <a:solidFill>
                    <a:srgbClr val="000000"/>
                  </a:solidFill>
                  <a:latin typeface="Calibri"/>
                  <a:ea typeface="Calibri"/>
                  <a:cs typeface="Calibri"/>
                </a:rPr>
                <a:t>Generar Diagrama(s) de Interacción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7</xdr:col>
      <xdr:colOff>9526</xdr:colOff>
      <xdr:row>0</xdr:row>
      <xdr:rowOff>9526</xdr:rowOff>
    </xdr:from>
    <xdr:to>
      <xdr:col>18</xdr:col>
      <xdr:colOff>9525</xdr:colOff>
      <xdr:row>25</xdr:row>
      <xdr:rowOff>123825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9</xdr:row>
      <xdr:rowOff>65315</xdr:rowOff>
    </xdr:from>
    <xdr:to>
      <xdr:col>4</xdr:col>
      <xdr:colOff>831117</xdr:colOff>
      <xdr:row>27</xdr:row>
      <xdr:rowOff>129590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0" y="3780065"/>
          <a:ext cx="5062904" cy="3531885"/>
        </a:xfrm>
        <a:prstGeom prst="rect">
          <a:avLst/>
        </a:prstGeom>
      </xdr:spPr>
    </xdr:pic>
    <xdr:clientData/>
  </xdr:twoCellAnchor>
  <xdr:twoCellAnchor>
    <xdr:from>
      <xdr:col>6</xdr:col>
      <xdr:colOff>590551</xdr:colOff>
      <xdr:row>0</xdr:row>
      <xdr:rowOff>0</xdr:rowOff>
    </xdr:from>
    <xdr:to>
      <xdr:col>17</xdr:col>
      <xdr:colOff>571501</xdr:colOff>
      <xdr:row>26</xdr:row>
      <xdr:rowOff>9525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xdr:colOff>
      <xdr:row>2</xdr:row>
      <xdr:rowOff>78825</xdr:rowOff>
    </xdr:from>
    <xdr:to>
      <xdr:col>0</xdr:col>
      <xdr:colOff>314326</xdr:colOff>
      <xdr:row>22</xdr:row>
      <xdr:rowOff>164225</xdr:rowOff>
    </xdr:to>
    <xdr:sp macro="" textlink="">
      <xdr:nvSpPr>
        <xdr:cNvPr id="3" name="4 CuadroTexto">
          <a:extLst>
            <a:ext uri="{FF2B5EF4-FFF2-40B4-BE49-F238E27FC236}">
              <a16:creationId xmlns:a16="http://schemas.microsoft.com/office/drawing/2014/main" id="{00000000-0008-0000-0400-000003000000}"/>
            </a:ext>
          </a:extLst>
        </xdr:cNvPr>
        <xdr:cNvSpPr txBox="1"/>
      </xdr:nvSpPr>
      <xdr:spPr>
        <a:xfrm rot="16200000">
          <a:off x="-1793821" y="2299630"/>
          <a:ext cx="3901969"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l-GR" sz="1000" b="1">
              <a:latin typeface="Arial" pitchFamily="34" charset="0"/>
              <a:cs typeface="Arial" pitchFamily="34" charset="0"/>
            </a:rPr>
            <a:t>Φ</a:t>
          </a:r>
          <a:r>
            <a:rPr lang="es-ES" sz="1000" b="1">
              <a:latin typeface="Arial" pitchFamily="34" charset="0"/>
              <a:cs typeface="Arial" pitchFamily="34" charset="0"/>
            </a:rPr>
            <a:t>Pn [kN]</a:t>
          </a:r>
        </a:p>
      </xdr:txBody>
    </xdr:sp>
    <xdr:clientData/>
  </xdr:twoCellAnchor>
  <xdr:twoCellAnchor>
    <xdr:from>
      <xdr:col>1</xdr:col>
      <xdr:colOff>269329</xdr:colOff>
      <xdr:row>27</xdr:row>
      <xdr:rowOff>39742</xdr:rowOff>
    </xdr:from>
    <xdr:to>
      <xdr:col>6</xdr:col>
      <xdr:colOff>381000</xdr:colOff>
      <xdr:row>28</xdr:row>
      <xdr:rowOff>163567</xdr:rowOff>
    </xdr:to>
    <xdr:sp macro="" textlink="">
      <xdr:nvSpPr>
        <xdr:cNvPr id="4" name="5 CuadroTexto">
          <a:extLst>
            <a:ext uri="{FF2B5EF4-FFF2-40B4-BE49-F238E27FC236}">
              <a16:creationId xmlns:a16="http://schemas.microsoft.com/office/drawing/2014/main" id="{00000000-0008-0000-0400-000004000000}"/>
            </a:ext>
          </a:extLst>
        </xdr:cNvPr>
        <xdr:cNvSpPr txBox="1"/>
      </xdr:nvSpPr>
      <xdr:spPr>
        <a:xfrm>
          <a:off x="991915" y="5235794"/>
          <a:ext cx="3724602"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l-GR" sz="1000" b="1">
              <a:latin typeface="Arial" pitchFamily="34" charset="0"/>
              <a:cs typeface="Arial" pitchFamily="34" charset="0"/>
            </a:rPr>
            <a:t>Φ</a:t>
          </a:r>
          <a:r>
            <a:rPr lang="es-ES" sz="1000" b="1">
              <a:latin typeface="Arial" pitchFamily="34" charset="0"/>
              <a:cs typeface="Arial" pitchFamily="34" charset="0"/>
            </a:rPr>
            <a:t>Mn</a:t>
          </a:r>
          <a:r>
            <a:rPr lang="el-GR" sz="1000" b="1">
              <a:latin typeface="Arial" pitchFamily="34" charset="0"/>
              <a:cs typeface="Arial" pitchFamily="34" charset="0"/>
            </a:rPr>
            <a:t>λ</a:t>
          </a:r>
          <a:r>
            <a:rPr lang="es-ES" sz="1000" b="1">
              <a:latin typeface="Arial" pitchFamily="34" charset="0"/>
              <a:cs typeface="Arial" pitchFamily="34" charset="0"/>
            </a:rPr>
            <a:t> [kNm]</a:t>
          </a:r>
        </a:p>
      </xdr:txBody>
    </xdr:sp>
    <xdr:clientData/>
  </xdr:twoCellAnchor>
  <xdr:twoCellAnchor>
    <xdr:from>
      <xdr:col>0</xdr:col>
      <xdr:colOff>306901</xdr:colOff>
      <xdr:row>1</xdr:row>
      <xdr:rowOff>111671</xdr:rowOff>
    </xdr:from>
    <xdr:to>
      <xdr:col>7</xdr:col>
      <xdr:colOff>361294</xdr:colOff>
      <xdr:row>26</xdr:row>
      <xdr:rowOff>126089</xdr:rowOff>
    </xdr:to>
    <xdr:graphicFrame macro="">
      <xdr:nvGraphicFramePr>
        <xdr:cNvPr id="5" name="3 Gráfico">
          <a:extLst>
            <a:ext uri="{FF2B5EF4-FFF2-40B4-BE49-F238E27FC236}">
              <a16:creationId xmlns:a16="http://schemas.microsoft.com/office/drawing/2014/main" id="{8B1BFC66-80AE-417B-9C29-5C2523AD65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542925</xdr:colOff>
          <xdr:row>1</xdr:row>
          <xdr:rowOff>285750</xdr:rowOff>
        </xdr:from>
        <xdr:to>
          <xdr:col>6</xdr:col>
          <xdr:colOff>771525</xdr:colOff>
          <xdr:row>4</xdr:row>
          <xdr:rowOff>0</xdr:rowOff>
        </xdr:to>
        <xdr:sp macro="" textlink="">
          <xdr:nvSpPr>
            <xdr:cNvPr id="16440" name="Button 56" hidden="1">
              <a:extLst>
                <a:ext uri="{63B3BB69-23CF-44E3-9099-C40C66FF867C}">
                  <a14:compatExt spid="_x0000_s16440"/>
                </a:ext>
                <a:ext uri="{FF2B5EF4-FFF2-40B4-BE49-F238E27FC236}">
                  <a16:creationId xmlns:a16="http://schemas.microsoft.com/office/drawing/2014/main" id="{00000000-0008-0000-0600-000038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ea typeface="Calibri"/>
                  <a:cs typeface="Calibri"/>
                </a:rPr>
                <a:t>VOLVER A VALORES POR DEFECTO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46</xdr:row>
          <xdr:rowOff>152399</xdr:rowOff>
        </xdr:from>
        <xdr:to>
          <xdr:col>7</xdr:col>
          <xdr:colOff>114300</xdr:colOff>
          <xdr:row>49</xdr:row>
          <xdr:rowOff>228600</xdr:rowOff>
        </xdr:to>
        <xdr:sp macro="" textlink="">
          <xdr:nvSpPr>
            <xdr:cNvPr id="16477" name="Button 93" hidden="1">
              <a:extLst>
                <a:ext uri="{63B3BB69-23CF-44E3-9099-C40C66FF867C}">
                  <a14:compatExt spid="_x0000_s16477"/>
                </a:ext>
                <a:ext uri="{FF2B5EF4-FFF2-40B4-BE49-F238E27FC236}">
                  <a16:creationId xmlns:a16="http://schemas.microsoft.com/office/drawing/2014/main" id="{00000000-0008-0000-0600-00005D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AR" sz="1100" b="1" i="0" u="none" strike="noStrike" baseline="0">
                  <a:solidFill>
                    <a:srgbClr val="000000"/>
                  </a:solidFill>
                  <a:latin typeface="Calibri"/>
                  <a:ea typeface="Calibri"/>
                  <a:cs typeface="Calibri"/>
                </a:rPr>
                <a:t>Ejecutar ACSAHE</a:t>
              </a:r>
              <a:endParaRPr lang="es-AR" sz="1100" b="0" i="0" u="none" strike="noStrike" baseline="0">
                <a:solidFill>
                  <a:srgbClr val="000000"/>
                </a:solidFill>
                <a:latin typeface="Calibri"/>
                <a:ea typeface="Calibri"/>
                <a:cs typeface="Calibri"/>
              </a:endParaRPr>
            </a:p>
            <a:p>
              <a:pPr algn="ctr" rtl="0">
                <a:defRPr sz="1000"/>
              </a:pPr>
              <a:r>
                <a:rPr lang="es-AR" sz="1100" b="0" i="0" u="none" strike="noStrike" baseline="0">
                  <a:solidFill>
                    <a:srgbClr val="000000"/>
                  </a:solidFill>
                  <a:latin typeface="Calibri"/>
                  <a:ea typeface="Calibri"/>
                  <a:cs typeface="Calibri"/>
                </a:rPr>
                <a:t>Generar Diagrama(s) de Interacción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oleObject" Target="../embeddings/oleObject2.bin"/><Relationship Id="rId3" Type="http://schemas.openxmlformats.org/officeDocument/2006/relationships/printerSettings" Target="../printerSettings/printerSettings1.bin"/><Relationship Id="rId7" Type="http://schemas.openxmlformats.org/officeDocument/2006/relationships/image" Target="../media/image1.png"/><Relationship Id="rId2" Type="http://schemas.openxmlformats.org/officeDocument/2006/relationships/hyperlink" Target="https://chromewebstore.google.com/detail/gofullpage-full-page-scre/fdpohaocaechififmbbbbbknoalclacl" TargetMode="External"/><Relationship Id="rId1" Type="http://schemas.openxmlformats.org/officeDocument/2006/relationships/hyperlink" Target="https://www.youtube.com/playlist?list=PL2vqHDQzjyupe7ISb2vA9EGn0Qr31nW7g" TargetMode="External"/><Relationship Id="rId6" Type="http://schemas.openxmlformats.org/officeDocument/2006/relationships/oleObject" Target="../embeddings/oleObject1.bin"/><Relationship Id="rId11" Type="http://schemas.openxmlformats.org/officeDocument/2006/relationships/ctrlProp" Target="../ctrlProps/ctrlProp2.xml"/><Relationship Id="rId5" Type="http://schemas.openxmlformats.org/officeDocument/2006/relationships/vmlDrawing" Target="../drawings/vmlDrawing1.vml"/><Relationship Id="rId10" Type="http://schemas.openxmlformats.org/officeDocument/2006/relationships/ctrlProp" Target="../ctrlProps/ctrlProp1.xml"/><Relationship Id="rId4" Type="http://schemas.openxmlformats.org/officeDocument/2006/relationships/drawing" Target="../drawings/drawing1.xml"/><Relationship Id="rId9" Type="http://schemas.openxmlformats.org/officeDocument/2006/relationships/image" Target="../media/image2.png"/></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389DD-C354-464F-B3AE-7F73174F7004}">
  <sheetPr codeName="Hoja1">
    <tabColor theme="0"/>
  </sheetPr>
  <dimension ref="A1:I218"/>
  <sheetViews>
    <sheetView showGridLines="0" tabSelected="1" zoomScaleNormal="100" workbookViewId="0">
      <selection activeCell="D4" sqref="D4"/>
    </sheetView>
  </sheetViews>
  <sheetFormatPr defaultColWidth="11.42578125" defaultRowHeight="14.25" x14ac:dyDescent="0.2"/>
  <cols>
    <col min="1" max="1" width="12.85546875" style="56" customWidth="1"/>
    <col min="2" max="2" width="11.42578125" style="56" customWidth="1"/>
    <col min="3" max="16384" width="11.42578125" style="56"/>
  </cols>
  <sheetData>
    <row r="1" spans="1:7" x14ac:dyDescent="0.2">
      <c r="A1" s="53"/>
      <c r="B1" s="53"/>
      <c r="C1" s="53"/>
      <c r="D1" s="54"/>
      <c r="E1" s="54"/>
      <c r="F1" s="55"/>
      <c r="G1" s="55"/>
    </row>
    <row r="2" spans="1:7" x14ac:dyDescent="0.2">
      <c r="A2" s="53"/>
      <c r="B2" s="53"/>
      <c r="C2" s="53"/>
      <c r="D2" s="54"/>
      <c r="E2" s="54"/>
      <c r="F2" s="55"/>
      <c r="G2" s="55"/>
    </row>
    <row r="3" spans="1:7" x14ac:dyDescent="0.2">
      <c r="A3" s="53"/>
      <c r="B3" s="53"/>
      <c r="C3" s="53"/>
      <c r="D3" s="54"/>
      <c r="E3" s="54"/>
      <c r="F3" s="55"/>
      <c r="G3" s="55"/>
    </row>
    <row r="4" spans="1:7" x14ac:dyDescent="0.2">
      <c r="A4" s="53"/>
      <c r="B4" s="53"/>
      <c r="C4" s="53"/>
      <c r="D4" s="54"/>
      <c r="E4" s="54"/>
      <c r="F4" s="55"/>
      <c r="G4" s="55"/>
    </row>
    <row r="5" spans="1:7" x14ac:dyDescent="0.2">
      <c r="A5" s="53"/>
      <c r="B5" s="53"/>
      <c r="C5" s="53"/>
      <c r="D5" s="54"/>
      <c r="E5" s="54"/>
      <c r="F5" s="55"/>
      <c r="G5" s="55"/>
    </row>
    <row r="6" spans="1:7" x14ac:dyDescent="0.2">
      <c r="A6" s="53"/>
      <c r="B6" s="53"/>
      <c r="C6" s="53"/>
      <c r="D6" s="54"/>
      <c r="E6" s="54"/>
      <c r="F6" s="55"/>
      <c r="G6" s="55"/>
    </row>
    <row r="7" spans="1:7" x14ac:dyDescent="0.2">
      <c r="A7" s="53"/>
      <c r="B7" s="53"/>
      <c r="C7" s="53"/>
      <c r="D7" s="54"/>
      <c r="E7" s="54"/>
      <c r="F7" s="55"/>
      <c r="G7" s="55"/>
    </row>
    <row r="8" spans="1:7" ht="18.75" x14ac:dyDescent="0.3">
      <c r="A8" s="166" t="s">
        <v>64</v>
      </c>
      <c r="B8" s="167"/>
      <c r="C8" s="167"/>
      <c r="D8" s="167"/>
      <c r="E8" s="167"/>
      <c r="F8" s="167"/>
      <c r="G8" s="167"/>
    </row>
    <row r="9" spans="1:7" ht="6.6" customHeight="1" x14ac:dyDescent="0.25">
      <c r="A9" s="60"/>
      <c r="B9" s="60"/>
      <c r="C9" s="60"/>
      <c r="D9" s="61"/>
      <c r="E9" s="61"/>
      <c r="F9" s="62"/>
      <c r="G9" s="62"/>
    </row>
    <row r="10" spans="1:7" ht="18" customHeight="1" x14ac:dyDescent="0.2">
      <c r="A10" s="168" t="s">
        <v>65</v>
      </c>
      <c r="B10" s="169"/>
      <c r="C10" s="169"/>
      <c r="D10" s="169"/>
      <c r="E10" s="169"/>
      <c r="F10" s="169"/>
      <c r="G10" s="169"/>
    </row>
    <row r="11" spans="1:7" x14ac:dyDescent="0.2">
      <c r="A11" s="53"/>
      <c r="B11" s="53"/>
      <c r="C11" s="53"/>
      <c r="D11" s="54"/>
      <c r="E11" s="54"/>
      <c r="F11" s="55"/>
      <c r="G11" s="55"/>
    </row>
    <row r="12" spans="1:7" x14ac:dyDescent="0.2">
      <c r="A12" s="53"/>
      <c r="B12" s="53"/>
      <c r="C12" s="53"/>
      <c r="D12" s="54"/>
      <c r="E12" s="54"/>
      <c r="F12" s="55"/>
      <c r="G12" s="55"/>
    </row>
    <row r="13" spans="1:7" x14ac:dyDescent="0.2">
      <c r="A13" s="53"/>
      <c r="B13" s="53"/>
      <c r="C13" s="53"/>
      <c r="D13" s="54"/>
      <c r="E13" s="54"/>
      <c r="F13" s="55"/>
      <c r="G13" s="55"/>
    </row>
    <row r="14" spans="1:7" x14ac:dyDescent="0.2">
      <c r="A14" s="170" t="s">
        <v>59</v>
      </c>
      <c r="B14" s="171"/>
      <c r="C14" s="171"/>
      <c r="D14" s="171"/>
      <c r="E14" s="171"/>
      <c r="F14" s="171"/>
      <c r="G14" s="171"/>
    </row>
    <row r="15" spans="1:7" x14ac:dyDescent="0.2">
      <c r="A15" s="171"/>
      <c r="B15" s="171"/>
      <c r="C15" s="171"/>
      <c r="D15" s="171"/>
      <c r="E15" s="171"/>
      <c r="F15" s="171"/>
      <c r="G15" s="171"/>
    </row>
    <row r="16" spans="1:7" x14ac:dyDescent="0.2">
      <c r="A16" s="171"/>
      <c r="B16" s="171"/>
      <c r="C16" s="171"/>
      <c r="D16" s="171"/>
      <c r="E16" s="171"/>
      <c r="F16" s="171"/>
      <c r="G16" s="171"/>
    </row>
    <row r="17" spans="1:7" ht="15.75" x14ac:dyDescent="0.3">
      <c r="A17" s="173" t="s">
        <v>66</v>
      </c>
      <c r="B17" s="174"/>
      <c r="C17" s="174"/>
      <c r="D17" s="174"/>
      <c r="E17" s="174"/>
      <c r="F17" s="174"/>
      <c r="G17" s="174"/>
    </row>
    <row r="18" spans="1:7" x14ac:dyDescent="0.2">
      <c r="A18" s="53"/>
      <c r="B18" s="53"/>
      <c r="C18" s="53"/>
      <c r="D18" s="54"/>
      <c r="E18" s="54"/>
      <c r="F18" s="55"/>
      <c r="G18" s="55"/>
    </row>
    <row r="19" spans="1:7" ht="20.45" customHeight="1" x14ac:dyDescent="0.3">
      <c r="A19" s="173" t="s">
        <v>67</v>
      </c>
      <c r="B19" s="173"/>
      <c r="C19" s="173"/>
      <c r="D19" s="173"/>
      <c r="E19" s="173"/>
      <c r="F19" s="173"/>
      <c r="G19" s="173"/>
    </row>
    <row r="20" spans="1:7" ht="14.1" customHeight="1" x14ac:dyDescent="0.25">
      <c r="A20" s="63"/>
      <c r="B20" s="63"/>
      <c r="C20" s="63"/>
      <c r="D20" s="63"/>
      <c r="E20" s="63"/>
      <c r="F20" s="63"/>
      <c r="G20" s="63"/>
    </row>
    <row r="21" spans="1:7" ht="14.1" customHeight="1" x14ac:dyDescent="0.2">
      <c r="A21" s="175" t="s">
        <v>68</v>
      </c>
      <c r="B21" s="175"/>
      <c r="C21" s="175"/>
      <c r="D21" s="175"/>
      <c r="E21" s="175"/>
      <c r="F21" s="175"/>
      <c r="G21" s="175"/>
    </row>
    <row r="22" spans="1:7" ht="14.1" customHeight="1" x14ac:dyDescent="0.2">
      <c r="A22" s="175"/>
      <c r="B22" s="175"/>
      <c r="C22" s="175"/>
      <c r="D22" s="175"/>
      <c r="E22" s="175"/>
      <c r="F22" s="175"/>
      <c r="G22" s="175"/>
    </row>
    <row r="23" spans="1:7" ht="14.1" customHeight="1" x14ac:dyDescent="0.2">
      <c r="A23" s="175"/>
      <c r="B23" s="175"/>
      <c r="C23" s="175"/>
      <c r="D23" s="175"/>
      <c r="E23" s="175"/>
      <c r="F23" s="175"/>
      <c r="G23" s="175"/>
    </row>
    <row r="24" spans="1:7" ht="15.6" customHeight="1" x14ac:dyDescent="0.3">
      <c r="A24" s="64"/>
      <c r="B24" s="64"/>
      <c r="C24" s="64"/>
      <c r="D24" s="64"/>
      <c r="E24" s="64"/>
      <c r="F24" s="64"/>
      <c r="G24" s="64"/>
    </row>
    <row r="25" spans="1:7" ht="15.75" x14ac:dyDescent="0.3">
      <c r="A25" s="173" t="s">
        <v>69</v>
      </c>
      <c r="B25" s="172"/>
      <c r="C25" s="172"/>
      <c r="D25" s="172"/>
      <c r="E25" s="172"/>
      <c r="F25" s="172"/>
      <c r="G25" s="172"/>
    </row>
    <row r="26" spans="1:7" ht="20.25" x14ac:dyDescent="0.3">
      <c r="A26" s="65"/>
      <c r="B26" s="66"/>
      <c r="C26" s="66"/>
      <c r="D26" s="66"/>
      <c r="E26" s="66"/>
      <c r="F26" s="66"/>
      <c r="G26" s="66"/>
    </row>
    <row r="27" spans="1:7" ht="15" x14ac:dyDescent="0.25">
      <c r="A27" s="53"/>
      <c r="B27" s="172" t="s">
        <v>156</v>
      </c>
      <c r="C27" s="172"/>
      <c r="D27" s="172"/>
      <c r="E27" s="172"/>
      <c r="F27" s="172"/>
      <c r="G27" s="55"/>
    </row>
    <row r="28" spans="1:7" x14ac:dyDescent="0.2">
      <c r="A28" s="53"/>
      <c r="B28" s="53"/>
      <c r="C28" s="53"/>
      <c r="D28" s="54"/>
      <c r="E28" s="54"/>
      <c r="F28" s="55"/>
      <c r="G28" s="55"/>
    </row>
    <row r="29" spans="1:7" ht="15" x14ac:dyDescent="0.25">
      <c r="A29" s="53"/>
      <c r="B29" s="172" t="s">
        <v>70</v>
      </c>
      <c r="C29" s="172"/>
      <c r="D29" s="172"/>
      <c r="E29" s="172"/>
      <c r="F29" s="172"/>
      <c r="G29" s="55"/>
    </row>
    <row r="30" spans="1:7" x14ac:dyDescent="0.2">
      <c r="A30" s="53"/>
      <c r="B30" s="53"/>
      <c r="C30" s="53"/>
      <c r="D30" s="54"/>
      <c r="E30" s="54"/>
      <c r="F30" s="55"/>
      <c r="G30" s="55"/>
    </row>
    <row r="31" spans="1:7" x14ac:dyDescent="0.2">
      <c r="A31" s="53"/>
      <c r="B31" s="53"/>
      <c r="C31" s="177" t="s">
        <v>127</v>
      </c>
      <c r="D31" s="177"/>
      <c r="E31" s="177"/>
      <c r="F31" s="55"/>
      <c r="G31" s="55"/>
    </row>
    <row r="32" spans="1:7" ht="15" x14ac:dyDescent="0.25">
      <c r="A32" s="53"/>
      <c r="B32" s="53"/>
      <c r="C32" s="57"/>
      <c r="D32" s="57"/>
      <c r="E32" s="57"/>
      <c r="F32" s="55"/>
      <c r="G32" s="55"/>
    </row>
    <row r="33" spans="1:9" ht="14.25" customHeight="1" x14ac:dyDescent="0.2">
      <c r="A33" s="152" t="s">
        <v>60</v>
      </c>
      <c r="B33" s="152"/>
      <c r="C33" s="152"/>
      <c r="D33" s="152"/>
      <c r="E33" s="152"/>
      <c r="F33" s="152"/>
      <c r="G33" s="152"/>
    </row>
    <row r="34" spans="1:9" ht="15" thickBot="1" x14ac:dyDescent="0.25">
      <c r="A34" s="153"/>
      <c r="B34" s="153"/>
      <c r="C34" s="153"/>
      <c r="D34" s="153"/>
      <c r="E34" s="153"/>
      <c r="F34" s="153"/>
      <c r="G34" s="153"/>
    </row>
    <row r="35" spans="1:9" ht="14.45" customHeight="1" thickTop="1" x14ac:dyDescent="0.2">
      <c r="A35" s="149" t="s">
        <v>111</v>
      </c>
      <c r="B35" s="149"/>
      <c r="C35" s="149"/>
      <c r="D35" s="149"/>
      <c r="E35" s="149"/>
      <c r="F35" s="149"/>
      <c r="G35" s="149"/>
    </row>
    <row r="36" spans="1:9" x14ac:dyDescent="0.2">
      <c r="A36" s="150"/>
      <c r="B36" s="150"/>
      <c r="C36" s="150"/>
      <c r="D36" s="150"/>
      <c r="E36" s="150"/>
      <c r="F36" s="150"/>
      <c r="G36" s="150"/>
    </row>
    <row r="37" spans="1:9" x14ac:dyDescent="0.2">
      <c r="A37" s="150"/>
      <c r="B37" s="150"/>
      <c r="C37" s="150"/>
      <c r="D37" s="150"/>
      <c r="E37" s="150"/>
      <c r="F37" s="150"/>
      <c r="G37" s="150"/>
    </row>
    <row r="38" spans="1:9" x14ac:dyDescent="0.2">
      <c r="A38" s="150"/>
      <c r="B38" s="150"/>
      <c r="C38" s="150"/>
      <c r="D38" s="150"/>
      <c r="E38" s="150"/>
      <c r="F38" s="150"/>
      <c r="G38" s="150"/>
    </row>
    <row r="39" spans="1:9" x14ac:dyDescent="0.2">
      <c r="A39" s="150"/>
      <c r="B39" s="150"/>
      <c r="C39" s="150"/>
      <c r="D39" s="150"/>
      <c r="E39" s="150"/>
      <c r="F39" s="150"/>
      <c r="G39" s="150"/>
    </row>
    <row r="40" spans="1:9" x14ac:dyDescent="0.2">
      <c r="A40" s="150"/>
      <c r="B40" s="150"/>
      <c r="C40" s="150"/>
      <c r="D40" s="150"/>
      <c r="E40" s="150"/>
      <c r="F40" s="150"/>
      <c r="G40" s="150"/>
    </row>
    <row r="41" spans="1:9" ht="15" x14ac:dyDescent="0.25">
      <c r="A41" s="55"/>
      <c r="B41" s="55"/>
      <c r="C41" s="55"/>
      <c r="D41" s="55"/>
      <c r="E41" s="55"/>
      <c r="F41" s="55"/>
      <c r="G41" s="55"/>
      <c r="I41" s="58"/>
    </row>
    <row r="42" spans="1:9" ht="15" x14ac:dyDescent="0.25">
      <c r="A42" s="55"/>
      <c r="B42" s="55"/>
      <c r="C42" s="55"/>
      <c r="D42" s="55"/>
      <c r="E42"/>
      <c r="F42" s="55"/>
      <c r="G42" s="55"/>
    </row>
    <row r="43" spans="1:9" x14ac:dyDescent="0.2">
      <c r="A43" s="55"/>
      <c r="B43" s="55"/>
      <c r="C43" s="55"/>
      <c r="D43" s="55"/>
      <c r="E43" s="55"/>
      <c r="F43" s="55"/>
      <c r="G43" s="55"/>
    </row>
    <row r="44" spans="1:9" x14ac:dyDescent="0.2">
      <c r="A44" s="55"/>
      <c r="B44" s="55"/>
      <c r="C44" s="55"/>
      <c r="D44" s="55"/>
      <c r="E44" s="55"/>
      <c r="F44" s="55"/>
      <c r="G44" s="55"/>
    </row>
    <row r="45" spans="1:9" x14ac:dyDescent="0.2">
      <c r="A45" s="55"/>
      <c r="B45" s="55"/>
      <c r="C45" s="55"/>
      <c r="D45" s="55"/>
      <c r="E45" s="55"/>
      <c r="F45" s="55"/>
      <c r="G45" s="55"/>
    </row>
    <row r="46" spans="1:9" x14ac:dyDescent="0.2">
      <c r="A46" s="55"/>
      <c r="B46" s="55"/>
      <c r="C46" s="55"/>
      <c r="D46" s="101"/>
      <c r="E46" s="55"/>
      <c r="F46" s="55"/>
      <c r="G46" s="55"/>
    </row>
    <row r="47" spans="1:9" ht="15" x14ac:dyDescent="0.25">
      <c r="A47" s="55"/>
      <c r="B47" s="55"/>
      <c r="C47" s="55"/>
      <c r="D47" s="59" t="s">
        <v>61</v>
      </c>
      <c r="E47" s="55"/>
      <c r="F47"/>
      <c r="G47" s="55"/>
    </row>
    <row r="48" spans="1:9" x14ac:dyDescent="0.2">
      <c r="A48" s="55"/>
      <c r="B48" s="55"/>
      <c r="C48" s="55"/>
      <c r="D48" s="55"/>
      <c r="E48" s="55"/>
      <c r="F48" s="55"/>
      <c r="G48" s="55"/>
    </row>
    <row r="49" spans="1:7" ht="15" x14ac:dyDescent="0.25">
      <c r="A49" s="55"/>
      <c r="B49" s="55"/>
      <c r="C49" s="55"/>
      <c r="D49"/>
      <c r="E49" s="55"/>
      <c r="F49" s="55"/>
      <c r="G49" s="55"/>
    </row>
    <row r="50" spans="1:7" ht="15" x14ac:dyDescent="0.25">
      <c r="A50" s="55"/>
      <c r="B50" s="55"/>
      <c r="C50" s="55"/>
      <c r="D50"/>
      <c r="E50"/>
      <c r="F50" s="55"/>
      <c r="G50" s="55"/>
    </row>
    <row r="51" spans="1:7" x14ac:dyDescent="0.2">
      <c r="A51" s="55"/>
      <c r="B51" s="55"/>
      <c r="C51" s="55"/>
      <c r="D51" s="55"/>
      <c r="E51" s="55"/>
      <c r="F51" s="55"/>
      <c r="G51" s="55"/>
    </row>
    <row r="52" spans="1:7" x14ac:dyDescent="0.2">
      <c r="A52" s="55"/>
      <c r="B52" s="55"/>
      <c r="C52" s="55"/>
      <c r="D52" s="55"/>
      <c r="E52" s="55"/>
      <c r="F52" s="55"/>
      <c r="G52" s="55"/>
    </row>
    <row r="53" spans="1:7" x14ac:dyDescent="0.2">
      <c r="A53" s="55"/>
      <c r="B53" s="55"/>
      <c r="C53" s="55"/>
      <c r="D53" s="55"/>
      <c r="E53" s="55"/>
      <c r="F53" s="55"/>
      <c r="G53" s="55"/>
    </row>
    <row r="54" spans="1:7" ht="14.1" customHeight="1" x14ac:dyDescent="0.2">
      <c r="A54" s="151" t="s">
        <v>130</v>
      </c>
      <c r="B54" s="151"/>
      <c r="C54" s="151"/>
      <c r="D54" s="151"/>
      <c r="E54" s="151"/>
      <c r="F54" s="151"/>
      <c r="G54" s="151"/>
    </row>
    <row r="55" spans="1:7" ht="14.25" customHeight="1" x14ac:dyDescent="0.2">
      <c r="A55" s="151"/>
      <c r="B55" s="151"/>
      <c r="C55" s="151"/>
      <c r="D55" s="151"/>
      <c r="E55" s="151"/>
      <c r="F55" s="151"/>
      <c r="G55" s="151"/>
    </row>
    <row r="56" spans="1:7" ht="14.25" customHeight="1" x14ac:dyDescent="0.2">
      <c r="A56" s="151"/>
      <c r="B56" s="151"/>
      <c r="C56" s="151"/>
      <c r="D56" s="151"/>
      <c r="E56" s="151"/>
      <c r="F56" s="151"/>
      <c r="G56" s="151"/>
    </row>
    <row r="57" spans="1:7" ht="18" customHeight="1" x14ac:dyDescent="0.2">
      <c r="A57" s="151"/>
      <c r="B57" s="151"/>
      <c r="C57" s="151"/>
      <c r="D57" s="151"/>
      <c r="E57" s="151"/>
      <c r="F57" s="151"/>
      <c r="G57" s="151"/>
    </row>
    <row r="58" spans="1:7" ht="18" customHeight="1" x14ac:dyDescent="0.2">
      <c r="A58" s="151"/>
      <c r="B58" s="151"/>
      <c r="C58" s="151"/>
      <c r="D58" s="151"/>
      <c r="E58" s="151"/>
      <c r="F58" s="151"/>
      <c r="G58" s="151"/>
    </row>
    <row r="59" spans="1:7" ht="14.25" customHeight="1" x14ac:dyDescent="0.2">
      <c r="A59" s="62"/>
      <c r="B59" s="62"/>
      <c r="C59" s="62"/>
      <c r="D59" s="62"/>
      <c r="E59" s="62"/>
      <c r="F59" s="62"/>
      <c r="G59" s="62"/>
    </row>
    <row r="60" spans="1:7" ht="14.45" customHeight="1" x14ac:dyDescent="0.2">
      <c r="A60" s="155" t="s">
        <v>94</v>
      </c>
      <c r="B60" s="155"/>
      <c r="C60" s="155"/>
      <c r="D60" s="155"/>
      <c r="E60" s="155"/>
      <c r="F60" s="155"/>
      <c r="G60" s="155"/>
    </row>
    <row r="61" spans="1:7" ht="14.25" customHeight="1" x14ac:dyDescent="0.2">
      <c r="A61" s="99"/>
      <c r="B61" s="99"/>
      <c r="C61" s="99"/>
      <c r="D61" s="99"/>
      <c r="E61" s="99"/>
      <c r="F61" s="99"/>
      <c r="G61" s="99"/>
    </row>
    <row r="62" spans="1:7" ht="19.5" customHeight="1" x14ac:dyDescent="0.2">
      <c r="A62" s="151" t="s">
        <v>112</v>
      </c>
      <c r="B62" s="151"/>
      <c r="C62" s="151"/>
      <c r="D62" s="151"/>
      <c r="E62" s="151"/>
      <c r="F62" s="151"/>
      <c r="G62" s="151"/>
    </row>
    <row r="63" spans="1:7" ht="14.25" customHeight="1" x14ac:dyDescent="0.2">
      <c r="A63" s="151"/>
      <c r="B63" s="151"/>
      <c r="C63" s="151"/>
      <c r="D63" s="151"/>
      <c r="E63" s="151"/>
      <c r="F63" s="151"/>
      <c r="G63" s="151"/>
    </row>
    <row r="64" spans="1:7" ht="15" customHeight="1" x14ac:dyDescent="0.2">
      <c r="A64" s="151"/>
      <c r="B64" s="151"/>
      <c r="C64" s="151"/>
      <c r="D64" s="151"/>
      <c r="E64" s="151"/>
      <c r="F64" s="151"/>
      <c r="G64" s="151"/>
    </row>
    <row r="65" spans="1:7" ht="14.45" customHeight="1" x14ac:dyDescent="0.2">
      <c r="A65" s="151"/>
      <c r="B65" s="151"/>
      <c r="C65" s="151"/>
      <c r="D65" s="151"/>
      <c r="E65" s="151"/>
      <c r="F65" s="151"/>
      <c r="G65" s="151"/>
    </row>
    <row r="66" spans="1:7" ht="14.25" customHeight="1" x14ac:dyDescent="0.2">
      <c r="A66" s="151"/>
      <c r="B66" s="151"/>
      <c r="C66" s="151"/>
      <c r="D66" s="151"/>
      <c r="E66" s="151"/>
      <c r="F66" s="151"/>
      <c r="G66" s="151"/>
    </row>
    <row r="67" spans="1:7" ht="14.25" customHeight="1" x14ac:dyDescent="0.2">
      <c r="A67" s="152" t="s">
        <v>62</v>
      </c>
      <c r="B67" s="152"/>
      <c r="C67" s="152"/>
      <c r="D67" s="152"/>
      <c r="E67" s="152"/>
      <c r="F67" s="152"/>
      <c r="G67" s="152"/>
    </row>
    <row r="68" spans="1:7" ht="15" customHeight="1" thickBot="1" x14ac:dyDescent="0.25">
      <c r="A68" s="153"/>
      <c r="B68" s="153"/>
      <c r="C68" s="153"/>
      <c r="D68" s="153"/>
      <c r="E68" s="153"/>
      <c r="F68" s="153"/>
      <c r="G68" s="153"/>
    </row>
    <row r="69" spans="1:7" ht="15" customHeight="1" thickTop="1" x14ac:dyDescent="0.2">
      <c r="A69" s="154"/>
      <c r="B69" s="154"/>
      <c r="C69" s="154"/>
      <c r="D69" s="154"/>
      <c r="E69" s="154"/>
      <c r="F69" s="154"/>
      <c r="G69" s="154"/>
    </row>
    <row r="70" spans="1:7" ht="15" customHeight="1" x14ac:dyDescent="0.2">
      <c r="A70" s="155" t="s">
        <v>96</v>
      </c>
      <c r="B70" s="155"/>
      <c r="C70" s="155"/>
      <c r="D70" s="155"/>
      <c r="E70" s="155"/>
      <c r="F70" s="155"/>
      <c r="G70" s="155"/>
    </row>
    <row r="71" spans="1:7" ht="15" customHeight="1" x14ac:dyDescent="0.2">
      <c r="A71" s="155"/>
      <c r="B71" s="155"/>
      <c r="C71" s="155"/>
      <c r="D71" s="155"/>
      <c r="E71" s="155"/>
      <c r="F71" s="155"/>
      <c r="G71" s="155"/>
    </row>
    <row r="72" spans="1:7" ht="15" customHeight="1" x14ac:dyDescent="0.2">
      <c r="A72" s="155"/>
      <c r="B72" s="155"/>
      <c r="C72" s="155"/>
      <c r="D72" s="155"/>
      <c r="E72" s="155"/>
      <c r="F72" s="155"/>
      <c r="G72" s="155"/>
    </row>
    <row r="73" spans="1:7" ht="15" x14ac:dyDescent="0.25">
      <c r="A73" s="67" t="s">
        <v>71</v>
      </c>
      <c r="B73" s="156" t="s">
        <v>95</v>
      </c>
      <c r="C73" s="156"/>
      <c r="D73" s="157" t="s">
        <v>87</v>
      </c>
      <c r="E73" s="157"/>
      <c r="F73" s="157"/>
      <c r="G73" s="157"/>
    </row>
    <row r="74" spans="1:7" ht="15" x14ac:dyDescent="0.25">
      <c r="A74" s="67"/>
      <c r="B74" s="128"/>
      <c r="C74" s="128"/>
      <c r="D74" s="126"/>
      <c r="E74" s="126"/>
      <c r="F74" s="126"/>
      <c r="G74" s="126"/>
    </row>
    <row r="75" spans="1:7" ht="15" x14ac:dyDescent="0.25">
      <c r="A75" s="157" t="s">
        <v>116</v>
      </c>
      <c r="B75" s="157"/>
      <c r="C75" s="157"/>
      <c r="D75" s="157"/>
      <c r="E75" s="157"/>
      <c r="F75" s="157"/>
      <c r="G75" s="157"/>
    </row>
    <row r="76" spans="1:7" ht="15" customHeight="1" x14ac:dyDescent="0.2">
      <c r="A76" s="176" t="s">
        <v>75</v>
      </c>
      <c r="B76" s="176"/>
      <c r="C76" s="176"/>
      <c r="D76" s="176"/>
      <c r="E76" s="176"/>
      <c r="F76" s="176"/>
      <c r="G76" s="176"/>
    </row>
    <row r="77" spans="1:7" ht="14.45" customHeight="1" x14ac:dyDescent="0.2">
      <c r="A77" s="176"/>
      <c r="B77" s="176"/>
      <c r="C77" s="176"/>
      <c r="D77" s="176"/>
      <c r="E77" s="176"/>
      <c r="F77" s="176"/>
      <c r="G77" s="176"/>
    </row>
    <row r="78" spans="1:7" ht="14.25" customHeight="1" x14ac:dyDescent="0.2">
      <c r="A78" s="151" t="s">
        <v>97</v>
      </c>
      <c r="B78" s="151"/>
      <c r="C78" s="151"/>
      <c r="D78" s="151"/>
      <c r="E78" s="151"/>
      <c r="F78" s="151"/>
      <c r="G78" s="151"/>
    </row>
    <row r="79" spans="1:7" ht="14.1" customHeight="1" x14ac:dyDescent="0.2">
      <c r="A79" s="151"/>
      <c r="B79" s="151"/>
      <c r="C79" s="151"/>
      <c r="D79" s="151"/>
      <c r="E79" s="151"/>
      <c r="F79" s="151"/>
      <c r="G79" s="151"/>
    </row>
    <row r="80" spans="1:7" ht="14.25" customHeight="1" x14ac:dyDescent="0.2">
      <c r="A80" s="151"/>
      <c r="B80" s="151"/>
      <c r="C80" s="151"/>
      <c r="D80" s="151"/>
      <c r="E80" s="151"/>
      <c r="F80" s="151"/>
      <c r="G80" s="151"/>
    </row>
    <row r="81" spans="1:7" ht="14.25" customHeight="1" x14ac:dyDescent="0.2">
      <c r="A81" s="151"/>
      <c r="B81" s="151"/>
      <c r="C81" s="151"/>
      <c r="D81" s="151"/>
      <c r="E81" s="151"/>
      <c r="F81" s="151"/>
      <c r="G81" s="151"/>
    </row>
    <row r="82" spans="1:7" ht="14.25" customHeight="1" x14ac:dyDescent="0.2">
      <c r="A82" s="155" t="s">
        <v>117</v>
      </c>
      <c r="B82" s="155"/>
      <c r="C82" s="155"/>
      <c r="D82" s="155"/>
      <c r="E82" s="155"/>
      <c r="F82" s="155"/>
      <c r="G82" s="155"/>
    </row>
    <row r="83" spans="1:7" ht="14.25" customHeight="1" x14ac:dyDescent="0.2">
      <c r="A83" s="155"/>
      <c r="B83" s="155"/>
      <c r="C83" s="155"/>
      <c r="D83" s="155"/>
      <c r="E83" s="155"/>
      <c r="F83" s="155"/>
      <c r="G83" s="155"/>
    </row>
    <row r="84" spans="1:7" ht="14.25" customHeight="1" x14ac:dyDescent="0.2">
      <c r="A84" s="155"/>
      <c r="B84" s="155"/>
      <c r="C84" s="155"/>
      <c r="D84" s="155"/>
      <c r="E84" s="155"/>
      <c r="F84" s="155"/>
      <c r="G84" s="155"/>
    </row>
    <row r="85" spans="1:7" ht="15" customHeight="1" x14ac:dyDescent="0.2">
      <c r="A85" s="155"/>
      <c r="B85" s="155"/>
      <c r="C85" s="155"/>
      <c r="D85" s="155"/>
      <c r="E85" s="155"/>
      <c r="F85" s="155"/>
      <c r="G85" s="155"/>
    </row>
    <row r="86" spans="1:7" ht="15" customHeight="1" x14ac:dyDescent="0.2">
      <c r="A86" s="155"/>
      <c r="B86" s="155"/>
      <c r="C86" s="155"/>
      <c r="D86" s="155"/>
      <c r="E86" s="155"/>
      <c r="F86" s="155"/>
      <c r="G86" s="155"/>
    </row>
    <row r="87" spans="1:7" ht="14.45" customHeight="1" x14ac:dyDescent="0.2">
      <c r="A87" s="160" t="s">
        <v>72</v>
      </c>
      <c r="B87" s="160"/>
      <c r="C87" s="160"/>
      <c r="D87" s="160"/>
      <c r="E87" s="160"/>
      <c r="F87" s="160"/>
      <c r="G87" s="160"/>
    </row>
    <row r="88" spans="1:7" x14ac:dyDescent="0.2">
      <c r="A88" s="160"/>
      <c r="B88" s="160"/>
      <c r="C88" s="160"/>
      <c r="D88" s="160"/>
      <c r="E88" s="160"/>
      <c r="F88" s="160"/>
      <c r="G88" s="160"/>
    </row>
    <row r="89" spans="1:7" ht="15" customHeight="1" x14ac:dyDescent="0.2">
      <c r="A89" s="155" t="s">
        <v>99</v>
      </c>
      <c r="B89" s="155"/>
      <c r="C89" s="155"/>
      <c r="D89" s="155"/>
      <c r="E89" s="155"/>
      <c r="F89" s="155"/>
      <c r="G89" s="155"/>
    </row>
    <row r="90" spans="1:7" ht="14.25" customHeight="1" x14ac:dyDescent="0.2">
      <c r="A90" s="155"/>
      <c r="B90" s="155"/>
      <c r="C90" s="155"/>
      <c r="D90" s="155"/>
      <c r="E90" s="155"/>
      <c r="F90" s="155"/>
      <c r="G90" s="155"/>
    </row>
    <row r="91" spans="1:7" ht="14.25" customHeight="1" x14ac:dyDescent="0.2">
      <c r="A91" s="155"/>
      <c r="B91" s="155"/>
      <c r="C91" s="155"/>
      <c r="D91" s="155"/>
      <c r="E91" s="155"/>
      <c r="F91" s="155"/>
      <c r="G91" s="155"/>
    </row>
    <row r="92" spans="1:7" ht="14.25" customHeight="1" x14ac:dyDescent="0.2">
      <c r="A92" s="155"/>
      <c r="B92" s="155"/>
      <c r="C92" s="155"/>
      <c r="D92" s="155"/>
      <c r="E92" s="155"/>
      <c r="F92" s="155"/>
      <c r="G92" s="155"/>
    </row>
    <row r="93" spans="1:7" ht="14.25" customHeight="1" x14ac:dyDescent="0.2">
      <c r="A93" s="155"/>
      <c r="B93" s="155"/>
      <c r="C93" s="155"/>
      <c r="D93" s="155"/>
      <c r="E93" s="155"/>
      <c r="F93" s="155"/>
      <c r="G93" s="155"/>
    </row>
    <row r="94" spans="1:7" ht="14.25" customHeight="1" x14ac:dyDescent="0.2">
      <c r="A94" s="155"/>
      <c r="B94" s="155"/>
      <c r="C94" s="155"/>
      <c r="D94" s="155"/>
      <c r="E94" s="155"/>
      <c r="F94" s="155"/>
      <c r="G94" s="155"/>
    </row>
    <row r="95" spans="1:7" ht="14.25" customHeight="1" x14ac:dyDescent="0.2">
      <c r="A95" s="155"/>
      <c r="B95" s="155"/>
      <c r="C95" s="155"/>
      <c r="D95" s="155"/>
      <c r="E95" s="155"/>
      <c r="F95" s="155"/>
      <c r="G95" s="155"/>
    </row>
    <row r="96" spans="1:7" x14ac:dyDescent="0.2">
      <c r="A96" s="161" t="s">
        <v>76</v>
      </c>
      <c r="B96" s="161"/>
      <c r="C96" s="161"/>
      <c r="D96" s="161"/>
      <c r="E96" s="161"/>
      <c r="F96" s="161"/>
      <c r="G96" s="161"/>
    </row>
    <row r="97" spans="1:7" x14ac:dyDescent="0.2">
      <c r="A97" s="161"/>
      <c r="B97" s="161"/>
      <c r="C97" s="161"/>
      <c r="D97" s="161"/>
      <c r="E97" s="161"/>
      <c r="F97" s="161"/>
      <c r="G97" s="161"/>
    </row>
    <row r="98" spans="1:7" x14ac:dyDescent="0.2">
      <c r="A98" s="55"/>
      <c r="B98" s="55"/>
      <c r="C98" s="55"/>
      <c r="D98" s="55"/>
      <c r="E98" s="55"/>
      <c r="F98" s="55"/>
      <c r="G98" s="55"/>
    </row>
    <row r="99" spans="1:7" x14ac:dyDescent="0.2">
      <c r="A99" s="55"/>
      <c r="B99" s="55"/>
      <c r="C99" s="55"/>
      <c r="D99" s="55"/>
      <c r="E99" s="55"/>
      <c r="F99" s="55"/>
      <c r="G99" s="55"/>
    </row>
    <row r="100" spans="1:7" x14ac:dyDescent="0.2">
      <c r="A100" s="55"/>
      <c r="B100" s="55"/>
      <c r="C100" s="55"/>
      <c r="D100" s="55"/>
      <c r="E100" s="55"/>
      <c r="F100" s="55"/>
      <c r="G100" s="55"/>
    </row>
    <row r="101" spans="1:7" ht="15" x14ac:dyDescent="0.25">
      <c r="A101" s="55"/>
      <c r="B101"/>
      <c r="C101" s="55"/>
      <c r="D101" s="55"/>
      <c r="E101" s="55"/>
      <c r="F101" s="55"/>
      <c r="G101" s="55"/>
    </row>
    <row r="102" spans="1:7" x14ac:dyDescent="0.2">
      <c r="A102" s="55"/>
      <c r="B102" s="55"/>
      <c r="C102" s="55"/>
      <c r="D102" s="55"/>
      <c r="E102" s="55"/>
      <c r="F102" s="55"/>
      <c r="G102" s="55"/>
    </row>
    <row r="103" spans="1:7" x14ac:dyDescent="0.2">
      <c r="A103" s="55"/>
      <c r="B103" s="55"/>
      <c r="C103" s="55"/>
      <c r="D103" s="55"/>
      <c r="E103" s="55"/>
      <c r="F103" s="55"/>
      <c r="G103" s="55"/>
    </row>
    <row r="104" spans="1:7" x14ac:dyDescent="0.2">
      <c r="A104" s="55"/>
      <c r="B104" s="55"/>
      <c r="C104" s="55"/>
      <c r="D104" s="55"/>
      <c r="E104" s="55"/>
      <c r="F104" s="55"/>
      <c r="G104" s="55"/>
    </row>
    <row r="105" spans="1:7" x14ac:dyDescent="0.2">
      <c r="A105" s="55"/>
      <c r="B105" s="55"/>
      <c r="C105" s="55"/>
      <c r="D105" s="55"/>
      <c r="E105" s="55"/>
      <c r="F105" s="55"/>
      <c r="G105" s="55"/>
    </row>
    <row r="106" spans="1:7" x14ac:dyDescent="0.2">
      <c r="A106" s="55"/>
      <c r="B106" s="55"/>
      <c r="C106" s="55"/>
      <c r="D106" s="55"/>
      <c r="E106" s="55"/>
      <c r="F106" s="55"/>
      <c r="G106" s="55"/>
    </row>
    <row r="107" spans="1:7" x14ac:dyDescent="0.2">
      <c r="A107" s="55"/>
      <c r="B107" s="55"/>
      <c r="C107" s="55"/>
      <c r="D107" s="55"/>
      <c r="E107" s="55"/>
      <c r="F107" s="55"/>
      <c r="G107" s="55"/>
    </row>
    <row r="108" spans="1:7" x14ac:dyDescent="0.2">
      <c r="A108" s="55"/>
      <c r="B108" s="55"/>
      <c r="C108" s="55"/>
      <c r="D108" s="55"/>
      <c r="E108" s="55"/>
      <c r="F108" s="55"/>
      <c r="G108" s="55"/>
    </row>
    <row r="109" spans="1:7" x14ac:dyDescent="0.2">
      <c r="A109" s="55"/>
      <c r="B109" s="55"/>
      <c r="C109" s="55"/>
      <c r="D109" s="55"/>
      <c r="E109" s="55"/>
      <c r="F109" s="55"/>
      <c r="G109" s="55"/>
    </row>
    <row r="110" spans="1:7" x14ac:dyDescent="0.2">
      <c r="A110" s="55"/>
      <c r="B110" s="55"/>
      <c r="C110" s="55"/>
      <c r="D110" s="55"/>
      <c r="E110" s="55"/>
      <c r="F110" s="55"/>
      <c r="G110" s="55"/>
    </row>
    <row r="111" spans="1:7" x14ac:dyDescent="0.2">
      <c r="A111" s="55"/>
      <c r="B111" s="55"/>
      <c r="C111" s="55"/>
      <c r="D111" s="55"/>
      <c r="E111" s="55"/>
      <c r="F111" s="55"/>
      <c r="G111" s="55"/>
    </row>
    <row r="112" spans="1:7" x14ac:dyDescent="0.2">
      <c r="A112" s="55"/>
      <c r="B112" s="55"/>
      <c r="C112" s="55"/>
      <c r="D112" s="55"/>
      <c r="E112" s="55"/>
      <c r="F112" s="55"/>
      <c r="G112" s="55"/>
    </row>
    <row r="113" spans="1:7" x14ac:dyDescent="0.2">
      <c r="A113" s="55"/>
      <c r="B113" s="55"/>
      <c r="C113" s="55"/>
      <c r="D113" s="55"/>
      <c r="E113" s="55"/>
      <c r="F113" s="55"/>
      <c r="G113" s="55"/>
    </row>
    <row r="114" spans="1:7" x14ac:dyDescent="0.2">
      <c r="A114" s="55"/>
      <c r="B114" s="55"/>
      <c r="C114" s="55"/>
      <c r="D114" s="55"/>
      <c r="E114" s="55"/>
      <c r="F114" s="55"/>
      <c r="G114" s="55"/>
    </row>
    <row r="115" spans="1:7" x14ac:dyDescent="0.2">
      <c r="A115" s="55"/>
      <c r="B115" s="55"/>
      <c r="C115" s="55"/>
      <c r="D115" s="55"/>
      <c r="E115" s="55"/>
      <c r="F115" s="55"/>
      <c r="G115" s="55"/>
    </row>
    <row r="116" spans="1:7" x14ac:dyDescent="0.2">
      <c r="A116" s="55"/>
      <c r="B116" s="55"/>
      <c r="C116" s="55"/>
      <c r="D116" s="55"/>
      <c r="E116" s="55"/>
      <c r="F116" s="55"/>
      <c r="G116" s="55"/>
    </row>
    <row r="117" spans="1:7" x14ac:dyDescent="0.2">
      <c r="A117" s="55"/>
      <c r="B117" s="55"/>
      <c r="C117" s="55"/>
      <c r="D117" s="55"/>
      <c r="E117" s="55"/>
      <c r="F117" s="55"/>
      <c r="G117" s="55"/>
    </row>
    <row r="118" spans="1:7" x14ac:dyDescent="0.2">
      <c r="A118" s="55"/>
      <c r="B118" s="55"/>
      <c r="C118" s="55"/>
      <c r="D118" s="55"/>
      <c r="E118" s="55"/>
      <c r="F118" s="55"/>
      <c r="G118" s="55"/>
    </row>
    <row r="119" spans="1:7" x14ac:dyDescent="0.2">
      <c r="A119" s="55"/>
      <c r="B119" s="55"/>
      <c r="C119" s="55"/>
      <c r="D119" s="55"/>
      <c r="E119" s="55"/>
      <c r="F119" s="55"/>
      <c r="G119" s="55"/>
    </row>
    <row r="120" spans="1:7" x14ac:dyDescent="0.2">
      <c r="A120" s="55"/>
      <c r="B120" s="55"/>
      <c r="C120" s="55"/>
      <c r="D120" s="55"/>
      <c r="E120" s="55"/>
      <c r="F120" s="55"/>
      <c r="G120" s="55"/>
    </row>
    <row r="121" spans="1:7" x14ac:dyDescent="0.2">
      <c r="A121" s="55"/>
      <c r="B121" s="55"/>
      <c r="C121" s="55"/>
      <c r="D121" s="55"/>
      <c r="E121" s="55"/>
      <c r="F121" s="55"/>
      <c r="G121" s="55"/>
    </row>
    <row r="122" spans="1:7" x14ac:dyDescent="0.2">
      <c r="A122" s="55"/>
      <c r="B122" s="55"/>
      <c r="C122" s="55"/>
      <c r="D122" s="55"/>
      <c r="E122" s="55"/>
      <c r="F122" s="55"/>
      <c r="G122" s="55"/>
    </row>
    <row r="123" spans="1:7" ht="14.1" customHeight="1" x14ac:dyDescent="0.2">
      <c r="A123" s="163" t="s">
        <v>113</v>
      </c>
      <c r="B123" s="163"/>
      <c r="C123" s="163"/>
      <c r="D123" s="163"/>
      <c r="E123" s="163"/>
      <c r="F123" s="163"/>
      <c r="G123" s="163"/>
    </row>
    <row r="124" spans="1:7" ht="14.25" customHeight="1" x14ac:dyDescent="0.2">
      <c r="A124" s="163"/>
      <c r="B124" s="163"/>
      <c r="C124" s="163"/>
      <c r="D124" s="163"/>
      <c r="E124" s="163"/>
      <c r="F124" s="163"/>
      <c r="G124" s="163"/>
    </row>
    <row r="125" spans="1:7" ht="15" customHeight="1" x14ac:dyDescent="0.2">
      <c r="A125" s="163"/>
      <c r="B125" s="163"/>
      <c r="C125" s="163"/>
      <c r="D125" s="163"/>
      <c r="E125" s="163"/>
      <c r="F125" s="163"/>
      <c r="G125" s="163"/>
    </row>
    <row r="126" spans="1:7" ht="15" customHeight="1" x14ac:dyDescent="0.2">
      <c r="A126" s="163"/>
      <c r="B126" s="163"/>
      <c r="C126" s="163"/>
      <c r="D126" s="163"/>
      <c r="E126" s="163"/>
      <c r="F126" s="163"/>
      <c r="G126" s="163"/>
    </row>
    <row r="127" spans="1:7" ht="15" customHeight="1" x14ac:dyDescent="0.2">
      <c r="A127" s="163"/>
      <c r="B127" s="163"/>
      <c r="C127" s="163"/>
      <c r="D127" s="163"/>
      <c r="E127" s="163"/>
      <c r="F127" s="163"/>
      <c r="G127" s="163"/>
    </row>
    <row r="128" spans="1:7" ht="14.1" customHeight="1" x14ac:dyDescent="0.2">
      <c r="A128" s="99"/>
      <c r="B128" s="99"/>
      <c r="C128" s="99"/>
      <c r="D128" s="99"/>
      <c r="E128" s="99"/>
      <c r="F128" s="99"/>
      <c r="G128" s="99"/>
    </row>
    <row r="129" spans="1:7" ht="14.25" customHeight="1" x14ac:dyDescent="0.2">
      <c r="A129" s="151" t="s">
        <v>118</v>
      </c>
      <c r="B129" s="151"/>
      <c r="C129" s="151"/>
      <c r="D129" s="151"/>
      <c r="E129" s="151"/>
      <c r="F129" s="151"/>
      <c r="G129" s="151"/>
    </row>
    <row r="130" spans="1:7" ht="14.25" customHeight="1" x14ac:dyDescent="0.2">
      <c r="A130" s="151"/>
      <c r="B130" s="151"/>
      <c r="C130" s="151"/>
      <c r="D130" s="151"/>
      <c r="E130" s="151"/>
      <c r="F130" s="151"/>
      <c r="G130" s="151"/>
    </row>
    <row r="131" spans="1:7" ht="14.25" customHeight="1" x14ac:dyDescent="0.2">
      <c r="A131" s="151"/>
      <c r="B131" s="151"/>
      <c r="C131" s="151"/>
      <c r="D131" s="151"/>
      <c r="E131" s="151"/>
      <c r="F131" s="151"/>
      <c r="G131" s="151"/>
    </row>
    <row r="132" spans="1:7" ht="15" customHeight="1" x14ac:dyDescent="0.2">
      <c r="A132" s="151"/>
      <c r="B132" s="151"/>
      <c r="C132" s="151"/>
      <c r="D132" s="151"/>
      <c r="E132" s="151"/>
      <c r="F132" s="151"/>
      <c r="G132" s="151"/>
    </row>
    <row r="133" spans="1:7" ht="15" customHeight="1" x14ac:dyDescent="0.2">
      <c r="A133" s="160" t="s">
        <v>114</v>
      </c>
      <c r="B133" s="160"/>
      <c r="C133" s="160"/>
      <c r="D133" s="160"/>
      <c r="E133" s="160"/>
      <c r="F133" s="160"/>
      <c r="G133" s="160"/>
    </row>
    <row r="134" spans="1:7" ht="15" customHeight="1" x14ac:dyDescent="0.2">
      <c r="A134" s="160"/>
      <c r="B134" s="160"/>
      <c r="C134" s="160"/>
      <c r="D134" s="160"/>
      <c r="E134" s="160"/>
      <c r="F134" s="160"/>
      <c r="G134" s="160"/>
    </row>
    <row r="135" spans="1:7" x14ac:dyDescent="0.2">
      <c r="A135" s="55"/>
      <c r="B135" s="55"/>
      <c r="C135" s="55"/>
      <c r="D135" s="55"/>
      <c r="E135" s="55"/>
      <c r="F135" s="55"/>
      <c r="G135" s="55"/>
    </row>
    <row r="136" spans="1:7" x14ac:dyDescent="0.2">
      <c r="A136" s="161" t="s">
        <v>86</v>
      </c>
      <c r="B136" s="161"/>
      <c r="C136" s="161"/>
      <c r="D136" s="161"/>
      <c r="E136" s="161"/>
      <c r="F136" s="161"/>
      <c r="G136" s="161"/>
    </row>
    <row r="137" spans="1:7" x14ac:dyDescent="0.2">
      <c r="A137" s="161"/>
      <c r="B137" s="161"/>
      <c r="C137" s="161"/>
      <c r="D137" s="161"/>
      <c r="E137" s="161"/>
      <c r="F137" s="161"/>
      <c r="G137" s="161"/>
    </row>
    <row r="138" spans="1:7" x14ac:dyDescent="0.2">
      <c r="A138" s="161"/>
      <c r="B138" s="161"/>
      <c r="C138" s="161"/>
      <c r="D138" s="161"/>
      <c r="E138" s="161"/>
      <c r="F138" s="161"/>
      <c r="G138" s="161"/>
    </row>
    <row r="139" spans="1:7" x14ac:dyDescent="0.2">
      <c r="A139" s="161"/>
      <c r="B139" s="161"/>
      <c r="C139" s="161"/>
      <c r="D139" s="161"/>
      <c r="E139" s="161"/>
      <c r="F139" s="161"/>
      <c r="G139" s="161"/>
    </row>
    <row r="140" spans="1:7" x14ac:dyDescent="0.2">
      <c r="A140" s="161"/>
      <c r="B140" s="161"/>
      <c r="C140" s="161"/>
      <c r="D140" s="161"/>
      <c r="E140" s="161"/>
      <c r="F140" s="161"/>
      <c r="G140" s="161"/>
    </row>
    <row r="141" spans="1:7" x14ac:dyDescent="0.2">
      <c r="A141" s="161"/>
      <c r="B141" s="161"/>
      <c r="C141" s="161"/>
      <c r="D141" s="161"/>
      <c r="E141" s="161"/>
      <c r="F141" s="161"/>
      <c r="G141" s="161"/>
    </row>
    <row r="142" spans="1:7" x14ac:dyDescent="0.2">
      <c r="A142" s="55"/>
      <c r="B142" s="55"/>
      <c r="C142" s="55"/>
      <c r="D142" s="55"/>
      <c r="E142" s="55"/>
      <c r="F142" s="55"/>
      <c r="G142" s="55"/>
    </row>
    <row r="143" spans="1:7" ht="14.25" customHeight="1" x14ac:dyDescent="0.25">
      <c r="A143" s="127" t="s">
        <v>115</v>
      </c>
      <c r="B143" s="127"/>
      <c r="C143" s="127"/>
      <c r="D143" s="127"/>
      <c r="E143" s="127"/>
      <c r="F143" s="127"/>
      <c r="G143" s="127"/>
    </row>
    <row r="144" spans="1:7" ht="14.45" customHeight="1" x14ac:dyDescent="0.25">
      <c r="A144" s="127"/>
      <c r="B144" s="127"/>
      <c r="C144" s="127"/>
      <c r="D144" s="127"/>
      <c r="E144" s="127"/>
      <c r="F144" s="127"/>
      <c r="G144" s="127"/>
    </row>
    <row r="145" spans="1:7" ht="19.5" customHeight="1" x14ac:dyDescent="0.2">
      <c r="A145" s="159" t="s">
        <v>119</v>
      </c>
      <c r="B145" s="159"/>
      <c r="C145" s="159"/>
      <c r="D145" s="159"/>
      <c r="E145" s="159"/>
      <c r="F145" s="159"/>
      <c r="G145" s="159"/>
    </row>
    <row r="146" spans="1:7" ht="18.75" customHeight="1" x14ac:dyDescent="0.2">
      <c r="A146" s="159"/>
      <c r="B146" s="159"/>
      <c r="C146" s="159"/>
      <c r="D146" s="159"/>
      <c r="E146" s="159"/>
      <c r="F146" s="159"/>
      <c r="G146" s="159"/>
    </row>
    <row r="147" spans="1:7" ht="18.75" customHeight="1" x14ac:dyDescent="0.2">
      <c r="A147" s="159"/>
      <c r="B147" s="159"/>
      <c r="C147" s="159"/>
      <c r="D147" s="159"/>
      <c r="E147" s="159"/>
      <c r="F147" s="159"/>
      <c r="G147" s="159"/>
    </row>
    <row r="148" spans="1:7" ht="14.1" customHeight="1" x14ac:dyDescent="0.2">
      <c r="A148" s="101"/>
      <c r="B148" s="100"/>
      <c r="C148" s="100"/>
      <c r="D148" s="100"/>
      <c r="E148" s="100"/>
      <c r="F148" s="100"/>
      <c r="G148" s="100"/>
    </row>
    <row r="149" spans="1:7" ht="14.25" customHeight="1" x14ac:dyDescent="0.2">
      <c r="A149" s="164" t="s">
        <v>120</v>
      </c>
      <c r="B149" s="164"/>
      <c r="C149" s="164"/>
      <c r="D149" s="164"/>
      <c r="E149" s="164"/>
      <c r="F149" s="164"/>
      <c r="G149" s="164"/>
    </row>
    <row r="150" spans="1:7" ht="14.25" customHeight="1" x14ac:dyDescent="0.2">
      <c r="A150" s="164"/>
      <c r="B150" s="164"/>
      <c r="C150" s="164"/>
      <c r="D150" s="164"/>
      <c r="E150" s="164"/>
      <c r="F150" s="164"/>
      <c r="G150" s="164"/>
    </row>
    <row r="151" spans="1:7" ht="14.25" customHeight="1" x14ac:dyDescent="0.2">
      <c r="A151" s="164"/>
      <c r="B151" s="164"/>
      <c r="C151" s="164"/>
      <c r="D151" s="164"/>
      <c r="E151" s="164"/>
      <c r="F151" s="164"/>
      <c r="G151" s="164"/>
    </row>
    <row r="152" spans="1:7" ht="14.25" customHeight="1" x14ac:dyDescent="0.2">
      <c r="A152" s="164"/>
      <c r="B152" s="164"/>
      <c r="C152" s="164"/>
      <c r="D152" s="164"/>
      <c r="E152" s="164"/>
      <c r="F152" s="164"/>
      <c r="G152" s="164"/>
    </row>
    <row r="153" spans="1:7" x14ac:dyDescent="0.2">
      <c r="A153" s="164"/>
      <c r="B153" s="164"/>
      <c r="C153" s="164"/>
      <c r="D153" s="164"/>
      <c r="E153" s="164"/>
      <c r="F153" s="164"/>
      <c r="G153" s="164"/>
    </row>
    <row r="154" spans="1:7" x14ac:dyDescent="0.2">
      <c r="A154" s="164"/>
      <c r="B154" s="164"/>
      <c r="C154" s="164"/>
      <c r="D154" s="164"/>
      <c r="E154" s="164"/>
      <c r="F154" s="164"/>
      <c r="G154" s="164"/>
    </row>
    <row r="155" spans="1:7" x14ac:dyDescent="0.2">
      <c r="A155" s="164"/>
      <c r="B155" s="164"/>
      <c r="C155" s="164"/>
      <c r="D155" s="164"/>
      <c r="E155" s="164"/>
      <c r="F155" s="164"/>
      <c r="G155" s="164"/>
    </row>
    <row r="156" spans="1:7" x14ac:dyDescent="0.2">
      <c r="A156" s="164"/>
      <c r="B156" s="164"/>
      <c r="C156" s="164"/>
      <c r="D156" s="164"/>
      <c r="E156" s="164"/>
      <c r="F156" s="164"/>
      <c r="G156" s="164"/>
    </row>
    <row r="157" spans="1:7" ht="14.25" customHeight="1" x14ac:dyDescent="0.2">
      <c r="A157" s="164"/>
      <c r="B157" s="164"/>
      <c r="C157" s="164"/>
      <c r="D157" s="164"/>
      <c r="E157" s="164"/>
      <c r="F157" s="164"/>
      <c r="G157" s="164"/>
    </row>
    <row r="158" spans="1:7" ht="14.1" customHeight="1" x14ac:dyDescent="0.2">
      <c r="A158" s="164"/>
      <c r="B158" s="164"/>
      <c r="C158" s="164"/>
      <c r="D158" s="164"/>
      <c r="E158" s="164"/>
      <c r="F158" s="164"/>
      <c r="G158" s="164"/>
    </row>
    <row r="159" spans="1:7" ht="15" customHeight="1" x14ac:dyDescent="0.2">
      <c r="A159" s="162" t="s">
        <v>121</v>
      </c>
      <c r="B159" s="162"/>
      <c r="C159" s="162"/>
      <c r="D159" s="162"/>
      <c r="E159" s="162"/>
      <c r="F159" s="162"/>
      <c r="G159" s="162"/>
    </row>
    <row r="160" spans="1:7" ht="14.25" customHeight="1" x14ac:dyDescent="0.2">
      <c r="A160" s="162"/>
      <c r="B160" s="162"/>
      <c r="C160" s="162"/>
      <c r="D160" s="162"/>
      <c r="E160" s="162"/>
      <c r="F160" s="162"/>
      <c r="G160" s="162"/>
    </row>
    <row r="161" spans="1:7" ht="14.25" customHeight="1" x14ac:dyDescent="0.2">
      <c r="A161" s="162"/>
      <c r="B161" s="162"/>
      <c r="C161" s="162"/>
      <c r="D161" s="162"/>
      <c r="E161" s="162"/>
      <c r="F161" s="162"/>
      <c r="G161" s="162"/>
    </row>
    <row r="162" spans="1:7" ht="14.25" customHeight="1" x14ac:dyDescent="0.2">
      <c r="A162" s="162"/>
      <c r="B162" s="162"/>
      <c r="C162" s="162"/>
      <c r="D162" s="162"/>
      <c r="E162" s="162"/>
      <c r="F162" s="162"/>
      <c r="G162" s="162"/>
    </row>
    <row r="163" spans="1:7" ht="14.25" customHeight="1" x14ac:dyDescent="0.2">
      <c r="A163" s="162"/>
      <c r="B163" s="162"/>
      <c r="C163" s="162"/>
      <c r="D163" s="162"/>
      <c r="E163" s="162"/>
      <c r="F163" s="162"/>
      <c r="G163" s="162"/>
    </row>
    <row r="164" spans="1:7" ht="14.25" customHeight="1" x14ac:dyDescent="0.2">
      <c r="A164" s="162"/>
      <c r="B164" s="162"/>
      <c r="C164" s="162"/>
      <c r="D164" s="162"/>
      <c r="E164" s="162"/>
      <c r="F164" s="162"/>
      <c r="G164" s="162"/>
    </row>
    <row r="165" spans="1:7" ht="14.25" customHeight="1" x14ac:dyDescent="0.2">
      <c r="A165" s="162"/>
      <c r="B165" s="162"/>
      <c r="C165" s="162"/>
      <c r="D165" s="162"/>
      <c r="E165" s="162"/>
      <c r="F165" s="162"/>
      <c r="G165" s="162"/>
    </row>
    <row r="166" spans="1:7" ht="14.25" customHeight="1" x14ac:dyDescent="0.2">
      <c r="A166" s="162"/>
      <c r="B166" s="162"/>
      <c r="C166" s="162"/>
      <c r="D166" s="162"/>
      <c r="E166" s="162"/>
      <c r="F166" s="162"/>
      <c r="G166" s="162"/>
    </row>
    <row r="167" spans="1:7" ht="14.25" customHeight="1" x14ac:dyDescent="0.2">
      <c r="A167" s="162"/>
      <c r="B167" s="162"/>
      <c r="C167" s="162"/>
      <c r="D167" s="162"/>
      <c r="E167" s="162"/>
      <c r="F167" s="162"/>
      <c r="G167" s="162"/>
    </row>
    <row r="168" spans="1:7" ht="14.25" customHeight="1" x14ac:dyDescent="0.2">
      <c r="A168" s="165" t="s">
        <v>125</v>
      </c>
      <c r="B168" s="165"/>
      <c r="C168" s="165"/>
      <c r="D168" s="165"/>
      <c r="E168" s="165"/>
      <c r="F168" s="165"/>
      <c r="G168" s="165"/>
    </row>
    <row r="169" spans="1:7" ht="14.25" customHeight="1" x14ac:dyDescent="0.2">
      <c r="A169" s="165"/>
      <c r="B169" s="165"/>
      <c r="C169" s="165"/>
      <c r="D169" s="165"/>
      <c r="E169" s="165"/>
      <c r="F169" s="165"/>
      <c r="G169" s="165"/>
    </row>
    <row r="170" spans="1:7" ht="14.25" customHeight="1" x14ac:dyDescent="0.2">
      <c r="A170" s="165"/>
      <c r="B170" s="165"/>
      <c r="C170" s="165"/>
      <c r="D170" s="165"/>
      <c r="E170" s="165"/>
      <c r="F170" s="165"/>
      <c r="G170" s="165"/>
    </row>
    <row r="171" spans="1:7" ht="14.25" customHeight="1" x14ac:dyDescent="0.2">
      <c r="A171" s="165"/>
      <c r="B171" s="165"/>
      <c r="C171" s="165"/>
      <c r="D171" s="165"/>
      <c r="E171" s="165"/>
      <c r="F171" s="165"/>
      <c r="G171" s="165"/>
    </row>
    <row r="172" spans="1:7" ht="14.25" customHeight="1" x14ac:dyDescent="0.2">
      <c r="A172" s="100"/>
      <c r="B172" s="100"/>
      <c r="C172" s="100"/>
      <c r="D172" s="100"/>
      <c r="E172" s="100"/>
      <c r="F172" s="100"/>
      <c r="G172" s="100"/>
    </row>
    <row r="173" spans="1:7" ht="14.25" customHeight="1" x14ac:dyDescent="0.2">
      <c r="A173" s="165" t="s">
        <v>122</v>
      </c>
      <c r="B173" s="165"/>
      <c r="C173" s="165"/>
      <c r="D173" s="165"/>
      <c r="E173" s="165"/>
      <c r="F173" s="165"/>
      <c r="G173" s="165"/>
    </row>
    <row r="174" spans="1:7" ht="14.25" customHeight="1" x14ac:dyDescent="0.2">
      <c r="A174" s="165"/>
      <c r="B174" s="165"/>
      <c r="C174" s="165"/>
      <c r="D174" s="165"/>
      <c r="E174" s="165"/>
      <c r="F174" s="165"/>
      <c r="G174" s="165"/>
    </row>
    <row r="175" spans="1:7" ht="14.25" customHeight="1" x14ac:dyDescent="0.2">
      <c r="A175" s="165"/>
      <c r="B175" s="165"/>
      <c r="C175" s="165"/>
      <c r="D175" s="165"/>
      <c r="E175" s="165"/>
      <c r="F175" s="165"/>
      <c r="G175" s="165"/>
    </row>
    <row r="176" spans="1:7" ht="14.25" customHeight="1" x14ac:dyDescent="0.2">
      <c r="A176" s="165"/>
      <c r="B176" s="165"/>
      <c r="C176" s="165"/>
      <c r="D176" s="165"/>
      <c r="E176" s="165"/>
      <c r="F176" s="165"/>
      <c r="G176" s="165"/>
    </row>
    <row r="177" spans="1:7" ht="14.25" customHeight="1" x14ac:dyDescent="0.2">
      <c r="A177" s="165"/>
      <c r="B177" s="165"/>
      <c r="C177" s="165"/>
      <c r="D177" s="165"/>
      <c r="E177" s="165"/>
      <c r="F177" s="165"/>
      <c r="G177" s="165"/>
    </row>
    <row r="178" spans="1:7" ht="14.25" customHeight="1" x14ac:dyDescent="0.2">
      <c r="A178" s="165"/>
      <c r="B178" s="165"/>
      <c r="C178" s="165"/>
      <c r="D178" s="165"/>
      <c r="E178" s="165"/>
      <c r="F178" s="165"/>
      <c r="G178" s="165"/>
    </row>
    <row r="179" spans="1:7" ht="14.25" customHeight="1" x14ac:dyDescent="0.2">
      <c r="A179" s="165"/>
      <c r="B179" s="165"/>
      <c r="C179" s="165"/>
      <c r="D179" s="165"/>
      <c r="E179" s="165"/>
      <c r="F179" s="165"/>
      <c r="G179" s="165"/>
    </row>
    <row r="180" spans="1:7" ht="14.25" customHeight="1" x14ac:dyDescent="0.2">
      <c r="A180" s="165"/>
      <c r="B180" s="165"/>
      <c r="C180" s="165"/>
      <c r="D180" s="165"/>
      <c r="E180" s="165"/>
      <c r="F180" s="165"/>
      <c r="G180" s="165"/>
    </row>
    <row r="181" spans="1:7" ht="14.25" customHeight="1" x14ac:dyDescent="0.2">
      <c r="A181" s="165"/>
      <c r="B181" s="165"/>
      <c r="C181" s="165"/>
      <c r="D181" s="165"/>
      <c r="E181" s="165"/>
      <c r="F181" s="165"/>
      <c r="G181" s="165"/>
    </row>
    <row r="182" spans="1:7" ht="14.25" customHeight="1" x14ac:dyDescent="0.2">
      <c r="A182" s="165"/>
      <c r="B182" s="165"/>
      <c r="C182" s="165"/>
      <c r="D182" s="165"/>
      <c r="E182" s="165"/>
      <c r="F182" s="165"/>
      <c r="G182" s="165"/>
    </row>
    <row r="183" spans="1:7" ht="28.5" customHeight="1" x14ac:dyDescent="0.2">
      <c r="A183" s="165"/>
      <c r="B183" s="165"/>
      <c r="C183" s="165"/>
      <c r="D183" s="165"/>
      <c r="E183" s="165"/>
      <c r="F183" s="165"/>
      <c r="G183" s="165"/>
    </row>
    <row r="184" spans="1:7" ht="14.25" customHeight="1" x14ac:dyDescent="0.2">
      <c r="A184" s="100"/>
      <c r="B184" s="100"/>
      <c r="C184" s="100"/>
      <c r="D184" s="100"/>
      <c r="E184" s="100"/>
      <c r="F184" s="100"/>
      <c r="G184" s="100"/>
    </row>
    <row r="185" spans="1:7" ht="14.25" customHeight="1" x14ac:dyDescent="0.2">
      <c r="A185" s="158" t="s">
        <v>110</v>
      </c>
      <c r="B185" s="158"/>
      <c r="C185" s="158"/>
      <c r="D185" s="158"/>
      <c r="E185" s="158"/>
      <c r="F185" s="158"/>
      <c r="G185" s="158"/>
    </row>
    <row r="186" spans="1:7" ht="14.25" customHeight="1" x14ac:dyDescent="0.2">
      <c r="A186" s="122"/>
      <c r="B186" s="122"/>
      <c r="C186" s="122"/>
      <c r="D186" s="122"/>
      <c r="E186" s="122"/>
      <c r="F186" s="122"/>
      <c r="G186" s="122"/>
    </row>
    <row r="187" spans="1:7" ht="14.25" customHeight="1" x14ac:dyDescent="0.2">
      <c r="A187" s="162" t="s">
        <v>131</v>
      </c>
      <c r="B187" s="162"/>
      <c r="C187" s="162"/>
      <c r="D187" s="162"/>
      <c r="E187" s="162"/>
      <c r="F187" s="162"/>
      <c r="G187" s="162"/>
    </row>
    <row r="188" spans="1:7" ht="14.25" customHeight="1" x14ac:dyDescent="0.2">
      <c r="A188" s="162"/>
      <c r="B188" s="162"/>
      <c r="C188" s="162"/>
      <c r="D188" s="162"/>
      <c r="E188" s="162"/>
      <c r="F188" s="162"/>
      <c r="G188" s="162"/>
    </row>
    <row r="189" spans="1:7" ht="14.25" customHeight="1" x14ac:dyDescent="0.2">
      <c r="A189" s="162"/>
      <c r="B189" s="162"/>
      <c r="C189" s="162"/>
      <c r="D189" s="162"/>
      <c r="E189" s="162"/>
      <c r="F189" s="162"/>
      <c r="G189" s="162"/>
    </row>
    <row r="190" spans="1:7" ht="14.25" customHeight="1" x14ac:dyDescent="0.2">
      <c r="A190" s="162"/>
      <c r="B190" s="162"/>
      <c r="C190" s="162"/>
      <c r="D190" s="162"/>
      <c r="E190" s="162"/>
      <c r="F190" s="162"/>
      <c r="G190" s="162"/>
    </row>
    <row r="191" spans="1:7" ht="14.25" customHeight="1" x14ac:dyDescent="0.2">
      <c r="A191" s="124"/>
      <c r="B191" s="124"/>
      <c r="C191" s="124"/>
      <c r="D191" s="124"/>
      <c r="E191" s="124"/>
      <c r="F191" s="124"/>
      <c r="G191" s="124"/>
    </row>
    <row r="192" spans="1:7" ht="14.25" customHeight="1" x14ac:dyDescent="0.2">
      <c r="A192" s="152" t="s">
        <v>63</v>
      </c>
      <c r="B192" s="152"/>
      <c r="C192" s="152"/>
      <c r="D192" s="152"/>
      <c r="E192" s="152"/>
      <c r="F192" s="152"/>
      <c r="G192" s="152"/>
    </row>
    <row r="193" spans="1:7" ht="14.1" customHeight="1" thickBot="1" x14ac:dyDescent="0.25">
      <c r="A193" s="153"/>
      <c r="B193" s="153"/>
      <c r="C193" s="153"/>
      <c r="D193" s="153"/>
      <c r="E193" s="153"/>
      <c r="F193" s="153"/>
      <c r="G193" s="153"/>
    </row>
    <row r="194" spans="1:7" ht="14.25" customHeight="1" thickTop="1" x14ac:dyDescent="0.2">
      <c r="A194" s="101"/>
      <c r="B194" s="101"/>
      <c r="C194" s="101"/>
      <c r="D194" s="101"/>
      <c r="E194" s="101"/>
      <c r="F194" s="101"/>
      <c r="G194" s="101"/>
    </row>
    <row r="195" spans="1:7" ht="14.25" customHeight="1" x14ac:dyDescent="0.2">
      <c r="A195" s="151" t="s">
        <v>124</v>
      </c>
      <c r="B195" s="151"/>
      <c r="C195" s="151"/>
      <c r="D195" s="151"/>
      <c r="E195" s="151"/>
      <c r="F195" s="151"/>
      <c r="G195" s="151"/>
    </row>
    <row r="196" spans="1:7" ht="14.25" customHeight="1" x14ac:dyDescent="0.2">
      <c r="A196" s="151"/>
      <c r="B196" s="151"/>
      <c r="C196" s="151"/>
      <c r="D196" s="151"/>
      <c r="E196" s="151"/>
      <c r="F196" s="151"/>
      <c r="G196" s="151"/>
    </row>
    <row r="197" spans="1:7" ht="14.25" customHeight="1" x14ac:dyDescent="0.2">
      <c r="A197" s="151"/>
      <c r="B197" s="151"/>
      <c r="C197" s="151"/>
      <c r="D197" s="151"/>
      <c r="E197" s="151"/>
      <c r="F197" s="151"/>
      <c r="G197" s="151"/>
    </row>
    <row r="198" spans="1:7" ht="14.25" customHeight="1" x14ac:dyDescent="0.2">
      <c r="A198" s="151"/>
      <c r="B198" s="151"/>
      <c r="C198" s="151"/>
      <c r="D198" s="151"/>
      <c r="E198" s="151"/>
      <c r="F198" s="151"/>
      <c r="G198" s="151"/>
    </row>
    <row r="199" spans="1:7" ht="14.25" customHeight="1" x14ac:dyDescent="0.2">
      <c r="A199" s="151"/>
      <c r="B199" s="151"/>
      <c r="C199" s="151"/>
      <c r="D199" s="151"/>
      <c r="E199" s="151"/>
      <c r="F199" s="151"/>
      <c r="G199" s="151"/>
    </row>
    <row r="200" spans="1:7" ht="14.25" customHeight="1" x14ac:dyDescent="0.2">
      <c r="A200" s="151"/>
      <c r="B200" s="151"/>
      <c r="C200" s="151"/>
      <c r="D200" s="151"/>
      <c r="E200" s="151"/>
      <c r="F200" s="151"/>
      <c r="G200" s="151"/>
    </row>
    <row r="201" spans="1:7" ht="14.25" customHeight="1" x14ac:dyDescent="0.2">
      <c r="A201" s="151"/>
      <c r="B201" s="151"/>
      <c r="C201" s="151"/>
      <c r="D201" s="151"/>
      <c r="E201" s="151"/>
      <c r="F201" s="151"/>
      <c r="G201" s="151"/>
    </row>
    <row r="202" spans="1:7" ht="14.25" customHeight="1" x14ac:dyDescent="0.2">
      <c r="A202" s="151"/>
      <c r="B202" s="151"/>
      <c r="C202" s="151"/>
      <c r="D202" s="151"/>
      <c r="E202" s="151"/>
      <c r="F202" s="151"/>
      <c r="G202" s="151"/>
    </row>
    <row r="203" spans="1:7" ht="14.25" customHeight="1" x14ac:dyDescent="0.2">
      <c r="A203" s="151"/>
      <c r="B203" s="151"/>
      <c r="C203" s="151"/>
      <c r="D203" s="151"/>
      <c r="E203" s="151"/>
      <c r="F203" s="151"/>
      <c r="G203" s="151"/>
    </row>
    <row r="204" spans="1:7" ht="14.25" customHeight="1" x14ac:dyDescent="0.2">
      <c r="A204" s="151"/>
      <c r="B204" s="151"/>
      <c r="C204" s="151"/>
      <c r="D204" s="151"/>
      <c r="E204" s="151"/>
      <c r="F204" s="151"/>
      <c r="G204" s="151"/>
    </row>
    <row r="205" spans="1:7" ht="14.25" customHeight="1" x14ac:dyDescent="0.2">
      <c r="A205" s="129"/>
      <c r="B205" s="129"/>
      <c r="C205" s="129"/>
      <c r="D205" s="129"/>
      <c r="E205" s="129"/>
      <c r="F205" s="129"/>
      <c r="G205" s="129"/>
    </row>
    <row r="206" spans="1:7" ht="14.25" customHeight="1" x14ac:dyDescent="0.2">
      <c r="A206" s="72"/>
      <c r="B206" s="72"/>
      <c r="C206" s="72"/>
      <c r="D206" s="72"/>
      <c r="E206" s="72"/>
      <c r="F206" s="72"/>
      <c r="G206" s="72"/>
    </row>
    <row r="207" spans="1:7" ht="14.25" customHeight="1" x14ac:dyDescent="0.2">
      <c r="A207" s="72"/>
      <c r="B207" s="72"/>
      <c r="C207" s="72"/>
      <c r="D207" s="72"/>
      <c r="E207" s="72"/>
      <c r="F207" s="72"/>
      <c r="G207" s="72"/>
    </row>
    <row r="208" spans="1:7" ht="14.25" customHeight="1" x14ac:dyDescent="0.2">
      <c r="A208" s="72"/>
      <c r="B208" s="72"/>
      <c r="C208" s="72"/>
      <c r="D208" s="72"/>
      <c r="E208" s="72"/>
      <c r="F208" s="72"/>
      <c r="G208" s="72"/>
    </row>
    <row r="209" spans="1:7" ht="14.25" customHeight="1" x14ac:dyDescent="0.2">
      <c r="A209" s="72"/>
      <c r="B209" s="72"/>
      <c r="C209" s="72"/>
      <c r="D209" s="72"/>
      <c r="E209" s="72"/>
      <c r="F209" s="72"/>
      <c r="G209" s="72"/>
    </row>
    <row r="210" spans="1:7" ht="14.25" customHeight="1" x14ac:dyDescent="0.2">
      <c r="A210" s="162" t="s">
        <v>123</v>
      </c>
      <c r="B210" s="162"/>
      <c r="C210" s="162"/>
      <c r="D210" s="162"/>
      <c r="E210" s="162"/>
      <c r="F210" s="162"/>
      <c r="G210" s="162"/>
    </row>
    <row r="211" spans="1:7" ht="14.25" customHeight="1" x14ac:dyDescent="0.2">
      <c r="A211" s="162"/>
      <c r="B211" s="162"/>
      <c r="C211" s="162"/>
      <c r="D211" s="162"/>
      <c r="E211" s="162"/>
      <c r="F211" s="162"/>
      <c r="G211" s="162"/>
    </row>
    <row r="212" spans="1:7" ht="14.25" customHeight="1" x14ac:dyDescent="0.2">
      <c r="A212" s="162"/>
      <c r="B212" s="162"/>
      <c r="C212" s="162"/>
      <c r="D212" s="162"/>
      <c r="E212" s="162"/>
      <c r="F212" s="162"/>
      <c r="G212" s="162"/>
    </row>
    <row r="213" spans="1:7" ht="14.25" customHeight="1" x14ac:dyDescent="0.2">
      <c r="A213" s="124"/>
      <c r="B213" s="124"/>
      <c r="C213" s="124"/>
      <c r="D213" s="124"/>
      <c r="E213" s="124"/>
      <c r="F213" s="124"/>
      <c r="G213" s="124"/>
    </row>
    <row r="214" spans="1:7" ht="14.25" customHeight="1" x14ac:dyDescent="0.2">
      <c r="A214" s="158" t="s">
        <v>100</v>
      </c>
      <c r="B214" s="158"/>
      <c r="C214" s="158"/>
      <c r="D214" s="158"/>
      <c r="E214" s="158"/>
      <c r="F214" s="158"/>
      <c r="G214" s="158"/>
    </row>
    <row r="215" spans="1:7" ht="14.25" customHeight="1" x14ac:dyDescent="0.2">
      <c r="A215" s="125"/>
      <c r="B215" s="125"/>
      <c r="C215" s="125"/>
      <c r="D215" s="125"/>
      <c r="E215" s="125"/>
      <c r="F215" s="125"/>
      <c r="G215" s="125"/>
    </row>
    <row r="216" spans="1:7" ht="15" x14ac:dyDescent="0.2">
      <c r="A216" s="100"/>
      <c r="B216" s="100"/>
      <c r="C216" s="100"/>
      <c r="D216" s="100"/>
      <c r="E216" s="100"/>
      <c r="F216" s="100"/>
      <c r="G216" s="100"/>
    </row>
    <row r="217" spans="1:7" ht="15" x14ac:dyDescent="0.2">
      <c r="A217" s="100"/>
      <c r="B217" s="100"/>
      <c r="C217" s="100"/>
      <c r="D217" s="100"/>
      <c r="E217" s="100"/>
      <c r="F217" s="100"/>
      <c r="G217" s="100"/>
    </row>
    <row r="218" spans="1:7" x14ac:dyDescent="0.2">
      <c r="A218" s="55"/>
      <c r="B218" s="55"/>
      <c r="C218" s="55"/>
      <c r="D218" s="55"/>
      <c r="E218" s="55"/>
      <c r="F218" s="55"/>
      <c r="G218" s="55"/>
    </row>
  </sheetData>
  <sheetProtection selectLockedCells="1" selectUnlockedCells="1"/>
  <mergeCells count="42">
    <mergeCell ref="A192:G193"/>
    <mergeCell ref="A8:G8"/>
    <mergeCell ref="A10:G10"/>
    <mergeCell ref="A14:G16"/>
    <mergeCell ref="B27:F27"/>
    <mergeCell ref="B29:F29"/>
    <mergeCell ref="A17:G17"/>
    <mergeCell ref="A19:G19"/>
    <mergeCell ref="A25:G25"/>
    <mergeCell ref="A21:G23"/>
    <mergeCell ref="A76:G77"/>
    <mergeCell ref="A75:G75"/>
    <mergeCell ref="A87:G88"/>
    <mergeCell ref="A82:G86"/>
    <mergeCell ref="C31:E31"/>
    <mergeCell ref="A33:G34"/>
    <mergeCell ref="A214:G214"/>
    <mergeCell ref="A89:G95"/>
    <mergeCell ref="A145:G147"/>
    <mergeCell ref="A133:G134"/>
    <mergeCell ref="A129:G132"/>
    <mergeCell ref="A136:G141"/>
    <mergeCell ref="A96:G97"/>
    <mergeCell ref="A187:G190"/>
    <mergeCell ref="A210:G212"/>
    <mergeCell ref="A123:G127"/>
    <mergeCell ref="A159:G167"/>
    <mergeCell ref="A149:G158"/>
    <mergeCell ref="A168:G171"/>
    <mergeCell ref="A185:G185"/>
    <mergeCell ref="A173:G183"/>
    <mergeCell ref="A195:G204"/>
    <mergeCell ref="A35:G40"/>
    <mergeCell ref="A78:G81"/>
    <mergeCell ref="A67:G68"/>
    <mergeCell ref="A69:G69"/>
    <mergeCell ref="A60:G60"/>
    <mergeCell ref="A62:G66"/>
    <mergeCell ref="A70:G72"/>
    <mergeCell ref="B73:C73"/>
    <mergeCell ref="D73:G73"/>
    <mergeCell ref="A54:G58"/>
  </mergeCells>
  <hyperlinks>
    <hyperlink ref="A214" r:id="rId1" xr:uid="{82911C7C-5ECC-46A0-97C3-DCE2C3820957}"/>
    <hyperlink ref="A185" r:id="rId2" xr:uid="{C5E7B103-F42F-4078-815A-5D894518561F}"/>
  </hyperlinks>
  <printOptions horizontalCentered="1"/>
  <pageMargins left="0.70866141732283472" right="0.70866141732283472" top="0.74803149606299213" bottom="0.74803149606299213" header="0.31496062992125984" footer="0.31496062992125984"/>
  <pageSetup paperSize="9" orientation="portrait" r:id="rId3"/>
  <headerFooter>
    <oddHeader>&amp;L&amp;"Arial,Normal"
CÁTEDRA DE HORMIGÓN ARMADO&amp;C&amp;"Arial,Negrita"DIAGRAMAS DE INTERACCIÓN PARA SECCIONES GENÉRICAS DE HORMIGÓN ARMADO&amp;R
&amp;"Arial,Normal"EIC - FCEIA - UNR</oddHeader>
    <oddFooter>&amp;A</oddFooter>
  </headerFooter>
  <drawing r:id="rId4"/>
  <legacyDrawing r:id="rId5"/>
  <oleObjects>
    <mc:AlternateContent xmlns:mc="http://schemas.openxmlformats.org/markup-compatibility/2006">
      <mc:Choice Requires="x14">
        <oleObject progId="Word.Picture.8" shapeId="17410" r:id="rId6">
          <objectPr defaultSize="0" autoPict="0" r:id="rId7">
            <anchor moveWithCells="1" sizeWithCells="1">
              <from>
                <xdr:col>2</xdr:col>
                <xdr:colOff>400050</xdr:colOff>
                <xdr:row>1</xdr:row>
                <xdr:rowOff>28575</xdr:rowOff>
              </from>
              <to>
                <xdr:col>4</xdr:col>
                <xdr:colOff>104775</xdr:colOff>
                <xdr:row>4</xdr:row>
                <xdr:rowOff>66675</xdr:rowOff>
              </to>
            </anchor>
          </objectPr>
        </oleObject>
      </mc:Choice>
      <mc:Fallback>
        <oleObject progId="Word.Picture.8" shapeId="17410" r:id="rId6"/>
      </mc:Fallback>
    </mc:AlternateContent>
    <mc:AlternateContent xmlns:mc="http://schemas.openxmlformats.org/markup-compatibility/2006">
      <mc:Choice Requires="x14">
        <oleObject progId="Word.Picture.8" shapeId="17411" r:id="rId8">
          <objectPr defaultSize="0" autoPict="0" r:id="rId9">
            <anchor moveWithCells="1" sizeWithCells="1">
              <from>
                <xdr:col>0</xdr:col>
                <xdr:colOff>238125</xdr:colOff>
                <xdr:row>0</xdr:row>
                <xdr:rowOff>76200</xdr:rowOff>
              </from>
              <to>
                <xdr:col>1</xdr:col>
                <xdr:colOff>457200</xdr:colOff>
                <xdr:row>5</xdr:row>
                <xdr:rowOff>76200</xdr:rowOff>
              </to>
            </anchor>
          </objectPr>
        </oleObject>
      </mc:Choice>
      <mc:Fallback>
        <oleObject progId="Word.Picture.8" shapeId="17411" r:id="rId8"/>
      </mc:Fallback>
    </mc:AlternateContent>
  </oleObjects>
  <mc:AlternateContent xmlns:mc="http://schemas.openxmlformats.org/markup-compatibility/2006">
    <mc:Choice Requires="x14">
      <controls>
        <mc:AlternateContent xmlns:mc="http://schemas.openxmlformats.org/markup-compatibility/2006">
          <mc:Choice Requires="x14">
            <control shapeId="17409" r:id="rId10" name="Button 1">
              <controlPr defaultSize="0" print="0" autoFill="0" autoPict="0" macro="[0]!Hoja1.Instrucciones">
                <anchor moveWithCells="1" sizeWithCells="1">
                  <from>
                    <xdr:col>2</xdr:col>
                    <xdr:colOff>276225</xdr:colOff>
                    <xdr:row>214</xdr:row>
                    <xdr:rowOff>161925</xdr:rowOff>
                  </from>
                  <to>
                    <xdr:col>4</xdr:col>
                    <xdr:colOff>342900</xdr:colOff>
                    <xdr:row>217</xdr:row>
                    <xdr:rowOff>85725</xdr:rowOff>
                  </to>
                </anchor>
              </controlPr>
            </control>
          </mc:Choice>
        </mc:AlternateContent>
        <mc:AlternateContent xmlns:mc="http://schemas.openxmlformats.org/markup-compatibility/2006">
          <mc:Choice Requires="x14">
            <control shapeId="17412" r:id="rId11" name="Button 4">
              <controlPr defaultSize="0" print="0" autoFill="0" autoPict="0" macro="[0]!Sheet1.NoMacro">
                <anchor moveWithCells="1" sizeWithCells="1">
                  <from>
                    <xdr:col>1</xdr:col>
                    <xdr:colOff>219075</xdr:colOff>
                    <xdr:row>204</xdr:row>
                    <xdr:rowOff>161925</xdr:rowOff>
                  </from>
                  <to>
                    <xdr:col>5</xdr:col>
                    <xdr:colOff>438150</xdr:colOff>
                    <xdr:row>208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219CF-6ADB-42DB-892B-6E41BC7D49E6}">
  <sheetPr codeName="Sheet1">
    <tabColor theme="4" tint="-0.499984740745262"/>
  </sheetPr>
  <dimension ref="A1:XFC56"/>
  <sheetViews>
    <sheetView showGridLines="0" zoomScaleNormal="100" workbookViewId="0">
      <selection activeCell="F3" sqref="F3"/>
    </sheetView>
  </sheetViews>
  <sheetFormatPr defaultColWidth="0" defaultRowHeight="15" x14ac:dyDescent="0.25"/>
  <cols>
    <col min="1" max="1" width="21.85546875" customWidth="1"/>
    <col min="2" max="2" width="12.7109375" customWidth="1"/>
    <col min="3" max="3" width="19.7109375" customWidth="1"/>
    <col min="4" max="4" width="12.7109375" customWidth="1"/>
    <col min="5" max="5" width="19.7109375" customWidth="1"/>
    <col min="6" max="6" width="12.7109375" customWidth="1"/>
    <col min="7" max="7" width="11.42578125" customWidth="1"/>
    <col min="8" max="8" width="9.5703125" customWidth="1"/>
    <col min="9" max="9" width="100.7109375" hidden="1" customWidth="1"/>
    <col min="10" max="16380" width="9.140625" hidden="1"/>
    <col min="16381" max="16381" width="7" hidden="1" customWidth="1"/>
    <col min="16382" max="16382" width="5.28515625" hidden="1" customWidth="1"/>
    <col min="16383" max="16383" width="12.140625" hidden="1" customWidth="1"/>
    <col min="16384" max="16384" width="17.85546875" hidden="1" customWidth="1"/>
  </cols>
  <sheetData>
    <row r="1" spans="1:8" x14ac:dyDescent="0.25">
      <c r="A1" s="78" t="s">
        <v>74</v>
      </c>
      <c r="B1" s="78"/>
      <c r="C1" s="78"/>
      <c r="D1" s="79"/>
      <c r="E1" s="79"/>
      <c r="F1" s="79"/>
      <c r="G1" s="3"/>
      <c r="H1" s="4"/>
    </row>
    <row r="2" spans="1:8" ht="28.5" customHeight="1" x14ac:dyDescent="0.25">
      <c r="A2" s="80"/>
      <c r="B2" s="80"/>
      <c r="C2" s="141" t="s">
        <v>0</v>
      </c>
      <c r="D2" s="81"/>
      <c r="E2" s="82"/>
      <c r="F2" s="81"/>
      <c r="G2" s="82"/>
      <c r="H2" s="4"/>
    </row>
    <row r="3" spans="1:8" x14ac:dyDescent="0.25">
      <c r="A3" s="83"/>
      <c r="B3" s="3"/>
      <c r="C3" s="3"/>
      <c r="D3" s="84"/>
      <c r="E3" s="85"/>
      <c r="F3" s="85"/>
      <c r="G3" s="85"/>
      <c r="H3" s="4"/>
    </row>
    <row r="4" spans="1:8" x14ac:dyDescent="0.25">
      <c r="A4" s="183" t="s">
        <v>1</v>
      </c>
      <c r="B4" s="183"/>
      <c r="C4" s="92">
        <v>25</v>
      </c>
      <c r="D4" s="85"/>
      <c r="E4" s="85"/>
      <c r="F4" s="85"/>
      <c r="G4" s="85"/>
      <c r="H4" s="4"/>
    </row>
    <row r="5" spans="1:8" x14ac:dyDescent="0.25">
      <c r="A5" s="141"/>
      <c r="B5" s="141"/>
      <c r="C5" s="141"/>
      <c r="D5" s="85"/>
      <c r="E5" s="85"/>
      <c r="F5" s="85"/>
      <c r="G5" s="85"/>
      <c r="H5" s="4"/>
    </row>
    <row r="6" spans="1:8" x14ac:dyDescent="0.25">
      <c r="A6" s="183" t="s">
        <v>2</v>
      </c>
      <c r="B6" s="183"/>
      <c r="C6" s="93" t="s">
        <v>3</v>
      </c>
      <c r="D6" s="82"/>
      <c r="E6" s="6"/>
      <c r="F6" s="3"/>
      <c r="G6" s="94"/>
      <c r="H6" s="4"/>
    </row>
    <row r="7" spans="1:8" x14ac:dyDescent="0.25">
      <c r="A7" s="141"/>
      <c r="B7" s="141"/>
      <c r="C7" s="141"/>
      <c r="D7" s="141"/>
      <c r="E7" s="141"/>
      <c r="F7" s="141"/>
      <c r="G7" s="3"/>
      <c r="H7" s="4"/>
    </row>
    <row r="8" spans="1:8" x14ac:dyDescent="0.25">
      <c r="A8" s="183" t="s">
        <v>4</v>
      </c>
      <c r="B8" s="183"/>
      <c r="C8" s="92" t="s">
        <v>128</v>
      </c>
      <c r="D8" s="141" t="s">
        <v>5</v>
      </c>
      <c r="E8" s="95">
        <v>5.21</v>
      </c>
      <c r="F8" s="3" t="s">
        <v>32</v>
      </c>
      <c r="G8" s="3"/>
      <c r="H8" s="4"/>
    </row>
    <row r="9" spans="1:8" x14ac:dyDescent="0.25">
      <c r="A9" s="184"/>
      <c r="B9" s="185"/>
      <c r="C9" s="185"/>
      <c r="D9" s="185"/>
      <c r="E9" s="185"/>
      <c r="F9" s="185"/>
      <c r="G9" s="186"/>
      <c r="H9" s="4"/>
    </row>
    <row r="10" spans="1:8" x14ac:dyDescent="0.25">
      <c r="A10" s="183" t="s">
        <v>73</v>
      </c>
      <c r="B10" s="183"/>
      <c r="C10" s="92" t="s">
        <v>6</v>
      </c>
      <c r="D10" s="4"/>
      <c r="E10" s="86"/>
      <c r="F10" s="86"/>
      <c r="G10" s="4"/>
      <c r="H10" s="4"/>
    </row>
    <row r="11" spans="1:8" x14ac:dyDescent="0.25">
      <c r="A11" s="4"/>
      <c r="B11" s="4"/>
      <c r="C11" s="4"/>
      <c r="D11" s="6"/>
      <c r="E11" s="4"/>
      <c r="F11" s="4"/>
      <c r="G11" s="4"/>
      <c r="H11" s="4"/>
    </row>
    <row r="12" spans="1:8" x14ac:dyDescent="0.25">
      <c r="A12" s="86" t="s">
        <v>7</v>
      </c>
      <c r="B12" s="86"/>
      <c r="C12" s="86"/>
      <c r="D12" s="86"/>
      <c r="E12" s="86"/>
      <c r="F12" s="4"/>
      <c r="G12" s="4"/>
      <c r="H12" s="4"/>
    </row>
    <row r="13" spans="1:8" x14ac:dyDescent="0.25">
      <c r="A13" s="4"/>
      <c r="B13" s="4"/>
      <c r="C13" s="4"/>
      <c r="D13" s="4"/>
      <c r="E13" s="4"/>
      <c r="F13" s="4"/>
      <c r="G13" s="4"/>
      <c r="H13" s="4"/>
    </row>
    <row r="14" spans="1:8" x14ac:dyDescent="0.25">
      <c r="A14" s="180" t="s">
        <v>98</v>
      </c>
      <c r="B14" s="187"/>
      <c r="C14" s="181"/>
      <c r="D14" s="96">
        <v>1</v>
      </c>
      <c r="E14" s="4"/>
      <c r="F14" s="4"/>
      <c r="G14" s="4"/>
      <c r="H14" s="4"/>
    </row>
    <row r="15" spans="1:8" x14ac:dyDescent="0.25">
      <c r="A15" s="142"/>
      <c r="B15" s="4"/>
      <c r="C15" s="143"/>
      <c r="D15" s="4"/>
      <c r="E15" s="4"/>
      <c r="F15" s="4"/>
      <c r="G15" s="4"/>
      <c r="H15" s="4"/>
    </row>
    <row r="16" spans="1:8" ht="28.5" x14ac:dyDescent="0.25">
      <c r="A16" s="10" t="s">
        <v>50</v>
      </c>
      <c r="B16" s="10" t="s">
        <v>49</v>
      </c>
      <c r="C16" s="1" t="s">
        <v>38</v>
      </c>
      <c r="D16" s="10" t="s">
        <v>48</v>
      </c>
      <c r="E16" s="1" t="s">
        <v>39</v>
      </c>
      <c r="F16" s="37" t="s">
        <v>8</v>
      </c>
      <c r="G16" s="1">
        <v>4</v>
      </c>
      <c r="H16" s="55"/>
    </row>
    <row r="17" spans="1:8" x14ac:dyDescent="0.25">
      <c r="A17" s="38"/>
      <c r="B17" s="38"/>
      <c r="C17" s="38"/>
      <c r="D17" s="38"/>
      <c r="E17" s="39"/>
      <c r="F17" s="40"/>
      <c r="G17" s="40"/>
      <c r="H17" s="4"/>
    </row>
    <row r="18" spans="1:8" x14ac:dyDescent="0.25">
      <c r="A18" s="36" t="s">
        <v>36</v>
      </c>
      <c r="B18" s="33"/>
      <c r="C18" s="35" t="s">
        <v>9</v>
      </c>
      <c r="D18" s="33"/>
      <c r="E18" s="49" t="s">
        <v>10</v>
      </c>
      <c r="F18" s="3"/>
      <c r="G18" s="3"/>
      <c r="H18" s="4"/>
    </row>
    <row r="19" spans="1:8" x14ac:dyDescent="0.25">
      <c r="A19" s="41">
        <v>1</v>
      </c>
      <c r="B19" s="29"/>
      <c r="C19" s="47">
        <v>0</v>
      </c>
      <c r="D19" s="48"/>
      <c r="E19" s="47">
        <v>0</v>
      </c>
      <c r="F19" s="30"/>
      <c r="G19" s="3"/>
      <c r="H19" s="4"/>
    </row>
    <row r="20" spans="1:8" x14ac:dyDescent="0.25">
      <c r="A20" s="42">
        <v>2</v>
      </c>
      <c r="B20" s="29"/>
      <c r="C20" s="47">
        <v>0</v>
      </c>
      <c r="D20" s="48"/>
      <c r="E20" s="47">
        <v>0</v>
      </c>
      <c r="F20" s="30"/>
      <c r="G20" s="3"/>
      <c r="H20" s="4"/>
    </row>
    <row r="21" spans="1:8" x14ac:dyDescent="0.25">
      <c r="A21" s="42">
        <v>3</v>
      </c>
      <c r="B21" s="29"/>
      <c r="C21" s="47">
        <v>0</v>
      </c>
      <c r="D21" s="48"/>
      <c r="E21" s="47">
        <v>0</v>
      </c>
      <c r="F21" s="30"/>
      <c r="G21" s="3"/>
      <c r="H21" s="4"/>
    </row>
    <row r="22" spans="1:8" x14ac:dyDescent="0.25">
      <c r="A22" s="43">
        <f>A21+1</f>
        <v>4</v>
      </c>
      <c r="B22" s="29"/>
      <c r="C22" s="47">
        <v>0</v>
      </c>
      <c r="D22" s="48"/>
      <c r="E22" s="47">
        <v>0</v>
      </c>
      <c r="F22" s="30"/>
      <c r="G22" s="3"/>
      <c r="H22" s="4"/>
    </row>
    <row r="23" spans="1:8" x14ac:dyDescent="0.25">
      <c r="A23" s="3"/>
      <c r="B23" s="3"/>
      <c r="C23" s="4"/>
      <c r="D23" s="3"/>
      <c r="E23" s="3"/>
      <c r="F23" s="3"/>
      <c r="G23" s="3"/>
      <c r="H23" s="4"/>
    </row>
    <row r="24" spans="1:8" x14ac:dyDescent="0.25">
      <c r="A24" s="87" t="s">
        <v>11</v>
      </c>
      <c r="B24" s="88"/>
      <c r="C24" s="89"/>
      <c r="D24" s="4"/>
      <c r="E24" s="4"/>
      <c r="F24" s="4"/>
      <c r="G24" s="4"/>
    </row>
    <row r="25" spans="1:8" x14ac:dyDescent="0.25">
      <c r="A25" s="4"/>
      <c r="B25" s="4"/>
      <c r="C25" s="4"/>
      <c r="D25" s="4"/>
      <c r="E25" s="4"/>
      <c r="F25" s="4"/>
      <c r="G25" s="4"/>
    </row>
    <row r="26" spans="1:8" x14ac:dyDescent="0.25">
      <c r="A26" s="180" t="s">
        <v>12</v>
      </c>
      <c r="B26" s="187"/>
      <c r="C26" s="181"/>
      <c r="D26" s="97">
        <v>0</v>
      </c>
      <c r="E26" s="4"/>
      <c r="F26" s="4"/>
      <c r="G26" s="4"/>
    </row>
    <row r="27" spans="1:8" x14ac:dyDescent="0.25">
      <c r="A27" s="4"/>
      <c r="B27" s="4"/>
      <c r="C27" s="4"/>
      <c r="D27" s="4"/>
      <c r="E27" s="4"/>
      <c r="F27" s="4"/>
      <c r="G27" s="4"/>
    </row>
    <row r="28" spans="1:8" x14ac:dyDescent="0.25">
      <c r="A28" s="140" t="s">
        <v>13</v>
      </c>
      <c r="B28" s="4"/>
      <c r="C28" s="140" t="s">
        <v>9</v>
      </c>
      <c r="D28" s="4"/>
      <c r="E28" s="140" t="s">
        <v>10</v>
      </c>
      <c r="F28" s="4"/>
      <c r="G28" s="90" t="s">
        <v>57</v>
      </c>
    </row>
    <row r="29" spans="1:8" x14ac:dyDescent="0.25">
      <c r="A29" s="188"/>
      <c r="B29" s="189"/>
      <c r="C29" s="189"/>
      <c r="D29" s="189"/>
      <c r="E29" s="189"/>
      <c r="F29" s="189"/>
      <c r="G29" s="190"/>
    </row>
    <row r="30" spans="1:8" x14ac:dyDescent="0.25">
      <c r="A30" s="87" t="s">
        <v>14</v>
      </c>
      <c r="B30" s="88"/>
      <c r="C30" s="89"/>
      <c r="D30" s="6"/>
      <c r="E30" s="4"/>
      <c r="F30" s="6"/>
      <c r="G30" s="6"/>
    </row>
    <row r="31" spans="1:8" x14ac:dyDescent="0.25">
      <c r="A31" s="4"/>
      <c r="B31" s="4"/>
      <c r="C31" s="4"/>
      <c r="D31" s="4"/>
      <c r="E31" s="4"/>
      <c r="F31" s="4"/>
      <c r="G31" s="4"/>
    </row>
    <row r="32" spans="1:8" x14ac:dyDescent="0.25">
      <c r="A32" s="180" t="s">
        <v>12</v>
      </c>
      <c r="B32" s="187"/>
      <c r="C32" s="181"/>
      <c r="D32" s="97">
        <v>0</v>
      </c>
      <c r="E32" s="4"/>
      <c r="F32" s="4"/>
      <c r="G32" s="4"/>
    </row>
    <row r="33" spans="1:8" x14ac:dyDescent="0.25">
      <c r="A33" s="4"/>
      <c r="B33" s="4"/>
      <c r="C33" s="4"/>
      <c r="D33" s="4"/>
      <c r="E33" s="4"/>
      <c r="F33" s="4"/>
      <c r="G33" s="4"/>
    </row>
    <row r="34" spans="1:8" x14ac:dyDescent="0.25">
      <c r="A34" s="140" t="s">
        <v>13</v>
      </c>
      <c r="B34" s="4"/>
      <c r="C34" s="140" t="s">
        <v>9</v>
      </c>
      <c r="D34" s="4"/>
      <c r="E34" s="140" t="s">
        <v>10</v>
      </c>
      <c r="F34" s="4"/>
      <c r="G34" s="90" t="s">
        <v>15</v>
      </c>
    </row>
    <row r="35" spans="1:8" x14ac:dyDescent="0.25">
      <c r="A35" s="3"/>
      <c r="B35" s="3"/>
      <c r="C35" s="33"/>
      <c r="D35" s="3"/>
      <c r="E35" s="33"/>
      <c r="F35" s="3"/>
    </row>
    <row r="36" spans="1:8" x14ac:dyDescent="0.25">
      <c r="A36" s="87" t="s">
        <v>16</v>
      </c>
      <c r="B36" s="88"/>
      <c r="C36" s="4"/>
      <c r="D36" s="4"/>
      <c r="E36" s="4"/>
      <c r="F36" s="4"/>
      <c r="G36" s="4"/>
    </row>
    <row r="37" spans="1:8" x14ac:dyDescent="0.25">
      <c r="A37" s="4"/>
      <c r="B37" s="4"/>
      <c r="C37" s="4"/>
      <c r="D37" s="4"/>
      <c r="E37" s="4"/>
      <c r="F37" s="4"/>
      <c r="G37" s="4"/>
    </row>
    <row r="38" spans="1:8" x14ac:dyDescent="0.25">
      <c r="A38" s="180" t="s">
        <v>51</v>
      </c>
      <c r="B38" s="187"/>
      <c r="C38" s="191" t="s">
        <v>85</v>
      </c>
      <c r="D38" s="191"/>
      <c r="E38" s="98"/>
      <c r="F38" s="4"/>
      <c r="G38" s="4"/>
    </row>
    <row r="39" spans="1:8" x14ac:dyDescent="0.25">
      <c r="A39" s="4"/>
      <c r="B39" s="4"/>
      <c r="C39" s="33"/>
      <c r="D39" s="4"/>
      <c r="E39" s="4"/>
      <c r="F39" s="4"/>
      <c r="G39" s="4"/>
    </row>
    <row r="40" spans="1:8" ht="14.45" hidden="1" customHeight="1" x14ac:dyDescent="0.25">
      <c r="A40" s="182" t="s">
        <v>58</v>
      </c>
      <c r="B40" s="182"/>
      <c r="C40" s="5">
        <v>2</v>
      </c>
      <c r="D40" s="4"/>
      <c r="E40" s="91" t="s">
        <v>56</v>
      </c>
      <c r="F40" s="91"/>
      <c r="G40" s="91"/>
    </row>
    <row r="41" spans="1:8" ht="14.45" hidden="1" customHeight="1" x14ac:dyDescent="0.25">
      <c r="A41" s="4"/>
      <c r="B41" s="4"/>
      <c r="C41" s="7"/>
      <c r="D41" s="4"/>
      <c r="E41" s="91" t="s">
        <v>55</v>
      </c>
      <c r="F41" s="91"/>
      <c r="G41" s="91"/>
    </row>
    <row r="42" spans="1:8" ht="14.45" hidden="1" customHeight="1" x14ac:dyDescent="0.25">
      <c r="A42" s="182" t="s">
        <v>88</v>
      </c>
      <c r="B42" s="182"/>
      <c r="C42" s="5">
        <v>2</v>
      </c>
      <c r="D42" s="4"/>
      <c r="E42" s="91" t="s">
        <v>89</v>
      </c>
      <c r="F42" s="91"/>
      <c r="G42" s="91"/>
    </row>
    <row r="43" spans="1:8" ht="14.45" hidden="1" customHeight="1" x14ac:dyDescent="0.25">
      <c r="A43" s="3"/>
      <c r="B43" s="3"/>
      <c r="C43" s="33"/>
      <c r="D43" s="3"/>
      <c r="E43" s="102" t="s">
        <v>90</v>
      </c>
      <c r="F43" s="91"/>
      <c r="G43" s="91"/>
    </row>
    <row r="44" spans="1:8" ht="14.45" hidden="1" customHeight="1" x14ac:dyDescent="0.25">
      <c r="A44" s="182" t="s">
        <v>91</v>
      </c>
      <c r="B44" s="182"/>
      <c r="C44" s="5">
        <v>2</v>
      </c>
      <c r="D44" s="4"/>
      <c r="F44" s="4"/>
      <c r="G44" s="4"/>
    </row>
    <row r="45" spans="1:8" ht="14.45" hidden="1" customHeight="1" x14ac:dyDescent="0.25">
      <c r="A45" s="3"/>
      <c r="B45" s="3"/>
      <c r="C45" s="33"/>
      <c r="D45" s="4"/>
      <c r="E45" s="4"/>
      <c r="F45" s="4"/>
      <c r="G45" s="4"/>
    </row>
    <row r="46" spans="1:8" x14ac:dyDescent="0.25">
      <c r="A46" s="87" t="s">
        <v>54</v>
      </c>
      <c r="B46" s="4"/>
      <c r="C46" s="4"/>
      <c r="D46" s="4"/>
      <c r="E46" s="4"/>
      <c r="F46" s="4"/>
      <c r="G46" s="4"/>
    </row>
    <row r="47" spans="1:8" x14ac:dyDescent="0.25">
      <c r="A47" s="6"/>
      <c r="B47" s="4"/>
      <c r="C47" s="33"/>
      <c r="D47" s="4"/>
      <c r="E47" s="4"/>
      <c r="F47" s="4"/>
      <c r="G47" s="4"/>
      <c r="H47" s="6"/>
    </row>
    <row r="48" spans="1:8" x14ac:dyDescent="0.25">
      <c r="A48" s="180" t="s">
        <v>48</v>
      </c>
      <c r="B48" s="181"/>
      <c r="C48" s="9" t="s">
        <v>101</v>
      </c>
      <c r="E48" s="4"/>
      <c r="F48" s="4"/>
      <c r="G48" s="4"/>
      <c r="H48" s="6"/>
    </row>
    <row r="50" spans="1:8" ht="27.6" customHeight="1" x14ac:dyDescent="0.25">
      <c r="A50" s="178" t="s">
        <v>109</v>
      </c>
      <c r="B50" s="179"/>
      <c r="C50" s="115" t="s">
        <v>141</v>
      </c>
      <c r="D50" s="113"/>
      <c r="E50" s="4"/>
      <c r="F50" s="55"/>
      <c r="G50" s="55"/>
      <c r="H50" s="55"/>
    </row>
    <row r="51" spans="1:8" x14ac:dyDescent="0.25">
      <c r="A51" s="55"/>
      <c r="B51" s="55"/>
      <c r="C51" s="55"/>
      <c r="D51" s="4"/>
      <c r="E51" s="4"/>
      <c r="F51" s="55"/>
      <c r="G51" s="55"/>
      <c r="H51" s="55"/>
    </row>
    <row r="52" spans="1:8" x14ac:dyDescent="0.25">
      <c r="A52" s="180" t="s">
        <v>82</v>
      </c>
      <c r="B52" s="181"/>
      <c r="C52" s="5" t="s">
        <v>77</v>
      </c>
      <c r="D52" s="55"/>
      <c r="E52" s="4"/>
      <c r="F52" s="55"/>
      <c r="G52" s="55"/>
      <c r="H52" s="55"/>
    </row>
    <row r="53" spans="1:8" x14ac:dyDescent="0.25">
      <c r="A53" s="4"/>
      <c r="B53" s="4"/>
      <c r="C53" s="4"/>
      <c r="D53" s="4"/>
      <c r="E53" s="4"/>
      <c r="F53" s="4"/>
      <c r="G53" s="4"/>
      <c r="H53" s="4"/>
    </row>
    <row r="54" spans="1:8" x14ac:dyDescent="0.25">
      <c r="A54" s="180" t="s">
        <v>92</v>
      </c>
      <c r="B54" s="181"/>
      <c r="C54" s="5" t="s">
        <v>77</v>
      </c>
      <c r="D54" s="4"/>
      <c r="E54" s="4"/>
      <c r="F54" s="4"/>
      <c r="G54" s="4"/>
      <c r="H54" s="4"/>
    </row>
    <row r="55" spans="1:8" x14ac:dyDescent="0.25">
      <c r="A55" s="142"/>
      <c r="B55" s="143"/>
      <c r="C55" s="136"/>
      <c r="D55" s="4"/>
      <c r="E55" s="4"/>
      <c r="F55" s="4"/>
      <c r="G55" s="4"/>
      <c r="H55" s="4"/>
    </row>
    <row r="56" spans="1:8" x14ac:dyDescent="0.25">
      <c r="A56" s="180" t="s">
        <v>52</v>
      </c>
      <c r="B56" s="181"/>
      <c r="C56" s="8">
        <v>0</v>
      </c>
    </row>
  </sheetData>
  <dataConsolidate/>
  <mergeCells count="19">
    <mergeCell ref="A42:B42"/>
    <mergeCell ref="A44:B44"/>
    <mergeCell ref="A54:B54"/>
    <mergeCell ref="A29:G29"/>
    <mergeCell ref="A32:C32"/>
    <mergeCell ref="A38:B38"/>
    <mergeCell ref="C38:D38"/>
    <mergeCell ref="A40:B40"/>
    <mergeCell ref="A50:B50"/>
    <mergeCell ref="A48:B48"/>
    <mergeCell ref="A52:B52"/>
    <mergeCell ref="A4:B4"/>
    <mergeCell ref="A6:B6"/>
    <mergeCell ref="A8:B8"/>
    <mergeCell ref="A10:B10"/>
    <mergeCell ref="A9:G9"/>
    <mergeCell ref="A14:C14"/>
    <mergeCell ref="A26:C26"/>
    <mergeCell ref="A56:B56"/>
  </mergeCells>
  <dataValidations count="17">
    <dataValidation type="list" allowBlank="1" showInputMessage="1" showErrorMessage="1" sqref="C8" xr:uid="{38C53439-9ED7-40B6-8AEF-B62BA17E0D14}">
      <formula1>"Barras 1050, Cordones C1650, Cordones C1900, Provisto por usuario"</formula1>
    </dataValidation>
    <dataValidation type="list" allowBlank="1" showInputMessage="1" sqref="C4" xr:uid="{A5ADB5FE-05F7-4DFF-800E-9137EE94E586}">
      <formula1>"20,25,30,35,40,45,50,55, 60, Otro(Ingresar en misma Celda)"</formula1>
    </dataValidation>
    <dataValidation type="whole" allowBlank="1" showInputMessage="1" showErrorMessage="1" errorTitle="Error" error="El número de nodos debe estar comprendido entre 1 y 500" sqref="A19:A22" xr:uid="{C8660434-7EA7-4B54-9022-649116B2F8CD}">
      <formula1>1</formula1>
      <formula2>500</formula2>
    </dataValidation>
    <dataValidation type="list" allowBlank="1" showInputMessage="1" showErrorMessage="1" sqref="C16" xr:uid="{F661E231-37E4-41D6-9FE1-351E11DB292F}">
      <formula1>"Positivo, Negativo"</formula1>
    </dataValidation>
    <dataValidation type="whole" operator="greaterThanOrEqual" allowBlank="1" showInputMessage="1" showErrorMessage="1" errorTitle="Ingreso de Contornos" error="Por lo menos debe ingresar 1 contorno." sqref="D14" xr:uid="{5FE67CBE-2869-4E0D-8D26-BE4800FB50CB}">
      <formula1>1</formula1>
    </dataValidation>
    <dataValidation type="list" allowBlank="1" showInputMessage="1" showErrorMessage="1" sqref="C38:D38 C44:D44" xr:uid="{3FB5C4EB-DCAE-4182-8DE8-B76B70641B2B}">
      <formula1>"Muy Fina, Fina, Media, Gruesa, Muy Gruesa, Avanzada (Ingreso Manual)"</formula1>
    </dataValidation>
    <dataValidation type="whole" allowBlank="1" showInputMessage="1" showErrorMessage="1" errorTitle="Error" error="El número de barras debe ser mayor o igual a 0." sqref="D32 D26" xr:uid="{B6B9A5EB-7893-4EEC-8619-7B26C6960025}">
      <formula1>0</formula1>
      <formula2>500</formula2>
    </dataValidation>
    <dataValidation type="whole" allowBlank="1" showInputMessage="1" showErrorMessage="1" errorTitle="Error" error="El número de barras debe estar comprendido entre 1 y 500" sqref="A29 A35" xr:uid="{894845EF-99A8-4B5D-BFB0-B7C013D42651}">
      <formula1>1</formula1>
      <formula2>500</formula2>
    </dataValidation>
    <dataValidation type="list" allowBlank="1" showInputMessage="1" showErrorMessage="1" sqref="C48" xr:uid="{108EDE79-FFA6-4CF9-A6CC-F39431A2A719}">
      <formula1>"2D,3D"</formula1>
    </dataValidation>
    <dataValidation type="list" allowBlank="1" showInputMessage="1" showErrorMessage="1" sqref="C6" xr:uid="{A696B1A7-C324-42C4-A0F6-97BFCDCBC3C8}">
      <formula1>"ADN 420, ADN 500, AL 220, Provisto por usuario"</formula1>
    </dataValidation>
    <dataValidation type="list" allowBlank="1" showInputMessage="1" showErrorMessage="1" sqref="E16" xr:uid="{1BA12743-11F3-4190-AA59-19EF56E99F4F}">
      <formula1>"Poligonal, Circular"</formula1>
    </dataValidation>
    <dataValidation type="whole" operator="greaterThanOrEqual" allowBlank="1" showInputMessage="1" showErrorMessage="1" errorTitle="Error" error="El número de nodos debe ser mayor a 3." sqref="G16" xr:uid="{E6BD9FCA-6CC6-47B6-942F-E6991E39EE3C}">
      <formula1>3</formula1>
    </dataValidation>
    <dataValidation type="list" allowBlank="1" error="Por favor, ingrese únicamente los valores predeterminados." prompt="Ingresar valor" sqref="C50" xr:uid="{58574ED8-98AC-46D4-9BE4-E6E7CB0776F7}">
      <formula1>"Según CIRSOC 201-2005, Según CIRSOC 201-2024, Constante. Ingresar en Celda."</formula1>
    </dataValidation>
    <dataValidation type="decimal" allowBlank="1" showInputMessage="1" showErrorMessage="1" errorTitle="ERROR" error="El ángulo de inclinación del plano de carga debe estar comprendido entre 0º y 180º" sqref="C56" xr:uid="{64022E8E-67EE-448B-BAB5-2CC29F4B78A8}">
      <formula1>0</formula1>
      <formula2>180</formula2>
    </dataValidation>
    <dataValidation type="list" allowBlank="1" showInputMessage="1" showErrorMessage="1" sqref="C54" xr:uid="{4DB7A50C-08D8-41F3-A38F-B2339990DFDE}">
      <formula1>"Sí, No"</formula1>
    </dataValidation>
    <dataValidation type="list" allowBlank="1" showInputMessage="1" showErrorMessage="1" error="Por favor, ingrese únicamente los valores predeterminados." sqref="C52" xr:uid="{11C0CBC8-5F89-464E-984B-719F998066C0}">
      <formula1>"No, Sí"</formula1>
    </dataValidation>
    <dataValidation type="list" allowBlank="1" showInputMessage="1" showErrorMessage="1" sqref="C10" xr:uid="{73AFA426-8118-4B09-9D29-2E5C5EC4C3BA}">
      <formula1>"Estribos, Zunchos en espiral"</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70" r:id="rId4" name="Button 722">
              <controlPr defaultSize="0" print="0" autoFill="0" autoPict="0" macro="[0]!Sheet1.CopyBackupSheet">
                <anchor moveWithCells="1" sizeWithCells="1">
                  <from>
                    <xdr:col>3</xdr:col>
                    <xdr:colOff>542925</xdr:colOff>
                    <xdr:row>1</xdr:row>
                    <xdr:rowOff>285750</xdr:rowOff>
                  </from>
                  <to>
                    <xdr:col>6</xdr:col>
                    <xdr:colOff>771525</xdr:colOff>
                    <xdr:row>4</xdr:row>
                    <xdr:rowOff>0</xdr:rowOff>
                  </to>
                </anchor>
              </controlPr>
            </control>
          </mc:Choice>
        </mc:AlternateContent>
        <mc:AlternateContent xmlns:mc="http://schemas.openxmlformats.org/markup-compatibility/2006">
          <mc:Choice Requires="x14">
            <control shapeId="2771" r:id="rId5" name="Button 723">
              <controlPr defaultSize="0" print="0" autoFill="0" autoPict="0" macro="[0]!Sheet1.RunPyExe_Click">
                <anchor moveWithCells="1" sizeWithCells="1">
                  <from>
                    <xdr:col>3</xdr:col>
                    <xdr:colOff>533400</xdr:colOff>
                    <xdr:row>46</xdr:row>
                    <xdr:rowOff>152400</xdr:rowOff>
                  </from>
                  <to>
                    <xdr:col>7</xdr:col>
                    <xdr:colOff>114300</xdr:colOff>
                    <xdr:row>49</xdr:row>
                    <xdr:rowOff>228600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31AC1-26AB-44B7-9DE8-C1E15DE1206E}">
  <sheetPr codeName="Sheet3">
    <tabColor rgb="FF0070C0"/>
  </sheetPr>
  <dimension ref="A1:AH202"/>
  <sheetViews>
    <sheetView showGridLines="0" zoomScaleNormal="100" workbookViewId="0">
      <selection activeCell="E3" sqref="E3"/>
    </sheetView>
  </sheetViews>
  <sheetFormatPr defaultColWidth="9.140625" defaultRowHeight="14.25" x14ac:dyDescent="0.25"/>
  <cols>
    <col min="1" max="1" width="21.5703125" style="10" customWidth="1"/>
    <col min="2" max="3" width="14.28515625" style="10" customWidth="1"/>
    <col min="4" max="4" width="13.42578125" style="10" customWidth="1"/>
    <col min="5" max="5" width="12.5703125" style="10" customWidth="1"/>
    <col min="6" max="26" width="9.140625" style="10"/>
    <col min="27" max="27" width="11.140625" style="116" customWidth="1"/>
    <col min="28" max="28" width="9.140625" style="116"/>
    <col min="29" max="29" width="11" style="116" bestFit="1" customWidth="1"/>
    <col min="30" max="30" width="11" style="116" customWidth="1"/>
    <col min="31" max="31" width="12.85546875" style="116" bestFit="1" customWidth="1"/>
    <col min="32" max="33" width="9.140625" style="116"/>
    <col min="34" max="34" width="9.42578125" style="116" bestFit="1" customWidth="1"/>
    <col min="35" max="16384" width="9.140625" style="10"/>
  </cols>
  <sheetData>
    <row r="1" spans="1:34" ht="28.5" customHeight="1" thickBot="1" x14ac:dyDescent="0.3">
      <c r="A1" s="192" t="s">
        <v>22</v>
      </c>
      <c r="B1" s="193"/>
      <c r="C1" s="193"/>
      <c r="D1" s="193"/>
      <c r="E1" s="194"/>
    </row>
    <row r="2" spans="1:34" ht="37.5" customHeight="1" thickBot="1" x14ac:dyDescent="0.3">
      <c r="A2" s="14" t="s">
        <v>19</v>
      </c>
      <c r="B2" s="15" t="s">
        <v>3</v>
      </c>
      <c r="C2" s="15" t="s">
        <v>18</v>
      </c>
      <c r="D2" s="15" t="s">
        <v>17</v>
      </c>
      <c r="E2" s="16" t="s">
        <v>20</v>
      </c>
      <c r="AA2" s="117">
        <v>0</v>
      </c>
      <c r="AB2" s="117">
        <v>0</v>
      </c>
      <c r="AC2" s="117">
        <v>0</v>
      </c>
      <c r="AD2" s="117">
        <v>0</v>
      </c>
      <c r="AE2" s="116">
        <f>IF(AA2&lt;B$6,B$4*AA2,B$3)</f>
        <v>0</v>
      </c>
      <c r="AF2" s="116">
        <f t="shared" ref="AF2:AG2" si="0">IF(AB2&lt;C$6,C$4*AB2,C$3)</f>
        <v>0</v>
      </c>
      <c r="AG2" s="116">
        <f t="shared" si="0"/>
        <v>0</v>
      </c>
      <c r="AH2" s="116" t="str">
        <f>IF(AND(NOT(ISBLANK($E$3)), NOT(ISBLANK($E$4)), NOT(ISBLANK($E$5)), NOT(ISBLANK($E$6))), IF(AD2&lt;E$6,E$4*AD2,E$3), "")</f>
        <v/>
      </c>
    </row>
    <row r="3" spans="1:34" ht="48.75" customHeight="1" x14ac:dyDescent="0.25">
      <c r="A3" s="12" t="s">
        <v>21</v>
      </c>
      <c r="B3" s="10">
        <v>420</v>
      </c>
      <c r="C3" s="10">
        <v>500</v>
      </c>
      <c r="D3" s="10">
        <v>220</v>
      </c>
      <c r="E3" s="13"/>
      <c r="AA3" s="117">
        <f>AA2+MAX($B$6:$E$6)*2/200</f>
        <v>2.5000000000000001E-5</v>
      </c>
      <c r="AB3" s="117">
        <f t="shared" ref="AB3:AD3" si="1">AB2+MAX($B$6:$E$6)*2/200</f>
        <v>2.5000000000000001E-5</v>
      </c>
      <c r="AC3" s="117">
        <f t="shared" si="1"/>
        <v>2.5000000000000001E-5</v>
      </c>
      <c r="AD3" s="117">
        <f t="shared" si="1"/>
        <v>2.5000000000000001E-5</v>
      </c>
      <c r="AE3" s="116">
        <f t="shared" ref="AE3:AE66" si="2">IF(AA3&lt;B$6,B$4*AA3,B$3)</f>
        <v>5</v>
      </c>
      <c r="AF3" s="116">
        <f t="shared" ref="AF3:AF66" si="3">IF(AB3&lt;C$6,C$4*AB3,C$3)</f>
        <v>5</v>
      </c>
      <c r="AG3" s="116">
        <f t="shared" ref="AG3:AG66" si="4">IF(AC3&lt;D$6,D$4*AC3,D$3)</f>
        <v>5</v>
      </c>
      <c r="AH3" s="116" t="str">
        <f t="shared" ref="AH3:AH66" si="5">IF(AND(NOT(ISBLANK($E$3)), NOT(ISBLANK($E$4)), NOT(ISBLANK($E$5)), NOT(ISBLANK($E$6))), IF(AD3&lt;E$6,E$4*AD3,E$3), "")</f>
        <v/>
      </c>
    </row>
    <row r="4" spans="1:34" ht="31.5" customHeight="1" x14ac:dyDescent="0.25">
      <c r="A4" s="11" t="s">
        <v>106</v>
      </c>
      <c r="B4" s="10">
        <v>200000</v>
      </c>
      <c r="C4" s="10">
        <v>200000</v>
      </c>
      <c r="D4" s="10">
        <v>200000</v>
      </c>
      <c r="E4" s="13"/>
      <c r="AA4" s="117">
        <f t="shared" ref="AA4:AA67" si="6">AA3+MAX($B$6:$E$6)*2/200</f>
        <v>5.0000000000000002E-5</v>
      </c>
      <c r="AB4" s="117">
        <f t="shared" ref="AB4:AB67" si="7">AB3+MAX($B$6:$E$6)*2/200</f>
        <v>5.0000000000000002E-5</v>
      </c>
      <c r="AC4" s="117">
        <f t="shared" ref="AC4:AC67" si="8">AC3+MAX($B$6:$E$6)*2/200</f>
        <v>5.0000000000000002E-5</v>
      </c>
      <c r="AD4" s="117">
        <f t="shared" ref="AD4:AD67" si="9">AD3+MAX($B$6:$E$6)*2/200</f>
        <v>5.0000000000000002E-5</v>
      </c>
      <c r="AE4" s="116">
        <f t="shared" si="2"/>
        <v>10</v>
      </c>
      <c r="AF4" s="116">
        <f t="shared" si="3"/>
        <v>10</v>
      </c>
      <c r="AG4" s="116">
        <f t="shared" si="4"/>
        <v>10</v>
      </c>
      <c r="AH4" s="116" t="str">
        <f t="shared" si="5"/>
        <v/>
      </c>
    </row>
    <row r="5" spans="1:34" ht="28.5" x14ac:dyDescent="0.25">
      <c r="A5" s="12" t="s">
        <v>34</v>
      </c>
      <c r="B5" s="77">
        <v>0.12</v>
      </c>
      <c r="C5" s="77">
        <v>0.12</v>
      </c>
      <c r="D5" s="77">
        <v>0.12</v>
      </c>
      <c r="E5" s="76"/>
      <c r="AA5" s="117">
        <f t="shared" si="6"/>
        <v>7.5000000000000007E-5</v>
      </c>
      <c r="AB5" s="117">
        <f t="shared" si="7"/>
        <v>7.5000000000000007E-5</v>
      </c>
      <c r="AC5" s="117">
        <f t="shared" si="8"/>
        <v>7.5000000000000007E-5</v>
      </c>
      <c r="AD5" s="117">
        <f t="shared" si="9"/>
        <v>7.5000000000000007E-5</v>
      </c>
      <c r="AE5" s="116">
        <f t="shared" si="2"/>
        <v>15.000000000000002</v>
      </c>
      <c r="AF5" s="116">
        <f t="shared" si="3"/>
        <v>15.000000000000002</v>
      </c>
      <c r="AG5" s="116">
        <f t="shared" si="4"/>
        <v>15.000000000000002</v>
      </c>
      <c r="AH5" s="116" t="str">
        <f t="shared" si="5"/>
        <v/>
      </c>
    </row>
    <row r="6" spans="1:34" ht="29.25" thickBot="1" x14ac:dyDescent="0.3">
      <c r="A6" s="73" t="s">
        <v>33</v>
      </c>
      <c r="B6" s="74">
        <f>B3/B4</f>
        <v>2.0999999999999999E-3</v>
      </c>
      <c r="C6" s="74">
        <f>C3/C4</f>
        <v>2.5000000000000001E-3</v>
      </c>
      <c r="D6" s="74">
        <f>D3/D4</f>
        <v>1.1000000000000001E-3</v>
      </c>
      <c r="E6" s="75" t="str">
        <f>IF(E4="","",E3/E4)</f>
        <v/>
      </c>
      <c r="AA6" s="117">
        <f t="shared" si="6"/>
        <v>1E-4</v>
      </c>
      <c r="AB6" s="117">
        <f t="shared" si="7"/>
        <v>1E-4</v>
      </c>
      <c r="AC6" s="117">
        <f t="shared" si="8"/>
        <v>1E-4</v>
      </c>
      <c r="AD6" s="117">
        <f t="shared" si="9"/>
        <v>1E-4</v>
      </c>
      <c r="AE6" s="116">
        <f t="shared" si="2"/>
        <v>20</v>
      </c>
      <c r="AF6" s="116">
        <f t="shared" si="3"/>
        <v>20</v>
      </c>
      <c r="AG6" s="116">
        <f t="shared" si="4"/>
        <v>20</v>
      </c>
      <c r="AH6" s="116" t="str">
        <f t="shared" si="5"/>
        <v/>
      </c>
    </row>
    <row r="7" spans="1:34" x14ac:dyDescent="0.25">
      <c r="AA7" s="117">
        <f t="shared" si="6"/>
        <v>1.25E-4</v>
      </c>
      <c r="AB7" s="117">
        <f t="shared" si="7"/>
        <v>1.25E-4</v>
      </c>
      <c r="AC7" s="117">
        <f t="shared" si="8"/>
        <v>1.25E-4</v>
      </c>
      <c r="AD7" s="117">
        <f t="shared" si="9"/>
        <v>1.25E-4</v>
      </c>
      <c r="AE7" s="116">
        <f t="shared" si="2"/>
        <v>25</v>
      </c>
      <c r="AF7" s="116">
        <f t="shared" si="3"/>
        <v>25</v>
      </c>
      <c r="AG7" s="116">
        <f t="shared" si="4"/>
        <v>25</v>
      </c>
      <c r="AH7" s="116" t="str">
        <f t="shared" si="5"/>
        <v/>
      </c>
    </row>
    <row r="8" spans="1:34" x14ac:dyDescent="0.25">
      <c r="AA8" s="117">
        <f t="shared" si="6"/>
        <v>1.5000000000000001E-4</v>
      </c>
      <c r="AB8" s="117">
        <f t="shared" si="7"/>
        <v>1.5000000000000001E-4</v>
      </c>
      <c r="AC8" s="117">
        <f t="shared" si="8"/>
        <v>1.5000000000000001E-4</v>
      </c>
      <c r="AD8" s="117">
        <f t="shared" si="9"/>
        <v>1.5000000000000001E-4</v>
      </c>
      <c r="AE8" s="116">
        <f t="shared" si="2"/>
        <v>30.000000000000004</v>
      </c>
      <c r="AF8" s="116">
        <f t="shared" si="3"/>
        <v>30.000000000000004</v>
      </c>
      <c r="AG8" s="116">
        <f t="shared" si="4"/>
        <v>30.000000000000004</v>
      </c>
      <c r="AH8" s="116" t="str">
        <f t="shared" si="5"/>
        <v/>
      </c>
    </row>
    <row r="9" spans="1:34" x14ac:dyDescent="0.25">
      <c r="AA9" s="117">
        <f t="shared" si="6"/>
        <v>1.7500000000000003E-4</v>
      </c>
      <c r="AB9" s="117">
        <f t="shared" si="7"/>
        <v>1.7500000000000003E-4</v>
      </c>
      <c r="AC9" s="117">
        <f t="shared" si="8"/>
        <v>1.7500000000000003E-4</v>
      </c>
      <c r="AD9" s="117">
        <f t="shared" si="9"/>
        <v>1.7500000000000003E-4</v>
      </c>
      <c r="AE9" s="116">
        <f t="shared" si="2"/>
        <v>35.000000000000007</v>
      </c>
      <c r="AF9" s="116">
        <f t="shared" si="3"/>
        <v>35.000000000000007</v>
      </c>
      <c r="AG9" s="116">
        <f t="shared" si="4"/>
        <v>35.000000000000007</v>
      </c>
      <c r="AH9" s="116" t="str">
        <f t="shared" si="5"/>
        <v/>
      </c>
    </row>
    <row r="10" spans="1:34" x14ac:dyDescent="0.25">
      <c r="AA10" s="117">
        <f t="shared" si="6"/>
        <v>2.0000000000000004E-4</v>
      </c>
      <c r="AB10" s="117">
        <f t="shared" si="7"/>
        <v>2.0000000000000004E-4</v>
      </c>
      <c r="AC10" s="117">
        <f t="shared" si="8"/>
        <v>2.0000000000000004E-4</v>
      </c>
      <c r="AD10" s="117">
        <f t="shared" si="9"/>
        <v>2.0000000000000004E-4</v>
      </c>
      <c r="AE10" s="116">
        <f t="shared" si="2"/>
        <v>40.000000000000007</v>
      </c>
      <c r="AF10" s="116">
        <f t="shared" si="3"/>
        <v>40.000000000000007</v>
      </c>
      <c r="AG10" s="116">
        <f t="shared" si="4"/>
        <v>40.000000000000007</v>
      </c>
      <c r="AH10" s="116" t="str">
        <f t="shared" si="5"/>
        <v/>
      </c>
    </row>
    <row r="11" spans="1:34" x14ac:dyDescent="0.25">
      <c r="AA11" s="117">
        <f t="shared" si="6"/>
        <v>2.2500000000000005E-4</v>
      </c>
      <c r="AB11" s="117">
        <f t="shared" si="7"/>
        <v>2.2500000000000005E-4</v>
      </c>
      <c r="AC11" s="117">
        <f t="shared" si="8"/>
        <v>2.2500000000000005E-4</v>
      </c>
      <c r="AD11" s="117">
        <f t="shared" si="9"/>
        <v>2.2500000000000005E-4</v>
      </c>
      <c r="AE11" s="116">
        <f t="shared" si="2"/>
        <v>45.000000000000007</v>
      </c>
      <c r="AF11" s="116">
        <f t="shared" si="3"/>
        <v>45.000000000000007</v>
      </c>
      <c r="AG11" s="116">
        <f t="shared" si="4"/>
        <v>45.000000000000007</v>
      </c>
      <c r="AH11" s="116" t="str">
        <f t="shared" si="5"/>
        <v/>
      </c>
    </row>
    <row r="12" spans="1:34" x14ac:dyDescent="0.25">
      <c r="AA12" s="117">
        <f t="shared" si="6"/>
        <v>2.5000000000000006E-4</v>
      </c>
      <c r="AB12" s="117">
        <f t="shared" si="7"/>
        <v>2.5000000000000006E-4</v>
      </c>
      <c r="AC12" s="117">
        <f t="shared" si="8"/>
        <v>2.5000000000000006E-4</v>
      </c>
      <c r="AD12" s="117">
        <f t="shared" si="9"/>
        <v>2.5000000000000006E-4</v>
      </c>
      <c r="AE12" s="116">
        <f t="shared" si="2"/>
        <v>50.000000000000014</v>
      </c>
      <c r="AF12" s="116">
        <f t="shared" si="3"/>
        <v>50.000000000000014</v>
      </c>
      <c r="AG12" s="116">
        <f t="shared" si="4"/>
        <v>50.000000000000014</v>
      </c>
      <c r="AH12" s="116" t="str">
        <f t="shared" si="5"/>
        <v/>
      </c>
    </row>
    <row r="13" spans="1:34" x14ac:dyDescent="0.25">
      <c r="AA13" s="117">
        <f t="shared" si="6"/>
        <v>2.7500000000000007E-4</v>
      </c>
      <c r="AB13" s="117">
        <f t="shared" si="7"/>
        <v>2.7500000000000007E-4</v>
      </c>
      <c r="AC13" s="117">
        <f t="shared" si="8"/>
        <v>2.7500000000000007E-4</v>
      </c>
      <c r="AD13" s="117">
        <f t="shared" si="9"/>
        <v>2.7500000000000007E-4</v>
      </c>
      <c r="AE13" s="116">
        <f t="shared" si="2"/>
        <v>55.000000000000014</v>
      </c>
      <c r="AF13" s="116">
        <f t="shared" si="3"/>
        <v>55.000000000000014</v>
      </c>
      <c r="AG13" s="116">
        <f t="shared" si="4"/>
        <v>55.000000000000014</v>
      </c>
      <c r="AH13" s="116" t="str">
        <f t="shared" si="5"/>
        <v/>
      </c>
    </row>
    <row r="14" spans="1:34" x14ac:dyDescent="0.25">
      <c r="AA14" s="117">
        <f t="shared" si="6"/>
        <v>3.0000000000000008E-4</v>
      </c>
      <c r="AB14" s="117">
        <f t="shared" si="7"/>
        <v>3.0000000000000008E-4</v>
      </c>
      <c r="AC14" s="117">
        <f t="shared" si="8"/>
        <v>3.0000000000000008E-4</v>
      </c>
      <c r="AD14" s="117">
        <f t="shared" si="9"/>
        <v>3.0000000000000008E-4</v>
      </c>
      <c r="AE14" s="116">
        <f t="shared" si="2"/>
        <v>60.000000000000014</v>
      </c>
      <c r="AF14" s="116">
        <f t="shared" si="3"/>
        <v>60.000000000000014</v>
      </c>
      <c r="AG14" s="116">
        <f t="shared" si="4"/>
        <v>60.000000000000014</v>
      </c>
      <c r="AH14" s="116" t="str">
        <f t="shared" si="5"/>
        <v/>
      </c>
    </row>
    <row r="15" spans="1:34" x14ac:dyDescent="0.25">
      <c r="AA15" s="117">
        <f t="shared" si="6"/>
        <v>3.2500000000000009E-4</v>
      </c>
      <c r="AB15" s="117">
        <f t="shared" si="7"/>
        <v>3.2500000000000009E-4</v>
      </c>
      <c r="AC15" s="117">
        <f t="shared" si="8"/>
        <v>3.2500000000000009E-4</v>
      </c>
      <c r="AD15" s="117">
        <f t="shared" si="9"/>
        <v>3.2500000000000009E-4</v>
      </c>
      <c r="AE15" s="116">
        <f t="shared" si="2"/>
        <v>65.000000000000014</v>
      </c>
      <c r="AF15" s="116">
        <f t="shared" si="3"/>
        <v>65.000000000000014</v>
      </c>
      <c r="AG15" s="116">
        <f t="shared" si="4"/>
        <v>65.000000000000014</v>
      </c>
      <c r="AH15" s="116" t="str">
        <f t="shared" si="5"/>
        <v/>
      </c>
    </row>
    <row r="16" spans="1:34" x14ac:dyDescent="0.25">
      <c r="AA16" s="117">
        <f t="shared" si="6"/>
        <v>3.500000000000001E-4</v>
      </c>
      <c r="AB16" s="117">
        <f t="shared" si="7"/>
        <v>3.500000000000001E-4</v>
      </c>
      <c r="AC16" s="117">
        <f t="shared" si="8"/>
        <v>3.500000000000001E-4</v>
      </c>
      <c r="AD16" s="117">
        <f t="shared" si="9"/>
        <v>3.500000000000001E-4</v>
      </c>
      <c r="AE16" s="116">
        <f t="shared" si="2"/>
        <v>70.000000000000014</v>
      </c>
      <c r="AF16" s="116">
        <f t="shared" si="3"/>
        <v>70.000000000000014</v>
      </c>
      <c r="AG16" s="116">
        <f t="shared" si="4"/>
        <v>70.000000000000014</v>
      </c>
      <c r="AH16" s="116" t="str">
        <f t="shared" si="5"/>
        <v/>
      </c>
    </row>
    <row r="17" spans="27:34" x14ac:dyDescent="0.25">
      <c r="AA17" s="117">
        <f t="shared" si="6"/>
        <v>3.7500000000000012E-4</v>
      </c>
      <c r="AB17" s="117">
        <f t="shared" si="7"/>
        <v>3.7500000000000012E-4</v>
      </c>
      <c r="AC17" s="117">
        <f t="shared" si="8"/>
        <v>3.7500000000000012E-4</v>
      </c>
      <c r="AD17" s="117">
        <f t="shared" si="9"/>
        <v>3.7500000000000012E-4</v>
      </c>
      <c r="AE17" s="116">
        <f t="shared" si="2"/>
        <v>75.000000000000028</v>
      </c>
      <c r="AF17" s="116">
        <f t="shared" si="3"/>
        <v>75.000000000000028</v>
      </c>
      <c r="AG17" s="116">
        <f t="shared" si="4"/>
        <v>75.000000000000028</v>
      </c>
      <c r="AH17" s="116" t="str">
        <f t="shared" si="5"/>
        <v/>
      </c>
    </row>
    <row r="18" spans="27:34" x14ac:dyDescent="0.25">
      <c r="AA18" s="117">
        <f t="shared" si="6"/>
        <v>4.0000000000000013E-4</v>
      </c>
      <c r="AB18" s="117">
        <f t="shared" si="7"/>
        <v>4.0000000000000013E-4</v>
      </c>
      <c r="AC18" s="117">
        <f t="shared" si="8"/>
        <v>4.0000000000000013E-4</v>
      </c>
      <c r="AD18" s="117">
        <f t="shared" si="9"/>
        <v>4.0000000000000013E-4</v>
      </c>
      <c r="AE18" s="116">
        <f t="shared" si="2"/>
        <v>80.000000000000028</v>
      </c>
      <c r="AF18" s="116">
        <f t="shared" si="3"/>
        <v>80.000000000000028</v>
      </c>
      <c r="AG18" s="116">
        <f t="shared" si="4"/>
        <v>80.000000000000028</v>
      </c>
      <c r="AH18" s="116" t="str">
        <f t="shared" si="5"/>
        <v/>
      </c>
    </row>
    <row r="19" spans="27:34" x14ac:dyDescent="0.25">
      <c r="AA19" s="117">
        <f t="shared" si="6"/>
        <v>4.2500000000000014E-4</v>
      </c>
      <c r="AB19" s="117">
        <f t="shared" si="7"/>
        <v>4.2500000000000014E-4</v>
      </c>
      <c r="AC19" s="117">
        <f t="shared" si="8"/>
        <v>4.2500000000000014E-4</v>
      </c>
      <c r="AD19" s="117">
        <f t="shared" si="9"/>
        <v>4.2500000000000014E-4</v>
      </c>
      <c r="AE19" s="116">
        <f t="shared" si="2"/>
        <v>85.000000000000028</v>
      </c>
      <c r="AF19" s="116">
        <f t="shared" si="3"/>
        <v>85.000000000000028</v>
      </c>
      <c r="AG19" s="116">
        <f t="shared" si="4"/>
        <v>85.000000000000028</v>
      </c>
      <c r="AH19" s="116" t="str">
        <f t="shared" si="5"/>
        <v/>
      </c>
    </row>
    <row r="20" spans="27:34" x14ac:dyDescent="0.25">
      <c r="AA20" s="117">
        <f t="shared" si="6"/>
        <v>4.5000000000000015E-4</v>
      </c>
      <c r="AB20" s="117">
        <f t="shared" si="7"/>
        <v>4.5000000000000015E-4</v>
      </c>
      <c r="AC20" s="117">
        <f t="shared" si="8"/>
        <v>4.5000000000000015E-4</v>
      </c>
      <c r="AD20" s="117">
        <f t="shared" si="9"/>
        <v>4.5000000000000015E-4</v>
      </c>
      <c r="AE20" s="116">
        <f t="shared" si="2"/>
        <v>90.000000000000028</v>
      </c>
      <c r="AF20" s="116">
        <f t="shared" si="3"/>
        <v>90.000000000000028</v>
      </c>
      <c r="AG20" s="116">
        <f t="shared" si="4"/>
        <v>90.000000000000028</v>
      </c>
      <c r="AH20" s="116" t="str">
        <f t="shared" si="5"/>
        <v/>
      </c>
    </row>
    <row r="21" spans="27:34" x14ac:dyDescent="0.25">
      <c r="AA21" s="117">
        <f t="shared" si="6"/>
        <v>4.7500000000000016E-4</v>
      </c>
      <c r="AB21" s="117">
        <f t="shared" si="7"/>
        <v>4.7500000000000016E-4</v>
      </c>
      <c r="AC21" s="117">
        <f t="shared" si="8"/>
        <v>4.7500000000000016E-4</v>
      </c>
      <c r="AD21" s="117">
        <f t="shared" si="9"/>
        <v>4.7500000000000016E-4</v>
      </c>
      <c r="AE21" s="116">
        <f t="shared" si="2"/>
        <v>95.000000000000028</v>
      </c>
      <c r="AF21" s="116">
        <f t="shared" si="3"/>
        <v>95.000000000000028</v>
      </c>
      <c r="AG21" s="116">
        <f t="shared" si="4"/>
        <v>95.000000000000028</v>
      </c>
      <c r="AH21" s="116" t="str">
        <f t="shared" si="5"/>
        <v/>
      </c>
    </row>
    <row r="22" spans="27:34" x14ac:dyDescent="0.25">
      <c r="AA22" s="117">
        <f t="shared" si="6"/>
        <v>5.0000000000000012E-4</v>
      </c>
      <c r="AB22" s="117">
        <f t="shared" si="7"/>
        <v>5.0000000000000012E-4</v>
      </c>
      <c r="AC22" s="117">
        <f t="shared" si="8"/>
        <v>5.0000000000000012E-4</v>
      </c>
      <c r="AD22" s="117">
        <f t="shared" si="9"/>
        <v>5.0000000000000012E-4</v>
      </c>
      <c r="AE22" s="116">
        <f t="shared" si="2"/>
        <v>100.00000000000003</v>
      </c>
      <c r="AF22" s="116">
        <f t="shared" si="3"/>
        <v>100.00000000000003</v>
      </c>
      <c r="AG22" s="116">
        <f t="shared" si="4"/>
        <v>100.00000000000003</v>
      </c>
      <c r="AH22" s="116" t="str">
        <f t="shared" si="5"/>
        <v/>
      </c>
    </row>
    <row r="23" spans="27:34" x14ac:dyDescent="0.25">
      <c r="AA23" s="117">
        <f t="shared" si="6"/>
        <v>5.2500000000000008E-4</v>
      </c>
      <c r="AB23" s="117">
        <f t="shared" si="7"/>
        <v>5.2500000000000008E-4</v>
      </c>
      <c r="AC23" s="117">
        <f t="shared" si="8"/>
        <v>5.2500000000000008E-4</v>
      </c>
      <c r="AD23" s="117">
        <f t="shared" si="9"/>
        <v>5.2500000000000008E-4</v>
      </c>
      <c r="AE23" s="116">
        <f t="shared" si="2"/>
        <v>105.00000000000001</v>
      </c>
      <c r="AF23" s="116">
        <f t="shared" si="3"/>
        <v>105.00000000000001</v>
      </c>
      <c r="AG23" s="116">
        <f t="shared" si="4"/>
        <v>105.00000000000001</v>
      </c>
      <c r="AH23" s="116" t="str">
        <f t="shared" si="5"/>
        <v/>
      </c>
    </row>
    <row r="24" spans="27:34" x14ac:dyDescent="0.25">
      <c r="AA24" s="117">
        <f t="shared" si="6"/>
        <v>5.5000000000000003E-4</v>
      </c>
      <c r="AB24" s="117">
        <f t="shared" si="7"/>
        <v>5.5000000000000003E-4</v>
      </c>
      <c r="AC24" s="117">
        <f t="shared" si="8"/>
        <v>5.5000000000000003E-4</v>
      </c>
      <c r="AD24" s="117">
        <f t="shared" si="9"/>
        <v>5.5000000000000003E-4</v>
      </c>
      <c r="AE24" s="116">
        <f t="shared" si="2"/>
        <v>110</v>
      </c>
      <c r="AF24" s="116">
        <f t="shared" si="3"/>
        <v>110</v>
      </c>
      <c r="AG24" s="116">
        <f t="shared" si="4"/>
        <v>110</v>
      </c>
      <c r="AH24" s="116" t="str">
        <f t="shared" si="5"/>
        <v/>
      </c>
    </row>
    <row r="25" spans="27:34" x14ac:dyDescent="0.25">
      <c r="AA25" s="117">
        <f t="shared" si="6"/>
        <v>5.7499999999999999E-4</v>
      </c>
      <c r="AB25" s="117">
        <f t="shared" si="7"/>
        <v>5.7499999999999999E-4</v>
      </c>
      <c r="AC25" s="117">
        <f t="shared" si="8"/>
        <v>5.7499999999999999E-4</v>
      </c>
      <c r="AD25" s="117">
        <f t="shared" si="9"/>
        <v>5.7499999999999999E-4</v>
      </c>
      <c r="AE25" s="116">
        <f t="shared" si="2"/>
        <v>115</v>
      </c>
      <c r="AF25" s="116">
        <f t="shared" si="3"/>
        <v>115</v>
      </c>
      <c r="AG25" s="116">
        <f t="shared" si="4"/>
        <v>115</v>
      </c>
      <c r="AH25" s="116" t="str">
        <f t="shared" si="5"/>
        <v/>
      </c>
    </row>
    <row r="26" spans="27:34" x14ac:dyDescent="0.25">
      <c r="AA26" s="117">
        <f t="shared" si="6"/>
        <v>5.9999999999999995E-4</v>
      </c>
      <c r="AB26" s="117">
        <f t="shared" si="7"/>
        <v>5.9999999999999995E-4</v>
      </c>
      <c r="AC26" s="117">
        <f t="shared" si="8"/>
        <v>5.9999999999999995E-4</v>
      </c>
      <c r="AD26" s="117">
        <f t="shared" si="9"/>
        <v>5.9999999999999995E-4</v>
      </c>
      <c r="AE26" s="116">
        <f t="shared" si="2"/>
        <v>119.99999999999999</v>
      </c>
      <c r="AF26" s="116">
        <f t="shared" si="3"/>
        <v>119.99999999999999</v>
      </c>
      <c r="AG26" s="116">
        <f t="shared" si="4"/>
        <v>119.99999999999999</v>
      </c>
      <c r="AH26" s="116" t="str">
        <f t="shared" si="5"/>
        <v/>
      </c>
    </row>
    <row r="27" spans="27:34" x14ac:dyDescent="0.25">
      <c r="AA27" s="117">
        <f t="shared" si="6"/>
        <v>6.249999999999999E-4</v>
      </c>
      <c r="AB27" s="117">
        <f t="shared" si="7"/>
        <v>6.249999999999999E-4</v>
      </c>
      <c r="AC27" s="117">
        <f t="shared" si="8"/>
        <v>6.249999999999999E-4</v>
      </c>
      <c r="AD27" s="117">
        <f t="shared" si="9"/>
        <v>6.249999999999999E-4</v>
      </c>
      <c r="AE27" s="116">
        <f t="shared" si="2"/>
        <v>124.99999999999999</v>
      </c>
      <c r="AF27" s="116">
        <f t="shared" si="3"/>
        <v>124.99999999999999</v>
      </c>
      <c r="AG27" s="116">
        <f t="shared" si="4"/>
        <v>124.99999999999999</v>
      </c>
      <c r="AH27" s="116" t="str">
        <f t="shared" si="5"/>
        <v/>
      </c>
    </row>
    <row r="28" spans="27:34" x14ac:dyDescent="0.25">
      <c r="AA28" s="117">
        <f t="shared" si="6"/>
        <v>6.4999999999999986E-4</v>
      </c>
      <c r="AB28" s="117">
        <f t="shared" si="7"/>
        <v>6.4999999999999986E-4</v>
      </c>
      <c r="AC28" s="117">
        <f t="shared" si="8"/>
        <v>6.4999999999999986E-4</v>
      </c>
      <c r="AD28" s="117">
        <f t="shared" si="9"/>
        <v>6.4999999999999986E-4</v>
      </c>
      <c r="AE28" s="116">
        <f t="shared" si="2"/>
        <v>129.99999999999997</v>
      </c>
      <c r="AF28" s="116">
        <f t="shared" si="3"/>
        <v>129.99999999999997</v>
      </c>
      <c r="AG28" s="116">
        <f t="shared" si="4"/>
        <v>129.99999999999997</v>
      </c>
      <c r="AH28" s="116" t="str">
        <f t="shared" si="5"/>
        <v/>
      </c>
    </row>
    <row r="29" spans="27:34" x14ac:dyDescent="0.25">
      <c r="AA29" s="117">
        <f t="shared" si="6"/>
        <v>6.7499999999999982E-4</v>
      </c>
      <c r="AB29" s="117">
        <f t="shared" si="7"/>
        <v>6.7499999999999982E-4</v>
      </c>
      <c r="AC29" s="117">
        <f t="shared" si="8"/>
        <v>6.7499999999999982E-4</v>
      </c>
      <c r="AD29" s="117">
        <f t="shared" si="9"/>
        <v>6.7499999999999982E-4</v>
      </c>
      <c r="AE29" s="116">
        <f t="shared" si="2"/>
        <v>134.99999999999997</v>
      </c>
      <c r="AF29" s="116">
        <f t="shared" si="3"/>
        <v>134.99999999999997</v>
      </c>
      <c r="AG29" s="116">
        <f t="shared" si="4"/>
        <v>134.99999999999997</v>
      </c>
      <c r="AH29" s="116" t="str">
        <f t="shared" si="5"/>
        <v/>
      </c>
    </row>
    <row r="30" spans="27:34" x14ac:dyDescent="0.25">
      <c r="AA30" s="117">
        <f t="shared" si="6"/>
        <v>6.9999999999999978E-4</v>
      </c>
      <c r="AB30" s="117">
        <f t="shared" si="7"/>
        <v>6.9999999999999978E-4</v>
      </c>
      <c r="AC30" s="117">
        <f t="shared" si="8"/>
        <v>6.9999999999999978E-4</v>
      </c>
      <c r="AD30" s="117">
        <f t="shared" si="9"/>
        <v>6.9999999999999978E-4</v>
      </c>
      <c r="AE30" s="116">
        <f t="shared" si="2"/>
        <v>139.99999999999994</v>
      </c>
      <c r="AF30" s="116">
        <f t="shared" si="3"/>
        <v>139.99999999999994</v>
      </c>
      <c r="AG30" s="116">
        <f t="shared" si="4"/>
        <v>139.99999999999994</v>
      </c>
      <c r="AH30" s="116" t="str">
        <f t="shared" si="5"/>
        <v/>
      </c>
    </row>
    <row r="31" spans="27:34" x14ac:dyDescent="0.25">
      <c r="AA31" s="117">
        <f t="shared" si="6"/>
        <v>7.2499999999999973E-4</v>
      </c>
      <c r="AB31" s="117">
        <f t="shared" si="7"/>
        <v>7.2499999999999973E-4</v>
      </c>
      <c r="AC31" s="117">
        <f t="shared" si="8"/>
        <v>7.2499999999999973E-4</v>
      </c>
      <c r="AD31" s="117">
        <f t="shared" si="9"/>
        <v>7.2499999999999973E-4</v>
      </c>
      <c r="AE31" s="116">
        <f t="shared" si="2"/>
        <v>144.99999999999994</v>
      </c>
      <c r="AF31" s="116">
        <f t="shared" si="3"/>
        <v>144.99999999999994</v>
      </c>
      <c r="AG31" s="116">
        <f t="shared" si="4"/>
        <v>144.99999999999994</v>
      </c>
      <c r="AH31" s="116" t="str">
        <f t="shared" si="5"/>
        <v/>
      </c>
    </row>
    <row r="32" spans="27:34" x14ac:dyDescent="0.25">
      <c r="AA32" s="117">
        <f t="shared" si="6"/>
        <v>7.4999999999999969E-4</v>
      </c>
      <c r="AB32" s="117">
        <f t="shared" si="7"/>
        <v>7.4999999999999969E-4</v>
      </c>
      <c r="AC32" s="117">
        <f t="shared" si="8"/>
        <v>7.4999999999999969E-4</v>
      </c>
      <c r="AD32" s="117">
        <f t="shared" si="9"/>
        <v>7.4999999999999969E-4</v>
      </c>
      <c r="AE32" s="116">
        <f t="shared" si="2"/>
        <v>149.99999999999994</v>
      </c>
      <c r="AF32" s="116">
        <f t="shared" si="3"/>
        <v>149.99999999999994</v>
      </c>
      <c r="AG32" s="116">
        <f t="shared" si="4"/>
        <v>149.99999999999994</v>
      </c>
      <c r="AH32" s="116" t="str">
        <f t="shared" si="5"/>
        <v/>
      </c>
    </row>
    <row r="33" spans="27:34" x14ac:dyDescent="0.25">
      <c r="AA33" s="117">
        <f t="shared" si="6"/>
        <v>7.7499999999999965E-4</v>
      </c>
      <c r="AB33" s="117">
        <f t="shared" si="7"/>
        <v>7.7499999999999965E-4</v>
      </c>
      <c r="AC33" s="117">
        <f t="shared" si="8"/>
        <v>7.7499999999999965E-4</v>
      </c>
      <c r="AD33" s="117">
        <f t="shared" si="9"/>
        <v>7.7499999999999965E-4</v>
      </c>
      <c r="AE33" s="116">
        <f t="shared" si="2"/>
        <v>154.99999999999994</v>
      </c>
      <c r="AF33" s="116">
        <f t="shared" si="3"/>
        <v>154.99999999999994</v>
      </c>
      <c r="AG33" s="116">
        <f t="shared" si="4"/>
        <v>154.99999999999994</v>
      </c>
      <c r="AH33" s="116" t="str">
        <f t="shared" si="5"/>
        <v/>
      </c>
    </row>
    <row r="34" spans="27:34" x14ac:dyDescent="0.25">
      <c r="AA34" s="117">
        <f t="shared" si="6"/>
        <v>7.999999999999996E-4</v>
      </c>
      <c r="AB34" s="117">
        <f t="shared" si="7"/>
        <v>7.999999999999996E-4</v>
      </c>
      <c r="AC34" s="117">
        <f t="shared" si="8"/>
        <v>7.999999999999996E-4</v>
      </c>
      <c r="AD34" s="117">
        <f t="shared" si="9"/>
        <v>7.999999999999996E-4</v>
      </c>
      <c r="AE34" s="116">
        <f t="shared" si="2"/>
        <v>159.99999999999991</v>
      </c>
      <c r="AF34" s="116">
        <f t="shared" si="3"/>
        <v>159.99999999999991</v>
      </c>
      <c r="AG34" s="116">
        <f t="shared" si="4"/>
        <v>159.99999999999991</v>
      </c>
      <c r="AH34" s="116" t="str">
        <f t="shared" si="5"/>
        <v/>
      </c>
    </row>
    <row r="35" spans="27:34" x14ac:dyDescent="0.25">
      <c r="AA35" s="117">
        <f t="shared" si="6"/>
        <v>8.2499999999999956E-4</v>
      </c>
      <c r="AB35" s="117">
        <f t="shared" si="7"/>
        <v>8.2499999999999956E-4</v>
      </c>
      <c r="AC35" s="117">
        <f t="shared" si="8"/>
        <v>8.2499999999999956E-4</v>
      </c>
      <c r="AD35" s="117">
        <f t="shared" si="9"/>
        <v>8.2499999999999956E-4</v>
      </c>
      <c r="AE35" s="116">
        <f t="shared" si="2"/>
        <v>164.99999999999991</v>
      </c>
      <c r="AF35" s="116">
        <f t="shared" si="3"/>
        <v>164.99999999999991</v>
      </c>
      <c r="AG35" s="116">
        <f t="shared" si="4"/>
        <v>164.99999999999991</v>
      </c>
      <c r="AH35" s="116" t="str">
        <f t="shared" si="5"/>
        <v/>
      </c>
    </row>
    <row r="36" spans="27:34" x14ac:dyDescent="0.25">
      <c r="AA36" s="117">
        <f t="shared" si="6"/>
        <v>8.4999999999999952E-4</v>
      </c>
      <c r="AB36" s="117">
        <f t="shared" si="7"/>
        <v>8.4999999999999952E-4</v>
      </c>
      <c r="AC36" s="117">
        <f t="shared" si="8"/>
        <v>8.4999999999999952E-4</v>
      </c>
      <c r="AD36" s="117">
        <f t="shared" si="9"/>
        <v>8.4999999999999952E-4</v>
      </c>
      <c r="AE36" s="116">
        <f t="shared" si="2"/>
        <v>169.99999999999991</v>
      </c>
      <c r="AF36" s="116">
        <f t="shared" si="3"/>
        <v>169.99999999999991</v>
      </c>
      <c r="AG36" s="116">
        <f t="shared" si="4"/>
        <v>169.99999999999991</v>
      </c>
      <c r="AH36" s="116" t="str">
        <f t="shared" si="5"/>
        <v/>
      </c>
    </row>
    <row r="37" spans="27:34" x14ac:dyDescent="0.25">
      <c r="AA37" s="117">
        <f t="shared" si="6"/>
        <v>8.7499999999999948E-4</v>
      </c>
      <c r="AB37" s="117">
        <f t="shared" si="7"/>
        <v>8.7499999999999948E-4</v>
      </c>
      <c r="AC37" s="117">
        <f t="shared" si="8"/>
        <v>8.7499999999999948E-4</v>
      </c>
      <c r="AD37" s="117">
        <f t="shared" si="9"/>
        <v>8.7499999999999948E-4</v>
      </c>
      <c r="AE37" s="116">
        <f t="shared" si="2"/>
        <v>174.99999999999989</v>
      </c>
      <c r="AF37" s="116">
        <f t="shared" si="3"/>
        <v>174.99999999999989</v>
      </c>
      <c r="AG37" s="116">
        <f t="shared" si="4"/>
        <v>174.99999999999989</v>
      </c>
      <c r="AH37" s="116" t="str">
        <f t="shared" si="5"/>
        <v/>
      </c>
    </row>
    <row r="38" spans="27:34" x14ac:dyDescent="0.25">
      <c r="AA38" s="117">
        <f t="shared" si="6"/>
        <v>8.9999999999999943E-4</v>
      </c>
      <c r="AB38" s="117">
        <f t="shared" si="7"/>
        <v>8.9999999999999943E-4</v>
      </c>
      <c r="AC38" s="117">
        <f t="shared" si="8"/>
        <v>8.9999999999999943E-4</v>
      </c>
      <c r="AD38" s="117">
        <f t="shared" si="9"/>
        <v>8.9999999999999943E-4</v>
      </c>
      <c r="AE38" s="116">
        <f t="shared" si="2"/>
        <v>179.99999999999989</v>
      </c>
      <c r="AF38" s="116">
        <f t="shared" si="3"/>
        <v>179.99999999999989</v>
      </c>
      <c r="AG38" s="116">
        <f t="shared" si="4"/>
        <v>179.99999999999989</v>
      </c>
      <c r="AH38" s="116" t="str">
        <f t="shared" si="5"/>
        <v/>
      </c>
    </row>
    <row r="39" spans="27:34" x14ac:dyDescent="0.25">
      <c r="AA39" s="117">
        <f t="shared" si="6"/>
        <v>9.2499999999999939E-4</v>
      </c>
      <c r="AB39" s="117">
        <f t="shared" si="7"/>
        <v>9.2499999999999939E-4</v>
      </c>
      <c r="AC39" s="117">
        <f t="shared" si="8"/>
        <v>9.2499999999999939E-4</v>
      </c>
      <c r="AD39" s="117">
        <f t="shared" si="9"/>
        <v>9.2499999999999939E-4</v>
      </c>
      <c r="AE39" s="116">
        <f t="shared" si="2"/>
        <v>184.99999999999989</v>
      </c>
      <c r="AF39" s="116">
        <f t="shared" si="3"/>
        <v>184.99999999999989</v>
      </c>
      <c r="AG39" s="116">
        <f t="shared" si="4"/>
        <v>184.99999999999989</v>
      </c>
      <c r="AH39" s="116" t="str">
        <f t="shared" si="5"/>
        <v/>
      </c>
    </row>
    <row r="40" spans="27:34" x14ac:dyDescent="0.25">
      <c r="AA40" s="117">
        <f t="shared" si="6"/>
        <v>9.4999999999999935E-4</v>
      </c>
      <c r="AB40" s="117">
        <f t="shared" si="7"/>
        <v>9.4999999999999935E-4</v>
      </c>
      <c r="AC40" s="117">
        <f t="shared" si="8"/>
        <v>9.4999999999999935E-4</v>
      </c>
      <c r="AD40" s="117">
        <f t="shared" si="9"/>
        <v>9.4999999999999935E-4</v>
      </c>
      <c r="AE40" s="116">
        <f t="shared" si="2"/>
        <v>189.99999999999986</v>
      </c>
      <c r="AF40" s="116">
        <f t="shared" si="3"/>
        <v>189.99999999999986</v>
      </c>
      <c r="AG40" s="116">
        <f t="shared" si="4"/>
        <v>189.99999999999986</v>
      </c>
      <c r="AH40" s="116" t="str">
        <f t="shared" si="5"/>
        <v/>
      </c>
    </row>
    <row r="41" spans="27:34" x14ac:dyDescent="0.25">
      <c r="AA41" s="117">
        <f t="shared" si="6"/>
        <v>9.749999999999993E-4</v>
      </c>
      <c r="AB41" s="117">
        <f t="shared" si="7"/>
        <v>9.749999999999993E-4</v>
      </c>
      <c r="AC41" s="117">
        <f t="shared" si="8"/>
        <v>9.749999999999993E-4</v>
      </c>
      <c r="AD41" s="117">
        <f t="shared" si="9"/>
        <v>9.749999999999993E-4</v>
      </c>
      <c r="AE41" s="116">
        <f t="shared" si="2"/>
        <v>194.99999999999986</v>
      </c>
      <c r="AF41" s="116">
        <f t="shared" si="3"/>
        <v>194.99999999999986</v>
      </c>
      <c r="AG41" s="116">
        <f t="shared" si="4"/>
        <v>194.99999999999986</v>
      </c>
      <c r="AH41" s="116" t="str">
        <f t="shared" si="5"/>
        <v/>
      </c>
    </row>
    <row r="42" spans="27:34" x14ac:dyDescent="0.25">
      <c r="AA42" s="117">
        <f t="shared" si="6"/>
        <v>9.9999999999999937E-4</v>
      </c>
      <c r="AB42" s="117">
        <f t="shared" si="7"/>
        <v>9.9999999999999937E-4</v>
      </c>
      <c r="AC42" s="117">
        <f t="shared" si="8"/>
        <v>9.9999999999999937E-4</v>
      </c>
      <c r="AD42" s="117">
        <f t="shared" si="9"/>
        <v>9.9999999999999937E-4</v>
      </c>
      <c r="AE42" s="116">
        <f t="shared" si="2"/>
        <v>199.99999999999989</v>
      </c>
      <c r="AF42" s="116">
        <f t="shared" si="3"/>
        <v>199.99999999999989</v>
      </c>
      <c r="AG42" s="116">
        <f t="shared" si="4"/>
        <v>199.99999999999989</v>
      </c>
      <c r="AH42" s="116" t="str">
        <f t="shared" si="5"/>
        <v/>
      </c>
    </row>
    <row r="43" spans="27:34" x14ac:dyDescent="0.25">
      <c r="AA43" s="117">
        <f t="shared" si="6"/>
        <v>1.0249999999999994E-3</v>
      </c>
      <c r="AB43" s="117">
        <f t="shared" si="7"/>
        <v>1.0249999999999994E-3</v>
      </c>
      <c r="AC43" s="117">
        <f t="shared" si="8"/>
        <v>1.0249999999999994E-3</v>
      </c>
      <c r="AD43" s="117">
        <f t="shared" si="9"/>
        <v>1.0249999999999994E-3</v>
      </c>
      <c r="AE43" s="116">
        <f t="shared" si="2"/>
        <v>204.99999999999989</v>
      </c>
      <c r="AF43" s="116">
        <f t="shared" si="3"/>
        <v>204.99999999999989</v>
      </c>
      <c r="AG43" s="116">
        <f t="shared" si="4"/>
        <v>204.99999999999989</v>
      </c>
      <c r="AH43" s="116" t="str">
        <f t="shared" si="5"/>
        <v/>
      </c>
    </row>
    <row r="44" spans="27:34" x14ac:dyDescent="0.25">
      <c r="AA44" s="117">
        <f t="shared" si="6"/>
        <v>1.0499999999999995E-3</v>
      </c>
      <c r="AB44" s="117">
        <f t="shared" si="7"/>
        <v>1.0499999999999995E-3</v>
      </c>
      <c r="AC44" s="117">
        <f t="shared" si="8"/>
        <v>1.0499999999999995E-3</v>
      </c>
      <c r="AD44" s="117">
        <f t="shared" si="9"/>
        <v>1.0499999999999995E-3</v>
      </c>
      <c r="AE44" s="116">
        <f t="shared" si="2"/>
        <v>209.99999999999989</v>
      </c>
      <c r="AF44" s="116">
        <f t="shared" si="3"/>
        <v>209.99999999999989</v>
      </c>
      <c r="AG44" s="116">
        <f t="shared" si="4"/>
        <v>209.99999999999989</v>
      </c>
      <c r="AH44" s="116" t="str">
        <f t="shared" si="5"/>
        <v/>
      </c>
    </row>
    <row r="45" spans="27:34" x14ac:dyDescent="0.25">
      <c r="AA45" s="117">
        <f t="shared" si="6"/>
        <v>1.0749999999999996E-3</v>
      </c>
      <c r="AB45" s="117">
        <f t="shared" si="7"/>
        <v>1.0749999999999996E-3</v>
      </c>
      <c r="AC45" s="117">
        <f t="shared" si="8"/>
        <v>1.0749999999999996E-3</v>
      </c>
      <c r="AD45" s="117">
        <f t="shared" si="9"/>
        <v>1.0749999999999996E-3</v>
      </c>
      <c r="AE45" s="116">
        <f t="shared" si="2"/>
        <v>214.99999999999991</v>
      </c>
      <c r="AF45" s="116">
        <f t="shared" si="3"/>
        <v>214.99999999999991</v>
      </c>
      <c r="AG45" s="116">
        <f t="shared" si="4"/>
        <v>214.99999999999991</v>
      </c>
      <c r="AH45" s="116" t="str">
        <f t="shared" si="5"/>
        <v/>
      </c>
    </row>
    <row r="46" spans="27:34" x14ac:dyDescent="0.25">
      <c r="AA46" s="117">
        <f t="shared" si="6"/>
        <v>1.0999999999999996E-3</v>
      </c>
      <c r="AB46" s="117">
        <f t="shared" si="7"/>
        <v>1.0999999999999996E-3</v>
      </c>
      <c r="AC46" s="117">
        <f t="shared" si="8"/>
        <v>1.0999999999999996E-3</v>
      </c>
      <c r="AD46" s="117">
        <f t="shared" si="9"/>
        <v>1.0999999999999996E-3</v>
      </c>
      <c r="AE46" s="116">
        <f t="shared" si="2"/>
        <v>219.99999999999991</v>
      </c>
      <c r="AF46" s="116">
        <f t="shared" si="3"/>
        <v>219.99999999999991</v>
      </c>
      <c r="AG46" s="116">
        <f t="shared" si="4"/>
        <v>220</v>
      </c>
      <c r="AH46" s="116" t="str">
        <f t="shared" si="5"/>
        <v/>
      </c>
    </row>
    <row r="47" spans="27:34" x14ac:dyDescent="0.25">
      <c r="AA47" s="117">
        <f t="shared" si="6"/>
        <v>1.1249999999999997E-3</v>
      </c>
      <c r="AB47" s="117">
        <f t="shared" si="7"/>
        <v>1.1249999999999997E-3</v>
      </c>
      <c r="AC47" s="117">
        <f t="shared" si="8"/>
        <v>1.1249999999999997E-3</v>
      </c>
      <c r="AD47" s="117">
        <f t="shared" si="9"/>
        <v>1.1249999999999997E-3</v>
      </c>
      <c r="AE47" s="116">
        <f t="shared" si="2"/>
        <v>224.99999999999994</v>
      </c>
      <c r="AF47" s="116">
        <f t="shared" si="3"/>
        <v>224.99999999999994</v>
      </c>
      <c r="AG47" s="116">
        <f t="shared" si="4"/>
        <v>220</v>
      </c>
      <c r="AH47" s="116" t="str">
        <f t="shared" si="5"/>
        <v/>
      </c>
    </row>
    <row r="48" spans="27:34" x14ac:dyDescent="0.25">
      <c r="AA48" s="117">
        <f t="shared" si="6"/>
        <v>1.1499999999999998E-3</v>
      </c>
      <c r="AB48" s="117">
        <f t="shared" si="7"/>
        <v>1.1499999999999998E-3</v>
      </c>
      <c r="AC48" s="117">
        <f t="shared" si="8"/>
        <v>1.1499999999999998E-3</v>
      </c>
      <c r="AD48" s="117">
        <f t="shared" si="9"/>
        <v>1.1499999999999998E-3</v>
      </c>
      <c r="AE48" s="116">
        <f t="shared" si="2"/>
        <v>229.99999999999994</v>
      </c>
      <c r="AF48" s="116">
        <f t="shared" si="3"/>
        <v>229.99999999999994</v>
      </c>
      <c r="AG48" s="116">
        <f t="shared" si="4"/>
        <v>220</v>
      </c>
      <c r="AH48" s="116" t="str">
        <f t="shared" si="5"/>
        <v/>
      </c>
    </row>
    <row r="49" spans="27:34" x14ac:dyDescent="0.25">
      <c r="AA49" s="117">
        <f t="shared" si="6"/>
        <v>1.1749999999999998E-3</v>
      </c>
      <c r="AB49" s="117">
        <f t="shared" si="7"/>
        <v>1.1749999999999998E-3</v>
      </c>
      <c r="AC49" s="117">
        <f t="shared" si="8"/>
        <v>1.1749999999999998E-3</v>
      </c>
      <c r="AD49" s="117">
        <f t="shared" si="9"/>
        <v>1.1749999999999998E-3</v>
      </c>
      <c r="AE49" s="116">
        <f t="shared" si="2"/>
        <v>234.99999999999997</v>
      </c>
      <c r="AF49" s="116">
        <f t="shared" si="3"/>
        <v>234.99999999999997</v>
      </c>
      <c r="AG49" s="116">
        <f t="shared" si="4"/>
        <v>220</v>
      </c>
      <c r="AH49" s="116" t="str">
        <f t="shared" si="5"/>
        <v/>
      </c>
    </row>
    <row r="50" spans="27:34" x14ac:dyDescent="0.25">
      <c r="AA50" s="117">
        <f t="shared" si="6"/>
        <v>1.1999999999999999E-3</v>
      </c>
      <c r="AB50" s="117">
        <f t="shared" si="7"/>
        <v>1.1999999999999999E-3</v>
      </c>
      <c r="AC50" s="117">
        <f t="shared" si="8"/>
        <v>1.1999999999999999E-3</v>
      </c>
      <c r="AD50" s="117">
        <f t="shared" si="9"/>
        <v>1.1999999999999999E-3</v>
      </c>
      <c r="AE50" s="116">
        <f t="shared" si="2"/>
        <v>239.99999999999997</v>
      </c>
      <c r="AF50" s="116">
        <f t="shared" si="3"/>
        <v>239.99999999999997</v>
      </c>
      <c r="AG50" s="116">
        <f t="shared" si="4"/>
        <v>220</v>
      </c>
      <c r="AH50" s="116" t="str">
        <f t="shared" si="5"/>
        <v/>
      </c>
    </row>
    <row r="51" spans="27:34" x14ac:dyDescent="0.25">
      <c r="AA51" s="117">
        <f t="shared" si="6"/>
        <v>1.225E-3</v>
      </c>
      <c r="AB51" s="117">
        <f t="shared" si="7"/>
        <v>1.225E-3</v>
      </c>
      <c r="AC51" s="117">
        <f t="shared" si="8"/>
        <v>1.225E-3</v>
      </c>
      <c r="AD51" s="117">
        <f t="shared" si="9"/>
        <v>1.225E-3</v>
      </c>
      <c r="AE51" s="116">
        <f t="shared" si="2"/>
        <v>245</v>
      </c>
      <c r="AF51" s="116">
        <f t="shared" si="3"/>
        <v>245</v>
      </c>
      <c r="AG51" s="116">
        <f t="shared" si="4"/>
        <v>220</v>
      </c>
      <c r="AH51" s="116" t="str">
        <f t="shared" si="5"/>
        <v/>
      </c>
    </row>
    <row r="52" spans="27:34" x14ac:dyDescent="0.25">
      <c r="AA52" s="117">
        <f t="shared" si="6"/>
        <v>1.25E-3</v>
      </c>
      <c r="AB52" s="117">
        <f t="shared" si="7"/>
        <v>1.25E-3</v>
      </c>
      <c r="AC52" s="117">
        <f t="shared" si="8"/>
        <v>1.25E-3</v>
      </c>
      <c r="AD52" s="117">
        <f t="shared" si="9"/>
        <v>1.25E-3</v>
      </c>
      <c r="AE52" s="116">
        <f t="shared" si="2"/>
        <v>250</v>
      </c>
      <c r="AF52" s="116">
        <f t="shared" si="3"/>
        <v>250</v>
      </c>
      <c r="AG52" s="116">
        <f t="shared" si="4"/>
        <v>220</v>
      </c>
      <c r="AH52" s="116" t="str">
        <f t="shared" si="5"/>
        <v/>
      </c>
    </row>
    <row r="53" spans="27:34" x14ac:dyDescent="0.25">
      <c r="AA53" s="117">
        <f t="shared" si="6"/>
        <v>1.2750000000000001E-3</v>
      </c>
      <c r="AB53" s="117">
        <f t="shared" si="7"/>
        <v>1.2750000000000001E-3</v>
      </c>
      <c r="AC53" s="117">
        <f t="shared" si="8"/>
        <v>1.2750000000000001E-3</v>
      </c>
      <c r="AD53" s="117">
        <f t="shared" si="9"/>
        <v>1.2750000000000001E-3</v>
      </c>
      <c r="AE53" s="116">
        <f t="shared" si="2"/>
        <v>255.00000000000003</v>
      </c>
      <c r="AF53" s="116">
        <f t="shared" si="3"/>
        <v>255.00000000000003</v>
      </c>
      <c r="AG53" s="116">
        <f t="shared" si="4"/>
        <v>220</v>
      </c>
      <c r="AH53" s="116" t="str">
        <f t="shared" si="5"/>
        <v/>
      </c>
    </row>
    <row r="54" spans="27:34" x14ac:dyDescent="0.25">
      <c r="AA54" s="117">
        <f t="shared" si="6"/>
        <v>1.3000000000000002E-3</v>
      </c>
      <c r="AB54" s="117">
        <f t="shared" si="7"/>
        <v>1.3000000000000002E-3</v>
      </c>
      <c r="AC54" s="117">
        <f t="shared" si="8"/>
        <v>1.3000000000000002E-3</v>
      </c>
      <c r="AD54" s="117">
        <f t="shared" si="9"/>
        <v>1.3000000000000002E-3</v>
      </c>
      <c r="AE54" s="116">
        <f t="shared" si="2"/>
        <v>260.00000000000006</v>
      </c>
      <c r="AF54" s="116">
        <f t="shared" si="3"/>
        <v>260.00000000000006</v>
      </c>
      <c r="AG54" s="116">
        <f t="shared" si="4"/>
        <v>220</v>
      </c>
      <c r="AH54" s="116" t="str">
        <f t="shared" si="5"/>
        <v/>
      </c>
    </row>
    <row r="55" spans="27:34" x14ac:dyDescent="0.25">
      <c r="AA55" s="117">
        <f t="shared" si="6"/>
        <v>1.3250000000000002E-3</v>
      </c>
      <c r="AB55" s="117">
        <f t="shared" si="7"/>
        <v>1.3250000000000002E-3</v>
      </c>
      <c r="AC55" s="117">
        <f t="shared" si="8"/>
        <v>1.3250000000000002E-3</v>
      </c>
      <c r="AD55" s="117">
        <f t="shared" si="9"/>
        <v>1.3250000000000002E-3</v>
      </c>
      <c r="AE55" s="116">
        <f t="shared" si="2"/>
        <v>265.00000000000006</v>
      </c>
      <c r="AF55" s="116">
        <f t="shared" si="3"/>
        <v>265.00000000000006</v>
      </c>
      <c r="AG55" s="116">
        <f t="shared" si="4"/>
        <v>220</v>
      </c>
      <c r="AH55" s="116" t="str">
        <f t="shared" si="5"/>
        <v/>
      </c>
    </row>
    <row r="56" spans="27:34" x14ac:dyDescent="0.25">
      <c r="AA56" s="117">
        <f t="shared" si="6"/>
        <v>1.3500000000000003E-3</v>
      </c>
      <c r="AB56" s="117">
        <f t="shared" si="7"/>
        <v>1.3500000000000003E-3</v>
      </c>
      <c r="AC56" s="117">
        <f t="shared" si="8"/>
        <v>1.3500000000000003E-3</v>
      </c>
      <c r="AD56" s="117">
        <f t="shared" si="9"/>
        <v>1.3500000000000003E-3</v>
      </c>
      <c r="AE56" s="116">
        <f t="shared" si="2"/>
        <v>270.00000000000006</v>
      </c>
      <c r="AF56" s="116">
        <f t="shared" si="3"/>
        <v>270.00000000000006</v>
      </c>
      <c r="AG56" s="116">
        <f t="shared" si="4"/>
        <v>220</v>
      </c>
      <c r="AH56" s="116" t="str">
        <f t="shared" si="5"/>
        <v/>
      </c>
    </row>
    <row r="57" spans="27:34" x14ac:dyDescent="0.25">
      <c r="AA57" s="117">
        <f t="shared" si="6"/>
        <v>1.3750000000000004E-3</v>
      </c>
      <c r="AB57" s="117">
        <f t="shared" si="7"/>
        <v>1.3750000000000004E-3</v>
      </c>
      <c r="AC57" s="117">
        <f t="shared" si="8"/>
        <v>1.3750000000000004E-3</v>
      </c>
      <c r="AD57" s="117">
        <f t="shared" si="9"/>
        <v>1.3750000000000004E-3</v>
      </c>
      <c r="AE57" s="116">
        <f t="shared" si="2"/>
        <v>275.00000000000006</v>
      </c>
      <c r="AF57" s="116">
        <f t="shared" si="3"/>
        <v>275.00000000000006</v>
      </c>
      <c r="AG57" s="116">
        <f t="shared" si="4"/>
        <v>220</v>
      </c>
      <c r="AH57" s="116" t="str">
        <f t="shared" si="5"/>
        <v/>
      </c>
    </row>
    <row r="58" spans="27:34" x14ac:dyDescent="0.25">
      <c r="AA58" s="117">
        <f t="shared" si="6"/>
        <v>1.4000000000000004E-3</v>
      </c>
      <c r="AB58" s="117">
        <f t="shared" si="7"/>
        <v>1.4000000000000004E-3</v>
      </c>
      <c r="AC58" s="117">
        <f t="shared" si="8"/>
        <v>1.4000000000000004E-3</v>
      </c>
      <c r="AD58" s="117">
        <f t="shared" si="9"/>
        <v>1.4000000000000004E-3</v>
      </c>
      <c r="AE58" s="116">
        <f t="shared" si="2"/>
        <v>280.00000000000006</v>
      </c>
      <c r="AF58" s="116">
        <f t="shared" si="3"/>
        <v>280.00000000000006</v>
      </c>
      <c r="AG58" s="116">
        <f t="shared" si="4"/>
        <v>220</v>
      </c>
      <c r="AH58" s="116" t="str">
        <f t="shared" si="5"/>
        <v/>
      </c>
    </row>
    <row r="59" spans="27:34" x14ac:dyDescent="0.25">
      <c r="AA59" s="117">
        <f t="shared" si="6"/>
        <v>1.4250000000000005E-3</v>
      </c>
      <c r="AB59" s="117">
        <f t="shared" si="7"/>
        <v>1.4250000000000005E-3</v>
      </c>
      <c r="AC59" s="117">
        <f t="shared" si="8"/>
        <v>1.4250000000000005E-3</v>
      </c>
      <c r="AD59" s="117">
        <f t="shared" si="9"/>
        <v>1.4250000000000005E-3</v>
      </c>
      <c r="AE59" s="116">
        <f t="shared" si="2"/>
        <v>285.00000000000011</v>
      </c>
      <c r="AF59" s="116">
        <f t="shared" si="3"/>
        <v>285.00000000000011</v>
      </c>
      <c r="AG59" s="116">
        <f t="shared" si="4"/>
        <v>220</v>
      </c>
      <c r="AH59" s="116" t="str">
        <f t="shared" si="5"/>
        <v/>
      </c>
    </row>
    <row r="60" spans="27:34" x14ac:dyDescent="0.25">
      <c r="AA60" s="117">
        <f t="shared" si="6"/>
        <v>1.4500000000000006E-3</v>
      </c>
      <c r="AB60" s="117">
        <f t="shared" si="7"/>
        <v>1.4500000000000006E-3</v>
      </c>
      <c r="AC60" s="117">
        <f t="shared" si="8"/>
        <v>1.4500000000000006E-3</v>
      </c>
      <c r="AD60" s="117">
        <f t="shared" si="9"/>
        <v>1.4500000000000006E-3</v>
      </c>
      <c r="AE60" s="116">
        <f t="shared" si="2"/>
        <v>290.00000000000011</v>
      </c>
      <c r="AF60" s="116">
        <f t="shared" si="3"/>
        <v>290.00000000000011</v>
      </c>
      <c r="AG60" s="116">
        <f t="shared" si="4"/>
        <v>220</v>
      </c>
      <c r="AH60" s="116" t="str">
        <f t="shared" si="5"/>
        <v/>
      </c>
    </row>
    <row r="61" spans="27:34" x14ac:dyDescent="0.25">
      <c r="AA61" s="117">
        <f t="shared" si="6"/>
        <v>1.4750000000000006E-3</v>
      </c>
      <c r="AB61" s="117">
        <f t="shared" si="7"/>
        <v>1.4750000000000006E-3</v>
      </c>
      <c r="AC61" s="117">
        <f t="shared" si="8"/>
        <v>1.4750000000000006E-3</v>
      </c>
      <c r="AD61" s="117">
        <f t="shared" si="9"/>
        <v>1.4750000000000006E-3</v>
      </c>
      <c r="AE61" s="116">
        <f t="shared" si="2"/>
        <v>295.00000000000011</v>
      </c>
      <c r="AF61" s="116">
        <f t="shared" si="3"/>
        <v>295.00000000000011</v>
      </c>
      <c r="AG61" s="116">
        <f t="shared" si="4"/>
        <v>220</v>
      </c>
      <c r="AH61" s="116" t="str">
        <f t="shared" si="5"/>
        <v/>
      </c>
    </row>
    <row r="62" spans="27:34" x14ac:dyDescent="0.25">
      <c r="AA62" s="117">
        <f t="shared" si="6"/>
        <v>1.5000000000000007E-3</v>
      </c>
      <c r="AB62" s="117">
        <f t="shared" si="7"/>
        <v>1.5000000000000007E-3</v>
      </c>
      <c r="AC62" s="117">
        <f t="shared" si="8"/>
        <v>1.5000000000000007E-3</v>
      </c>
      <c r="AD62" s="117">
        <f t="shared" si="9"/>
        <v>1.5000000000000007E-3</v>
      </c>
      <c r="AE62" s="116">
        <f t="shared" si="2"/>
        <v>300.00000000000011</v>
      </c>
      <c r="AF62" s="116">
        <f t="shared" si="3"/>
        <v>300.00000000000011</v>
      </c>
      <c r="AG62" s="116">
        <f t="shared" si="4"/>
        <v>220</v>
      </c>
      <c r="AH62" s="116" t="str">
        <f t="shared" si="5"/>
        <v/>
      </c>
    </row>
    <row r="63" spans="27:34" x14ac:dyDescent="0.25">
      <c r="AA63" s="117">
        <f t="shared" si="6"/>
        <v>1.5250000000000007E-3</v>
      </c>
      <c r="AB63" s="117">
        <f t="shared" si="7"/>
        <v>1.5250000000000007E-3</v>
      </c>
      <c r="AC63" s="117">
        <f t="shared" si="8"/>
        <v>1.5250000000000007E-3</v>
      </c>
      <c r="AD63" s="117">
        <f t="shared" si="9"/>
        <v>1.5250000000000007E-3</v>
      </c>
      <c r="AE63" s="116">
        <f t="shared" si="2"/>
        <v>305.00000000000017</v>
      </c>
      <c r="AF63" s="116">
        <f t="shared" si="3"/>
        <v>305.00000000000017</v>
      </c>
      <c r="AG63" s="116">
        <f t="shared" si="4"/>
        <v>220</v>
      </c>
      <c r="AH63" s="116" t="str">
        <f t="shared" si="5"/>
        <v/>
      </c>
    </row>
    <row r="64" spans="27:34" x14ac:dyDescent="0.25">
      <c r="AA64" s="117">
        <f t="shared" si="6"/>
        <v>1.5500000000000008E-3</v>
      </c>
      <c r="AB64" s="117">
        <f t="shared" si="7"/>
        <v>1.5500000000000008E-3</v>
      </c>
      <c r="AC64" s="117">
        <f t="shared" si="8"/>
        <v>1.5500000000000008E-3</v>
      </c>
      <c r="AD64" s="117">
        <f t="shared" si="9"/>
        <v>1.5500000000000008E-3</v>
      </c>
      <c r="AE64" s="116">
        <f t="shared" si="2"/>
        <v>310.00000000000017</v>
      </c>
      <c r="AF64" s="116">
        <f t="shared" si="3"/>
        <v>310.00000000000017</v>
      </c>
      <c r="AG64" s="116">
        <f t="shared" si="4"/>
        <v>220</v>
      </c>
      <c r="AH64" s="116" t="str">
        <f t="shared" si="5"/>
        <v/>
      </c>
    </row>
    <row r="65" spans="27:34" x14ac:dyDescent="0.25">
      <c r="AA65" s="117">
        <f t="shared" si="6"/>
        <v>1.5750000000000009E-3</v>
      </c>
      <c r="AB65" s="117">
        <f t="shared" si="7"/>
        <v>1.5750000000000009E-3</v>
      </c>
      <c r="AC65" s="117">
        <f t="shared" si="8"/>
        <v>1.5750000000000009E-3</v>
      </c>
      <c r="AD65" s="117">
        <f t="shared" si="9"/>
        <v>1.5750000000000009E-3</v>
      </c>
      <c r="AE65" s="116">
        <f t="shared" si="2"/>
        <v>315.00000000000017</v>
      </c>
      <c r="AF65" s="116">
        <f t="shared" si="3"/>
        <v>315.00000000000017</v>
      </c>
      <c r="AG65" s="116">
        <f t="shared" si="4"/>
        <v>220</v>
      </c>
      <c r="AH65" s="116" t="str">
        <f t="shared" si="5"/>
        <v/>
      </c>
    </row>
    <row r="66" spans="27:34" x14ac:dyDescent="0.25">
      <c r="AA66" s="117">
        <f t="shared" si="6"/>
        <v>1.6000000000000009E-3</v>
      </c>
      <c r="AB66" s="117">
        <f t="shared" si="7"/>
        <v>1.6000000000000009E-3</v>
      </c>
      <c r="AC66" s="117">
        <f t="shared" si="8"/>
        <v>1.6000000000000009E-3</v>
      </c>
      <c r="AD66" s="117">
        <f t="shared" si="9"/>
        <v>1.6000000000000009E-3</v>
      </c>
      <c r="AE66" s="116">
        <f t="shared" si="2"/>
        <v>320.00000000000017</v>
      </c>
      <c r="AF66" s="116">
        <f t="shared" si="3"/>
        <v>320.00000000000017</v>
      </c>
      <c r="AG66" s="116">
        <f t="shared" si="4"/>
        <v>220</v>
      </c>
      <c r="AH66" s="116" t="str">
        <f t="shared" si="5"/>
        <v/>
      </c>
    </row>
    <row r="67" spans="27:34" x14ac:dyDescent="0.25">
      <c r="AA67" s="117">
        <f t="shared" si="6"/>
        <v>1.625000000000001E-3</v>
      </c>
      <c r="AB67" s="117">
        <f t="shared" si="7"/>
        <v>1.625000000000001E-3</v>
      </c>
      <c r="AC67" s="117">
        <f t="shared" si="8"/>
        <v>1.625000000000001E-3</v>
      </c>
      <c r="AD67" s="117">
        <f t="shared" si="9"/>
        <v>1.625000000000001E-3</v>
      </c>
      <c r="AE67" s="116">
        <f t="shared" ref="AE67:AE130" si="10">IF(AA67&lt;B$6,B$4*AA67,B$3)</f>
        <v>325.00000000000023</v>
      </c>
      <c r="AF67" s="116">
        <f t="shared" ref="AF67:AF130" si="11">IF(AB67&lt;C$6,C$4*AB67,C$3)</f>
        <v>325.00000000000023</v>
      </c>
      <c r="AG67" s="116">
        <f t="shared" ref="AG67:AG130" si="12">IF(AC67&lt;D$6,D$4*AC67,D$3)</f>
        <v>220</v>
      </c>
      <c r="AH67" s="116" t="str">
        <f t="shared" ref="AH67:AH130" si="13">IF(AND(NOT(ISBLANK($E$3)), NOT(ISBLANK($E$4)), NOT(ISBLANK($E$5)), NOT(ISBLANK($E$6))), IF(AD67&lt;E$6,E$4*AD67,E$3), "")</f>
        <v/>
      </c>
    </row>
    <row r="68" spans="27:34" x14ac:dyDescent="0.25">
      <c r="AA68" s="117">
        <f t="shared" ref="AA68:AA131" si="14">AA67+MAX($B$6:$E$6)*2/200</f>
        <v>1.6500000000000011E-3</v>
      </c>
      <c r="AB68" s="117">
        <f t="shared" ref="AB68:AB131" si="15">AB67+MAX($B$6:$E$6)*2/200</f>
        <v>1.6500000000000011E-3</v>
      </c>
      <c r="AC68" s="117">
        <f t="shared" ref="AC68:AC131" si="16">AC67+MAX($B$6:$E$6)*2/200</f>
        <v>1.6500000000000011E-3</v>
      </c>
      <c r="AD68" s="117">
        <f t="shared" ref="AD68:AD131" si="17">AD67+MAX($B$6:$E$6)*2/200</f>
        <v>1.6500000000000011E-3</v>
      </c>
      <c r="AE68" s="116">
        <f t="shared" si="10"/>
        <v>330.00000000000023</v>
      </c>
      <c r="AF68" s="116">
        <f t="shared" si="11"/>
        <v>330.00000000000023</v>
      </c>
      <c r="AG68" s="116">
        <f t="shared" si="12"/>
        <v>220</v>
      </c>
      <c r="AH68" s="116" t="str">
        <f t="shared" si="13"/>
        <v/>
      </c>
    </row>
    <row r="69" spans="27:34" x14ac:dyDescent="0.25">
      <c r="AA69" s="117">
        <f t="shared" si="14"/>
        <v>1.6750000000000011E-3</v>
      </c>
      <c r="AB69" s="117">
        <f t="shared" si="15"/>
        <v>1.6750000000000011E-3</v>
      </c>
      <c r="AC69" s="117">
        <f t="shared" si="16"/>
        <v>1.6750000000000011E-3</v>
      </c>
      <c r="AD69" s="117">
        <f t="shared" si="17"/>
        <v>1.6750000000000011E-3</v>
      </c>
      <c r="AE69" s="116">
        <f t="shared" si="10"/>
        <v>335.00000000000023</v>
      </c>
      <c r="AF69" s="116">
        <f t="shared" si="11"/>
        <v>335.00000000000023</v>
      </c>
      <c r="AG69" s="116">
        <f t="shared" si="12"/>
        <v>220</v>
      </c>
      <c r="AH69" s="116" t="str">
        <f t="shared" si="13"/>
        <v/>
      </c>
    </row>
    <row r="70" spans="27:34" x14ac:dyDescent="0.25">
      <c r="AA70" s="117">
        <f t="shared" si="14"/>
        <v>1.7000000000000012E-3</v>
      </c>
      <c r="AB70" s="117">
        <f t="shared" si="15"/>
        <v>1.7000000000000012E-3</v>
      </c>
      <c r="AC70" s="117">
        <f t="shared" si="16"/>
        <v>1.7000000000000012E-3</v>
      </c>
      <c r="AD70" s="117">
        <f t="shared" si="17"/>
        <v>1.7000000000000012E-3</v>
      </c>
      <c r="AE70" s="116">
        <f t="shared" si="10"/>
        <v>340.00000000000023</v>
      </c>
      <c r="AF70" s="116">
        <f t="shared" si="11"/>
        <v>340.00000000000023</v>
      </c>
      <c r="AG70" s="116">
        <f t="shared" si="12"/>
        <v>220</v>
      </c>
      <c r="AH70" s="116" t="str">
        <f t="shared" si="13"/>
        <v/>
      </c>
    </row>
    <row r="71" spans="27:34" x14ac:dyDescent="0.25">
      <c r="AA71" s="117">
        <f t="shared" si="14"/>
        <v>1.7250000000000013E-3</v>
      </c>
      <c r="AB71" s="117">
        <f t="shared" si="15"/>
        <v>1.7250000000000013E-3</v>
      </c>
      <c r="AC71" s="117">
        <f t="shared" si="16"/>
        <v>1.7250000000000013E-3</v>
      </c>
      <c r="AD71" s="117">
        <f t="shared" si="17"/>
        <v>1.7250000000000013E-3</v>
      </c>
      <c r="AE71" s="116">
        <f t="shared" si="10"/>
        <v>345.00000000000023</v>
      </c>
      <c r="AF71" s="116">
        <f t="shared" si="11"/>
        <v>345.00000000000023</v>
      </c>
      <c r="AG71" s="116">
        <f t="shared" si="12"/>
        <v>220</v>
      </c>
      <c r="AH71" s="116" t="str">
        <f t="shared" si="13"/>
        <v/>
      </c>
    </row>
    <row r="72" spans="27:34" x14ac:dyDescent="0.25">
      <c r="AA72" s="117">
        <f t="shared" si="14"/>
        <v>1.7500000000000013E-3</v>
      </c>
      <c r="AB72" s="117">
        <f t="shared" si="15"/>
        <v>1.7500000000000013E-3</v>
      </c>
      <c r="AC72" s="117">
        <f t="shared" si="16"/>
        <v>1.7500000000000013E-3</v>
      </c>
      <c r="AD72" s="117">
        <f t="shared" si="17"/>
        <v>1.7500000000000013E-3</v>
      </c>
      <c r="AE72" s="116">
        <f t="shared" si="10"/>
        <v>350.00000000000028</v>
      </c>
      <c r="AF72" s="116">
        <f t="shared" si="11"/>
        <v>350.00000000000028</v>
      </c>
      <c r="AG72" s="116">
        <f t="shared" si="12"/>
        <v>220</v>
      </c>
      <c r="AH72" s="116" t="str">
        <f t="shared" si="13"/>
        <v/>
      </c>
    </row>
    <row r="73" spans="27:34" x14ac:dyDescent="0.25">
      <c r="AA73" s="117">
        <f t="shared" si="14"/>
        <v>1.7750000000000014E-3</v>
      </c>
      <c r="AB73" s="117">
        <f t="shared" si="15"/>
        <v>1.7750000000000014E-3</v>
      </c>
      <c r="AC73" s="117">
        <f t="shared" si="16"/>
        <v>1.7750000000000014E-3</v>
      </c>
      <c r="AD73" s="117">
        <f t="shared" si="17"/>
        <v>1.7750000000000014E-3</v>
      </c>
      <c r="AE73" s="116">
        <f t="shared" si="10"/>
        <v>355.00000000000028</v>
      </c>
      <c r="AF73" s="116">
        <f t="shared" si="11"/>
        <v>355.00000000000028</v>
      </c>
      <c r="AG73" s="116">
        <f t="shared" si="12"/>
        <v>220</v>
      </c>
      <c r="AH73" s="116" t="str">
        <f t="shared" si="13"/>
        <v/>
      </c>
    </row>
    <row r="74" spans="27:34" x14ac:dyDescent="0.25">
      <c r="AA74" s="117">
        <f t="shared" si="14"/>
        <v>1.8000000000000015E-3</v>
      </c>
      <c r="AB74" s="117">
        <f t="shared" si="15"/>
        <v>1.8000000000000015E-3</v>
      </c>
      <c r="AC74" s="117">
        <f t="shared" si="16"/>
        <v>1.8000000000000015E-3</v>
      </c>
      <c r="AD74" s="117">
        <f t="shared" si="17"/>
        <v>1.8000000000000015E-3</v>
      </c>
      <c r="AE74" s="116">
        <f t="shared" si="10"/>
        <v>360.00000000000028</v>
      </c>
      <c r="AF74" s="116">
        <f t="shared" si="11"/>
        <v>360.00000000000028</v>
      </c>
      <c r="AG74" s="116">
        <f t="shared" si="12"/>
        <v>220</v>
      </c>
      <c r="AH74" s="116" t="str">
        <f t="shared" si="13"/>
        <v/>
      </c>
    </row>
    <row r="75" spans="27:34" x14ac:dyDescent="0.25">
      <c r="AA75" s="117">
        <f t="shared" si="14"/>
        <v>1.8250000000000015E-3</v>
      </c>
      <c r="AB75" s="117">
        <f t="shared" si="15"/>
        <v>1.8250000000000015E-3</v>
      </c>
      <c r="AC75" s="117">
        <f t="shared" si="16"/>
        <v>1.8250000000000015E-3</v>
      </c>
      <c r="AD75" s="117">
        <f t="shared" si="17"/>
        <v>1.8250000000000015E-3</v>
      </c>
      <c r="AE75" s="116">
        <f t="shared" si="10"/>
        <v>365.00000000000028</v>
      </c>
      <c r="AF75" s="116">
        <f t="shared" si="11"/>
        <v>365.00000000000028</v>
      </c>
      <c r="AG75" s="116">
        <f t="shared" si="12"/>
        <v>220</v>
      </c>
      <c r="AH75" s="116" t="str">
        <f t="shared" si="13"/>
        <v/>
      </c>
    </row>
    <row r="76" spans="27:34" x14ac:dyDescent="0.25">
      <c r="AA76" s="117">
        <f t="shared" si="14"/>
        <v>1.8500000000000016E-3</v>
      </c>
      <c r="AB76" s="117">
        <f t="shared" si="15"/>
        <v>1.8500000000000016E-3</v>
      </c>
      <c r="AC76" s="117">
        <f t="shared" si="16"/>
        <v>1.8500000000000016E-3</v>
      </c>
      <c r="AD76" s="117">
        <f t="shared" si="17"/>
        <v>1.8500000000000016E-3</v>
      </c>
      <c r="AE76" s="116">
        <f t="shared" si="10"/>
        <v>370.00000000000034</v>
      </c>
      <c r="AF76" s="116">
        <f t="shared" si="11"/>
        <v>370.00000000000034</v>
      </c>
      <c r="AG76" s="116">
        <f t="shared" si="12"/>
        <v>220</v>
      </c>
      <c r="AH76" s="116" t="str">
        <f t="shared" si="13"/>
        <v/>
      </c>
    </row>
    <row r="77" spans="27:34" x14ac:dyDescent="0.25">
      <c r="AA77" s="117">
        <f t="shared" si="14"/>
        <v>1.8750000000000017E-3</v>
      </c>
      <c r="AB77" s="117">
        <f t="shared" si="15"/>
        <v>1.8750000000000017E-3</v>
      </c>
      <c r="AC77" s="117">
        <f t="shared" si="16"/>
        <v>1.8750000000000017E-3</v>
      </c>
      <c r="AD77" s="117">
        <f t="shared" si="17"/>
        <v>1.8750000000000017E-3</v>
      </c>
      <c r="AE77" s="116">
        <f t="shared" si="10"/>
        <v>375.00000000000034</v>
      </c>
      <c r="AF77" s="116">
        <f t="shared" si="11"/>
        <v>375.00000000000034</v>
      </c>
      <c r="AG77" s="116">
        <f t="shared" si="12"/>
        <v>220</v>
      </c>
      <c r="AH77" s="116" t="str">
        <f t="shared" si="13"/>
        <v/>
      </c>
    </row>
    <row r="78" spans="27:34" x14ac:dyDescent="0.25">
      <c r="AA78" s="117">
        <f t="shared" si="14"/>
        <v>1.9000000000000017E-3</v>
      </c>
      <c r="AB78" s="117">
        <f t="shared" si="15"/>
        <v>1.9000000000000017E-3</v>
      </c>
      <c r="AC78" s="117">
        <f t="shared" si="16"/>
        <v>1.9000000000000017E-3</v>
      </c>
      <c r="AD78" s="117">
        <f t="shared" si="17"/>
        <v>1.9000000000000017E-3</v>
      </c>
      <c r="AE78" s="116">
        <f t="shared" si="10"/>
        <v>380.00000000000034</v>
      </c>
      <c r="AF78" s="116">
        <f t="shared" si="11"/>
        <v>380.00000000000034</v>
      </c>
      <c r="AG78" s="116">
        <f t="shared" si="12"/>
        <v>220</v>
      </c>
      <c r="AH78" s="116" t="str">
        <f t="shared" si="13"/>
        <v/>
      </c>
    </row>
    <row r="79" spans="27:34" x14ac:dyDescent="0.25">
      <c r="AA79" s="117">
        <f t="shared" si="14"/>
        <v>1.9250000000000018E-3</v>
      </c>
      <c r="AB79" s="117">
        <f t="shared" si="15"/>
        <v>1.9250000000000018E-3</v>
      </c>
      <c r="AC79" s="117">
        <f t="shared" si="16"/>
        <v>1.9250000000000018E-3</v>
      </c>
      <c r="AD79" s="117">
        <f t="shared" si="17"/>
        <v>1.9250000000000018E-3</v>
      </c>
      <c r="AE79" s="116">
        <f t="shared" si="10"/>
        <v>385.00000000000034</v>
      </c>
      <c r="AF79" s="116">
        <f t="shared" si="11"/>
        <v>385.00000000000034</v>
      </c>
      <c r="AG79" s="116">
        <f t="shared" si="12"/>
        <v>220</v>
      </c>
      <c r="AH79" s="116" t="str">
        <f t="shared" si="13"/>
        <v/>
      </c>
    </row>
    <row r="80" spans="27:34" x14ac:dyDescent="0.25">
      <c r="AA80" s="117">
        <f t="shared" si="14"/>
        <v>1.9500000000000019E-3</v>
      </c>
      <c r="AB80" s="117">
        <f t="shared" si="15"/>
        <v>1.9500000000000019E-3</v>
      </c>
      <c r="AC80" s="117">
        <f t="shared" si="16"/>
        <v>1.9500000000000019E-3</v>
      </c>
      <c r="AD80" s="117">
        <f t="shared" si="17"/>
        <v>1.9500000000000019E-3</v>
      </c>
      <c r="AE80" s="116">
        <f t="shared" si="10"/>
        <v>390.0000000000004</v>
      </c>
      <c r="AF80" s="116">
        <f t="shared" si="11"/>
        <v>390.0000000000004</v>
      </c>
      <c r="AG80" s="116">
        <f t="shared" si="12"/>
        <v>220</v>
      </c>
      <c r="AH80" s="116" t="str">
        <f t="shared" si="13"/>
        <v/>
      </c>
    </row>
    <row r="81" spans="27:34" x14ac:dyDescent="0.25">
      <c r="AA81" s="117">
        <f t="shared" si="14"/>
        <v>1.9750000000000019E-3</v>
      </c>
      <c r="AB81" s="117">
        <f t="shared" si="15"/>
        <v>1.9750000000000019E-3</v>
      </c>
      <c r="AC81" s="117">
        <f t="shared" si="16"/>
        <v>1.9750000000000019E-3</v>
      </c>
      <c r="AD81" s="117">
        <f t="shared" si="17"/>
        <v>1.9750000000000019E-3</v>
      </c>
      <c r="AE81" s="116">
        <f t="shared" si="10"/>
        <v>395.0000000000004</v>
      </c>
      <c r="AF81" s="116">
        <f t="shared" si="11"/>
        <v>395.0000000000004</v>
      </c>
      <c r="AG81" s="116">
        <f t="shared" si="12"/>
        <v>220</v>
      </c>
      <c r="AH81" s="116" t="str">
        <f t="shared" si="13"/>
        <v/>
      </c>
    </row>
    <row r="82" spans="27:34" x14ac:dyDescent="0.25">
      <c r="AA82" s="117">
        <f t="shared" si="14"/>
        <v>2.0000000000000018E-3</v>
      </c>
      <c r="AB82" s="117">
        <f t="shared" si="15"/>
        <v>2.0000000000000018E-3</v>
      </c>
      <c r="AC82" s="117">
        <f t="shared" si="16"/>
        <v>2.0000000000000018E-3</v>
      </c>
      <c r="AD82" s="117">
        <f t="shared" si="17"/>
        <v>2.0000000000000018E-3</v>
      </c>
      <c r="AE82" s="116">
        <f t="shared" si="10"/>
        <v>400.00000000000034</v>
      </c>
      <c r="AF82" s="116">
        <f t="shared" si="11"/>
        <v>400.00000000000034</v>
      </c>
      <c r="AG82" s="116">
        <f t="shared" si="12"/>
        <v>220</v>
      </c>
      <c r="AH82" s="116" t="str">
        <f t="shared" si="13"/>
        <v/>
      </c>
    </row>
    <row r="83" spans="27:34" x14ac:dyDescent="0.25">
      <c r="AA83" s="117">
        <f t="shared" si="14"/>
        <v>2.0250000000000016E-3</v>
      </c>
      <c r="AB83" s="117">
        <f t="shared" si="15"/>
        <v>2.0250000000000016E-3</v>
      </c>
      <c r="AC83" s="117">
        <f t="shared" si="16"/>
        <v>2.0250000000000016E-3</v>
      </c>
      <c r="AD83" s="117">
        <f t="shared" si="17"/>
        <v>2.0250000000000016E-3</v>
      </c>
      <c r="AE83" s="116">
        <f t="shared" si="10"/>
        <v>405.00000000000034</v>
      </c>
      <c r="AF83" s="116">
        <f t="shared" si="11"/>
        <v>405.00000000000034</v>
      </c>
      <c r="AG83" s="116">
        <f t="shared" si="12"/>
        <v>220</v>
      </c>
      <c r="AH83" s="116" t="str">
        <f t="shared" si="13"/>
        <v/>
      </c>
    </row>
    <row r="84" spans="27:34" x14ac:dyDescent="0.25">
      <c r="AA84" s="117">
        <f t="shared" si="14"/>
        <v>2.0500000000000015E-3</v>
      </c>
      <c r="AB84" s="117">
        <f t="shared" si="15"/>
        <v>2.0500000000000015E-3</v>
      </c>
      <c r="AC84" s="117">
        <f t="shared" si="16"/>
        <v>2.0500000000000015E-3</v>
      </c>
      <c r="AD84" s="117">
        <f t="shared" si="17"/>
        <v>2.0500000000000015E-3</v>
      </c>
      <c r="AE84" s="116">
        <f t="shared" si="10"/>
        <v>410.00000000000028</v>
      </c>
      <c r="AF84" s="116">
        <f t="shared" si="11"/>
        <v>410.00000000000028</v>
      </c>
      <c r="AG84" s="116">
        <f t="shared" si="12"/>
        <v>220</v>
      </c>
      <c r="AH84" s="116" t="str">
        <f t="shared" si="13"/>
        <v/>
      </c>
    </row>
    <row r="85" spans="27:34" x14ac:dyDescent="0.25">
      <c r="AA85" s="117">
        <f t="shared" si="14"/>
        <v>2.0750000000000013E-3</v>
      </c>
      <c r="AB85" s="117">
        <f t="shared" si="15"/>
        <v>2.0750000000000013E-3</v>
      </c>
      <c r="AC85" s="117">
        <f t="shared" si="16"/>
        <v>2.0750000000000013E-3</v>
      </c>
      <c r="AD85" s="117">
        <f t="shared" si="17"/>
        <v>2.0750000000000013E-3</v>
      </c>
      <c r="AE85" s="116">
        <f t="shared" si="10"/>
        <v>415.00000000000028</v>
      </c>
      <c r="AF85" s="116">
        <f t="shared" si="11"/>
        <v>415.00000000000028</v>
      </c>
      <c r="AG85" s="116">
        <f t="shared" si="12"/>
        <v>220</v>
      </c>
      <c r="AH85" s="116" t="str">
        <f t="shared" si="13"/>
        <v/>
      </c>
    </row>
    <row r="86" spans="27:34" x14ac:dyDescent="0.25">
      <c r="AA86" s="117">
        <f t="shared" si="14"/>
        <v>2.1000000000000012E-3</v>
      </c>
      <c r="AB86" s="117">
        <f t="shared" si="15"/>
        <v>2.1000000000000012E-3</v>
      </c>
      <c r="AC86" s="117">
        <f t="shared" si="16"/>
        <v>2.1000000000000012E-3</v>
      </c>
      <c r="AD86" s="117">
        <f t="shared" si="17"/>
        <v>2.1000000000000012E-3</v>
      </c>
      <c r="AE86" s="116">
        <f t="shared" si="10"/>
        <v>420</v>
      </c>
      <c r="AF86" s="116">
        <f t="shared" si="11"/>
        <v>420.00000000000023</v>
      </c>
      <c r="AG86" s="116">
        <f t="shared" si="12"/>
        <v>220</v>
      </c>
      <c r="AH86" s="116" t="str">
        <f t="shared" si="13"/>
        <v/>
      </c>
    </row>
    <row r="87" spans="27:34" x14ac:dyDescent="0.25">
      <c r="AA87" s="117">
        <f t="shared" si="14"/>
        <v>2.125000000000001E-3</v>
      </c>
      <c r="AB87" s="117">
        <f t="shared" si="15"/>
        <v>2.125000000000001E-3</v>
      </c>
      <c r="AC87" s="117">
        <f t="shared" si="16"/>
        <v>2.125000000000001E-3</v>
      </c>
      <c r="AD87" s="117">
        <f t="shared" si="17"/>
        <v>2.125000000000001E-3</v>
      </c>
      <c r="AE87" s="116">
        <f t="shared" si="10"/>
        <v>420</v>
      </c>
      <c r="AF87" s="116">
        <f t="shared" si="11"/>
        <v>425.00000000000023</v>
      </c>
      <c r="AG87" s="116">
        <f t="shared" si="12"/>
        <v>220</v>
      </c>
      <c r="AH87" s="116" t="str">
        <f t="shared" si="13"/>
        <v/>
      </c>
    </row>
    <row r="88" spans="27:34" x14ac:dyDescent="0.25">
      <c r="AA88" s="117">
        <f t="shared" si="14"/>
        <v>2.1500000000000009E-3</v>
      </c>
      <c r="AB88" s="117">
        <f t="shared" si="15"/>
        <v>2.1500000000000009E-3</v>
      </c>
      <c r="AC88" s="117">
        <f t="shared" si="16"/>
        <v>2.1500000000000009E-3</v>
      </c>
      <c r="AD88" s="117">
        <f t="shared" si="17"/>
        <v>2.1500000000000009E-3</v>
      </c>
      <c r="AE88" s="116">
        <f t="shared" si="10"/>
        <v>420</v>
      </c>
      <c r="AF88" s="116">
        <f t="shared" si="11"/>
        <v>430.00000000000017</v>
      </c>
      <c r="AG88" s="116">
        <f t="shared" si="12"/>
        <v>220</v>
      </c>
      <c r="AH88" s="116" t="str">
        <f t="shared" si="13"/>
        <v/>
      </c>
    </row>
    <row r="89" spans="27:34" x14ac:dyDescent="0.25">
      <c r="AA89" s="117">
        <f t="shared" si="14"/>
        <v>2.1750000000000007E-3</v>
      </c>
      <c r="AB89" s="117">
        <f t="shared" si="15"/>
        <v>2.1750000000000007E-3</v>
      </c>
      <c r="AC89" s="117">
        <f t="shared" si="16"/>
        <v>2.1750000000000007E-3</v>
      </c>
      <c r="AD89" s="117">
        <f t="shared" si="17"/>
        <v>2.1750000000000007E-3</v>
      </c>
      <c r="AE89" s="116">
        <f t="shared" si="10"/>
        <v>420</v>
      </c>
      <c r="AF89" s="116">
        <f t="shared" si="11"/>
        <v>435.00000000000017</v>
      </c>
      <c r="AG89" s="116">
        <f t="shared" si="12"/>
        <v>220</v>
      </c>
      <c r="AH89" s="116" t="str">
        <f t="shared" si="13"/>
        <v/>
      </c>
    </row>
    <row r="90" spans="27:34" x14ac:dyDescent="0.25">
      <c r="AA90" s="117">
        <f t="shared" si="14"/>
        <v>2.2000000000000006E-3</v>
      </c>
      <c r="AB90" s="117">
        <f t="shared" si="15"/>
        <v>2.2000000000000006E-3</v>
      </c>
      <c r="AC90" s="117">
        <f t="shared" si="16"/>
        <v>2.2000000000000006E-3</v>
      </c>
      <c r="AD90" s="117">
        <f t="shared" si="17"/>
        <v>2.2000000000000006E-3</v>
      </c>
      <c r="AE90" s="116">
        <f t="shared" si="10"/>
        <v>420</v>
      </c>
      <c r="AF90" s="116">
        <f t="shared" si="11"/>
        <v>440.00000000000011</v>
      </c>
      <c r="AG90" s="116">
        <f t="shared" si="12"/>
        <v>220</v>
      </c>
      <c r="AH90" s="116" t="str">
        <f t="shared" si="13"/>
        <v/>
      </c>
    </row>
    <row r="91" spans="27:34" x14ac:dyDescent="0.25">
      <c r="AA91" s="117">
        <f t="shared" si="14"/>
        <v>2.2250000000000004E-3</v>
      </c>
      <c r="AB91" s="117">
        <f t="shared" si="15"/>
        <v>2.2250000000000004E-3</v>
      </c>
      <c r="AC91" s="117">
        <f t="shared" si="16"/>
        <v>2.2250000000000004E-3</v>
      </c>
      <c r="AD91" s="117">
        <f t="shared" si="17"/>
        <v>2.2250000000000004E-3</v>
      </c>
      <c r="AE91" s="116">
        <f t="shared" si="10"/>
        <v>420</v>
      </c>
      <c r="AF91" s="116">
        <f t="shared" si="11"/>
        <v>445.00000000000006</v>
      </c>
      <c r="AG91" s="116">
        <f t="shared" si="12"/>
        <v>220</v>
      </c>
      <c r="AH91" s="116" t="str">
        <f t="shared" si="13"/>
        <v/>
      </c>
    </row>
    <row r="92" spans="27:34" x14ac:dyDescent="0.25">
      <c r="AA92" s="117">
        <f t="shared" si="14"/>
        <v>2.2500000000000003E-3</v>
      </c>
      <c r="AB92" s="117">
        <f t="shared" si="15"/>
        <v>2.2500000000000003E-3</v>
      </c>
      <c r="AC92" s="117">
        <f t="shared" si="16"/>
        <v>2.2500000000000003E-3</v>
      </c>
      <c r="AD92" s="117">
        <f t="shared" si="17"/>
        <v>2.2500000000000003E-3</v>
      </c>
      <c r="AE92" s="116">
        <f t="shared" si="10"/>
        <v>420</v>
      </c>
      <c r="AF92" s="116">
        <f t="shared" si="11"/>
        <v>450.00000000000006</v>
      </c>
      <c r="AG92" s="116">
        <f t="shared" si="12"/>
        <v>220</v>
      </c>
      <c r="AH92" s="116" t="str">
        <f t="shared" si="13"/>
        <v/>
      </c>
    </row>
    <row r="93" spans="27:34" x14ac:dyDescent="0.25">
      <c r="AA93" s="117">
        <f t="shared" si="14"/>
        <v>2.2750000000000001E-3</v>
      </c>
      <c r="AB93" s="117">
        <f t="shared" si="15"/>
        <v>2.2750000000000001E-3</v>
      </c>
      <c r="AC93" s="117">
        <f t="shared" si="16"/>
        <v>2.2750000000000001E-3</v>
      </c>
      <c r="AD93" s="117">
        <f t="shared" si="17"/>
        <v>2.2750000000000001E-3</v>
      </c>
      <c r="AE93" s="116">
        <f t="shared" si="10"/>
        <v>420</v>
      </c>
      <c r="AF93" s="116">
        <f t="shared" si="11"/>
        <v>455</v>
      </c>
      <c r="AG93" s="116">
        <f t="shared" si="12"/>
        <v>220</v>
      </c>
      <c r="AH93" s="116" t="str">
        <f t="shared" si="13"/>
        <v/>
      </c>
    </row>
    <row r="94" spans="27:34" x14ac:dyDescent="0.25">
      <c r="AA94" s="117">
        <f t="shared" si="14"/>
        <v>2.3E-3</v>
      </c>
      <c r="AB94" s="117">
        <f t="shared" si="15"/>
        <v>2.3E-3</v>
      </c>
      <c r="AC94" s="117">
        <f t="shared" si="16"/>
        <v>2.3E-3</v>
      </c>
      <c r="AD94" s="117">
        <f t="shared" si="17"/>
        <v>2.3E-3</v>
      </c>
      <c r="AE94" s="116">
        <f t="shared" si="10"/>
        <v>420</v>
      </c>
      <c r="AF94" s="116">
        <f t="shared" si="11"/>
        <v>460</v>
      </c>
      <c r="AG94" s="116">
        <f t="shared" si="12"/>
        <v>220</v>
      </c>
      <c r="AH94" s="116" t="str">
        <f t="shared" si="13"/>
        <v/>
      </c>
    </row>
    <row r="95" spans="27:34" x14ac:dyDescent="0.25">
      <c r="AA95" s="117">
        <f t="shared" si="14"/>
        <v>2.3249999999999998E-3</v>
      </c>
      <c r="AB95" s="117">
        <f t="shared" si="15"/>
        <v>2.3249999999999998E-3</v>
      </c>
      <c r="AC95" s="117">
        <f t="shared" si="16"/>
        <v>2.3249999999999998E-3</v>
      </c>
      <c r="AD95" s="117">
        <f t="shared" si="17"/>
        <v>2.3249999999999998E-3</v>
      </c>
      <c r="AE95" s="116">
        <f t="shared" si="10"/>
        <v>420</v>
      </c>
      <c r="AF95" s="116">
        <f t="shared" si="11"/>
        <v>464.99999999999994</v>
      </c>
      <c r="AG95" s="116">
        <f t="shared" si="12"/>
        <v>220</v>
      </c>
      <c r="AH95" s="116" t="str">
        <f t="shared" si="13"/>
        <v/>
      </c>
    </row>
    <row r="96" spans="27:34" x14ac:dyDescent="0.25">
      <c r="AA96" s="117">
        <f t="shared" si="14"/>
        <v>2.3499999999999997E-3</v>
      </c>
      <c r="AB96" s="117">
        <f t="shared" si="15"/>
        <v>2.3499999999999997E-3</v>
      </c>
      <c r="AC96" s="117">
        <f t="shared" si="16"/>
        <v>2.3499999999999997E-3</v>
      </c>
      <c r="AD96" s="117">
        <f t="shared" si="17"/>
        <v>2.3499999999999997E-3</v>
      </c>
      <c r="AE96" s="116">
        <f t="shared" si="10"/>
        <v>420</v>
      </c>
      <c r="AF96" s="116">
        <f t="shared" si="11"/>
        <v>469.99999999999994</v>
      </c>
      <c r="AG96" s="116">
        <f t="shared" si="12"/>
        <v>220</v>
      </c>
      <c r="AH96" s="116" t="str">
        <f t="shared" si="13"/>
        <v/>
      </c>
    </row>
    <row r="97" spans="27:34" x14ac:dyDescent="0.25">
      <c r="AA97" s="117">
        <f t="shared" si="14"/>
        <v>2.3749999999999995E-3</v>
      </c>
      <c r="AB97" s="117">
        <f t="shared" si="15"/>
        <v>2.3749999999999995E-3</v>
      </c>
      <c r="AC97" s="117">
        <f t="shared" si="16"/>
        <v>2.3749999999999995E-3</v>
      </c>
      <c r="AD97" s="117">
        <f t="shared" si="17"/>
        <v>2.3749999999999995E-3</v>
      </c>
      <c r="AE97" s="116">
        <f t="shared" si="10"/>
        <v>420</v>
      </c>
      <c r="AF97" s="116">
        <f t="shared" si="11"/>
        <v>474.99999999999989</v>
      </c>
      <c r="AG97" s="116">
        <f t="shared" si="12"/>
        <v>220</v>
      </c>
      <c r="AH97" s="116" t="str">
        <f t="shared" si="13"/>
        <v/>
      </c>
    </row>
    <row r="98" spans="27:34" x14ac:dyDescent="0.25">
      <c r="AA98" s="117">
        <f t="shared" si="14"/>
        <v>2.3999999999999994E-3</v>
      </c>
      <c r="AB98" s="117">
        <f t="shared" si="15"/>
        <v>2.3999999999999994E-3</v>
      </c>
      <c r="AC98" s="117">
        <f t="shared" si="16"/>
        <v>2.3999999999999994E-3</v>
      </c>
      <c r="AD98" s="117">
        <f t="shared" si="17"/>
        <v>2.3999999999999994E-3</v>
      </c>
      <c r="AE98" s="116">
        <f t="shared" si="10"/>
        <v>420</v>
      </c>
      <c r="AF98" s="116">
        <f t="shared" si="11"/>
        <v>479.99999999999989</v>
      </c>
      <c r="AG98" s="116">
        <f t="shared" si="12"/>
        <v>220</v>
      </c>
      <c r="AH98" s="116" t="str">
        <f t="shared" si="13"/>
        <v/>
      </c>
    </row>
    <row r="99" spans="27:34" x14ac:dyDescent="0.25">
      <c r="AA99" s="117">
        <f t="shared" si="14"/>
        <v>2.4249999999999992E-3</v>
      </c>
      <c r="AB99" s="117">
        <f t="shared" si="15"/>
        <v>2.4249999999999992E-3</v>
      </c>
      <c r="AC99" s="117">
        <f t="shared" si="16"/>
        <v>2.4249999999999992E-3</v>
      </c>
      <c r="AD99" s="117">
        <f t="shared" si="17"/>
        <v>2.4249999999999992E-3</v>
      </c>
      <c r="AE99" s="116">
        <f t="shared" si="10"/>
        <v>420</v>
      </c>
      <c r="AF99" s="116">
        <f t="shared" si="11"/>
        <v>484.99999999999983</v>
      </c>
      <c r="AG99" s="116">
        <f t="shared" si="12"/>
        <v>220</v>
      </c>
      <c r="AH99" s="116" t="str">
        <f t="shared" si="13"/>
        <v/>
      </c>
    </row>
    <row r="100" spans="27:34" x14ac:dyDescent="0.25">
      <c r="AA100" s="117">
        <f t="shared" si="14"/>
        <v>2.4499999999999991E-3</v>
      </c>
      <c r="AB100" s="117">
        <f t="shared" si="15"/>
        <v>2.4499999999999991E-3</v>
      </c>
      <c r="AC100" s="117">
        <f t="shared" si="16"/>
        <v>2.4499999999999991E-3</v>
      </c>
      <c r="AD100" s="117">
        <f t="shared" si="17"/>
        <v>2.4499999999999991E-3</v>
      </c>
      <c r="AE100" s="116">
        <f t="shared" si="10"/>
        <v>420</v>
      </c>
      <c r="AF100" s="116">
        <f t="shared" si="11"/>
        <v>489.99999999999983</v>
      </c>
      <c r="AG100" s="116">
        <f t="shared" si="12"/>
        <v>220</v>
      </c>
      <c r="AH100" s="116" t="str">
        <f t="shared" si="13"/>
        <v/>
      </c>
    </row>
    <row r="101" spans="27:34" x14ac:dyDescent="0.25">
      <c r="AA101" s="117">
        <f t="shared" si="14"/>
        <v>2.4749999999999989E-3</v>
      </c>
      <c r="AB101" s="117">
        <f t="shared" si="15"/>
        <v>2.4749999999999989E-3</v>
      </c>
      <c r="AC101" s="117">
        <f t="shared" si="16"/>
        <v>2.4749999999999989E-3</v>
      </c>
      <c r="AD101" s="117">
        <f t="shared" si="17"/>
        <v>2.4749999999999989E-3</v>
      </c>
      <c r="AE101" s="116">
        <f t="shared" si="10"/>
        <v>420</v>
      </c>
      <c r="AF101" s="116">
        <f t="shared" si="11"/>
        <v>494.99999999999977</v>
      </c>
      <c r="AG101" s="116">
        <f t="shared" si="12"/>
        <v>220</v>
      </c>
      <c r="AH101" s="116" t="str">
        <f t="shared" si="13"/>
        <v/>
      </c>
    </row>
    <row r="102" spans="27:34" x14ac:dyDescent="0.25">
      <c r="AA102" s="117">
        <f t="shared" si="14"/>
        <v>2.4999999999999988E-3</v>
      </c>
      <c r="AB102" s="117">
        <f t="shared" si="15"/>
        <v>2.4999999999999988E-3</v>
      </c>
      <c r="AC102" s="117">
        <f t="shared" si="16"/>
        <v>2.4999999999999988E-3</v>
      </c>
      <c r="AD102" s="117">
        <f t="shared" si="17"/>
        <v>2.4999999999999988E-3</v>
      </c>
      <c r="AE102" s="116">
        <f t="shared" si="10"/>
        <v>420</v>
      </c>
      <c r="AF102" s="116">
        <f t="shared" si="11"/>
        <v>500</v>
      </c>
      <c r="AG102" s="116">
        <f t="shared" si="12"/>
        <v>220</v>
      </c>
      <c r="AH102" s="116" t="str">
        <f t="shared" si="13"/>
        <v/>
      </c>
    </row>
    <row r="103" spans="27:34" x14ac:dyDescent="0.25">
      <c r="AA103" s="117">
        <f t="shared" si="14"/>
        <v>2.5249999999999986E-3</v>
      </c>
      <c r="AB103" s="117">
        <f t="shared" si="15"/>
        <v>2.5249999999999986E-3</v>
      </c>
      <c r="AC103" s="117">
        <f t="shared" si="16"/>
        <v>2.5249999999999986E-3</v>
      </c>
      <c r="AD103" s="117">
        <f t="shared" si="17"/>
        <v>2.5249999999999986E-3</v>
      </c>
      <c r="AE103" s="116">
        <f t="shared" si="10"/>
        <v>420</v>
      </c>
      <c r="AF103" s="116">
        <f t="shared" si="11"/>
        <v>500</v>
      </c>
      <c r="AG103" s="116">
        <f t="shared" si="12"/>
        <v>220</v>
      </c>
      <c r="AH103" s="116" t="str">
        <f t="shared" si="13"/>
        <v/>
      </c>
    </row>
    <row r="104" spans="27:34" x14ac:dyDescent="0.25">
      <c r="AA104" s="117">
        <f t="shared" si="14"/>
        <v>2.5499999999999984E-3</v>
      </c>
      <c r="AB104" s="117">
        <f t="shared" si="15"/>
        <v>2.5499999999999984E-3</v>
      </c>
      <c r="AC104" s="117">
        <f t="shared" si="16"/>
        <v>2.5499999999999984E-3</v>
      </c>
      <c r="AD104" s="117">
        <f t="shared" si="17"/>
        <v>2.5499999999999984E-3</v>
      </c>
      <c r="AE104" s="116">
        <f t="shared" si="10"/>
        <v>420</v>
      </c>
      <c r="AF104" s="116">
        <f t="shared" si="11"/>
        <v>500</v>
      </c>
      <c r="AG104" s="116">
        <f t="shared" si="12"/>
        <v>220</v>
      </c>
      <c r="AH104" s="116" t="str">
        <f t="shared" si="13"/>
        <v/>
      </c>
    </row>
    <row r="105" spans="27:34" x14ac:dyDescent="0.25">
      <c r="AA105" s="117">
        <f t="shared" si="14"/>
        <v>2.5749999999999983E-3</v>
      </c>
      <c r="AB105" s="117">
        <f t="shared" si="15"/>
        <v>2.5749999999999983E-3</v>
      </c>
      <c r="AC105" s="117">
        <f t="shared" si="16"/>
        <v>2.5749999999999983E-3</v>
      </c>
      <c r="AD105" s="117">
        <f t="shared" si="17"/>
        <v>2.5749999999999983E-3</v>
      </c>
      <c r="AE105" s="116">
        <f t="shared" si="10"/>
        <v>420</v>
      </c>
      <c r="AF105" s="116">
        <f t="shared" si="11"/>
        <v>500</v>
      </c>
      <c r="AG105" s="116">
        <f t="shared" si="12"/>
        <v>220</v>
      </c>
      <c r="AH105" s="116" t="str">
        <f t="shared" si="13"/>
        <v/>
      </c>
    </row>
    <row r="106" spans="27:34" x14ac:dyDescent="0.25">
      <c r="AA106" s="117">
        <f t="shared" si="14"/>
        <v>2.5999999999999981E-3</v>
      </c>
      <c r="AB106" s="117">
        <f t="shared" si="15"/>
        <v>2.5999999999999981E-3</v>
      </c>
      <c r="AC106" s="117">
        <f t="shared" si="16"/>
        <v>2.5999999999999981E-3</v>
      </c>
      <c r="AD106" s="117">
        <f t="shared" si="17"/>
        <v>2.5999999999999981E-3</v>
      </c>
      <c r="AE106" s="116">
        <f t="shared" si="10"/>
        <v>420</v>
      </c>
      <c r="AF106" s="116">
        <f t="shared" si="11"/>
        <v>500</v>
      </c>
      <c r="AG106" s="116">
        <f t="shared" si="12"/>
        <v>220</v>
      </c>
      <c r="AH106" s="116" t="str">
        <f t="shared" si="13"/>
        <v/>
      </c>
    </row>
    <row r="107" spans="27:34" x14ac:dyDescent="0.25">
      <c r="AA107" s="117">
        <f t="shared" si="14"/>
        <v>2.624999999999998E-3</v>
      </c>
      <c r="AB107" s="117">
        <f t="shared" si="15"/>
        <v>2.624999999999998E-3</v>
      </c>
      <c r="AC107" s="117">
        <f t="shared" si="16"/>
        <v>2.624999999999998E-3</v>
      </c>
      <c r="AD107" s="117">
        <f t="shared" si="17"/>
        <v>2.624999999999998E-3</v>
      </c>
      <c r="AE107" s="116">
        <f t="shared" si="10"/>
        <v>420</v>
      </c>
      <c r="AF107" s="116">
        <f t="shared" si="11"/>
        <v>500</v>
      </c>
      <c r="AG107" s="116">
        <f t="shared" si="12"/>
        <v>220</v>
      </c>
      <c r="AH107" s="116" t="str">
        <f t="shared" si="13"/>
        <v/>
      </c>
    </row>
    <row r="108" spans="27:34" x14ac:dyDescent="0.25">
      <c r="AA108" s="117">
        <f t="shared" si="14"/>
        <v>2.6499999999999978E-3</v>
      </c>
      <c r="AB108" s="117">
        <f t="shared" si="15"/>
        <v>2.6499999999999978E-3</v>
      </c>
      <c r="AC108" s="117">
        <f t="shared" si="16"/>
        <v>2.6499999999999978E-3</v>
      </c>
      <c r="AD108" s="117">
        <f t="shared" si="17"/>
        <v>2.6499999999999978E-3</v>
      </c>
      <c r="AE108" s="116">
        <f t="shared" si="10"/>
        <v>420</v>
      </c>
      <c r="AF108" s="116">
        <f t="shared" si="11"/>
        <v>500</v>
      </c>
      <c r="AG108" s="116">
        <f t="shared" si="12"/>
        <v>220</v>
      </c>
      <c r="AH108" s="116" t="str">
        <f t="shared" si="13"/>
        <v/>
      </c>
    </row>
    <row r="109" spans="27:34" x14ac:dyDescent="0.25">
      <c r="AA109" s="117">
        <f t="shared" si="14"/>
        <v>2.6749999999999977E-3</v>
      </c>
      <c r="AB109" s="117">
        <f t="shared" si="15"/>
        <v>2.6749999999999977E-3</v>
      </c>
      <c r="AC109" s="117">
        <f t="shared" si="16"/>
        <v>2.6749999999999977E-3</v>
      </c>
      <c r="AD109" s="117">
        <f t="shared" si="17"/>
        <v>2.6749999999999977E-3</v>
      </c>
      <c r="AE109" s="116">
        <f t="shared" si="10"/>
        <v>420</v>
      </c>
      <c r="AF109" s="116">
        <f t="shared" si="11"/>
        <v>500</v>
      </c>
      <c r="AG109" s="116">
        <f t="shared" si="12"/>
        <v>220</v>
      </c>
      <c r="AH109" s="116" t="str">
        <f t="shared" si="13"/>
        <v/>
      </c>
    </row>
    <row r="110" spans="27:34" x14ac:dyDescent="0.25">
      <c r="AA110" s="117">
        <f t="shared" si="14"/>
        <v>2.6999999999999975E-3</v>
      </c>
      <c r="AB110" s="117">
        <f t="shared" si="15"/>
        <v>2.6999999999999975E-3</v>
      </c>
      <c r="AC110" s="117">
        <f t="shared" si="16"/>
        <v>2.6999999999999975E-3</v>
      </c>
      <c r="AD110" s="117">
        <f t="shared" si="17"/>
        <v>2.6999999999999975E-3</v>
      </c>
      <c r="AE110" s="116">
        <f t="shared" si="10"/>
        <v>420</v>
      </c>
      <c r="AF110" s="116">
        <f t="shared" si="11"/>
        <v>500</v>
      </c>
      <c r="AG110" s="116">
        <f t="shared" si="12"/>
        <v>220</v>
      </c>
      <c r="AH110" s="116" t="str">
        <f t="shared" si="13"/>
        <v/>
      </c>
    </row>
    <row r="111" spans="27:34" x14ac:dyDescent="0.25">
      <c r="AA111" s="117">
        <f t="shared" si="14"/>
        <v>2.7249999999999974E-3</v>
      </c>
      <c r="AB111" s="117">
        <f t="shared" si="15"/>
        <v>2.7249999999999974E-3</v>
      </c>
      <c r="AC111" s="117">
        <f t="shared" si="16"/>
        <v>2.7249999999999974E-3</v>
      </c>
      <c r="AD111" s="117">
        <f t="shared" si="17"/>
        <v>2.7249999999999974E-3</v>
      </c>
      <c r="AE111" s="116">
        <f t="shared" si="10"/>
        <v>420</v>
      </c>
      <c r="AF111" s="116">
        <f t="shared" si="11"/>
        <v>500</v>
      </c>
      <c r="AG111" s="116">
        <f t="shared" si="12"/>
        <v>220</v>
      </c>
      <c r="AH111" s="116" t="str">
        <f t="shared" si="13"/>
        <v/>
      </c>
    </row>
    <row r="112" spans="27:34" x14ac:dyDescent="0.25">
      <c r="AA112" s="117">
        <f t="shared" si="14"/>
        <v>2.7499999999999972E-3</v>
      </c>
      <c r="AB112" s="117">
        <f t="shared" si="15"/>
        <v>2.7499999999999972E-3</v>
      </c>
      <c r="AC112" s="117">
        <f t="shared" si="16"/>
        <v>2.7499999999999972E-3</v>
      </c>
      <c r="AD112" s="117">
        <f t="shared" si="17"/>
        <v>2.7499999999999972E-3</v>
      </c>
      <c r="AE112" s="116">
        <f t="shared" si="10"/>
        <v>420</v>
      </c>
      <c r="AF112" s="116">
        <f t="shared" si="11"/>
        <v>500</v>
      </c>
      <c r="AG112" s="116">
        <f t="shared" si="12"/>
        <v>220</v>
      </c>
      <c r="AH112" s="116" t="str">
        <f t="shared" si="13"/>
        <v/>
      </c>
    </row>
    <row r="113" spans="27:34" x14ac:dyDescent="0.25">
      <c r="AA113" s="117">
        <f t="shared" si="14"/>
        <v>2.7749999999999971E-3</v>
      </c>
      <c r="AB113" s="117">
        <f t="shared" si="15"/>
        <v>2.7749999999999971E-3</v>
      </c>
      <c r="AC113" s="117">
        <f t="shared" si="16"/>
        <v>2.7749999999999971E-3</v>
      </c>
      <c r="AD113" s="117">
        <f t="shared" si="17"/>
        <v>2.7749999999999971E-3</v>
      </c>
      <c r="AE113" s="116">
        <f t="shared" si="10"/>
        <v>420</v>
      </c>
      <c r="AF113" s="116">
        <f t="shared" si="11"/>
        <v>500</v>
      </c>
      <c r="AG113" s="116">
        <f t="shared" si="12"/>
        <v>220</v>
      </c>
      <c r="AH113" s="116" t="str">
        <f t="shared" si="13"/>
        <v/>
      </c>
    </row>
    <row r="114" spans="27:34" x14ac:dyDescent="0.25">
      <c r="AA114" s="117">
        <f t="shared" si="14"/>
        <v>2.7999999999999969E-3</v>
      </c>
      <c r="AB114" s="117">
        <f t="shared" si="15"/>
        <v>2.7999999999999969E-3</v>
      </c>
      <c r="AC114" s="117">
        <f t="shared" si="16"/>
        <v>2.7999999999999969E-3</v>
      </c>
      <c r="AD114" s="117">
        <f t="shared" si="17"/>
        <v>2.7999999999999969E-3</v>
      </c>
      <c r="AE114" s="116">
        <f t="shared" si="10"/>
        <v>420</v>
      </c>
      <c r="AF114" s="116">
        <f t="shared" si="11"/>
        <v>500</v>
      </c>
      <c r="AG114" s="116">
        <f t="shared" si="12"/>
        <v>220</v>
      </c>
      <c r="AH114" s="116" t="str">
        <f t="shared" si="13"/>
        <v/>
      </c>
    </row>
    <row r="115" spans="27:34" x14ac:dyDescent="0.25">
      <c r="AA115" s="117">
        <f t="shared" si="14"/>
        <v>2.8249999999999968E-3</v>
      </c>
      <c r="AB115" s="117">
        <f t="shared" si="15"/>
        <v>2.8249999999999968E-3</v>
      </c>
      <c r="AC115" s="117">
        <f t="shared" si="16"/>
        <v>2.8249999999999968E-3</v>
      </c>
      <c r="AD115" s="117">
        <f t="shared" si="17"/>
        <v>2.8249999999999968E-3</v>
      </c>
      <c r="AE115" s="116">
        <f t="shared" si="10"/>
        <v>420</v>
      </c>
      <c r="AF115" s="116">
        <f t="shared" si="11"/>
        <v>500</v>
      </c>
      <c r="AG115" s="116">
        <f t="shared" si="12"/>
        <v>220</v>
      </c>
      <c r="AH115" s="116" t="str">
        <f t="shared" si="13"/>
        <v/>
      </c>
    </row>
    <row r="116" spans="27:34" x14ac:dyDescent="0.25">
      <c r="AA116" s="117">
        <f t="shared" si="14"/>
        <v>2.8499999999999966E-3</v>
      </c>
      <c r="AB116" s="117">
        <f t="shared" si="15"/>
        <v>2.8499999999999966E-3</v>
      </c>
      <c r="AC116" s="117">
        <f t="shared" si="16"/>
        <v>2.8499999999999966E-3</v>
      </c>
      <c r="AD116" s="117">
        <f t="shared" si="17"/>
        <v>2.8499999999999966E-3</v>
      </c>
      <c r="AE116" s="116">
        <f t="shared" si="10"/>
        <v>420</v>
      </c>
      <c r="AF116" s="116">
        <f t="shared" si="11"/>
        <v>500</v>
      </c>
      <c r="AG116" s="116">
        <f t="shared" si="12"/>
        <v>220</v>
      </c>
      <c r="AH116" s="116" t="str">
        <f t="shared" si="13"/>
        <v/>
      </c>
    </row>
    <row r="117" spans="27:34" x14ac:dyDescent="0.25">
      <c r="AA117" s="117">
        <f t="shared" si="14"/>
        <v>2.8749999999999965E-3</v>
      </c>
      <c r="AB117" s="117">
        <f t="shared" si="15"/>
        <v>2.8749999999999965E-3</v>
      </c>
      <c r="AC117" s="117">
        <f t="shared" si="16"/>
        <v>2.8749999999999965E-3</v>
      </c>
      <c r="AD117" s="117">
        <f t="shared" si="17"/>
        <v>2.8749999999999965E-3</v>
      </c>
      <c r="AE117" s="116">
        <f t="shared" si="10"/>
        <v>420</v>
      </c>
      <c r="AF117" s="116">
        <f t="shared" si="11"/>
        <v>500</v>
      </c>
      <c r="AG117" s="116">
        <f t="shared" si="12"/>
        <v>220</v>
      </c>
      <c r="AH117" s="116" t="str">
        <f t="shared" si="13"/>
        <v/>
      </c>
    </row>
    <row r="118" spans="27:34" x14ac:dyDescent="0.25">
      <c r="AA118" s="117">
        <f t="shared" si="14"/>
        <v>2.8999999999999963E-3</v>
      </c>
      <c r="AB118" s="117">
        <f t="shared" si="15"/>
        <v>2.8999999999999963E-3</v>
      </c>
      <c r="AC118" s="117">
        <f t="shared" si="16"/>
        <v>2.8999999999999963E-3</v>
      </c>
      <c r="AD118" s="117">
        <f t="shared" si="17"/>
        <v>2.8999999999999963E-3</v>
      </c>
      <c r="AE118" s="116">
        <f t="shared" si="10"/>
        <v>420</v>
      </c>
      <c r="AF118" s="116">
        <f t="shared" si="11"/>
        <v>500</v>
      </c>
      <c r="AG118" s="116">
        <f t="shared" si="12"/>
        <v>220</v>
      </c>
      <c r="AH118" s="116" t="str">
        <f t="shared" si="13"/>
        <v/>
      </c>
    </row>
    <row r="119" spans="27:34" x14ac:dyDescent="0.25">
      <c r="AA119" s="117">
        <f t="shared" si="14"/>
        <v>2.9249999999999962E-3</v>
      </c>
      <c r="AB119" s="117">
        <f t="shared" si="15"/>
        <v>2.9249999999999962E-3</v>
      </c>
      <c r="AC119" s="117">
        <f t="shared" si="16"/>
        <v>2.9249999999999962E-3</v>
      </c>
      <c r="AD119" s="117">
        <f t="shared" si="17"/>
        <v>2.9249999999999962E-3</v>
      </c>
      <c r="AE119" s="116">
        <f t="shared" si="10"/>
        <v>420</v>
      </c>
      <c r="AF119" s="116">
        <f t="shared" si="11"/>
        <v>500</v>
      </c>
      <c r="AG119" s="116">
        <f t="shared" si="12"/>
        <v>220</v>
      </c>
      <c r="AH119" s="116" t="str">
        <f t="shared" si="13"/>
        <v/>
      </c>
    </row>
    <row r="120" spans="27:34" x14ac:dyDescent="0.25">
      <c r="AA120" s="117">
        <f t="shared" si="14"/>
        <v>2.949999999999996E-3</v>
      </c>
      <c r="AB120" s="117">
        <f t="shared" si="15"/>
        <v>2.949999999999996E-3</v>
      </c>
      <c r="AC120" s="117">
        <f t="shared" si="16"/>
        <v>2.949999999999996E-3</v>
      </c>
      <c r="AD120" s="117">
        <f t="shared" si="17"/>
        <v>2.949999999999996E-3</v>
      </c>
      <c r="AE120" s="116">
        <f t="shared" si="10"/>
        <v>420</v>
      </c>
      <c r="AF120" s="116">
        <f t="shared" si="11"/>
        <v>500</v>
      </c>
      <c r="AG120" s="116">
        <f t="shared" si="12"/>
        <v>220</v>
      </c>
      <c r="AH120" s="116" t="str">
        <f t="shared" si="13"/>
        <v/>
      </c>
    </row>
    <row r="121" spans="27:34" x14ac:dyDescent="0.25">
      <c r="AA121" s="117">
        <f t="shared" si="14"/>
        <v>2.9749999999999959E-3</v>
      </c>
      <c r="AB121" s="117">
        <f t="shared" si="15"/>
        <v>2.9749999999999959E-3</v>
      </c>
      <c r="AC121" s="117">
        <f t="shared" si="16"/>
        <v>2.9749999999999959E-3</v>
      </c>
      <c r="AD121" s="117">
        <f t="shared" si="17"/>
        <v>2.9749999999999959E-3</v>
      </c>
      <c r="AE121" s="116">
        <f t="shared" si="10"/>
        <v>420</v>
      </c>
      <c r="AF121" s="116">
        <f t="shared" si="11"/>
        <v>500</v>
      </c>
      <c r="AG121" s="116">
        <f t="shared" si="12"/>
        <v>220</v>
      </c>
      <c r="AH121" s="116" t="str">
        <f t="shared" si="13"/>
        <v/>
      </c>
    </row>
    <row r="122" spans="27:34" x14ac:dyDescent="0.25">
      <c r="AA122" s="117">
        <f t="shared" si="14"/>
        <v>2.9999999999999957E-3</v>
      </c>
      <c r="AB122" s="117">
        <f t="shared" si="15"/>
        <v>2.9999999999999957E-3</v>
      </c>
      <c r="AC122" s="117">
        <f t="shared" si="16"/>
        <v>2.9999999999999957E-3</v>
      </c>
      <c r="AD122" s="117">
        <f t="shared" si="17"/>
        <v>2.9999999999999957E-3</v>
      </c>
      <c r="AE122" s="116">
        <f t="shared" si="10"/>
        <v>420</v>
      </c>
      <c r="AF122" s="116">
        <f t="shared" si="11"/>
        <v>500</v>
      </c>
      <c r="AG122" s="116">
        <f t="shared" si="12"/>
        <v>220</v>
      </c>
      <c r="AH122" s="116" t="str">
        <f t="shared" si="13"/>
        <v/>
      </c>
    </row>
    <row r="123" spans="27:34" x14ac:dyDescent="0.25">
      <c r="AA123" s="117">
        <f t="shared" si="14"/>
        <v>3.0249999999999956E-3</v>
      </c>
      <c r="AB123" s="117">
        <f t="shared" si="15"/>
        <v>3.0249999999999956E-3</v>
      </c>
      <c r="AC123" s="117">
        <f t="shared" si="16"/>
        <v>3.0249999999999956E-3</v>
      </c>
      <c r="AD123" s="117">
        <f t="shared" si="17"/>
        <v>3.0249999999999956E-3</v>
      </c>
      <c r="AE123" s="116">
        <f t="shared" si="10"/>
        <v>420</v>
      </c>
      <c r="AF123" s="116">
        <f t="shared" si="11"/>
        <v>500</v>
      </c>
      <c r="AG123" s="116">
        <f t="shared" si="12"/>
        <v>220</v>
      </c>
      <c r="AH123" s="116" t="str">
        <f t="shared" si="13"/>
        <v/>
      </c>
    </row>
    <row r="124" spans="27:34" x14ac:dyDescent="0.25">
      <c r="AA124" s="117">
        <f t="shared" si="14"/>
        <v>3.0499999999999954E-3</v>
      </c>
      <c r="AB124" s="117">
        <f t="shared" si="15"/>
        <v>3.0499999999999954E-3</v>
      </c>
      <c r="AC124" s="117">
        <f t="shared" si="16"/>
        <v>3.0499999999999954E-3</v>
      </c>
      <c r="AD124" s="117">
        <f t="shared" si="17"/>
        <v>3.0499999999999954E-3</v>
      </c>
      <c r="AE124" s="116">
        <f t="shared" si="10"/>
        <v>420</v>
      </c>
      <c r="AF124" s="116">
        <f t="shared" si="11"/>
        <v>500</v>
      </c>
      <c r="AG124" s="116">
        <f t="shared" si="12"/>
        <v>220</v>
      </c>
      <c r="AH124" s="116" t="str">
        <f t="shared" si="13"/>
        <v/>
      </c>
    </row>
    <row r="125" spans="27:34" x14ac:dyDescent="0.25">
      <c r="AA125" s="117">
        <f t="shared" si="14"/>
        <v>3.0749999999999953E-3</v>
      </c>
      <c r="AB125" s="117">
        <f t="shared" si="15"/>
        <v>3.0749999999999953E-3</v>
      </c>
      <c r="AC125" s="117">
        <f t="shared" si="16"/>
        <v>3.0749999999999953E-3</v>
      </c>
      <c r="AD125" s="117">
        <f t="shared" si="17"/>
        <v>3.0749999999999953E-3</v>
      </c>
      <c r="AE125" s="116">
        <f t="shared" si="10"/>
        <v>420</v>
      </c>
      <c r="AF125" s="116">
        <f t="shared" si="11"/>
        <v>500</v>
      </c>
      <c r="AG125" s="116">
        <f t="shared" si="12"/>
        <v>220</v>
      </c>
      <c r="AH125" s="116" t="str">
        <f t="shared" si="13"/>
        <v/>
      </c>
    </row>
    <row r="126" spans="27:34" x14ac:dyDescent="0.25">
      <c r="AA126" s="117">
        <f t="shared" si="14"/>
        <v>3.0999999999999951E-3</v>
      </c>
      <c r="AB126" s="117">
        <f t="shared" si="15"/>
        <v>3.0999999999999951E-3</v>
      </c>
      <c r="AC126" s="117">
        <f t="shared" si="16"/>
        <v>3.0999999999999951E-3</v>
      </c>
      <c r="AD126" s="117">
        <f t="shared" si="17"/>
        <v>3.0999999999999951E-3</v>
      </c>
      <c r="AE126" s="116">
        <f t="shared" si="10"/>
        <v>420</v>
      </c>
      <c r="AF126" s="116">
        <f t="shared" si="11"/>
        <v>500</v>
      </c>
      <c r="AG126" s="116">
        <f t="shared" si="12"/>
        <v>220</v>
      </c>
      <c r="AH126" s="116" t="str">
        <f t="shared" si="13"/>
        <v/>
      </c>
    </row>
    <row r="127" spans="27:34" x14ac:dyDescent="0.25">
      <c r="AA127" s="117">
        <f t="shared" si="14"/>
        <v>3.124999999999995E-3</v>
      </c>
      <c r="AB127" s="117">
        <f t="shared" si="15"/>
        <v>3.124999999999995E-3</v>
      </c>
      <c r="AC127" s="117">
        <f t="shared" si="16"/>
        <v>3.124999999999995E-3</v>
      </c>
      <c r="AD127" s="117">
        <f t="shared" si="17"/>
        <v>3.124999999999995E-3</v>
      </c>
      <c r="AE127" s="116">
        <f t="shared" si="10"/>
        <v>420</v>
      </c>
      <c r="AF127" s="116">
        <f t="shared" si="11"/>
        <v>500</v>
      </c>
      <c r="AG127" s="116">
        <f t="shared" si="12"/>
        <v>220</v>
      </c>
      <c r="AH127" s="116" t="str">
        <f t="shared" si="13"/>
        <v/>
      </c>
    </row>
    <row r="128" spans="27:34" x14ac:dyDescent="0.25">
      <c r="AA128" s="117">
        <f t="shared" si="14"/>
        <v>3.1499999999999948E-3</v>
      </c>
      <c r="AB128" s="117">
        <f t="shared" si="15"/>
        <v>3.1499999999999948E-3</v>
      </c>
      <c r="AC128" s="117">
        <f t="shared" si="16"/>
        <v>3.1499999999999948E-3</v>
      </c>
      <c r="AD128" s="117">
        <f t="shared" si="17"/>
        <v>3.1499999999999948E-3</v>
      </c>
      <c r="AE128" s="116">
        <f t="shared" si="10"/>
        <v>420</v>
      </c>
      <c r="AF128" s="116">
        <f t="shared" si="11"/>
        <v>500</v>
      </c>
      <c r="AG128" s="116">
        <f t="shared" si="12"/>
        <v>220</v>
      </c>
      <c r="AH128" s="116" t="str">
        <f t="shared" si="13"/>
        <v/>
      </c>
    </row>
    <row r="129" spans="27:34" x14ac:dyDescent="0.25">
      <c r="AA129" s="117">
        <f t="shared" si="14"/>
        <v>3.1749999999999947E-3</v>
      </c>
      <c r="AB129" s="117">
        <f t="shared" si="15"/>
        <v>3.1749999999999947E-3</v>
      </c>
      <c r="AC129" s="117">
        <f t="shared" si="16"/>
        <v>3.1749999999999947E-3</v>
      </c>
      <c r="AD129" s="117">
        <f t="shared" si="17"/>
        <v>3.1749999999999947E-3</v>
      </c>
      <c r="AE129" s="116">
        <f t="shared" si="10"/>
        <v>420</v>
      </c>
      <c r="AF129" s="116">
        <f t="shared" si="11"/>
        <v>500</v>
      </c>
      <c r="AG129" s="116">
        <f t="shared" si="12"/>
        <v>220</v>
      </c>
      <c r="AH129" s="116" t="str">
        <f t="shared" si="13"/>
        <v/>
      </c>
    </row>
    <row r="130" spans="27:34" x14ac:dyDescent="0.25">
      <c r="AA130" s="117">
        <f t="shared" si="14"/>
        <v>3.1999999999999945E-3</v>
      </c>
      <c r="AB130" s="117">
        <f t="shared" si="15"/>
        <v>3.1999999999999945E-3</v>
      </c>
      <c r="AC130" s="117">
        <f t="shared" si="16"/>
        <v>3.1999999999999945E-3</v>
      </c>
      <c r="AD130" s="117">
        <f t="shared" si="17"/>
        <v>3.1999999999999945E-3</v>
      </c>
      <c r="AE130" s="116">
        <f t="shared" si="10"/>
        <v>420</v>
      </c>
      <c r="AF130" s="116">
        <f t="shared" si="11"/>
        <v>500</v>
      </c>
      <c r="AG130" s="116">
        <f t="shared" si="12"/>
        <v>220</v>
      </c>
      <c r="AH130" s="116" t="str">
        <f t="shared" si="13"/>
        <v/>
      </c>
    </row>
    <row r="131" spans="27:34" x14ac:dyDescent="0.25">
      <c r="AA131" s="117">
        <f t="shared" si="14"/>
        <v>3.2249999999999944E-3</v>
      </c>
      <c r="AB131" s="117">
        <f t="shared" si="15"/>
        <v>3.2249999999999944E-3</v>
      </c>
      <c r="AC131" s="117">
        <f t="shared" si="16"/>
        <v>3.2249999999999944E-3</v>
      </c>
      <c r="AD131" s="117">
        <f t="shared" si="17"/>
        <v>3.2249999999999944E-3</v>
      </c>
      <c r="AE131" s="116">
        <f t="shared" ref="AE131:AE194" si="18">IF(AA131&lt;B$6,B$4*AA131,B$3)</f>
        <v>420</v>
      </c>
      <c r="AF131" s="116">
        <f t="shared" ref="AF131:AF194" si="19">IF(AB131&lt;C$6,C$4*AB131,C$3)</f>
        <v>500</v>
      </c>
      <c r="AG131" s="116">
        <f t="shared" ref="AG131:AG194" si="20">IF(AC131&lt;D$6,D$4*AC131,D$3)</f>
        <v>220</v>
      </c>
      <c r="AH131" s="116" t="str">
        <f t="shared" ref="AH131:AH194" si="21">IF(AND(NOT(ISBLANK($E$3)), NOT(ISBLANK($E$4)), NOT(ISBLANK($E$5)), NOT(ISBLANK($E$6))), IF(AD131&lt;E$6,E$4*AD131,E$3), "")</f>
        <v/>
      </c>
    </row>
    <row r="132" spans="27:34" x14ac:dyDescent="0.25">
      <c r="AA132" s="117">
        <f t="shared" ref="AA132:AA195" si="22">AA131+MAX($B$6:$E$6)*2/200</f>
        <v>3.2499999999999942E-3</v>
      </c>
      <c r="AB132" s="117">
        <f t="shared" ref="AB132:AB195" si="23">AB131+MAX($B$6:$E$6)*2/200</f>
        <v>3.2499999999999942E-3</v>
      </c>
      <c r="AC132" s="117">
        <f t="shared" ref="AC132:AC195" si="24">AC131+MAX($B$6:$E$6)*2/200</f>
        <v>3.2499999999999942E-3</v>
      </c>
      <c r="AD132" s="117">
        <f t="shared" ref="AD132:AD195" si="25">AD131+MAX($B$6:$E$6)*2/200</f>
        <v>3.2499999999999942E-3</v>
      </c>
      <c r="AE132" s="116">
        <f t="shared" si="18"/>
        <v>420</v>
      </c>
      <c r="AF132" s="116">
        <f t="shared" si="19"/>
        <v>500</v>
      </c>
      <c r="AG132" s="116">
        <f t="shared" si="20"/>
        <v>220</v>
      </c>
      <c r="AH132" s="116" t="str">
        <f t="shared" si="21"/>
        <v/>
      </c>
    </row>
    <row r="133" spans="27:34" x14ac:dyDescent="0.25">
      <c r="AA133" s="117">
        <f t="shared" si="22"/>
        <v>3.2749999999999941E-3</v>
      </c>
      <c r="AB133" s="117">
        <f t="shared" si="23"/>
        <v>3.2749999999999941E-3</v>
      </c>
      <c r="AC133" s="117">
        <f t="shared" si="24"/>
        <v>3.2749999999999941E-3</v>
      </c>
      <c r="AD133" s="117">
        <f t="shared" si="25"/>
        <v>3.2749999999999941E-3</v>
      </c>
      <c r="AE133" s="116">
        <f t="shared" si="18"/>
        <v>420</v>
      </c>
      <c r="AF133" s="116">
        <f t="shared" si="19"/>
        <v>500</v>
      </c>
      <c r="AG133" s="116">
        <f t="shared" si="20"/>
        <v>220</v>
      </c>
      <c r="AH133" s="116" t="str">
        <f t="shared" si="21"/>
        <v/>
      </c>
    </row>
    <row r="134" spans="27:34" x14ac:dyDescent="0.25">
      <c r="AA134" s="117">
        <f t="shared" si="22"/>
        <v>3.2999999999999939E-3</v>
      </c>
      <c r="AB134" s="117">
        <f t="shared" si="23"/>
        <v>3.2999999999999939E-3</v>
      </c>
      <c r="AC134" s="117">
        <f t="shared" si="24"/>
        <v>3.2999999999999939E-3</v>
      </c>
      <c r="AD134" s="117">
        <f t="shared" si="25"/>
        <v>3.2999999999999939E-3</v>
      </c>
      <c r="AE134" s="116">
        <f t="shared" si="18"/>
        <v>420</v>
      </c>
      <c r="AF134" s="116">
        <f t="shared" si="19"/>
        <v>500</v>
      </c>
      <c r="AG134" s="116">
        <f t="shared" si="20"/>
        <v>220</v>
      </c>
      <c r="AH134" s="116" t="str">
        <f t="shared" si="21"/>
        <v/>
      </c>
    </row>
    <row r="135" spans="27:34" x14ac:dyDescent="0.25">
      <c r="AA135" s="117">
        <f t="shared" si="22"/>
        <v>3.3249999999999938E-3</v>
      </c>
      <c r="AB135" s="117">
        <f t="shared" si="23"/>
        <v>3.3249999999999938E-3</v>
      </c>
      <c r="AC135" s="117">
        <f t="shared" si="24"/>
        <v>3.3249999999999938E-3</v>
      </c>
      <c r="AD135" s="117">
        <f t="shared" si="25"/>
        <v>3.3249999999999938E-3</v>
      </c>
      <c r="AE135" s="116">
        <f t="shared" si="18"/>
        <v>420</v>
      </c>
      <c r="AF135" s="116">
        <f t="shared" si="19"/>
        <v>500</v>
      </c>
      <c r="AG135" s="116">
        <f t="shared" si="20"/>
        <v>220</v>
      </c>
      <c r="AH135" s="116" t="str">
        <f t="shared" si="21"/>
        <v/>
      </c>
    </row>
    <row r="136" spans="27:34" x14ac:dyDescent="0.25">
      <c r="AA136" s="117">
        <f t="shared" si="22"/>
        <v>3.3499999999999936E-3</v>
      </c>
      <c r="AB136" s="117">
        <f t="shared" si="23"/>
        <v>3.3499999999999936E-3</v>
      </c>
      <c r="AC136" s="117">
        <f t="shared" si="24"/>
        <v>3.3499999999999936E-3</v>
      </c>
      <c r="AD136" s="117">
        <f t="shared" si="25"/>
        <v>3.3499999999999936E-3</v>
      </c>
      <c r="AE136" s="116">
        <f t="shared" si="18"/>
        <v>420</v>
      </c>
      <c r="AF136" s="116">
        <f t="shared" si="19"/>
        <v>500</v>
      </c>
      <c r="AG136" s="116">
        <f t="shared" si="20"/>
        <v>220</v>
      </c>
      <c r="AH136" s="116" t="str">
        <f t="shared" si="21"/>
        <v/>
      </c>
    </row>
    <row r="137" spans="27:34" x14ac:dyDescent="0.25">
      <c r="AA137" s="117">
        <f t="shared" si="22"/>
        <v>3.3749999999999935E-3</v>
      </c>
      <c r="AB137" s="117">
        <f t="shared" si="23"/>
        <v>3.3749999999999935E-3</v>
      </c>
      <c r="AC137" s="117">
        <f t="shared" si="24"/>
        <v>3.3749999999999935E-3</v>
      </c>
      <c r="AD137" s="117">
        <f t="shared" si="25"/>
        <v>3.3749999999999935E-3</v>
      </c>
      <c r="AE137" s="116">
        <f t="shared" si="18"/>
        <v>420</v>
      </c>
      <c r="AF137" s="116">
        <f t="shared" si="19"/>
        <v>500</v>
      </c>
      <c r="AG137" s="116">
        <f t="shared" si="20"/>
        <v>220</v>
      </c>
      <c r="AH137" s="116" t="str">
        <f t="shared" si="21"/>
        <v/>
      </c>
    </row>
    <row r="138" spans="27:34" x14ac:dyDescent="0.25">
      <c r="AA138" s="117">
        <f t="shared" si="22"/>
        <v>3.3999999999999933E-3</v>
      </c>
      <c r="AB138" s="117">
        <f t="shared" si="23"/>
        <v>3.3999999999999933E-3</v>
      </c>
      <c r="AC138" s="117">
        <f t="shared" si="24"/>
        <v>3.3999999999999933E-3</v>
      </c>
      <c r="AD138" s="117">
        <f t="shared" si="25"/>
        <v>3.3999999999999933E-3</v>
      </c>
      <c r="AE138" s="116">
        <f t="shared" si="18"/>
        <v>420</v>
      </c>
      <c r="AF138" s="116">
        <f t="shared" si="19"/>
        <v>500</v>
      </c>
      <c r="AG138" s="116">
        <f t="shared" si="20"/>
        <v>220</v>
      </c>
      <c r="AH138" s="116" t="str">
        <f t="shared" si="21"/>
        <v/>
      </c>
    </row>
    <row r="139" spans="27:34" x14ac:dyDescent="0.25">
      <c r="AA139" s="117">
        <f t="shared" si="22"/>
        <v>3.4249999999999932E-3</v>
      </c>
      <c r="AB139" s="117">
        <f t="shared" si="23"/>
        <v>3.4249999999999932E-3</v>
      </c>
      <c r="AC139" s="117">
        <f t="shared" si="24"/>
        <v>3.4249999999999932E-3</v>
      </c>
      <c r="AD139" s="117">
        <f t="shared" si="25"/>
        <v>3.4249999999999932E-3</v>
      </c>
      <c r="AE139" s="116">
        <f t="shared" si="18"/>
        <v>420</v>
      </c>
      <c r="AF139" s="116">
        <f t="shared" si="19"/>
        <v>500</v>
      </c>
      <c r="AG139" s="116">
        <f t="shared" si="20"/>
        <v>220</v>
      </c>
      <c r="AH139" s="116" t="str">
        <f t="shared" si="21"/>
        <v/>
      </c>
    </row>
    <row r="140" spans="27:34" x14ac:dyDescent="0.25">
      <c r="AA140" s="117">
        <f t="shared" si="22"/>
        <v>3.449999999999993E-3</v>
      </c>
      <c r="AB140" s="117">
        <f t="shared" si="23"/>
        <v>3.449999999999993E-3</v>
      </c>
      <c r="AC140" s="117">
        <f t="shared" si="24"/>
        <v>3.449999999999993E-3</v>
      </c>
      <c r="AD140" s="117">
        <f t="shared" si="25"/>
        <v>3.449999999999993E-3</v>
      </c>
      <c r="AE140" s="116">
        <f t="shared" si="18"/>
        <v>420</v>
      </c>
      <c r="AF140" s="116">
        <f t="shared" si="19"/>
        <v>500</v>
      </c>
      <c r="AG140" s="116">
        <f t="shared" si="20"/>
        <v>220</v>
      </c>
      <c r="AH140" s="116" t="str">
        <f t="shared" si="21"/>
        <v/>
      </c>
    </row>
    <row r="141" spans="27:34" x14ac:dyDescent="0.25">
      <c r="AA141" s="117">
        <f t="shared" si="22"/>
        <v>3.4749999999999929E-3</v>
      </c>
      <c r="AB141" s="117">
        <f t="shared" si="23"/>
        <v>3.4749999999999929E-3</v>
      </c>
      <c r="AC141" s="117">
        <f t="shared" si="24"/>
        <v>3.4749999999999929E-3</v>
      </c>
      <c r="AD141" s="117">
        <f t="shared" si="25"/>
        <v>3.4749999999999929E-3</v>
      </c>
      <c r="AE141" s="116">
        <f t="shared" si="18"/>
        <v>420</v>
      </c>
      <c r="AF141" s="116">
        <f t="shared" si="19"/>
        <v>500</v>
      </c>
      <c r="AG141" s="116">
        <f t="shared" si="20"/>
        <v>220</v>
      </c>
      <c r="AH141" s="116" t="str">
        <f t="shared" si="21"/>
        <v/>
      </c>
    </row>
    <row r="142" spans="27:34" x14ac:dyDescent="0.25">
      <c r="AA142" s="117">
        <f t="shared" si="22"/>
        <v>3.4999999999999927E-3</v>
      </c>
      <c r="AB142" s="117">
        <f t="shared" si="23"/>
        <v>3.4999999999999927E-3</v>
      </c>
      <c r="AC142" s="117">
        <f t="shared" si="24"/>
        <v>3.4999999999999927E-3</v>
      </c>
      <c r="AD142" s="117">
        <f t="shared" si="25"/>
        <v>3.4999999999999927E-3</v>
      </c>
      <c r="AE142" s="116">
        <f t="shared" si="18"/>
        <v>420</v>
      </c>
      <c r="AF142" s="116">
        <f t="shared" si="19"/>
        <v>500</v>
      </c>
      <c r="AG142" s="116">
        <f t="shared" si="20"/>
        <v>220</v>
      </c>
      <c r="AH142" s="116" t="str">
        <f t="shared" si="21"/>
        <v/>
      </c>
    </row>
    <row r="143" spans="27:34" x14ac:dyDescent="0.25">
      <c r="AA143" s="117">
        <f t="shared" si="22"/>
        <v>3.5249999999999925E-3</v>
      </c>
      <c r="AB143" s="117">
        <f t="shared" si="23"/>
        <v>3.5249999999999925E-3</v>
      </c>
      <c r="AC143" s="117">
        <f t="shared" si="24"/>
        <v>3.5249999999999925E-3</v>
      </c>
      <c r="AD143" s="117">
        <f t="shared" si="25"/>
        <v>3.5249999999999925E-3</v>
      </c>
      <c r="AE143" s="116">
        <f t="shared" si="18"/>
        <v>420</v>
      </c>
      <c r="AF143" s="116">
        <f t="shared" si="19"/>
        <v>500</v>
      </c>
      <c r="AG143" s="116">
        <f t="shared" si="20"/>
        <v>220</v>
      </c>
      <c r="AH143" s="116" t="str">
        <f t="shared" si="21"/>
        <v/>
      </c>
    </row>
    <row r="144" spans="27:34" x14ac:dyDescent="0.25">
      <c r="AA144" s="117">
        <f t="shared" si="22"/>
        <v>3.5499999999999924E-3</v>
      </c>
      <c r="AB144" s="117">
        <f t="shared" si="23"/>
        <v>3.5499999999999924E-3</v>
      </c>
      <c r="AC144" s="117">
        <f t="shared" si="24"/>
        <v>3.5499999999999924E-3</v>
      </c>
      <c r="AD144" s="117">
        <f t="shared" si="25"/>
        <v>3.5499999999999924E-3</v>
      </c>
      <c r="AE144" s="116">
        <f t="shared" si="18"/>
        <v>420</v>
      </c>
      <c r="AF144" s="116">
        <f t="shared" si="19"/>
        <v>500</v>
      </c>
      <c r="AG144" s="116">
        <f t="shared" si="20"/>
        <v>220</v>
      </c>
      <c r="AH144" s="116" t="str">
        <f t="shared" si="21"/>
        <v/>
      </c>
    </row>
    <row r="145" spans="27:34" x14ac:dyDescent="0.25">
      <c r="AA145" s="117">
        <f t="shared" si="22"/>
        <v>3.5749999999999922E-3</v>
      </c>
      <c r="AB145" s="117">
        <f t="shared" si="23"/>
        <v>3.5749999999999922E-3</v>
      </c>
      <c r="AC145" s="117">
        <f t="shared" si="24"/>
        <v>3.5749999999999922E-3</v>
      </c>
      <c r="AD145" s="117">
        <f t="shared" si="25"/>
        <v>3.5749999999999922E-3</v>
      </c>
      <c r="AE145" s="116">
        <f t="shared" si="18"/>
        <v>420</v>
      </c>
      <c r="AF145" s="116">
        <f t="shared" si="19"/>
        <v>500</v>
      </c>
      <c r="AG145" s="116">
        <f t="shared" si="20"/>
        <v>220</v>
      </c>
      <c r="AH145" s="116" t="str">
        <f t="shared" si="21"/>
        <v/>
      </c>
    </row>
    <row r="146" spans="27:34" x14ac:dyDescent="0.25">
      <c r="AA146" s="117">
        <f t="shared" si="22"/>
        <v>3.5999999999999921E-3</v>
      </c>
      <c r="AB146" s="117">
        <f t="shared" si="23"/>
        <v>3.5999999999999921E-3</v>
      </c>
      <c r="AC146" s="117">
        <f t="shared" si="24"/>
        <v>3.5999999999999921E-3</v>
      </c>
      <c r="AD146" s="117">
        <f t="shared" si="25"/>
        <v>3.5999999999999921E-3</v>
      </c>
      <c r="AE146" s="116">
        <f t="shared" si="18"/>
        <v>420</v>
      </c>
      <c r="AF146" s="116">
        <f t="shared" si="19"/>
        <v>500</v>
      </c>
      <c r="AG146" s="116">
        <f t="shared" si="20"/>
        <v>220</v>
      </c>
      <c r="AH146" s="116" t="str">
        <f t="shared" si="21"/>
        <v/>
      </c>
    </row>
    <row r="147" spans="27:34" x14ac:dyDescent="0.25">
      <c r="AA147" s="117">
        <f t="shared" si="22"/>
        <v>3.6249999999999919E-3</v>
      </c>
      <c r="AB147" s="117">
        <f t="shared" si="23"/>
        <v>3.6249999999999919E-3</v>
      </c>
      <c r="AC147" s="117">
        <f t="shared" si="24"/>
        <v>3.6249999999999919E-3</v>
      </c>
      <c r="AD147" s="117">
        <f t="shared" si="25"/>
        <v>3.6249999999999919E-3</v>
      </c>
      <c r="AE147" s="116">
        <f t="shared" si="18"/>
        <v>420</v>
      </c>
      <c r="AF147" s="116">
        <f t="shared" si="19"/>
        <v>500</v>
      </c>
      <c r="AG147" s="116">
        <f t="shared" si="20"/>
        <v>220</v>
      </c>
      <c r="AH147" s="116" t="str">
        <f t="shared" si="21"/>
        <v/>
      </c>
    </row>
    <row r="148" spans="27:34" x14ac:dyDescent="0.25">
      <c r="AA148" s="117">
        <f t="shared" si="22"/>
        <v>3.6499999999999918E-3</v>
      </c>
      <c r="AB148" s="117">
        <f t="shared" si="23"/>
        <v>3.6499999999999918E-3</v>
      </c>
      <c r="AC148" s="117">
        <f t="shared" si="24"/>
        <v>3.6499999999999918E-3</v>
      </c>
      <c r="AD148" s="117">
        <f t="shared" si="25"/>
        <v>3.6499999999999918E-3</v>
      </c>
      <c r="AE148" s="116">
        <f t="shared" si="18"/>
        <v>420</v>
      </c>
      <c r="AF148" s="116">
        <f t="shared" si="19"/>
        <v>500</v>
      </c>
      <c r="AG148" s="116">
        <f t="shared" si="20"/>
        <v>220</v>
      </c>
      <c r="AH148" s="116" t="str">
        <f t="shared" si="21"/>
        <v/>
      </c>
    </row>
    <row r="149" spans="27:34" x14ac:dyDescent="0.25">
      <c r="AA149" s="117">
        <f t="shared" si="22"/>
        <v>3.6749999999999916E-3</v>
      </c>
      <c r="AB149" s="117">
        <f t="shared" si="23"/>
        <v>3.6749999999999916E-3</v>
      </c>
      <c r="AC149" s="117">
        <f t="shared" si="24"/>
        <v>3.6749999999999916E-3</v>
      </c>
      <c r="AD149" s="117">
        <f t="shared" si="25"/>
        <v>3.6749999999999916E-3</v>
      </c>
      <c r="AE149" s="116">
        <f t="shared" si="18"/>
        <v>420</v>
      </c>
      <c r="AF149" s="116">
        <f t="shared" si="19"/>
        <v>500</v>
      </c>
      <c r="AG149" s="116">
        <f t="shared" si="20"/>
        <v>220</v>
      </c>
      <c r="AH149" s="116" t="str">
        <f t="shared" si="21"/>
        <v/>
      </c>
    </row>
    <row r="150" spans="27:34" x14ac:dyDescent="0.25">
      <c r="AA150" s="117">
        <f t="shared" si="22"/>
        <v>3.6999999999999915E-3</v>
      </c>
      <c r="AB150" s="117">
        <f t="shared" si="23"/>
        <v>3.6999999999999915E-3</v>
      </c>
      <c r="AC150" s="117">
        <f t="shared" si="24"/>
        <v>3.6999999999999915E-3</v>
      </c>
      <c r="AD150" s="117">
        <f t="shared" si="25"/>
        <v>3.6999999999999915E-3</v>
      </c>
      <c r="AE150" s="116">
        <f t="shared" si="18"/>
        <v>420</v>
      </c>
      <c r="AF150" s="116">
        <f t="shared" si="19"/>
        <v>500</v>
      </c>
      <c r="AG150" s="116">
        <f t="shared" si="20"/>
        <v>220</v>
      </c>
      <c r="AH150" s="116" t="str">
        <f t="shared" si="21"/>
        <v/>
      </c>
    </row>
    <row r="151" spans="27:34" x14ac:dyDescent="0.25">
      <c r="AA151" s="117">
        <f t="shared" si="22"/>
        <v>3.7249999999999913E-3</v>
      </c>
      <c r="AB151" s="117">
        <f t="shared" si="23"/>
        <v>3.7249999999999913E-3</v>
      </c>
      <c r="AC151" s="117">
        <f t="shared" si="24"/>
        <v>3.7249999999999913E-3</v>
      </c>
      <c r="AD151" s="117">
        <f t="shared" si="25"/>
        <v>3.7249999999999913E-3</v>
      </c>
      <c r="AE151" s="116">
        <f t="shared" si="18"/>
        <v>420</v>
      </c>
      <c r="AF151" s="116">
        <f t="shared" si="19"/>
        <v>500</v>
      </c>
      <c r="AG151" s="116">
        <f t="shared" si="20"/>
        <v>220</v>
      </c>
      <c r="AH151" s="116" t="str">
        <f t="shared" si="21"/>
        <v/>
      </c>
    </row>
    <row r="152" spans="27:34" x14ac:dyDescent="0.25">
      <c r="AA152" s="117">
        <f t="shared" si="22"/>
        <v>3.7499999999999912E-3</v>
      </c>
      <c r="AB152" s="117">
        <f t="shared" si="23"/>
        <v>3.7499999999999912E-3</v>
      </c>
      <c r="AC152" s="117">
        <f t="shared" si="24"/>
        <v>3.7499999999999912E-3</v>
      </c>
      <c r="AD152" s="117">
        <f t="shared" si="25"/>
        <v>3.7499999999999912E-3</v>
      </c>
      <c r="AE152" s="116">
        <f t="shared" si="18"/>
        <v>420</v>
      </c>
      <c r="AF152" s="116">
        <f t="shared" si="19"/>
        <v>500</v>
      </c>
      <c r="AG152" s="116">
        <f t="shared" si="20"/>
        <v>220</v>
      </c>
      <c r="AH152" s="116" t="str">
        <f t="shared" si="21"/>
        <v/>
      </c>
    </row>
    <row r="153" spans="27:34" x14ac:dyDescent="0.25">
      <c r="AA153" s="117">
        <f t="shared" si="22"/>
        <v>3.774999999999991E-3</v>
      </c>
      <c r="AB153" s="117">
        <f t="shared" si="23"/>
        <v>3.774999999999991E-3</v>
      </c>
      <c r="AC153" s="117">
        <f t="shared" si="24"/>
        <v>3.774999999999991E-3</v>
      </c>
      <c r="AD153" s="117">
        <f t="shared" si="25"/>
        <v>3.774999999999991E-3</v>
      </c>
      <c r="AE153" s="116">
        <f t="shared" si="18"/>
        <v>420</v>
      </c>
      <c r="AF153" s="116">
        <f t="shared" si="19"/>
        <v>500</v>
      </c>
      <c r="AG153" s="116">
        <f t="shared" si="20"/>
        <v>220</v>
      </c>
      <c r="AH153" s="116" t="str">
        <f t="shared" si="21"/>
        <v/>
      </c>
    </row>
    <row r="154" spans="27:34" x14ac:dyDescent="0.25">
      <c r="AA154" s="117">
        <f t="shared" si="22"/>
        <v>3.7999999999999909E-3</v>
      </c>
      <c r="AB154" s="117">
        <f t="shared" si="23"/>
        <v>3.7999999999999909E-3</v>
      </c>
      <c r="AC154" s="117">
        <f t="shared" si="24"/>
        <v>3.7999999999999909E-3</v>
      </c>
      <c r="AD154" s="117">
        <f t="shared" si="25"/>
        <v>3.7999999999999909E-3</v>
      </c>
      <c r="AE154" s="116">
        <f t="shared" si="18"/>
        <v>420</v>
      </c>
      <c r="AF154" s="116">
        <f t="shared" si="19"/>
        <v>500</v>
      </c>
      <c r="AG154" s="116">
        <f t="shared" si="20"/>
        <v>220</v>
      </c>
      <c r="AH154" s="116" t="str">
        <f t="shared" si="21"/>
        <v/>
      </c>
    </row>
    <row r="155" spans="27:34" x14ac:dyDescent="0.25">
      <c r="AA155" s="117">
        <f t="shared" si="22"/>
        <v>3.8249999999999907E-3</v>
      </c>
      <c r="AB155" s="117">
        <f t="shared" si="23"/>
        <v>3.8249999999999907E-3</v>
      </c>
      <c r="AC155" s="117">
        <f t="shared" si="24"/>
        <v>3.8249999999999907E-3</v>
      </c>
      <c r="AD155" s="117">
        <f t="shared" si="25"/>
        <v>3.8249999999999907E-3</v>
      </c>
      <c r="AE155" s="116">
        <f t="shared" si="18"/>
        <v>420</v>
      </c>
      <c r="AF155" s="116">
        <f t="shared" si="19"/>
        <v>500</v>
      </c>
      <c r="AG155" s="116">
        <f t="shared" si="20"/>
        <v>220</v>
      </c>
      <c r="AH155" s="116" t="str">
        <f t="shared" si="21"/>
        <v/>
      </c>
    </row>
    <row r="156" spans="27:34" x14ac:dyDescent="0.25">
      <c r="AA156" s="117">
        <f t="shared" si="22"/>
        <v>3.8499999999999906E-3</v>
      </c>
      <c r="AB156" s="117">
        <f t="shared" si="23"/>
        <v>3.8499999999999906E-3</v>
      </c>
      <c r="AC156" s="117">
        <f t="shared" si="24"/>
        <v>3.8499999999999906E-3</v>
      </c>
      <c r="AD156" s="117">
        <f t="shared" si="25"/>
        <v>3.8499999999999906E-3</v>
      </c>
      <c r="AE156" s="116">
        <f t="shared" si="18"/>
        <v>420</v>
      </c>
      <c r="AF156" s="116">
        <f t="shared" si="19"/>
        <v>500</v>
      </c>
      <c r="AG156" s="116">
        <f t="shared" si="20"/>
        <v>220</v>
      </c>
      <c r="AH156" s="116" t="str">
        <f t="shared" si="21"/>
        <v/>
      </c>
    </row>
    <row r="157" spans="27:34" x14ac:dyDescent="0.25">
      <c r="AA157" s="117">
        <f t="shared" si="22"/>
        <v>3.8749999999999904E-3</v>
      </c>
      <c r="AB157" s="117">
        <f t="shared" si="23"/>
        <v>3.8749999999999904E-3</v>
      </c>
      <c r="AC157" s="117">
        <f t="shared" si="24"/>
        <v>3.8749999999999904E-3</v>
      </c>
      <c r="AD157" s="117">
        <f t="shared" si="25"/>
        <v>3.8749999999999904E-3</v>
      </c>
      <c r="AE157" s="116">
        <f t="shared" si="18"/>
        <v>420</v>
      </c>
      <c r="AF157" s="116">
        <f t="shared" si="19"/>
        <v>500</v>
      </c>
      <c r="AG157" s="116">
        <f t="shared" si="20"/>
        <v>220</v>
      </c>
      <c r="AH157" s="116" t="str">
        <f t="shared" si="21"/>
        <v/>
      </c>
    </row>
    <row r="158" spans="27:34" x14ac:dyDescent="0.25">
      <c r="AA158" s="117">
        <f t="shared" si="22"/>
        <v>3.8999999999999903E-3</v>
      </c>
      <c r="AB158" s="117">
        <f t="shared" si="23"/>
        <v>3.8999999999999903E-3</v>
      </c>
      <c r="AC158" s="117">
        <f t="shared" si="24"/>
        <v>3.8999999999999903E-3</v>
      </c>
      <c r="AD158" s="117">
        <f t="shared" si="25"/>
        <v>3.8999999999999903E-3</v>
      </c>
      <c r="AE158" s="116">
        <f t="shared" si="18"/>
        <v>420</v>
      </c>
      <c r="AF158" s="116">
        <f t="shared" si="19"/>
        <v>500</v>
      </c>
      <c r="AG158" s="116">
        <f t="shared" si="20"/>
        <v>220</v>
      </c>
      <c r="AH158" s="116" t="str">
        <f t="shared" si="21"/>
        <v/>
      </c>
    </row>
    <row r="159" spans="27:34" x14ac:dyDescent="0.25">
      <c r="AA159" s="117">
        <f t="shared" si="22"/>
        <v>3.9249999999999901E-3</v>
      </c>
      <c r="AB159" s="117">
        <f t="shared" si="23"/>
        <v>3.9249999999999901E-3</v>
      </c>
      <c r="AC159" s="117">
        <f t="shared" si="24"/>
        <v>3.9249999999999901E-3</v>
      </c>
      <c r="AD159" s="117">
        <f t="shared" si="25"/>
        <v>3.9249999999999901E-3</v>
      </c>
      <c r="AE159" s="116">
        <f t="shared" si="18"/>
        <v>420</v>
      </c>
      <c r="AF159" s="116">
        <f t="shared" si="19"/>
        <v>500</v>
      </c>
      <c r="AG159" s="116">
        <f t="shared" si="20"/>
        <v>220</v>
      </c>
      <c r="AH159" s="116" t="str">
        <f t="shared" si="21"/>
        <v/>
      </c>
    </row>
    <row r="160" spans="27:34" x14ac:dyDescent="0.25">
      <c r="AA160" s="117">
        <f t="shared" si="22"/>
        <v>3.94999999999999E-3</v>
      </c>
      <c r="AB160" s="117">
        <f t="shared" si="23"/>
        <v>3.94999999999999E-3</v>
      </c>
      <c r="AC160" s="117">
        <f t="shared" si="24"/>
        <v>3.94999999999999E-3</v>
      </c>
      <c r="AD160" s="117">
        <f t="shared" si="25"/>
        <v>3.94999999999999E-3</v>
      </c>
      <c r="AE160" s="116">
        <f t="shared" si="18"/>
        <v>420</v>
      </c>
      <c r="AF160" s="116">
        <f t="shared" si="19"/>
        <v>500</v>
      </c>
      <c r="AG160" s="116">
        <f t="shared" si="20"/>
        <v>220</v>
      </c>
      <c r="AH160" s="116" t="str">
        <f t="shared" si="21"/>
        <v/>
      </c>
    </row>
    <row r="161" spans="27:34" x14ac:dyDescent="0.25">
      <c r="AA161" s="117">
        <f t="shared" si="22"/>
        <v>3.9749999999999898E-3</v>
      </c>
      <c r="AB161" s="117">
        <f t="shared" si="23"/>
        <v>3.9749999999999898E-3</v>
      </c>
      <c r="AC161" s="117">
        <f t="shared" si="24"/>
        <v>3.9749999999999898E-3</v>
      </c>
      <c r="AD161" s="117">
        <f t="shared" si="25"/>
        <v>3.9749999999999898E-3</v>
      </c>
      <c r="AE161" s="116">
        <f t="shared" si="18"/>
        <v>420</v>
      </c>
      <c r="AF161" s="116">
        <f t="shared" si="19"/>
        <v>500</v>
      </c>
      <c r="AG161" s="116">
        <f t="shared" si="20"/>
        <v>220</v>
      </c>
      <c r="AH161" s="116" t="str">
        <f t="shared" si="21"/>
        <v/>
      </c>
    </row>
    <row r="162" spans="27:34" x14ac:dyDescent="0.25">
      <c r="AA162" s="117">
        <f t="shared" si="22"/>
        <v>3.9999999999999897E-3</v>
      </c>
      <c r="AB162" s="117">
        <f t="shared" si="23"/>
        <v>3.9999999999999897E-3</v>
      </c>
      <c r="AC162" s="117">
        <f t="shared" si="24"/>
        <v>3.9999999999999897E-3</v>
      </c>
      <c r="AD162" s="117">
        <f t="shared" si="25"/>
        <v>3.9999999999999897E-3</v>
      </c>
      <c r="AE162" s="116">
        <f t="shared" si="18"/>
        <v>420</v>
      </c>
      <c r="AF162" s="116">
        <f t="shared" si="19"/>
        <v>500</v>
      </c>
      <c r="AG162" s="116">
        <f t="shared" si="20"/>
        <v>220</v>
      </c>
      <c r="AH162" s="116" t="str">
        <f t="shared" si="21"/>
        <v/>
      </c>
    </row>
    <row r="163" spans="27:34" x14ac:dyDescent="0.25">
      <c r="AA163" s="117">
        <f t="shared" si="22"/>
        <v>4.0249999999999895E-3</v>
      </c>
      <c r="AB163" s="117">
        <f t="shared" si="23"/>
        <v>4.0249999999999895E-3</v>
      </c>
      <c r="AC163" s="117">
        <f t="shared" si="24"/>
        <v>4.0249999999999895E-3</v>
      </c>
      <c r="AD163" s="117">
        <f t="shared" si="25"/>
        <v>4.0249999999999895E-3</v>
      </c>
      <c r="AE163" s="116">
        <f t="shared" si="18"/>
        <v>420</v>
      </c>
      <c r="AF163" s="116">
        <f t="shared" si="19"/>
        <v>500</v>
      </c>
      <c r="AG163" s="116">
        <f t="shared" si="20"/>
        <v>220</v>
      </c>
      <c r="AH163" s="116" t="str">
        <f t="shared" si="21"/>
        <v/>
      </c>
    </row>
    <row r="164" spans="27:34" x14ac:dyDescent="0.25">
      <c r="AA164" s="117">
        <f t="shared" si="22"/>
        <v>4.0499999999999894E-3</v>
      </c>
      <c r="AB164" s="117">
        <f t="shared" si="23"/>
        <v>4.0499999999999894E-3</v>
      </c>
      <c r="AC164" s="117">
        <f t="shared" si="24"/>
        <v>4.0499999999999894E-3</v>
      </c>
      <c r="AD164" s="117">
        <f t="shared" si="25"/>
        <v>4.0499999999999894E-3</v>
      </c>
      <c r="AE164" s="116">
        <f t="shared" si="18"/>
        <v>420</v>
      </c>
      <c r="AF164" s="116">
        <f t="shared" si="19"/>
        <v>500</v>
      </c>
      <c r="AG164" s="116">
        <f t="shared" si="20"/>
        <v>220</v>
      </c>
      <c r="AH164" s="116" t="str">
        <f t="shared" si="21"/>
        <v/>
      </c>
    </row>
    <row r="165" spans="27:34" x14ac:dyDescent="0.25">
      <c r="AA165" s="117">
        <f t="shared" si="22"/>
        <v>4.0749999999999892E-3</v>
      </c>
      <c r="AB165" s="117">
        <f t="shared" si="23"/>
        <v>4.0749999999999892E-3</v>
      </c>
      <c r="AC165" s="117">
        <f t="shared" si="24"/>
        <v>4.0749999999999892E-3</v>
      </c>
      <c r="AD165" s="117">
        <f t="shared" si="25"/>
        <v>4.0749999999999892E-3</v>
      </c>
      <c r="AE165" s="116">
        <f t="shared" si="18"/>
        <v>420</v>
      </c>
      <c r="AF165" s="116">
        <f t="shared" si="19"/>
        <v>500</v>
      </c>
      <c r="AG165" s="116">
        <f t="shared" si="20"/>
        <v>220</v>
      </c>
      <c r="AH165" s="116" t="str">
        <f t="shared" si="21"/>
        <v/>
      </c>
    </row>
    <row r="166" spans="27:34" x14ac:dyDescent="0.25">
      <c r="AA166" s="117">
        <f t="shared" si="22"/>
        <v>4.0999999999999891E-3</v>
      </c>
      <c r="AB166" s="117">
        <f t="shared" si="23"/>
        <v>4.0999999999999891E-3</v>
      </c>
      <c r="AC166" s="117">
        <f t="shared" si="24"/>
        <v>4.0999999999999891E-3</v>
      </c>
      <c r="AD166" s="117">
        <f t="shared" si="25"/>
        <v>4.0999999999999891E-3</v>
      </c>
      <c r="AE166" s="116">
        <f t="shared" si="18"/>
        <v>420</v>
      </c>
      <c r="AF166" s="116">
        <f t="shared" si="19"/>
        <v>500</v>
      </c>
      <c r="AG166" s="116">
        <f t="shared" si="20"/>
        <v>220</v>
      </c>
      <c r="AH166" s="116" t="str">
        <f t="shared" si="21"/>
        <v/>
      </c>
    </row>
    <row r="167" spans="27:34" x14ac:dyDescent="0.25">
      <c r="AA167" s="117">
        <f t="shared" si="22"/>
        <v>4.1249999999999889E-3</v>
      </c>
      <c r="AB167" s="117">
        <f t="shared" si="23"/>
        <v>4.1249999999999889E-3</v>
      </c>
      <c r="AC167" s="117">
        <f t="shared" si="24"/>
        <v>4.1249999999999889E-3</v>
      </c>
      <c r="AD167" s="117">
        <f t="shared" si="25"/>
        <v>4.1249999999999889E-3</v>
      </c>
      <c r="AE167" s="116">
        <f t="shared" si="18"/>
        <v>420</v>
      </c>
      <c r="AF167" s="116">
        <f t="shared" si="19"/>
        <v>500</v>
      </c>
      <c r="AG167" s="116">
        <f t="shared" si="20"/>
        <v>220</v>
      </c>
      <c r="AH167" s="116" t="str">
        <f t="shared" si="21"/>
        <v/>
      </c>
    </row>
    <row r="168" spans="27:34" x14ac:dyDescent="0.25">
      <c r="AA168" s="117">
        <f t="shared" si="22"/>
        <v>4.1499999999999888E-3</v>
      </c>
      <c r="AB168" s="117">
        <f t="shared" si="23"/>
        <v>4.1499999999999888E-3</v>
      </c>
      <c r="AC168" s="117">
        <f t="shared" si="24"/>
        <v>4.1499999999999888E-3</v>
      </c>
      <c r="AD168" s="117">
        <f t="shared" si="25"/>
        <v>4.1499999999999888E-3</v>
      </c>
      <c r="AE168" s="116">
        <f t="shared" si="18"/>
        <v>420</v>
      </c>
      <c r="AF168" s="116">
        <f t="shared" si="19"/>
        <v>500</v>
      </c>
      <c r="AG168" s="116">
        <f t="shared" si="20"/>
        <v>220</v>
      </c>
      <c r="AH168" s="116" t="str">
        <f t="shared" si="21"/>
        <v/>
      </c>
    </row>
    <row r="169" spans="27:34" x14ac:dyDescent="0.25">
      <c r="AA169" s="117">
        <f t="shared" si="22"/>
        <v>4.1749999999999886E-3</v>
      </c>
      <c r="AB169" s="117">
        <f t="shared" si="23"/>
        <v>4.1749999999999886E-3</v>
      </c>
      <c r="AC169" s="117">
        <f t="shared" si="24"/>
        <v>4.1749999999999886E-3</v>
      </c>
      <c r="AD169" s="117">
        <f t="shared" si="25"/>
        <v>4.1749999999999886E-3</v>
      </c>
      <c r="AE169" s="116">
        <f t="shared" si="18"/>
        <v>420</v>
      </c>
      <c r="AF169" s="116">
        <f t="shared" si="19"/>
        <v>500</v>
      </c>
      <c r="AG169" s="116">
        <f t="shared" si="20"/>
        <v>220</v>
      </c>
      <c r="AH169" s="116" t="str">
        <f t="shared" si="21"/>
        <v/>
      </c>
    </row>
    <row r="170" spans="27:34" x14ac:dyDescent="0.25">
      <c r="AA170" s="117">
        <f t="shared" si="22"/>
        <v>4.1999999999999885E-3</v>
      </c>
      <c r="AB170" s="117">
        <f t="shared" si="23"/>
        <v>4.1999999999999885E-3</v>
      </c>
      <c r="AC170" s="117">
        <f t="shared" si="24"/>
        <v>4.1999999999999885E-3</v>
      </c>
      <c r="AD170" s="117">
        <f t="shared" si="25"/>
        <v>4.1999999999999885E-3</v>
      </c>
      <c r="AE170" s="116">
        <f t="shared" si="18"/>
        <v>420</v>
      </c>
      <c r="AF170" s="116">
        <f t="shared" si="19"/>
        <v>500</v>
      </c>
      <c r="AG170" s="116">
        <f t="shared" si="20"/>
        <v>220</v>
      </c>
      <c r="AH170" s="116" t="str">
        <f t="shared" si="21"/>
        <v/>
      </c>
    </row>
    <row r="171" spans="27:34" x14ac:dyDescent="0.25">
      <c r="AA171" s="117">
        <f t="shared" si="22"/>
        <v>4.2249999999999883E-3</v>
      </c>
      <c r="AB171" s="117">
        <f t="shared" si="23"/>
        <v>4.2249999999999883E-3</v>
      </c>
      <c r="AC171" s="117">
        <f t="shared" si="24"/>
        <v>4.2249999999999883E-3</v>
      </c>
      <c r="AD171" s="117">
        <f t="shared" si="25"/>
        <v>4.2249999999999883E-3</v>
      </c>
      <c r="AE171" s="116">
        <f t="shared" si="18"/>
        <v>420</v>
      </c>
      <c r="AF171" s="116">
        <f t="shared" si="19"/>
        <v>500</v>
      </c>
      <c r="AG171" s="116">
        <f t="shared" si="20"/>
        <v>220</v>
      </c>
      <c r="AH171" s="116" t="str">
        <f t="shared" si="21"/>
        <v/>
      </c>
    </row>
    <row r="172" spans="27:34" x14ac:dyDescent="0.25">
      <c r="AA172" s="117">
        <f t="shared" si="22"/>
        <v>4.2499999999999882E-3</v>
      </c>
      <c r="AB172" s="117">
        <f t="shared" si="23"/>
        <v>4.2499999999999882E-3</v>
      </c>
      <c r="AC172" s="117">
        <f t="shared" si="24"/>
        <v>4.2499999999999882E-3</v>
      </c>
      <c r="AD172" s="117">
        <f t="shared" si="25"/>
        <v>4.2499999999999882E-3</v>
      </c>
      <c r="AE172" s="116">
        <f t="shared" si="18"/>
        <v>420</v>
      </c>
      <c r="AF172" s="116">
        <f t="shared" si="19"/>
        <v>500</v>
      </c>
      <c r="AG172" s="116">
        <f t="shared" si="20"/>
        <v>220</v>
      </c>
      <c r="AH172" s="116" t="str">
        <f t="shared" si="21"/>
        <v/>
      </c>
    </row>
    <row r="173" spans="27:34" x14ac:dyDescent="0.25">
      <c r="AA173" s="117">
        <f t="shared" si="22"/>
        <v>4.274999999999988E-3</v>
      </c>
      <c r="AB173" s="117">
        <f t="shared" si="23"/>
        <v>4.274999999999988E-3</v>
      </c>
      <c r="AC173" s="117">
        <f t="shared" si="24"/>
        <v>4.274999999999988E-3</v>
      </c>
      <c r="AD173" s="117">
        <f t="shared" si="25"/>
        <v>4.274999999999988E-3</v>
      </c>
      <c r="AE173" s="116">
        <f t="shared" si="18"/>
        <v>420</v>
      </c>
      <c r="AF173" s="116">
        <f t="shared" si="19"/>
        <v>500</v>
      </c>
      <c r="AG173" s="116">
        <f t="shared" si="20"/>
        <v>220</v>
      </c>
      <c r="AH173" s="116" t="str">
        <f t="shared" si="21"/>
        <v/>
      </c>
    </row>
    <row r="174" spans="27:34" x14ac:dyDescent="0.25">
      <c r="AA174" s="117">
        <f t="shared" si="22"/>
        <v>4.2999999999999879E-3</v>
      </c>
      <c r="AB174" s="117">
        <f t="shared" si="23"/>
        <v>4.2999999999999879E-3</v>
      </c>
      <c r="AC174" s="117">
        <f t="shared" si="24"/>
        <v>4.2999999999999879E-3</v>
      </c>
      <c r="AD174" s="117">
        <f t="shared" si="25"/>
        <v>4.2999999999999879E-3</v>
      </c>
      <c r="AE174" s="116">
        <f t="shared" si="18"/>
        <v>420</v>
      </c>
      <c r="AF174" s="116">
        <f t="shared" si="19"/>
        <v>500</v>
      </c>
      <c r="AG174" s="116">
        <f t="shared" si="20"/>
        <v>220</v>
      </c>
      <c r="AH174" s="116" t="str">
        <f t="shared" si="21"/>
        <v/>
      </c>
    </row>
    <row r="175" spans="27:34" x14ac:dyDescent="0.25">
      <c r="AA175" s="117">
        <f t="shared" si="22"/>
        <v>4.3249999999999877E-3</v>
      </c>
      <c r="AB175" s="117">
        <f t="shared" si="23"/>
        <v>4.3249999999999877E-3</v>
      </c>
      <c r="AC175" s="117">
        <f t="shared" si="24"/>
        <v>4.3249999999999877E-3</v>
      </c>
      <c r="AD175" s="117">
        <f t="shared" si="25"/>
        <v>4.3249999999999877E-3</v>
      </c>
      <c r="AE175" s="116">
        <f t="shared" si="18"/>
        <v>420</v>
      </c>
      <c r="AF175" s="116">
        <f t="shared" si="19"/>
        <v>500</v>
      </c>
      <c r="AG175" s="116">
        <f t="shared" si="20"/>
        <v>220</v>
      </c>
      <c r="AH175" s="116" t="str">
        <f t="shared" si="21"/>
        <v/>
      </c>
    </row>
    <row r="176" spans="27:34" x14ac:dyDescent="0.25">
      <c r="AA176" s="117">
        <f t="shared" si="22"/>
        <v>4.3499999999999876E-3</v>
      </c>
      <c r="AB176" s="117">
        <f t="shared" si="23"/>
        <v>4.3499999999999876E-3</v>
      </c>
      <c r="AC176" s="117">
        <f t="shared" si="24"/>
        <v>4.3499999999999876E-3</v>
      </c>
      <c r="AD176" s="117">
        <f t="shared" si="25"/>
        <v>4.3499999999999876E-3</v>
      </c>
      <c r="AE176" s="116">
        <f t="shared" si="18"/>
        <v>420</v>
      </c>
      <c r="AF176" s="116">
        <f t="shared" si="19"/>
        <v>500</v>
      </c>
      <c r="AG176" s="116">
        <f t="shared" si="20"/>
        <v>220</v>
      </c>
      <c r="AH176" s="116" t="str">
        <f t="shared" si="21"/>
        <v/>
      </c>
    </row>
    <row r="177" spans="27:34" x14ac:dyDescent="0.25">
      <c r="AA177" s="117">
        <f t="shared" si="22"/>
        <v>4.3749999999999874E-3</v>
      </c>
      <c r="AB177" s="117">
        <f t="shared" si="23"/>
        <v>4.3749999999999874E-3</v>
      </c>
      <c r="AC177" s="117">
        <f t="shared" si="24"/>
        <v>4.3749999999999874E-3</v>
      </c>
      <c r="AD177" s="117">
        <f t="shared" si="25"/>
        <v>4.3749999999999874E-3</v>
      </c>
      <c r="AE177" s="116">
        <f t="shared" si="18"/>
        <v>420</v>
      </c>
      <c r="AF177" s="116">
        <f t="shared" si="19"/>
        <v>500</v>
      </c>
      <c r="AG177" s="116">
        <f t="shared" si="20"/>
        <v>220</v>
      </c>
      <c r="AH177" s="116" t="str">
        <f t="shared" si="21"/>
        <v/>
      </c>
    </row>
    <row r="178" spans="27:34" x14ac:dyDescent="0.25">
      <c r="AA178" s="117">
        <f t="shared" si="22"/>
        <v>4.3999999999999873E-3</v>
      </c>
      <c r="AB178" s="117">
        <f t="shared" si="23"/>
        <v>4.3999999999999873E-3</v>
      </c>
      <c r="AC178" s="117">
        <f t="shared" si="24"/>
        <v>4.3999999999999873E-3</v>
      </c>
      <c r="AD178" s="117">
        <f t="shared" si="25"/>
        <v>4.3999999999999873E-3</v>
      </c>
      <c r="AE178" s="116">
        <f t="shared" si="18"/>
        <v>420</v>
      </c>
      <c r="AF178" s="116">
        <f t="shared" si="19"/>
        <v>500</v>
      </c>
      <c r="AG178" s="116">
        <f t="shared" si="20"/>
        <v>220</v>
      </c>
      <c r="AH178" s="116" t="str">
        <f t="shared" si="21"/>
        <v/>
      </c>
    </row>
    <row r="179" spans="27:34" x14ac:dyDescent="0.25">
      <c r="AA179" s="117">
        <f t="shared" si="22"/>
        <v>4.4249999999999871E-3</v>
      </c>
      <c r="AB179" s="117">
        <f t="shared" si="23"/>
        <v>4.4249999999999871E-3</v>
      </c>
      <c r="AC179" s="117">
        <f t="shared" si="24"/>
        <v>4.4249999999999871E-3</v>
      </c>
      <c r="AD179" s="117">
        <f t="shared" si="25"/>
        <v>4.4249999999999871E-3</v>
      </c>
      <c r="AE179" s="116">
        <f t="shared" si="18"/>
        <v>420</v>
      </c>
      <c r="AF179" s="116">
        <f t="shared" si="19"/>
        <v>500</v>
      </c>
      <c r="AG179" s="116">
        <f t="shared" si="20"/>
        <v>220</v>
      </c>
      <c r="AH179" s="116" t="str">
        <f t="shared" si="21"/>
        <v/>
      </c>
    </row>
    <row r="180" spans="27:34" x14ac:dyDescent="0.25">
      <c r="AA180" s="117">
        <f t="shared" si="22"/>
        <v>4.449999999999987E-3</v>
      </c>
      <c r="AB180" s="117">
        <f t="shared" si="23"/>
        <v>4.449999999999987E-3</v>
      </c>
      <c r="AC180" s="117">
        <f t="shared" si="24"/>
        <v>4.449999999999987E-3</v>
      </c>
      <c r="AD180" s="117">
        <f t="shared" si="25"/>
        <v>4.449999999999987E-3</v>
      </c>
      <c r="AE180" s="116">
        <f t="shared" si="18"/>
        <v>420</v>
      </c>
      <c r="AF180" s="116">
        <f t="shared" si="19"/>
        <v>500</v>
      </c>
      <c r="AG180" s="116">
        <f t="shared" si="20"/>
        <v>220</v>
      </c>
      <c r="AH180" s="116" t="str">
        <f t="shared" si="21"/>
        <v/>
      </c>
    </row>
    <row r="181" spans="27:34" x14ac:dyDescent="0.25">
      <c r="AA181" s="117">
        <f t="shared" si="22"/>
        <v>4.4749999999999868E-3</v>
      </c>
      <c r="AB181" s="117">
        <f t="shared" si="23"/>
        <v>4.4749999999999868E-3</v>
      </c>
      <c r="AC181" s="117">
        <f t="shared" si="24"/>
        <v>4.4749999999999868E-3</v>
      </c>
      <c r="AD181" s="117">
        <f t="shared" si="25"/>
        <v>4.4749999999999868E-3</v>
      </c>
      <c r="AE181" s="116">
        <f t="shared" si="18"/>
        <v>420</v>
      </c>
      <c r="AF181" s="116">
        <f t="shared" si="19"/>
        <v>500</v>
      </c>
      <c r="AG181" s="116">
        <f t="shared" si="20"/>
        <v>220</v>
      </c>
      <c r="AH181" s="116" t="str">
        <f t="shared" si="21"/>
        <v/>
      </c>
    </row>
    <row r="182" spans="27:34" x14ac:dyDescent="0.25">
      <c r="AA182" s="117">
        <f t="shared" si="22"/>
        <v>4.4999999999999866E-3</v>
      </c>
      <c r="AB182" s="117">
        <f t="shared" si="23"/>
        <v>4.4999999999999866E-3</v>
      </c>
      <c r="AC182" s="117">
        <f t="shared" si="24"/>
        <v>4.4999999999999866E-3</v>
      </c>
      <c r="AD182" s="117">
        <f t="shared" si="25"/>
        <v>4.4999999999999866E-3</v>
      </c>
      <c r="AE182" s="116">
        <f t="shared" si="18"/>
        <v>420</v>
      </c>
      <c r="AF182" s="116">
        <f t="shared" si="19"/>
        <v>500</v>
      </c>
      <c r="AG182" s="116">
        <f t="shared" si="20"/>
        <v>220</v>
      </c>
      <c r="AH182" s="116" t="str">
        <f t="shared" si="21"/>
        <v/>
      </c>
    </row>
    <row r="183" spans="27:34" x14ac:dyDescent="0.25">
      <c r="AA183" s="117">
        <f t="shared" si="22"/>
        <v>4.5249999999999865E-3</v>
      </c>
      <c r="AB183" s="117">
        <f t="shared" si="23"/>
        <v>4.5249999999999865E-3</v>
      </c>
      <c r="AC183" s="117">
        <f t="shared" si="24"/>
        <v>4.5249999999999865E-3</v>
      </c>
      <c r="AD183" s="117">
        <f t="shared" si="25"/>
        <v>4.5249999999999865E-3</v>
      </c>
      <c r="AE183" s="116">
        <f t="shared" si="18"/>
        <v>420</v>
      </c>
      <c r="AF183" s="116">
        <f t="shared" si="19"/>
        <v>500</v>
      </c>
      <c r="AG183" s="116">
        <f t="shared" si="20"/>
        <v>220</v>
      </c>
      <c r="AH183" s="116" t="str">
        <f t="shared" si="21"/>
        <v/>
      </c>
    </row>
    <row r="184" spans="27:34" x14ac:dyDescent="0.25">
      <c r="AA184" s="117">
        <f t="shared" si="22"/>
        <v>4.5499999999999863E-3</v>
      </c>
      <c r="AB184" s="117">
        <f t="shared" si="23"/>
        <v>4.5499999999999863E-3</v>
      </c>
      <c r="AC184" s="117">
        <f t="shared" si="24"/>
        <v>4.5499999999999863E-3</v>
      </c>
      <c r="AD184" s="117">
        <f t="shared" si="25"/>
        <v>4.5499999999999863E-3</v>
      </c>
      <c r="AE184" s="116">
        <f t="shared" si="18"/>
        <v>420</v>
      </c>
      <c r="AF184" s="116">
        <f t="shared" si="19"/>
        <v>500</v>
      </c>
      <c r="AG184" s="116">
        <f t="shared" si="20"/>
        <v>220</v>
      </c>
      <c r="AH184" s="116" t="str">
        <f t="shared" si="21"/>
        <v/>
      </c>
    </row>
    <row r="185" spans="27:34" x14ac:dyDescent="0.25">
      <c r="AA185" s="117">
        <f t="shared" si="22"/>
        <v>4.5749999999999862E-3</v>
      </c>
      <c r="AB185" s="117">
        <f t="shared" si="23"/>
        <v>4.5749999999999862E-3</v>
      </c>
      <c r="AC185" s="117">
        <f t="shared" si="24"/>
        <v>4.5749999999999862E-3</v>
      </c>
      <c r="AD185" s="117">
        <f t="shared" si="25"/>
        <v>4.5749999999999862E-3</v>
      </c>
      <c r="AE185" s="116">
        <f t="shared" si="18"/>
        <v>420</v>
      </c>
      <c r="AF185" s="116">
        <f t="shared" si="19"/>
        <v>500</v>
      </c>
      <c r="AG185" s="116">
        <f t="shared" si="20"/>
        <v>220</v>
      </c>
      <c r="AH185" s="116" t="str">
        <f t="shared" si="21"/>
        <v/>
      </c>
    </row>
    <row r="186" spans="27:34" x14ac:dyDescent="0.25">
      <c r="AA186" s="117">
        <f t="shared" si="22"/>
        <v>4.599999999999986E-3</v>
      </c>
      <c r="AB186" s="117">
        <f t="shared" si="23"/>
        <v>4.599999999999986E-3</v>
      </c>
      <c r="AC186" s="117">
        <f t="shared" si="24"/>
        <v>4.599999999999986E-3</v>
      </c>
      <c r="AD186" s="117">
        <f t="shared" si="25"/>
        <v>4.599999999999986E-3</v>
      </c>
      <c r="AE186" s="116">
        <f t="shared" si="18"/>
        <v>420</v>
      </c>
      <c r="AF186" s="116">
        <f t="shared" si="19"/>
        <v>500</v>
      </c>
      <c r="AG186" s="116">
        <f t="shared" si="20"/>
        <v>220</v>
      </c>
      <c r="AH186" s="116" t="str">
        <f t="shared" si="21"/>
        <v/>
      </c>
    </row>
    <row r="187" spans="27:34" x14ac:dyDescent="0.25">
      <c r="AA187" s="117">
        <f t="shared" si="22"/>
        <v>4.6249999999999859E-3</v>
      </c>
      <c r="AB187" s="117">
        <f t="shared" si="23"/>
        <v>4.6249999999999859E-3</v>
      </c>
      <c r="AC187" s="117">
        <f t="shared" si="24"/>
        <v>4.6249999999999859E-3</v>
      </c>
      <c r="AD187" s="117">
        <f t="shared" si="25"/>
        <v>4.6249999999999859E-3</v>
      </c>
      <c r="AE187" s="116">
        <f t="shared" si="18"/>
        <v>420</v>
      </c>
      <c r="AF187" s="116">
        <f t="shared" si="19"/>
        <v>500</v>
      </c>
      <c r="AG187" s="116">
        <f t="shared" si="20"/>
        <v>220</v>
      </c>
      <c r="AH187" s="116" t="str">
        <f t="shared" si="21"/>
        <v/>
      </c>
    </row>
    <row r="188" spans="27:34" x14ac:dyDescent="0.25">
      <c r="AA188" s="117">
        <f t="shared" si="22"/>
        <v>4.6499999999999857E-3</v>
      </c>
      <c r="AB188" s="117">
        <f t="shared" si="23"/>
        <v>4.6499999999999857E-3</v>
      </c>
      <c r="AC188" s="117">
        <f t="shared" si="24"/>
        <v>4.6499999999999857E-3</v>
      </c>
      <c r="AD188" s="117">
        <f t="shared" si="25"/>
        <v>4.6499999999999857E-3</v>
      </c>
      <c r="AE188" s="116">
        <f t="shared" si="18"/>
        <v>420</v>
      </c>
      <c r="AF188" s="116">
        <f t="shared" si="19"/>
        <v>500</v>
      </c>
      <c r="AG188" s="116">
        <f t="shared" si="20"/>
        <v>220</v>
      </c>
      <c r="AH188" s="116" t="str">
        <f t="shared" si="21"/>
        <v/>
      </c>
    </row>
    <row r="189" spans="27:34" x14ac:dyDescent="0.25">
      <c r="AA189" s="117">
        <f t="shared" si="22"/>
        <v>4.6749999999999856E-3</v>
      </c>
      <c r="AB189" s="117">
        <f t="shared" si="23"/>
        <v>4.6749999999999856E-3</v>
      </c>
      <c r="AC189" s="117">
        <f t="shared" si="24"/>
        <v>4.6749999999999856E-3</v>
      </c>
      <c r="AD189" s="117">
        <f t="shared" si="25"/>
        <v>4.6749999999999856E-3</v>
      </c>
      <c r="AE189" s="116">
        <f t="shared" si="18"/>
        <v>420</v>
      </c>
      <c r="AF189" s="116">
        <f t="shared" si="19"/>
        <v>500</v>
      </c>
      <c r="AG189" s="116">
        <f t="shared" si="20"/>
        <v>220</v>
      </c>
      <c r="AH189" s="116" t="str">
        <f t="shared" si="21"/>
        <v/>
      </c>
    </row>
    <row r="190" spans="27:34" x14ac:dyDescent="0.25">
      <c r="AA190" s="117">
        <f t="shared" si="22"/>
        <v>4.6999999999999854E-3</v>
      </c>
      <c r="AB190" s="117">
        <f t="shared" si="23"/>
        <v>4.6999999999999854E-3</v>
      </c>
      <c r="AC190" s="117">
        <f t="shared" si="24"/>
        <v>4.6999999999999854E-3</v>
      </c>
      <c r="AD190" s="117">
        <f t="shared" si="25"/>
        <v>4.6999999999999854E-3</v>
      </c>
      <c r="AE190" s="116">
        <f t="shared" si="18"/>
        <v>420</v>
      </c>
      <c r="AF190" s="116">
        <f t="shared" si="19"/>
        <v>500</v>
      </c>
      <c r="AG190" s="116">
        <f t="shared" si="20"/>
        <v>220</v>
      </c>
      <c r="AH190" s="116" t="str">
        <f t="shared" si="21"/>
        <v/>
      </c>
    </row>
    <row r="191" spans="27:34" x14ac:dyDescent="0.25">
      <c r="AA191" s="117">
        <f t="shared" si="22"/>
        <v>4.7249999999999853E-3</v>
      </c>
      <c r="AB191" s="117">
        <f t="shared" si="23"/>
        <v>4.7249999999999853E-3</v>
      </c>
      <c r="AC191" s="117">
        <f t="shared" si="24"/>
        <v>4.7249999999999853E-3</v>
      </c>
      <c r="AD191" s="117">
        <f t="shared" si="25"/>
        <v>4.7249999999999853E-3</v>
      </c>
      <c r="AE191" s="116">
        <f t="shared" si="18"/>
        <v>420</v>
      </c>
      <c r="AF191" s="116">
        <f t="shared" si="19"/>
        <v>500</v>
      </c>
      <c r="AG191" s="116">
        <f t="shared" si="20"/>
        <v>220</v>
      </c>
      <c r="AH191" s="116" t="str">
        <f t="shared" si="21"/>
        <v/>
      </c>
    </row>
    <row r="192" spans="27:34" x14ac:dyDescent="0.25">
      <c r="AA192" s="117">
        <f t="shared" si="22"/>
        <v>4.7499999999999851E-3</v>
      </c>
      <c r="AB192" s="117">
        <f t="shared" si="23"/>
        <v>4.7499999999999851E-3</v>
      </c>
      <c r="AC192" s="117">
        <f t="shared" si="24"/>
        <v>4.7499999999999851E-3</v>
      </c>
      <c r="AD192" s="117">
        <f t="shared" si="25"/>
        <v>4.7499999999999851E-3</v>
      </c>
      <c r="AE192" s="116">
        <f t="shared" si="18"/>
        <v>420</v>
      </c>
      <c r="AF192" s="116">
        <f t="shared" si="19"/>
        <v>500</v>
      </c>
      <c r="AG192" s="116">
        <f t="shared" si="20"/>
        <v>220</v>
      </c>
      <c r="AH192" s="116" t="str">
        <f t="shared" si="21"/>
        <v/>
      </c>
    </row>
    <row r="193" spans="27:34" x14ac:dyDescent="0.25">
      <c r="AA193" s="117">
        <f t="shared" si="22"/>
        <v>4.774999999999985E-3</v>
      </c>
      <c r="AB193" s="117">
        <f t="shared" si="23"/>
        <v>4.774999999999985E-3</v>
      </c>
      <c r="AC193" s="117">
        <f t="shared" si="24"/>
        <v>4.774999999999985E-3</v>
      </c>
      <c r="AD193" s="117">
        <f t="shared" si="25"/>
        <v>4.774999999999985E-3</v>
      </c>
      <c r="AE193" s="116">
        <f t="shared" si="18"/>
        <v>420</v>
      </c>
      <c r="AF193" s="116">
        <f t="shared" si="19"/>
        <v>500</v>
      </c>
      <c r="AG193" s="116">
        <f t="shared" si="20"/>
        <v>220</v>
      </c>
      <c r="AH193" s="116" t="str">
        <f t="shared" si="21"/>
        <v/>
      </c>
    </row>
    <row r="194" spans="27:34" x14ac:dyDescent="0.25">
      <c r="AA194" s="117">
        <f t="shared" si="22"/>
        <v>4.7999999999999848E-3</v>
      </c>
      <c r="AB194" s="117">
        <f t="shared" si="23"/>
        <v>4.7999999999999848E-3</v>
      </c>
      <c r="AC194" s="117">
        <f t="shared" si="24"/>
        <v>4.7999999999999848E-3</v>
      </c>
      <c r="AD194" s="117">
        <f t="shared" si="25"/>
        <v>4.7999999999999848E-3</v>
      </c>
      <c r="AE194" s="116">
        <f t="shared" si="18"/>
        <v>420</v>
      </c>
      <c r="AF194" s="116">
        <f t="shared" si="19"/>
        <v>500</v>
      </c>
      <c r="AG194" s="116">
        <f t="shared" si="20"/>
        <v>220</v>
      </c>
      <c r="AH194" s="116" t="str">
        <f t="shared" si="21"/>
        <v/>
      </c>
    </row>
    <row r="195" spans="27:34" x14ac:dyDescent="0.25">
      <c r="AA195" s="117">
        <f t="shared" si="22"/>
        <v>4.8249999999999847E-3</v>
      </c>
      <c r="AB195" s="117">
        <f t="shared" si="23"/>
        <v>4.8249999999999847E-3</v>
      </c>
      <c r="AC195" s="117">
        <f t="shared" si="24"/>
        <v>4.8249999999999847E-3</v>
      </c>
      <c r="AD195" s="117">
        <f t="shared" si="25"/>
        <v>4.8249999999999847E-3</v>
      </c>
      <c r="AE195" s="116">
        <f t="shared" ref="AE195:AE202" si="26">IF(AA195&lt;B$6,B$4*AA195,B$3)</f>
        <v>420</v>
      </c>
      <c r="AF195" s="116">
        <f t="shared" ref="AF195:AF202" si="27">IF(AB195&lt;C$6,C$4*AB195,C$3)</f>
        <v>500</v>
      </c>
      <c r="AG195" s="116">
        <f t="shared" ref="AG195:AG202" si="28">IF(AC195&lt;D$6,D$4*AC195,D$3)</f>
        <v>220</v>
      </c>
      <c r="AH195" s="116" t="str">
        <f t="shared" ref="AH195:AH202" si="29">IF(AND(NOT(ISBLANK($E$3)), NOT(ISBLANK($E$4)), NOT(ISBLANK($E$5)), NOT(ISBLANK($E$6))), IF(AD195&lt;E$6,E$4*AD195,E$3), "")</f>
        <v/>
      </c>
    </row>
    <row r="196" spans="27:34" x14ac:dyDescent="0.25">
      <c r="AA196" s="117">
        <f t="shared" ref="AA196:AA202" si="30">AA195+MAX($B$6:$E$6)*2/200</f>
        <v>4.8499999999999845E-3</v>
      </c>
      <c r="AB196" s="117">
        <f t="shared" ref="AB196:AB202" si="31">AB195+MAX($B$6:$E$6)*2/200</f>
        <v>4.8499999999999845E-3</v>
      </c>
      <c r="AC196" s="117">
        <f t="shared" ref="AC196:AC202" si="32">AC195+MAX($B$6:$E$6)*2/200</f>
        <v>4.8499999999999845E-3</v>
      </c>
      <c r="AD196" s="117">
        <f t="shared" ref="AD196:AD202" si="33">AD195+MAX($B$6:$E$6)*2/200</f>
        <v>4.8499999999999845E-3</v>
      </c>
      <c r="AE196" s="116">
        <f t="shared" si="26"/>
        <v>420</v>
      </c>
      <c r="AF196" s="116">
        <f t="shared" si="27"/>
        <v>500</v>
      </c>
      <c r="AG196" s="116">
        <f t="shared" si="28"/>
        <v>220</v>
      </c>
      <c r="AH196" s="116" t="str">
        <f t="shared" si="29"/>
        <v/>
      </c>
    </row>
    <row r="197" spans="27:34" x14ac:dyDescent="0.25">
      <c r="AA197" s="117">
        <f t="shared" si="30"/>
        <v>4.8749999999999844E-3</v>
      </c>
      <c r="AB197" s="117">
        <f t="shared" si="31"/>
        <v>4.8749999999999844E-3</v>
      </c>
      <c r="AC197" s="117">
        <f t="shared" si="32"/>
        <v>4.8749999999999844E-3</v>
      </c>
      <c r="AD197" s="117">
        <f t="shared" si="33"/>
        <v>4.8749999999999844E-3</v>
      </c>
      <c r="AE197" s="116">
        <f t="shared" si="26"/>
        <v>420</v>
      </c>
      <c r="AF197" s="116">
        <f t="shared" si="27"/>
        <v>500</v>
      </c>
      <c r="AG197" s="116">
        <f t="shared" si="28"/>
        <v>220</v>
      </c>
      <c r="AH197" s="116" t="str">
        <f t="shared" si="29"/>
        <v/>
      </c>
    </row>
    <row r="198" spans="27:34" x14ac:dyDescent="0.25">
      <c r="AA198" s="117">
        <f t="shared" si="30"/>
        <v>4.8999999999999842E-3</v>
      </c>
      <c r="AB198" s="117">
        <f t="shared" si="31"/>
        <v>4.8999999999999842E-3</v>
      </c>
      <c r="AC198" s="117">
        <f t="shared" si="32"/>
        <v>4.8999999999999842E-3</v>
      </c>
      <c r="AD198" s="117">
        <f t="shared" si="33"/>
        <v>4.8999999999999842E-3</v>
      </c>
      <c r="AE198" s="116">
        <f t="shared" si="26"/>
        <v>420</v>
      </c>
      <c r="AF198" s="116">
        <f t="shared" si="27"/>
        <v>500</v>
      </c>
      <c r="AG198" s="116">
        <f t="shared" si="28"/>
        <v>220</v>
      </c>
      <c r="AH198" s="116" t="str">
        <f t="shared" si="29"/>
        <v/>
      </c>
    </row>
    <row r="199" spans="27:34" x14ac:dyDescent="0.25">
      <c r="AA199" s="117">
        <f t="shared" si="30"/>
        <v>4.9249999999999841E-3</v>
      </c>
      <c r="AB199" s="117">
        <f t="shared" si="31"/>
        <v>4.9249999999999841E-3</v>
      </c>
      <c r="AC199" s="117">
        <f t="shared" si="32"/>
        <v>4.9249999999999841E-3</v>
      </c>
      <c r="AD199" s="117">
        <f t="shared" si="33"/>
        <v>4.9249999999999841E-3</v>
      </c>
      <c r="AE199" s="116">
        <f t="shared" si="26"/>
        <v>420</v>
      </c>
      <c r="AF199" s="116">
        <f t="shared" si="27"/>
        <v>500</v>
      </c>
      <c r="AG199" s="116">
        <f t="shared" si="28"/>
        <v>220</v>
      </c>
      <c r="AH199" s="116" t="str">
        <f t="shared" si="29"/>
        <v/>
      </c>
    </row>
    <row r="200" spans="27:34" x14ac:dyDescent="0.25">
      <c r="AA200" s="117">
        <f t="shared" si="30"/>
        <v>4.9499999999999839E-3</v>
      </c>
      <c r="AB200" s="117">
        <f t="shared" si="31"/>
        <v>4.9499999999999839E-3</v>
      </c>
      <c r="AC200" s="117">
        <f t="shared" si="32"/>
        <v>4.9499999999999839E-3</v>
      </c>
      <c r="AD200" s="117">
        <f t="shared" si="33"/>
        <v>4.9499999999999839E-3</v>
      </c>
      <c r="AE200" s="116">
        <f t="shared" si="26"/>
        <v>420</v>
      </c>
      <c r="AF200" s="116">
        <f t="shared" si="27"/>
        <v>500</v>
      </c>
      <c r="AG200" s="116">
        <f t="shared" si="28"/>
        <v>220</v>
      </c>
      <c r="AH200" s="116" t="str">
        <f t="shared" si="29"/>
        <v/>
      </c>
    </row>
    <row r="201" spans="27:34" x14ac:dyDescent="0.25">
      <c r="AA201" s="117">
        <f t="shared" si="30"/>
        <v>4.9749999999999838E-3</v>
      </c>
      <c r="AB201" s="117">
        <f t="shared" si="31"/>
        <v>4.9749999999999838E-3</v>
      </c>
      <c r="AC201" s="117">
        <f t="shared" si="32"/>
        <v>4.9749999999999838E-3</v>
      </c>
      <c r="AD201" s="117">
        <f t="shared" si="33"/>
        <v>4.9749999999999838E-3</v>
      </c>
      <c r="AE201" s="116">
        <f t="shared" si="26"/>
        <v>420</v>
      </c>
      <c r="AF201" s="116">
        <f t="shared" si="27"/>
        <v>500</v>
      </c>
      <c r="AG201" s="116">
        <f t="shared" si="28"/>
        <v>220</v>
      </c>
      <c r="AH201" s="116" t="str">
        <f t="shared" si="29"/>
        <v/>
      </c>
    </row>
    <row r="202" spans="27:34" x14ac:dyDescent="0.25">
      <c r="AA202" s="117">
        <f t="shared" si="30"/>
        <v>4.9999999999999836E-3</v>
      </c>
      <c r="AB202" s="117">
        <f t="shared" si="31"/>
        <v>4.9999999999999836E-3</v>
      </c>
      <c r="AC202" s="117">
        <f t="shared" si="32"/>
        <v>4.9999999999999836E-3</v>
      </c>
      <c r="AD202" s="117">
        <f t="shared" si="33"/>
        <v>4.9999999999999836E-3</v>
      </c>
      <c r="AE202" s="116">
        <f t="shared" si="26"/>
        <v>420</v>
      </c>
      <c r="AF202" s="116">
        <f t="shared" si="27"/>
        <v>500</v>
      </c>
      <c r="AG202" s="116">
        <f t="shared" si="28"/>
        <v>220</v>
      </c>
      <c r="AH202" s="116" t="str">
        <f t="shared" si="29"/>
        <v/>
      </c>
    </row>
  </sheetData>
  <mergeCells count="1">
    <mergeCell ref="A1:E1"/>
  </mergeCells>
  <dataValidations count="1">
    <dataValidation type="decimal" operator="greaterThan" allowBlank="1" showInputMessage="1" showErrorMessage="1" errorTitle="Error" error="Por favor, ingresar valores mayores a 0 para los parámetros de las Armaduras Pasivas" sqref="E3:E5" xr:uid="{82DFC2D8-371A-4127-8374-467A7FA4B955}">
      <formula1>0</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8F6BD-75CF-49FA-BE9D-FDDC775A75B0}">
  <sheetPr codeName="Sheet4">
    <tabColor rgb="FF0070C0"/>
  </sheetPr>
  <dimension ref="A1:AL202"/>
  <sheetViews>
    <sheetView showGridLines="0" zoomScaleNormal="100" workbookViewId="0">
      <selection activeCell="E3" sqref="E3"/>
    </sheetView>
  </sheetViews>
  <sheetFormatPr defaultColWidth="9.140625" defaultRowHeight="15" x14ac:dyDescent="0.25"/>
  <cols>
    <col min="1" max="1" width="21.5703125" style="10" customWidth="1"/>
    <col min="2" max="3" width="14.28515625" style="10" customWidth="1"/>
    <col min="4" max="4" width="13.42578125" style="10" customWidth="1"/>
    <col min="5" max="5" width="12.5703125" style="10" customWidth="1"/>
    <col min="6" max="9" width="9.140625" style="10"/>
    <col min="18" max="18" width="9.140625" style="10"/>
    <col min="24" max="26" width="9.140625" style="118"/>
    <col min="27" max="27" width="11.140625" style="116" customWidth="1"/>
    <col min="28" max="28" width="9.140625" style="116"/>
    <col min="29" max="29" width="11" style="116" bestFit="1" customWidth="1"/>
    <col min="30" max="30" width="11" style="116" customWidth="1"/>
    <col min="31" max="31" width="12.85546875" style="116" bestFit="1" customWidth="1"/>
    <col min="32" max="33" width="9.140625" style="116"/>
    <col min="34" max="34" width="9.42578125" style="119" bestFit="1" customWidth="1"/>
    <col min="35" max="38" width="9.140625" style="119"/>
    <col min="39" max="16384" width="9.140625" style="10"/>
  </cols>
  <sheetData>
    <row r="1" spans="1:34" ht="28.5" customHeight="1" thickBot="1" x14ac:dyDescent="0.3">
      <c r="A1" s="195" t="s">
        <v>31</v>
      </c>
      <c r="B1" s="196"/>
      <c r="C1" s="196"/>
      <c r="D1" s="196"/>
      <c r="E1" s="197"/>
    </row>
    <row r="2" spans="1:34" ht="37.5" customHeight="1" thickTop="1" thickBot="1" x14ac:dyDescent="0.3">
      <c r="A2" s="20" t="s">
        <v>19</v>
      </c>
      <c r="B2" s="18" t="s">
        <v>23</v>
      </c>
      <c r="C2" s="18" t="s">
        <v>24</v>
      </c>
      <c r="D2" s="18" t="s">
        <v>25</v>
      </c>
      <c r="E2" s="21" t="s">
        <v>20</v>
      </c>
      <c r="AA2" s="117">
        <v>0</v>
      </c>
      <c r="AB2" s="117">
        <v>0</v>
      </c>
      <c r="AC2" s="117">
        <v>0</v>
      </c>
      <c r="AD2" s="117">
        <v>0</v>
      </c>
      <c r="AE2" s="116">
        <f t="shared" ref="AE2:AE65" si="0">B$3 * AA2 * (B$9 + (1-B$9)/(POWER(1+POWER(B$3*ABS(AA2)/(B$8*B$4), B$7), 1/B$7)))</f>
        <v>0</v>
      </c>
      <c r="AF2" s="116">
        <f t="shared" ref="AF2:AF65" si="1">C$3 * AB2 * (C$9 + (1-C$9)/(POWER(1+POWER(C$3*ABS(AB2)/(C$8*C$4), C$7), 1/C$7)))</f>
        <v>0</v>
      </c>
      <c r="AG2" s="116">
        <f t="shared" ref="AG2:AG65" si="2">D$3 * AC2 * (D$9 + (1-D$9)/(POWER(1+POWER(D$3*ABS(AC2)/(D$8*D$4), D$7), 1/D$7)))</f>
        <v>0</v>
      </c>
      <c r="AH2" s="119" t="str">
        <f>IF(AND(NOT(ISBLANK($E$3)), NOT(ISBLANK($E$4)), NOT(ISBLANK($E$5)), NOT(ISBLANK($E$6)), NOT(ISBLANK($E$7)), NOT(ISBLANK($E$8)), NOT(ISBLANK($E$9))), $E$3 * AD2 * ($E$9 + (1-$E$9)/(POWER(1+POWER($E$3*ABS(AD2)/($E$8*$E$4), $E$7), 1/$E$7))), "")</f>
        <v/>
      </c>
    </row>
    <row r="3" spans="1:34" ht="37.5" customHeight="1" thickTop="1" x14ac:dyDescent="0.25">
      <c r="A3" s="22" t="s">
        <v>107</v>
      </c>
      <c r="B3" s="10">
        <v>200000</v>
      </c>
      <c r="C3" s="10">
        <v>200000</v>
      </c>
      <c r="D3" s="10">
        <v>200000</v>
      </c>
      <c r="E3" s="23"/>
      <c r="AA3" s="117">
        <f t="shared" ref="AA3:AA34" si="3">AA2+B$6/200</f>
        <v>2.05E-4</v>
      </c>
      <c r="AB3" s="117">
        <f t="shared" ref="AB3:AB34" si="4">AB2+C$6/200</f>
        <v>4.3499999999999995E-4</v>
      </c>
      <c r="AC3" s="117">
        <f t="shared" ref="AC3:AC34" si="5">AC2+D$6/200</f>
        <v>3.4500000000000004E-4</v>
      </c>
      <c r="AD3" s="117">
        <f t="shared" ref="AD3:AD34" si="6">AD2+E$6/200</f>
        <v>0</v>
      </c>
      <c r="AE3" s="116">
        <f t="shared" si="0"/>
        <v>40.999999998894182</v>
      </c>
      <c r="AF3" s="116">
        <f t="shared" si="1"/>
        <v>86.999999630371462</v>
      </c>
      <c r="AG3" s="116">
        <f t="shared" si="2"/>
        <v>68.999999999580282</v>
      </c>
      <c r="AH3" s="119" t="str">
        <f t="shared" ref="AH3:AH66" si="7">IF(AND(NOT(ISBLANK($E$3)), NOT(ISBLANK($E$4)), NOT(ISBLANK($E$5)), NOT(ISBLANK($E$6)), NOT(ISBLANK($E$7)), NOT(ISBLANK($E$8)), NOT(ISBLANK($E$9))), $E$3 * AD3 * ($E$9 + (1-$E$9)/(POWER(1+POWER($E$3*ABS(AD3)/($E$8*$E$4), $E$7), 1/$E$7))), "")</f>
        <v/>
      </c>
    </row>
    <row r="4" spans="1:34" ht="48.75" customHeight="1" x14ac:dyDescent="0.25">
      <c r="A4" s="24" t="s">
        <v>26</v>
      </c>
      <c r="B4" s="10">
        <v>952</v>
      </c>
      <c r="C4" s="10">
        <v>1505</v>
      </c>
      <c r="D4" s="10">
        <v>1665</v>
      </c>
      <c r="E4" s="25"/>
      <c r="AA4" s="117">
        <f t="shared" si="3"/>
        <v>4.0999999999999999E-4</v>
      </c>
      <c r="AB4" s="117">
        <f t="shared" si="4"/>
        <v>8.699999999999999E-4</v>
      </c>
      <c r="AC4" s="117">
        <f t="shared" si="5"/>
        <v>6.9000000000000008E-4</v>
      </c>
      <c r="AD4" s="117">
        <f t="shared" si="6"/>
        <v>0</v>
      </c>
      <c r="AE4" s="116">
        <f t="shared" si="0"/>
        <v>81.999999696591587</v>
      </c>
      <c r="AF4" s="116">
        <f t="shared" si="1"/>
        <v>173.99995067843844</v>
      </c>
      <c r="AG4" s="116">
        <f t="shared" si="2"/>
        <v>137.9999998636153</v>
      </c>
      <c r="AH4" s="119" t="str">
        <f t="shared" si="7"/>
        <v/>
      </c>
    </row>
    <row r="5" spans="1:34" ht="31.5" customHeight="1" x14ac:dyDescent="0.25">
      <c r="A5" s="24" t="s">
        <v>27</v>
      </c>
      <c r="B5" s="10">
        <v>1050</v>
      </c>
      <c r="C5" s="10">
        <v>1650</v>
      </c>
      <c r="D5" s="10">
        <v>1860</v>
      </c>
      <c r="E5" s="25"/>
      <c r="AA5" s="117">
        <f t="shared" si="3"/>
        <v>6.1499999999999999E-4</v>
      </c>
      <c r="AB5" s="117">
        <f t="shared" si="4"/>
        <v>1.3049999999999997E-3</v>
      </c>
      <c r="AC5" s="117">
        <f t="shared" si="5"/>
        <v>1.0350000000000001E-3</v>
      </c>
      <c r="AD5" s="117">
        <f t="shared" si="6"/>
        <v>0</v>
      </c>
      <c r="AE5" s="116">
        <f t="shared" si="0"/>
        <v>122.99999190220655</v>
      </c>
      <c r="AF5" s="116">
        <f t="shared" si="1"/>
        <v>260.99913655149771</v>
      </c>
      <c r="AG5" s="116">
        <f t="shared" si="2"/>
        <v>206.99999598143341</v>
      </c>
      <c r="AH5" s="119" t="str">
        <f t="shared" si="7"/>
        <v/>
      </c>
    </row>
    <row r="6" spans="1:34" ht="31.5" customHeight="1" x14ac:dyDescent="0.25">
      <c r="A6" s="26" t="s">
        <v>35</v>
      </c>
      <c r="B6" s="19">
        <v>4.1000000000000002E-2</v>
      </c>
      <c r="C6" s="19">
        <v>8.6999999999999994E-2</v>
      </c>
      <c r="D6" s="19">
        <v>6.9000000000000006E-2</v>
      </c>
      <c r="E6" s="27"/>
      <c r="AA6" s="117">
        <f t="shared" si="3"/>
        <v>8.1999999999999998E-4</v>
      </c>
      <c r="AB6" s="117">
        <f t="shared" si="4"/>
        <v>1.7399999999999998E-3</v>
      </c>
      <c r="AC6" s="117">
        <f t="shared" si="5"/>
        <v>1.3800000000000002E-3</v>
      </c>
      <c r="AD6" s="117">
        <f t="shared" si="6"/>
        <v>0</v>
      </c>
      <c r="AE6" s="116">
        <f t="shared" si="0"/>
        <v>163.9999167527931</v>
      </c>
      <c r="AF6" s="116">
        <f t="shared" si="1"/>
        <v>347.99341918244039</v>
      </c>
      <c r="AG6" s="116">
        <f t="shared" si="2"/>
        <v>275.99995568408411</v>
      </c>
      <c r="AH6" s="119" t="str">
        <f t="shared" si="7"/>
        <v/>
      </c>
    </row>
    <row r="7" spans="1:34" ht="31.5" customHeight="1" x14ac:dyDescent="0.25">
      <c r="A7" s="24" t="s">
        <v>28</v>
      </c>
      <c r="B7" s="120">
        <v>7.1</v>
      </c>
      <c r="C7" s="120">
        <v>6.06</v>
      </c>
      <c r="D7" s="120">
        <v>7.3440000000000003</v>
      </c>
      <c r="E7" s="25"/>
      <c r="AA7" s="117">
        <f t="shared" si="3"/>
        <v>1.0249999999999999E-3</v>
      </c>
      <c r="AB7" s="117">
        <f t="shared" si="4"/>
        <v>2.1749999999999999E-3</v>
      </c>
      <c r="AC7" s="117">
        <f t="shared" si="5"/>
        <v>1.7250000000000002E-3</v>
      </c>
      <c r="AD7" s="117">
        <f t="shared" si="6"/>
        <v>0</v>
      </c>
      <c r="AE7" s="116">
        <f t="shared" si="0"/>
        <v>204.99949261543185</v>
      </c>
      <c r="AF7" s="116">
        <f t="shared" si="1"/>
        <v>434.96820338092874</v>
      </c>
      <c r="AG7" s="116">
        <f t="shared" si="2"/>
        <v>344.99971478283612</v>
      </c>
      <c r="AH7" s="119" t="str">
        <f t="shared" si="7"/>
        <v/>
      </c>
    </row>
    <row r="8" spans="1:34" x14ac:dyDescent="0.25">
      <c r="A8" s="24" t="s">
        <v>29</v>
      </c>
      <c r="B8" s="17">
        <v>1.0041</v>
      </c>
      <c r="C8" s="17">
        <v>1.0325</v>
      </c>
      <c r="D8" s="17">
        <v>1.0618000000000001</v>
      </c>
      <c r="E8" s="25"/>
      <c r="AA8" s="117">
        <f t="shared" si="3"/>
        <v>1.2299999999999998E-3</v>
      </c>
      <c r="AB8" s="117">
        <f t="shared" si="4"/>
        <v>2.6099999999999999E-3</v>
      </c>
      <c r="AC8" s="117">
        <f t="shared" si="5"/>
        <v>2.0700000000000002E-3</v>
      </c>
      <c r="AD8" s="117">
        <f t="shared" si="6"/>
        <v>0</v>
      </c>
      <c r="AE8" s="116">
        <f t="shared" si="0"/>
        <v>245.99777825807894</v>
      </c>
      <c r="AF8" s="116">
        <f t="shared" si="1"/>
        <v>521.88487410891469</v>
      </c>
      <c r="AG8" s="116">
        <f t="shared" si="2"/>
        <v>413.99869425098365</v>
      </c>
      <c r="AH8" s="119" t="str">
        <f t="shared" si="7"/>
        <v/>
      </c>
    </row>
    <row r="9" spans="1:34" ht="30.75" customHeight="1" thickBot="1" x14ac:dyDescent="0.3">
      <c r="A9" s="28" t="s">
        <v>30</v>
      </c>
      <c r="B9" s="121">
        <v>1.7500000000000002E-2</v>
      </c>
      <c r="C9" s="121">
        <v>6.2500000000000003E-3</v>
      </c>
      <c r="D9" s="121">
        <v>1.174E-2</v>
      </c>
      <c r="E9" s="104"/>
      <c r="AA9" s="117">
        <f t="shared" si="3"/>
        <v>1.4349999999999996E-3</v>
      </c>
      <c r="AB9" s="117">
        <f t="shared" si="4"/>
        <v>3.045E-3</v>
      </c>
      <c r="AC9" s="117">
        <f t="shared" si="5"/>
        <v>2.4150000000000005E-3</v>
      </c>
      <c r="AD9" s="117">
        <f t="shared" si="6"/>
        <v>0</v>
      </c>
      <c r="AE9" s="116">
        <f t="shared" si="0"/>
        <v>286.99225662179344</v>
      </c>
      <c r="AF9" s="116">
        <f t="shared" si="1"/>
        <v>608.65857735985071</v>
      </c>
      <c r="AG9" s="116">
        <f t="shared" si="2"/>
        <v>482.9952744586808</v>
      </c>
      <c r="AH9" s="119" t="str">
        <f t="shared" si="7"/>
        <v/>
      </c>
    </row>
    <row r="10" spans="1:34" x14ac:dyDescent="0.25">
      <c r="AA10" s="117">
        <f t="shared" si="3"/>
        <v>1.6399999999999995E-3</v>
      </c>
      <c r="AB10" s="117">
        <f t="shared" si="4"/>
        <v>3.48E-3</v>
      </c>
      <c r="AC10" s="117">
        <f t="shared" si="5"/>
        <v>2.7600000000000003E-3</v>
      </c>
      <c r="AD10" s="117">
        <f t="shared" si="6"/>
        <v>0</v>
      </c>
      <c r="AE10" s="116">
        <f t="shared" si="0"/>
        <v>327.97716563672998</v>
      </c>
      <c r="AF10" s="116">
        <f t="shared" si="1"/>
        <v>695.1257397868759</v>
      </c>
      <c r="AG10" s="116">
        <f t="shared" si="2"/>
        <v>551.9856018569136</v>
      </c>
      <c r="AH10" s="119" t="str">
        <f t="shared" si="7"/>
        <v/>
      </c>
    </row>
    <row r="11" spans="1:34" x14ac:dyDescent="0.25">
      <c r="A11"/>
      <c r="AA11" s="117">
        <f t="shared" si="3"/>
        <v>1.8449999999999994E-3</v>
      </c>
      <c r="AB11" s="117">
        <f t="shared" si="4"/>
        <v>3.9150000000000001E-3</v>
      </c>
      <c r="AC11" s="117">
        <f t="shared" si="5"/>
        <v>3.1050000000000001E-3</v>
      </c>
      <c r="AD11" s="117">
        <f t="shared" si="6"/>
        <v>0</v>
      </c>
      <c r="AE11" s="116">
        <f t="shared" si="0"/>
        <v>368.94074003011985</v>
      </c>
      <c r="AF11" s="116">
        <f t="shared" si="1"/>
        <v>781.00119638044816</v>
      </c>
      <c r="AG11" s="116">
        <f t="shared" si="2"/>
        <v>620.96153573936999</v>
      </c>
      <c r="AH11" s="119" t="str">
        <f t="shared" si="7"/>
        <v/>
      </c>
    </row>
    <row r="12" spans="1:34" x14ac:dyDescent="0.25">
      <c r="AA12" s="117">
        <f t="shared" si="3"/>
        <v>2.0499999999999993E-3</v>
      </c>
      <c r="AB12" s="117">
        <f t="shared" si="4"/>
        <v>4.3499999999999997E-3</v>
      </c>
      <c r="AC12" s="117">
        <f t="shared" si="5"/>
        <v>3.4499999999999999E-3</v>
      </c>
      <c r="AD12" s="117">
        <f t="shared" si="6"/>
        <v>0</v>
      </c>
      <c r="AE12" s="116">
        <f t="shared" si="0"/>
        <v>409.86097995575295</v>
      </c>
      <c r="AF12" s="116">
        <f t="shared" si="1"/>
        <v>865.82809180262234</v>
      </c>
      <c r="AG12" s="116">
        <f t="shared" si="2"/>
        <v>689.90737562087475</v>
      </c>
      <c r="AH12" s="119" t="str">
        <f t="shared" si="7"/>
        <v/>
      </c>
    </row>
    <row r="13" spans="1:34" x14ac:dyDescent="0.25">
      <c r="AA13" s="117">
        <f t="shared" si="3"/>
        <v>2.2549999999999992E-3</v>
      </c>
      <c r="AB13" s="117">
        <f t="shared" si="4"/>
        <v>4.7849999999999993E-3</v>
      </c>
      <c r="AC13" s="117">
        <f t="shared" si="5"/>
        <v>3.7949999999999998E-3</v>
      </c>
      <c r="AD13" s="117">
        <f t="shared" si="6"/>
        <v>0</v>
      </c>
      <c r="AE13" s="116">
        <f t="shared" si="0"/>
        <v>450.69955016931885</v>
      </c>
      <c r="AF13" s="116">
        <f t="shared" si="1"/>
        <v>948.92976794734898</v>
      </c>
      <c r="AG13" s="116">
        <f t="shared" si="2"/>
        <v>758.79495150881428</v>
      </c>
      <c r="AH13" s="119" t="str">
        <f t="shared" si="7"/>
        <v/>
      </c>
    </row>
    <row r="14" spans="1:34" x14ac:dyDescent="0.25">
      <c r="AA14" s="117">
        <f t="shared" si="3"/>
        <v>2.4599999999999991E-3</v>
      </c>
      <c r="AB14" s="117">
        <f t="shared" si="4"/>
        <v>5.2199999999999989E-3</v>
      </c>
      <c r="AC14" s="117">
        <f t="shared" si="5"/>
        <v>4.1399999999999996E-3</v>
      </c>
      <c r="AD14" s="117">
        <f t="shared" si="6"/>
        <v>0</v>
      </c>
      <c r="AE14" s="116">
        <f t="shared" si="0"/>
        <v>491.3934829171767</v>
      </c>
      <c r="AF14" s="116">
        <f t="shared" si="1"/>
        <v>1029.3815974948031</v>
      </c>
      <c r="AG14" s="116">
        <f t="shared" si="2"/>
        <v>827.57662830155448</v>
      </c>
      <c r="AH14" s="119" t="str">
        <f t="shared" si="7"/>
        <v/>
      </c>
    </row>
    <row r="15" spans="1:34" x14ac:dyDescent="0.25">
      <c r="AA15" s="117">
        <f t="shared" si="3"/>
        <v>2.664999999999999E-3</v>
      </c>
      <c r="AB15" s="117">
        <f t="shared" si="4"/>
        <v>5.6549999999999986E-3</v>
      </c>
      <c r="AC15" s="117">
        <f t="shared" si="5"/>
        <v>4.4849999999999994E-3</v>
      </c>
      <c r="AD15" s="117">
        <f t="shared" si="6"/>
        <v>0</v>
      </c>
      <c r="AE15" s="116">
        <f t="shared" si="0"/>
        <v>531.84458925683703</v>
      </c>
      <c r="AF15" s="116">
        <f t="shared" si="1"/>
        <v>1106.0290831301095</v>
      </c>
      <c r="AG15" s="116">
        <f t="shared" si="2"/>
        <v>896.17580763208957</v>
      </c>
      <c r="AH15" s="119" t="str">
        <f t="shared" si="7"/>
        <v/>
      </c>
    </row>
    <row r="16" spans="1:34" x14ac:dyDescent="0.25">
      <c r="AA16" s="117">
        <f t="shared" si="3"/>
        <v>2.8699999999999989E-3</v>
      </c>
      <c r="AB16" s="117">
        <f t="shared" si="4"/>
        <v>6.0899999999999982E-3</v>
      </c>
      <c r="AC16" s="117">
        <f t="shared" si="5"/>
        <v>4.8299999999999992E-3</v>
      </c>
      <c r="AD16" s="117">
        <f t="shared" si="6"/>
        <v>0</v>
      </c>
      <c r="AE16" s="116">
        <f t="shared" si="0"/>
        <v>571.90699882493243</v>
      </c>
      <c r="AF16" s="116">
        <f t="shared" si="1"/>
        <v>1177.5785181697943</v>
      </c>
      <c r="AG16" s="116">
        <f t="shared" si="2"/>
        <v>964.47466916315432</v>
      </c>
      <c r="AH16" s="119" t="str">
        <f t="shared" si="7"/>
        <v/>
      </c>
    </row>
    <row r="17" spans="27:34" x14ac:dyDescent="0.25">
      <c r="AA17" s="117">
        <f t="shared" si="3"/>
        <v>3.0749999999999987E-3</v>
      </c>
      <c r="AB17" s="117">
        <f t="shared" si="4"/>
        <v>6.5249999999999978E-3</v>
      </c>
      <c r="AC17" s="117">
        <f t="shared" si="5"/>
        <v>5.174999999999999E-3</v>
      </c>
      <c r="AD17" s="117">
        <f t="shared" si="6"/>
        <v>0</v>
      </c>
      <c r="AE17" s="116">
        <f t="shared" si="0"/>
        <v>611.37418880285213</v>
      </c>
      <c r="AF17" s="116">
        <f t="shared" si="1"/>
        <v>1242.7676625586503</v>
      </c>
      <c r="AG17" s="116">
        <f t="shared" si="2"/>
        <v>1032.2992782830329</v>
      </c>
      <c r="AH17" s="119" t="str">
        <f t="shared" si="7"/>
        <v/>
      </c>
    </row>
    <row r="18" spans="27:34" x14ac:dyDescent="0.25">
      <c r="AA18" s="117">
        <f t="shared" si="3"/>
        <v>3.2799999999999986E-3</v>
      </c>
      <c r="AB18" s="117">
        <f t="shared" si="4"/>
        <v>6.9599999999999974E-3</v>
      </c>
      <c r="AC18" s="117">
        <f t="shared" si="5"/>
        <v>5.5199999999999989E-3</v>
      </c>
      <c r="AD18" s="117">
        <f t="shared" si="6"/>
        <v>0</v>
      </c>
      <c r="AE18" s="116">
        <f t="shared" si="0"/>
        <v>649.96830345159049</v>
      </c>
      <c r="AF18" s="116">
        <f t="shared" si="1"/>
        <v>1300.5844653729471</v>
      </c>
      <c r="AG18" s="116">
        <f t="shared" si="2"/>
        <v>1099.4029303622685</v>
      </c>
      <c r="AH18" s="119" t="str">
        <f t="shared" si="7"/>
        <v/>
      </c>
    </row>
    <row r="19" spans="27:34" x14ac:dyDescent="0.25">
      <c r="AA19" s="117">
        <f t="shared" si="3"/>
        <v>3.4849999999999985E-3</v>
      </c>
      <c r="AB19" s="117">
        <f t="shared" si="4"/>
        <v>7.3949999999999971E-3</v>
      </c>
      <c r="AC19" s="117">
        <f t="shared" si="5"/>
        <v>5.8649999999999987E-3</v>
      </c>
      <c r="AD19" s="117">
        <f t="shared" si="6"/>
        <v>0</v>
      </c>
      <c r="AE19" s="116">
        <f t="shared" si="0"/>
        <v>687.33631679325549</v>
      </c>
      <c r="AF19" s="116">
        <f t="shared" si="1"/>
        <v>1350.461931954233</v>
      </c>
      <c r="AG19" s="116">
        <f t="shared" si="2"/>
        <v>1165.4498282631612</v>
      </c>
      <c r="AH19" s="119" t="str">
        <f t="shared" si="7"/>
        <v/>
      </c>
    </row>
    <row r="20" spans="27:34" x14ac:dyDescent="0.25">
      <c r="AA20" s="117">
        <f t="shared" si="3"/>
        <v>3.6899999999999984E-3</v>
      </c>
      <c r="AB20" s="117">
        <f t="shared" si="4"/>
        <v>7.8299999999999967E-3</v>
      </c>
      <c r="AC20" s="117">
        <f t="shared" si="5"/>
        <v>6.2099999999999985E-3</v>
      </c>
      <c r="AD20" s="117">
        <f t="shared" si="6"/>
        <v>0</v>
      </c>
      <c r="AE20" s="116">
        <f t="shared" si="0"/>
        <v>723.05891719986323</v>
      </c>
      <c r="AF20" s="116">
        <f t="shared" si="1"/>
        <v>1392.3718394422924</v>
      </c>
      <c r="AG20" s="116">
        <f t="shared" si="2"/>
        <v>1230.0029080439829</v>
      </c>
      <c r="AH20" s="119" t="str">
        <f t="shared" si="7"/>
        <v/>
      </c>
    </row>
    <row r="21" spans="27:34" x14ac:dyDescent="0.25">
      <c r="AA21" s="117">
        <f t="shared" si="3"/>
        <v>3.8949999999999983E-3</v>
      </c>
      <c r="AB21" s="117">
        <f t="shared" si="4"/>
        <v>8.2649999999999963E-3</v>
      </c>
      <c r="AC21" s="117">
        <f t="shared" si="5"/>
        <v>6.5549999999999983E-3</v>
      </c>
      <c r="AD21" s="117">
        <f t="shared" si="6"/>
        <v>0</v>
      </c>
      <c r="AE21" s="116">
        <f t="shared" si="0"/>
        <v>756.67747346865474</v>
      </c>
      <c r="AF21" s="116">
        <f t="shared" si="1"/>
        <v>1426.7840988270054</v>
      </c>
      <c r="AG21" s="116">
        <f t="shared" si="2"/>
        <v>1292.521525263207</v>
      </c>
      <c r="AH21" s="119" t="str">
        <f t="shared" si="7"/>
        <v/>
      </c>
    </row>
    <row r="22" spans="27:34" x14ac:dyDescent="0.25">
      <c r="AA22" s="117">
        <f t="shared" si="3"/>
        <v>4.0999999999999986E-3</v>
      </c>
      <c r="AB22" s="117">
        <f t="shared" si="4"/>
        <v>8.6999999999999959E-3</v>
      </c>
      <c r="AC22" s="117">
        <f t="shared" si="5"/>
        <v>6.8999999999999981E-3</v>
      </c>
      <c r="AD22" s="117">
        <f t="shared" si="6"/>
        <v>0</v>
      </c>
      <c r="AE22" s="116">
        <f t="shared" si="0"/>
        <v>787.74048560279402</v>
      </c>
      <c r="AF22" s="116">
        <f t="shared" si="1"/>
        <v>1454.5225857861851</v>
      </c>
      <c r="AG22" s="116">
        <f t="shared" si="2"/>
        <v>1352.3759139228696</v>
      </c>
      <c r="AH22" s="119" t="str">
        <f t="shared" si="7"/>
        <v/>
      </c>
    </row>
    <row r="23" spans="27:34" x14ac:dyDescent="0.25">
      <c r="AA23" s="117">
        <f t="shared" si="3"/>
        <v>4.3049999999999989E-3</v>
      </c>
      <c r="AB23" s="117">
        <f t="shared" si="4"/>
        <v>9.1349999999999956E-3</v>
      </c>
      <c r="AC23" s="117">
        <f t="shared" si="5"/>
        <v>7.244999999999998E-3</v>
      </c>
      <c r="AD23" s="117">
        <f t="shared" si="6"/>
        <v>0</v>
      </c>
      <c r="AE23" s="116">
        <f t="shared" si="0"/>
        <v>815.86331048334011</v>
      </c>
      <c r="AF23" s="116">
        <f t="shared" si="1"/>
        <v>1476.5851830361207</v>
      </c>
      <c r="AG23" s="116">
        <f t="shared" si="2"/>
        <v>1408.8843472933593</v>
      </c>
      <c r="AH23" s="119" t="str">
        <f t="shared" si="7"/>
        <v/>
      </c>
    </row>
    <row r="24" spans="27:34" x14ac:dyDescent="0.25">
      <c r="AA24" s="117">
        <f t="shared" si="3"/>
        <v>4.5099999999999993E-3</v>
      </c>
      <c r="AB24" s="117">
        <f t="shared" si="4"/>
        <v>9.5699999999999952E-3</v>
      </c>
      <c r="AC24" s="117">
        <f t="shared" si="5"/>
        <v>7.5899999999999978E-3</v>
      </c>
      <c r="AD24" s="117">
        <f t="shared" si="6"/>
        <v>0</v>
      </c>
      <c r="AE24" s="116">
        <f t="shared" si="0"/>
        <v>840.78659423097633</v>
      </c>
      <c r="AF24" s="116">
        <f t="shared" si="1"/>
        <v>1493.9883660813321</v>
      </c>
      <c r="AG24" s="116">
        <f t="shared" si="2"/>
        <v>1461.37425928574</v>
      </c>
      <c r="AH24" s="119" t="str">
        <f t="shared" si="7"/>
        <v/>
      </c>
    </row>
    <row r="25" spans="27:34" x14ac:dyDescent="0.25">
      <c r="AA25" s="117">
        <f t="shared" si="3"/>
        <v>4.7149999999999996E-3</v>
      </c>
      <c r="AB25" s="117">
        <f t="shared" si="4"/>
        <v>1.0004999999999995E-2</v>
      </c>
      <c r="AC25" s="117">
        <f t="shared" si="5"/>
        <v>7.9349999999999976E-3</v>
      </c>
      <c r="AD25" s="117">
        <f t="shared" si="6"/>
        <v>0</v>
      </c>
      <c r="AE25" s="116">
        <f t="shared" si="0"/>
        <v>862.41532698028254</v>
      </c>
      <c r="AF25" s="116">
        <f t="shared" si="1"/>
        <v>1507.6648677687979</v>
      </c>
      <c r="AG25" s="116">
        <f t="shared" si="2"/>
        <v>1509.2601498499573</v>
      </c>
      <c r="AH25" s="119" t="str">
        <f t="shared" si="7"/>
        <v/>
      </c>
    </row>
    <row r="26" spans="27:34" x14ac:dyDescent="0.25">
      <c r="AA26" s="117">
        <f t="shared" si="3"/>
        <v>4.9199999999999999E-3</v>
      </c>
      <c r="AB26" s="117">
        <f t="shared" si="4"/>
        <v>1.0439999999999994E-2</v>
      </c>
      <c r="AC26" s="117">
        <f t="shared" si="5"/>
        <v>8.2799999999999974E-3</v>
      </c>
      <c r="AD26" s="117">
        <f t="shared" si="6"/>
        <v>0</v>
      </c>
      <c r="AE26" s="116">
        <f t="shared" si="0"/>
        <v>880.82585654357763</v>
      </c>
      <c r="AF26" s="116">
        <f t="shared" si="1"/>
        <v>1518.4140146027107</v>
      </c>
      <c r="AG26" s="116">
        <f t="shared" si="2"/>
        <v>1552.1217880611598</v>
      </c>
      <c r="AH26" s="119" t="str">
        <f t="shared" si="7"/>
        <v/>
      </c>
    </row>
    <row r="27" spans="27:34" x14ac:dyDescent="0.25">
      <c r="AA27" s="117">
        <f t="shared" si="3"/>
        <v>5.1250000000000002E-3</v>
      </c>
      <c r="AB27" s="117">
        <f t="shared" si="4"/>
        <v>1.0874999999999994E-2</v>
      </c>
      <c r="AC27" s="117">
        <f t="shared" si="5"/>
        <v>8.6249999999999973E-3</v>
      </c>
      <c r="AD27" s="117">
        <f t="shared" si="6"/>
        <v>0</v>
      </c>
      <c r="AE27" s="116">
        <f t="shared" si="0"/>
        <v>896.2405017410025</v>
      </c>
      <c r="AF27" s="116">
        <f t="shared" si="1"/>
        <v>1526.8901738076659</v>
      </c>
      <c r="AG27" s="116">
        <f t="shared" si="2"/>
        <v>1589.7615278398246</v>
      </c>
      <c r="AH27" s="119" t="str">
        <f t="shared" si="7"/>
        <v/>
      </c>
    </row>
    <row r="28" spans="27:34" x14ac:dyDescent="0.25">
      <c r="AA28" s="117">
        <f t="shared" si="3"/>
        <v>5.3300000000000005E-3</v>
      </c>
      <c r="AB28" s="117">
        <f t="shared" si="4"/>
        <v>1.1309999999999994E-2</v>
      </c>
      <c r="AC28" s="117">
        <f t="shared" si="5"/>
        <v>8.9699999999999971E-3</v>
      </c>
      <c r="AD28" s="117">
        <f t="shared" si="6"/>
        <v>0</v>
      </c>
      <c r="AE28" s="116">
        <f t="shared" si="0"/>
        <v>908.98112090510324</v>
      </c>
      <c r="AF28" s="116">
        <f t="shared" si="1"/>
        <v>1533.6129977030303</v>
      </c>
      <c r="AG28" s="116">
        <f t="shared" si="2"/>
        <v>1622.223970293541</v>
      </c>
      <c r="AH28" s="119" t="str">
        <f t="shared" si="7"/>
        <v/>
      </c>
    </row>
    <row r="29" spans="27:34" x14ac:dyDescent="0.25">
      <c r="AA29" s="117">
        <f t="shared" si="3"/>
        <v>5.5350000000000009E-3</v>
      </c>
      <c r="AB29" s="117">
        <f t="shared" si="4"/>
        <v>1.1744999999999993E-2</v>
      </c>
      <c r="AC29" s="117">
        <f t="shared" si="5"/>
        <v>9.3149999999999969E-3</v>
      </c>
      <c r="AD29" s="117">
        <f t="shared" si="6"/>
        <v>0</v>
      </c>
      <c r="AE29" s="116">
        <f t="shared" si="0"/>
        <v>919.41757778982208</v>
      </c>
      <c r="AF29" s="116">
        <f t="shared" si="1"/>
        <v>1538.9871246988625</v>
      </c>
      <c r="AG29" s="116">
        <f t="shared" si="2"/>
        <v>1649.7738267274653</v>
      </c>
      <c r="AH29" s="119" t="str">
        <f t="shared" si="7"/>
        <v/>
      </c>
    </row>
    <row r="30" spans="27:34" x14ac:dyDescent="0.25">
      <c r="AA30" s="117">
        <f t="shared" si="3"/>
        <v>5.7400000000000012E-3</v>
      </c>
      <c r="AB30" s="117">
        <f t="shared" si="4"/>
        <v>1.2179999999999993E-2</v>
      </c>
      <c r="AC30" s="117">
        <f t="shared" si="5"/>
        <v>9.6599999999999967E-3</v>
      </c>
      <c r="AD30" s="117">
        <f t="shared" si="6"/>
        <v>0</v>
      </c>
      <c r="AE30" s="116">
        <f t="shared" si="0"/>
        <v>927.92390080208349</v>
      </c>
      <c r="AF30" s="116">
        <f t="shared" si="1"/>
        <v>1543.3238653782903</v>
      </c>
      <c r="AG30" s="116">
        <f t="shared" si="2"/>
        <v>1672.841926123697</v>
      </c>
      <c r="AH30" s="119" t="str">
        <f t="shared" si="7"/>
        <v/>
      </c>
    </row>
    <row r="31" spans="27:34" x14ac:dyDescent="0.25">
      <c r="AA31" s="117">
        <f t="shared" si="3"/>
        <v>5.9450000000000015E-3</v>
      </c>
      <c r="AB31" s="117">
        <f t="shared" si="4"/>
        <v>1.2614999999999993E-2</v>
      </c>
      <c r="AC31" s="117">
        <f t="shared" si="5"/>
        <v>1.0004999999999997E-2</v>
      </c>
      <c r="AD31" s="117">
        <f t="shared" si="6"/>
        <v>0</v>
      </c>
      <c r="AE31" s="116">
        <f t="shared" si="0"/>
        <v>934.84818624852267</v>
      </c>
      <c r="AF31" s="116">
        <f t="shared" si="1"/>
        <v>1546.8611472214488</v>
      </c>
      <c r="AG31" s="116">
        <f t="shared" si="2"/>
        <v>1691.9573858643334</v>
      </c>
      <c r="AH31" s="119" t="str">
        <f t="shared" si="7"/>
        <v/>
      </c>
    </row>
    <row r="32" spans="27:34" x14ac:dyDescent="0.25">
      <c r="AA32" s="117">
        <f t="shared" si="3"/>
        <v>6.1500000000000018E-3</v>
      </c>
      <c r="AB32" s="117">
        <f t="shared" si="4"/>
        <v>1.3049999999999992E-2</v>
      </c>
      <c r="AC32" s="117">
        <f t="shared" si="5"/>
        <v>1.0349999999999996E-2</v>
      </c>
      <c r="AD32" s="117">
        <f t="shared" si="6"/>
        <v>0</v>
      </c>
      <c r="AE32" s="116">
        <f t="shared" si="0"/>
        <v>940.49634635427196</v>
      </c>
      <c r="AF32" s="116">
        <f t="shared" si="1"/>
        <v>1549.7803069609201</v>
      </c>
      <c r="AG32" s="116">
        <f t="shared" si="2"/>
        <v>1707.6833464675055</v>
      </c>
      <c r="AH32" s="119" t="str">
        <f t="shared" si="7"/>
        <v/>
      </c>
    </row>
    <row r="33" spans="27:34" x14ac:dyDescent="0.25">
      <c r="AA33" s="117">
        <f t="shared" si="3"/>
        <v>6.3550000000000021E-3</v>
      </c>
      <c r="AB33" s="117">
        <f t="shared" si="4"/>
        <v>1.3484999999999992E-2</v>
      </c>
      <c r="AC33" s="117">
        <f t="shared" si="5"/>
        <v>1.0694999999999996E-2</v>
      </c>
      <c r="AD33" s="117">
        <f t="shared" si="6"/>
        <v>0</v>
      </c>
      <c r="AE33" s="116">
        <f t="shared" si="0"/>
        <v>945.12658833918306</v>
      </c>
      <c r="AF33" s="116">
        <f t="shared" si="1"/>
        <v>1552.2195394822354</v>
      </c>
      <c r="AG33" s="116">
        <f t="shared" si="2"/>
        <v>1720.5672064260295</v>
      </c>
      <c r="AH33" s="119" t="str">
        <f t="shared" si="7"/>
        <v/>
      </c>
    </row>
    <row r="34" spans="27:34" x14ac:dyDescent="0.25">
      <c r="AA34" s="117">
        <f t="shared" si="3"/>
        <v>6.5600000000000025E-3</v>
      </c>
      <c r="AB34" s="117">
        <f t="shared" si="4"/>
        <v>1.3919999999999991E-2</v>
      </c>
      <c r="AC34" s="117">
        <f t="shared" si="5"/>
        <v>1.1039999999999996E-2</v>
      </c>
      <c r="AD34" s="117">
        <f t="shared" si="6"/>
        <v>0</v>
      </c>
      <c r="AE34" s="116">
        <f t="shared" si="0"/>
        <v>948.95075643302596</v>
      </c>
      <c r="AF34" s="116">
        <f t="shared" si="1"/>
        <v>1554.2843523735944</v>
      </c>
      <c r="AG34" s="116">
        <f t="shared" si="2"/>
        <v>1731.1087808027316</v>
      </c>
      <c r="AH34" s="119" t="str">
        <f t="shared" si="7"/>
        <v/>
      </c>
    </row>
    <row r="35" spans="27:34" x14ac:dyDescent="0.25">
      <c r="AA35" s="117">
        <f t="shared" ref="AA35:AA66" si="8">AA34+B$6/200</f>
        <v>6.7650000000000028E-3</v>
      </c>
      <c r="AB35" s="117">
        <f t="shared" ref="AB35:AB66" si="9">AB34+C$6/200</f>
        <v>1.4354999999999991E-2</v>
      </c>
      <c r="AC35" s="117">
        <f t="shared" ref="AC35:AC66" si="10">AC34+D$6/200</f>
        <v>1.1384999999999996E-2</v>
      </c>
      <c r="AD35" s="117">
        <f t="shared" ref="AD35:AD66" si="11">AD34+E$6/200</f>
        <v>0</v>
      </c>
      <c r="AE35" s="116">
        <f t="shared" si="0"/>
        <v>952.13927358152966</v>
      </c>
      <c r="AF35" s="116">
        <f t="shared" si="1"/>
        <v>1556.0555484796198</v>
      </c>
      <c r="AG35" s="116">
        <f t="shared" si="2"/>
        <v>1739.7444898058366</v>
      </c>
      <c r="AH35" s="119" t="str">
        <f t="shared" si="7"/>
        <v/>
      </c>
    </row>
    <row r="36" spans="27:34" x14ac:dyDescent="0.25">
      <c r="AA36" s="117">
        <f t="shared" si="8"/>
        <v>6.9700000000000031E-3</v>
      </c>
      <c r="AB36" s="117">
        <f t="shared" si="9"/>
        <v>1.4789999999999991E-2</v>
      </c>
      <c r="AC36" s="117">
        <f t="shared" si="10"/>
        <v>1.1729999999999996E-2</v>
      </c>
      <c r="AD36" s="117">
        <f t="shared" si="11"/>
        <v>0</v>
      </c>
      <c r="AE36" s="116">
        <f t="shared" si="0"/>
        <v>954.82743859515062</v>
      </c>
      <c r="AF36" s="116">
        <f t="shared" si="1"/>
        <v>1557.5952580436226</v>
      </c>
      <c r="AG36" s="116">
        <f t="shared" si="2"/>
        <v>1746.8433202946919</v>
      </c>
      <c r="AH36" s="119" t="str">
        <f t="shared" si="7"/>
        <v/>
      </c>
    </row>
    <row r="37" spans="27:34" x14ac:dyDescent="0.25">
      <c r="AA37" s="117">
        <f t="shared" si="8"/>
        <v>7.1750000000000034E-3</v>
      </c>
      <c r="AB37" s="117">
        <f t="shared" si="9"/>
        <v>1.522499999999999E-2</v>
      </c>
      <c r="AC37" s="117">
        <f t="shared" si="10"/>
        <v>1.2074999999999995E-2</v>
      </c>
      <c r="AD37" s="117">
        <f t="shared" si="11"/>
        <v>0</v>
      </c>
      <c r="AE37" s="116">
        <f t="shared" si="0"/>
        <v>957.12175906643756</v>
      </c>
      <c r="AF37" s="116">
        <f t="shared" si="1"/>
        <v>1558.9514724301023</v>
      </c>
      <c r="AG37" s="116">
        <f t="shared" si="2"/>
        <v>1752.7101202305021</v>
      </c>
      <c r="AH37" s="119" t="str">
        <f t="shared" si="7"/>
        <v/>
      </c>
    </row>
    <row r="38" spans="27:34" x14ac:dyDescent="0.25">
      <c r="AA38" s="117">
        <f t="shared" si="8"/>
        <v>7.3800000000000037E-3</v>
      </c>
      <c r="AB38" s="117">
        <f t="shared" si="9"/>
        <v>1.565999999999999E-2</v>
      </c>
      <c r="AC38" s="117">
        <f t="shared" si="10"/>
        <v>1.2419999999999995E-2</v>
      </c>
      <c r="AD38" s="117">
        <f t="shared" si="11"/>
        <v>0</v>
      </c>
      <c r="AE38" s="116">
        <f t="shared" si="0"/>
        <v>959.1056639928147</v>
      </c>
      <c r="AF38" s="116">
        <f t="shared" si="1"/>
        <v>1560.1614447077759</v>
      </c>
      <c r="AG38" s="116">
        <f t="shared" si="2"/>
        <v>1757.5926720422392</v>
      </c>
      <c r="AH38" s="119" t="str">
        <f t="shared" si="7"/>
        <v/>
      </c>
    </row>
    <row r="39" spans="27:34" x14ac:dyDescent="0.25">
      <c r="AA39" s="117">
        <f t="shared" si="8"/>
        <v>7.5850000000000041E-3</v>
      </c>
      <c r="AB39" s="117">
        <f t="shared" si="9"/>
        <v>1.6094999999999991E-2</v>
      </c>
      <c r="AC39" s="117">
        <f t="shared" si="10"/>
        <v>1.2764999999999995E-2</v>
      </c>
      <c r="AD39" s="117">
        <f t="shared" si="11"/>
        <v>0</v>
      </c>
      <c r="AE39" s="116">
        <f t="shared" si="0"/>
        <v>960.844351061515</v>
      </c>
      <c r="AF39" s="116">
        <f t="shared" si="1"/>
        <v>1561.2542409989123</v>
      </c>
      <c r="AG39" s="116">
        <f t="shared" si="2"/>
        <v>1761.690130142538</v>
      </c>
      <c r="AH39" s="119" t="str">
        <f t="shared" si="7"/>
        <v/>
      </c>
    </row>
    <row r="40" spans="27:34" x14ac:dyDescent="0.25">
      <c r="AA40" s="117">
        <f t="shared" si="8"/>
        <v>7.7900000000000044E-3</v>
      </c>
      <c r="AB40" s="117">
        <f t="shared" si="9"/>
        <v>1.6529999999999993E-2</v>
      </c>
      <c r="AC40" s="117">
        <f t="shared" si="10"/>
        <v>1.3109999999999995E-2</v>
      </c>
      <c r="AD40" s="117">
        <f t="shared" si="11"/>
        <v>0</v>
      </c>
      <c r="AE40" s="116">
        <f t="shared" si="0"/>
        <v>962.38874816927023</v>
      </c>
      <c r="AF40" s="116">
        <f t="shared" si="1"/>
        <v>1562.2526582522805</v>
      </c>
      <c r="AG40" s="116">
        <f t="shared" si="2"/>
        <v>1765.1613908559275</v>
      </c>
      <c r="AH40" s="119" t="str">
        <f t="shared" si="7"/>
        <v/>
      </c>
    </row>
    <row r="41" spans="27:34" x14ac:dyDescent="0.25">
      <c r="AA41" s="117">
        <f t="shared" si="8"/>
        <v>7.9950000000000038E-3</v>
      </c>
      <c r="AB41" s="117">
        <f t="shared" si="9"/>
        <v>1.6964999999999994E-2</v>
      </c>
      <c r="AC41" s="117">
        <f t="shared" si="10"/>
        <v>1.3454999999999995E-2</v>
      </c>
      <c r="AD41" s="117">
        <f t="shared" si="11"/>
        <v>0</v>
      </c>
      <c r="AE41" s="116">
        <f t="shared" si="0"/>
        <v>963.77867461781</v>
      </c>
      <c r="AF41" s="116">
        <f t="shared" si="1"/>
        <v>1563.1746700583878</v>
      </c>
      <c r="AG41" s="116">
        <f t="shared" si="2"/>
        <v>1768.1326668466766</v>
      </c>
      <c r="AH41" s="119" t="str">
        <f t="shared" si="7"/>
        <v/>
      </c>
    </row>
    <row r="42" spans="27:34" x14ac:dyDescent="0.25">
      <c r="AA42" s="117">
        <f t="shared" si="8"/>
        <v>8.2000000000000042E-3</v>
      </c>
      <c r="AB42" s="117">
        <f t="shared" si="9"/>
        <v>1.7399999999999995E-2</v>
      </c>
      <c r="AC42" s="117">
        <f t="shared" si="10"/>
        <v>1.3799999999999995E-2</v>
      </c>
      <c r="AD42" s="117">
        <f t="shared" si="11"/>
        <v>0</v>
      </c>
      <c r="AE42" s="116">
        <f t="shared" si="0"/>
        <v>965.04532537514331</v>
      </c>
      <c r="AF42" s="116">
        <f t="shared" si="1"/>
        <v>1564.0345207140133</v>
      </c>
      <c r="AG42" s="116">
        <f t="shared" si="2"/>
        <v>1770.7039823923701</v>
      </c>
      <c r="AH42" s="119" t="str">
        <f t="shared" si="7"/>
        <v/>
      </c>
    </row>
    <row r="43" spans="27:34" x14ac:dyDescent="0.25">
      <c r="AA43" s="117">
        <f t="shared" si="8"/>
        <v>8.4050000000000045E-3</v>
      </c>
      <c r="AB43" s="117">
        <f t="shared" si="9"/>
        <v>1.7834999999999997E-2</v>
      </c>
      <c r="AC43" s="117">
        <f t="shared" si="10"/>
        <v>1.4144999999999994E-2</v>
      </c>
      <c r="AD43" s="117">
        <f t="shared" si="11"/>
        <v>0</v>
      </c>
      <c r="AE43" s="116">
        <f t="shared" si="0"/>
        <v>966.21320472385582</v>
      </c>
      <c r="AF43" s="116">
        <f t="shared" si="1"/>
        <v>1564.8435566141513</v>
      </c>
      <c r="AG43" s="116">
        <f t="shared" si="2"/>
        <v>1772.9545569621448</v>
      </c>
      <c r="AH43" s="119" t="str">
        <f t="shared" si="7"/>
        <v/>
      </c>
    </row>
    <row r="44" spans="27:34" x14ac:dyDescent="0.25">
      <c r="AA44" s="117">
        <f t="shared" si="8"/>
        <v>8.6100000000000048E-3</v>
      </c>
      <c r="AB44" s="117">
        <f t="shared" si="9"/>
        <v>1.8269999999999998E-2</v>
      </c>
      <c r="AC44" s="117">
        <f t="shared" si="10"/>
        <v>1.4489999999999994E-2</v>
      </c>
      <c r="AD44" s="117">
        <f t="shared" si="11"/>
        <v>0</v>
      </c>
      <c r="AE44" s="116">
        <f t="shared" si="0"/>
        <v>967.301622828159</v>
      </c>
      <c r="AF44" s="116">
        <f t="shared" si="1"/>
        <v>1565.6108609131793</v>
      </c>
      <c r="AG44" s="116">
        <f t="shared" si="2"/>
        <v>1774.9471692397458</v>
      </c>
      <c r="AH44" s="119" t="str">
        <f t="shared" si="7"/>
        <v/>
      </c>
    </row>
    <row r="45" spans="27:34" x14ac:dyDescent="0.25">
      <c r="AA45" s="117">
        <f t="shared" si="8"/>
        <v>8.8150000000000051E-3</v>
      </c>
      <c r="AB45" s="117">
        <f t="shared" si="9"/>
        <v>1.8704999999999999E-2</v>
      </c>
      <c r="AC45" s="117">
        <f t="shared" si="10"/>
        <v>1.4834999999999994E-2</v>
      </c>
      <c r="AD45" s="117">
        <f t="shared" si="11"/>
        <v>0</v>
      </c>
      <c r="AE45" s="116">
        <f t="shared" si="0"/>
        <v>968.32585065475052</v>
      </c>
      <c r="AF45" s="116">
        <f t="shared" si="1"/>
        <v>1566.3437403080673</v>
      </c>
      <c r="AG45" s="116">
        <f t="shared" si="2"/>
        <v>1776.7316431984239</v>
      </c>
      <c r="AH45" s="119" t="str">
        <f t="shared" si="7"/>
        <v/>
      </c>
    </row>
    <row r="46" spans="27:34" x14ac:dyDescent="0.25">
      <c r="AA46" s="117">
        <f t="shared" si="8"/>
        <v>9.0200000000000054E-3</v>
      </c>
      <c r="AB46" s="117">
        <f t="shared" si="9"/>
        <v>1.9140000000000001E-2</v>
      </c>
      <c r="AC46" s="117">
        <f t="shared" si="10"/>
        <v>1.5179999999999994E-2</v>
      </c>
      <c r="AD46" s="117">
        <f t="shared" si="11"/>
        <v>0</v>
      </c>
      <c r="AE46" s="116">
        <f t="shared" si="0"/>
        <v>969.29801040584846</v>
      </c>
      <c r="AF46" s="116">
        <f t="shared" si="1"/>
        <v>1567.0481002102833</v>
      </c>
      <c r="AG46" s="116">
        <f t="shared" si="2"/>
        <v>1778.3476064320248</v>
      </c>
      <c r="AH46" s="119" t="str">
        <f t="shared" si="7"/>
        <v/>
      </c>
    </row>
    <row r="47" spans="27:34" x14ac:dyDescent="0.25">
      <c r="AA47" s="117">
        <f t="shared" si="8"/>
        <v>9.2250000000000058E-3</v>
      </c>
      <c r="AB47" s="117">
        <f t="shared" si="9"/>
        <v>1.9575000000000002E-2</v>
      </c>
      <c r="AC47" s="117">
        <f t="shared" si="10"/>
        <v>1.5524999999999994E-2</v>
      </c>
      <c r="AD47" s="117">
        <f t="shared" si="11"/>
        <v>0</v>
      </c>
      <c r="AE47" s="116">
        <f t="shared" si="0"/>
        <v>970.22776236466916</v>
      </c>
      <c r="AF47" s="116">
        <f t="shared" si="1"/>
        <v>1567.7287353085928</v>
      </c>
      <c r="AG47" s="116">
        <f t="shared" si="2"/>
        <v>1779.8266597211959</v>
      </c>
      <c r="AH47" s="119" t="str">
        <f t="shared" si="7"/>
        <v/>
      </c>
    </row>
    <row r="48" spans="27:34" x14ac:dyDescent="0.25">
      <c r="AA48" s="117">
        <f t="shared" si="8"/>
        <v>9.4300000000000061E-3</v>
      </c>
      <c r="AB48" s="117">
        <f t="shared" si="9"/>
        <v>2.0010000000000003E-2</v>
      </c>
      <c r="AC48" s="117">
        <f t="shared" si="10"/>
        <v>1.5869999999999995E-2</v>
      </c>
      <c r="AD48" s="117">
        <f t="shared" si="11"/>
        <v>0</v>
      </c>
      <c r="AE48" s="116">
        <f t="shared" si="0"/>
        <v>971.1228354988574</v>
      </c>
      <c r="AF48" s="116">
        <f t="shared" si="1"/>
        <v>1568.3895556985185</v>
      </c>
      <c r="AG48" s="116">
        <f t="shared" si="2"/>
        <v>1781.194077740075</v>
      </c>
      <c r="AH48" s="119" t="str">
        <f t="shared" si="7"/>
        <v/>
      </c>
    </row>
    <row r="49" spans="27:34" x14ac:dyDescent="0.25">
      <c r="AA49" s="117">
        <f t="shared" si="8"/>
        <v>9.6350000000000064E-3</v>
      </c>
      <c r="AB49" s="117">
        <f t="shared" si="9"/>
        <v>2.0445000000000005E-2</v>
      </c>
      <c r="AC49" s="117">
        <f t="shared" si="10"/>
        <v>1.6214999999999997E-2</v>
      </c>
      <c r="AD49" s="117">
        <f t="shared" si="11"/>
        <v>0</v>
      </c>
      <c r="AE49" s="116">
        <f t="shared" si="0"/>
        <v>971.98943828329675</v>
      </c>
      <c r="AF49" s="116">
        <f t="shared" si="1"/>
        <v>1569.0337637135026</v>
      </c>
      <c r="AG49" s="116">
        <f t="shared" si="2"/>
        <v>1782.4701401963405</v>
      </c>
      <c r="AH49" s="119" t="str">
        <f t="shared" si="7"/>
        <v/>
      </c>
    </row>
    <row r="50" spans="27:34" x14ac:dyDescent="0.25">
      <c r="AA50" s="117">
        <f t="shared" si="8"/>
        <v>9.8400000000000067E-3</v>
      </c>
      <c r="AB50" s="117">
        <f t="shared" si="9"/>
        <v>2.0880000000000006E-2</v>
      </c>
      <c r="AC50" s="117">
        <f t="shared" si="10"/>
        <v>1.6559999999999998E-2</v>
      </c>
      <c r="AD50" s="117">
        <f t="shared" si="11"/>
        <v>0</v>
      </c>
      <c r="AE50" s="116">
        <f t="shared" si="0"/>
        <v>972.83257766401903</v>
      </c>
      <c r="AF50" s="116">
        <f t="shared" si="1"/>
        <v>1569.6639928597299</v>
      </c>
      <c r="AG50" s="116">
        <f t="shared" si="2"/>
        <v>1783.6711735430151</v>
      </c>
      <c r="AH50" s="119" t="str">
        <f t="shared" si="7"/>
        <v/>
      </c>
    </row>
    <row r="51" spans="27:34" x14ac:dyDescent="0.25">
      <c r="AA51" s="117">
        <f t="shared" si="8"/>
        <v>1.0045000000000007E-2</v>
      </c>
      <c r="AB51" s="117">
        <f t="shared" si="9"/>
        <v>2.1315000000000008E-2</v>
      </c>
      <c r="AC51" s="117">
        <f t="shared" si="10"/>
        <v>1.6905E-2</v>
      </c>
      <c r="AD51" s="117">
        <f t="shared" si="11"/>
        <v>0</v>
      </c>
      <c r="AE51" s="116">
        <f t="shared" si="0"/>
        <v>973.65630748156332</v>
      </c>
      <c r="AF51" s="116">
        <f t="shared" si="1"/>
        <v>1570.2824174822592</v>
      </c>
      <c r="AG51" s="116">
        <f t="shared" si="2"/>
        <v>1784.810366877482</v>
      </c>
      <c r="AH51" s="119" t="str">
        <f t="shared" si="7"/>
        <v/>
      </c>
    </row>
    <row r="52" spans="27:34" x14ac:dyDescent="0.25">
      <c r="AA52" s="117">
        <f t="shared" si="8"/>
        <v>1.0250000000000007E-2</v>
      </c>
      <c r="AB52" s="117">
        <f t="shared" si="9"/>
        <v>2.1750000000000009E-2</v>
      </c>
      <c r="AC52" s="117">
        <f t="shared" si="10"/>
        <v>1.7250000000000001E-2</v>
      </c>
      <c r="AD52" s="117">
        <f t="shared" si="11"/>
        <v>0</v>
      </c>
      <c r="AE52" s="116">
        <f t="shared" si="0"/>
        <v>974.46392261234655</v>
      </c>
      <c r="AF52" s="116">
        <f t="shared" si="1"/>
        <v>1570.8908397204057</v>
      </c>
      <c r="AG52" s="116">
        <f t="shared" si="2"/>
        <v>1785.898411987147</v>
      </c>
      <c r="AH52" s="119" t="str">
        <f t="shared" si="7"/>
        <v/>
      </c>
    </row>
    <row r="53" spans="27:34" x14ac:dyDescent="0.25">
      <c r="AA53" s="117">
        <f t="shared" si="8"/>
        <v>1.0455000000000008E-2</v>
      </c>
      <c r="AB53" s="117">
        <f t="shared" si="9"/>
        <v>2.218500000000001E-2</v>
      </c>
      <c r="AC53" s="117">
        <f t="shared" si="10"/>
        <v>1.7595000000000003E-2</v>
      </c>
      <c r="AD53" s="117">
        <f t="shared" si="11"/>
        <v>0</v>
      </c>
      <c r="AE53" s="116">
        <f t="shared" si="0"/>
        <v>975.25811123068547</v>
      </c>
      <c r="AF53" s="116">
        <f t="shared" si="1"/>
        <v>1571.4907587598157</v>
      </c>
      <c r="AG53" s="116">
        <f t="shared" si="2"/>
        <v>1786.944006510035</v>
      </c>
      <c r="AH53" s="119" t="str">
        <f t="shared" si="7"/>
        <v/>
      </c>
    </row>
    <row r="54" spans="27:34" x14ac:dyDescent="0.25">
      <c r="AA54" s="117">
        <f t="shared" si="8"/>
        <v>1.0660000000000008E-2</v>
      </c>
      <c r="AB54" s="117">
        <f t="shared" si="9"/>
        <v>2.2620000000000012E-2</v>
      </c>
      <c r="AC54" s="117">
        <f t="shared" si="10"/>
        <v>1.7940000000000005E-2</v>
      </c>
      <c r="AD54" s="117">
        <f t="shared" si="11"/>
        <v>0</v>
      </c>
      <c r="AE54" s="116">
        <f t="shared" si="0"/>
        <v>976.04107466414985</v>
      </c>
      <c r="AF54" s="116">
        <f t="shared" si="1"/>
        <v>1572.0834262222713</v>
      </c>
      <c r="AG54" s="116">
        <f t="shared" si="2"/>
        <v>1787.9542504818462</v>
      </c>
      <c r="AH54" s="119" t="str">
        <f t="shared" si="7"/>
        <v/>
      </c>
    </row>
    <row r="55" spans="27:34" x14ac:dyDescent="0.25">
      <c r="AA55" s="117">
        <f t="shared" si="8"/>
        <v>1.0865000000000008E-2</v>
      </c>
      <c r="AB55" s="117">
        <f t="shared" si="9"/>
        <v>2.3055000000000013E-2</v>
      </c>
      <c r="AC55" s="117">
        <f t="shared" si="10"/>
        <v>1.8285000000000006E-2</v>
      </c>
      <c r="AD55" s="117">
        <f t="shared" si="11"/>
        <v>0</v>
      </c>
      <c r="AE55" s="116">
        <f t="shared" si="0"/>
        <v>976.81462209110475</v>
      </c>
      <c r="AF55" s="116">
        <f t="shared" si="1"/>
        <v>1572.66989065282</v>
      </c>
      <c r="AG55" s="116">
        <f t="shared" si="2"/>
        <v>1788.9349597353216</v>
      </c>
      <c r="AH55" s="119" t="str">
        <f t="shared" si="7"/>
        <v/>
      </c>
    </row>
    <row r="56" spans="27:34" x14ac:dyDescent="0.25">
      <c r="AA56" s="117">
        <f t="shared" si="8"/>
        <v>1.1070000000000009E-2</v>
      </c>
      <c r="AB56" s="117">
        <f t="shared" si="9"/>
        <v>2.3490000000000014E-2</v>
      </c>
      <c r="AC56" s="117">
        <f t="shared" si="10"/>
        <v>1.8630000000000008E-2</v>
      </c>
      <c r="AD56" s="117">
        <f t="shared" si="11"/>
        <v>0</v>
      </c>
      <c r="AE56" s="116">
        <f t="shared" si="0"/>
        <v>977.58024564111554</v>
      </c>
      <c r="AF56" s="116">
        <f t="shared" si="1"/>
        <v>1573.2510333949363</v>
      </c>
      <c r="AG56" s="116">
        <f t="shared" si="2"/>
        <v>1789.8909143294754</v>
      </c>
      <c r="AH56" s="119" t="str">
        <f t="shared" si="7"/>
        <v/>
      </c>
    </row>
    <row r="57" spans="27:34" x14ac:dyDescent="0.25">
      <c r="AA57" s="117">
        <f t="shared" si="8"/>
        <v>1.1275000000000009E-2</v>
      </c>
      <c r="AB57" s="117">
        <f t="shared" si="9"/>
        <v>2.3925000000000016E-2</v>
      </c>
      <c r="AC57" s="117">
        <f t="shared" si="10"/>
        <v>1.8975000000000009E-2</v>
      </c>
      <c r="AD57" s="117">
        <f t="shared" si="11"/>
        <v>0</v>
      </c>
      <c r="AE57" s="116">
        <f t="shared" si="0"/>
        <v>978.33918017591611</v>
      </c>
      <c r="AF57" s="116">
        <f t="shared" si="1"/>
        <v>1573.8275976344462</v>
      </c>
      <c r="AG57" s="116">
        <f t="shared" si="2"/>
        <v>1790.826056094701</v>
      </c>
      <c r="AH57" s="119" t="str">
        <f t="shared" si="7"/>
        <v/>
      </c>
    </row>
    <row r="58" spans="27:34" x14ac:dyDescent="0.25">
      <c r="AA58" s="117">
        <f t="shared" si="8"/>
        <v>1.1480000000000009E-2</v>
      </c>
      <c r="AB58" s="117">
        <f t="shared" si="9"/>
        <v>2.4360000000000017E-2</v>
      </c>
      <c r="AC58" s="117">
        <f t="shared" si="10"/>
        <v>1.9320000000000011E-2</v>
      </c>
      <c r="AD58" s="117">
        <f t="shared" si="11"/>
        <v>0</v>
      </c>
      <c r="AE58" s="116">
        <f t="shared" si="0"/>
        <v>979.09245105183027</v>
      </c>
      <c r="AF58" s="116">
        <f t="shared" si="1"/>
        <v>1574.4002120025193</v>
      </c>
      <c r="AG58" s="116">
        <f t="shared" si="2"/>
        <v>1791.7436462214423</v>
      </c>
      <c r="AH58" s="119" t="str">
        <f t="shared" si="7"/>
        <v/>
      </c>
    </row>
    <row r="59" spans="27:34" x14ac:dyDescent="0.25">
      <c r="AA59" s="117">
        <f t="shared" si="8"/>
        <v>1.168500000000001E-2</v>
      </c>
      <c r="AB59" s="117">
        <f t="shared" si="9"/>
        <v>2.4795000000000018E-2</v>
      </c>
      <c r="AC59" s="117">
        <f t="shared" si="10"/>
        <v>1.9665000000000012E-2</v>
      </c>
      <c r="AD59" s="117">
        <f t="shared" si="11"/>
        <v>0</v>
      </c>
      <c r="AE59" s="116">
        <f t="shared" si="0"/>
        <v>979.84091241912643</v>
      </c>
      <c r="AF59" s="116">
        <f t="shared" si="1"/>
        <v>1574.9694098277846</v>
      </c>
      <c r="AG59" s="116">
        <f t="shared" si="2"/>
        <v>1792.6463913844079</v>
      </c>
      <c r="AH59" s="119" t="str">
        <f t="shared" si="7"/>
        <v/>
      </c>
    </row>
    <row r="60" spans="27:34" x14ac:dyDescent="0.25">
      <c r="AA60" s="117">
        <f t="shared" si="8"/>
        <v>1.189000000000001E-2</v>
      </c>
      <c r="AB60" s="117">
        <f t="shared" si="9"/>
        <v>2.523000000000002E-2</v>
      </c>
      <c r="AC60" s="117">
        <f t="shared" si="10"/>
        <v>2.0010000000000014E-2</v>
      </c>
      <c r="AD60" s="117">
        <f t="shared" si="11"/>
        <v>0</v>
      </c>
      <c r="AE60" s="116">
        <f t="shared" si="0"/>
        <v>980.5852780434202</v>
      </c>
      <c r="AF60" s="116">
        <f t="shared" si="1"/>
        <v>1575.5356448957432</v>
      </c>
      <c r="AG60" s="116">
        <f t="shared" si="2"/>
        <v>1793.5365450155764</v>
      </c>
      <c r="AH60" s="119" t="str">
        <f t="shared" si="7"/>
        <v/>
      </c>
    </row>
    <row r="61" spans="27:34" x14ac:dyDescent="0.25">
      <c r="AA61" s="117">
        <f t="shared" si="8"/>
        <v>1.209500000000001E-2</v>
      </c>
      <c r="AB61" s="117">
        <f t="shared" si="9"/>
        <v>2.5665000000000021E-2</v>
      </c>
      <c r="AC61" s="117">
        <f t="shared" si="10"/>
        <v>2.0355000000000015E-2</v>
      </c>
      <c r="AD61" s="117">
        <f t="shared" si="11"/>
        <v>0</v>
      </c>
      <c r="AE61" s="116">
        <f t="shared" si="0"/>
        <v>981.32614619652156</v>
      </c>
      <c r="AF61" s="116">
        <f t="shared" si="1"/>
        <v>1576.099304393819</v>
      </c>
      <c r="AG61" s="116">
        <f t="shared" si="2"/>
        <v>1794.4159888887352</v>
      </c>
      <c r="AH61" s="119" t="str">
        <f t="shared" si="7"/>
        <v/>
      </c>
    </row>
    <row r="62" spans="27:34" x14ac:dyDescent="0.25">
      <c r="AA62" s="117">
        <f t="shared" si="8"/>
        <v>1.2300000000000011E-2</v>
      </c>
      <c r="AB62" s="117">
        <f t="shared" si="9"/>
        <v>2.6100000000000022E-2</v>
      </c>
      <c r="AC62" s="117">
        <f t="shared" si="10"/>
        <v>2.0700000000000017E-2</v>
      </c>
      <c r="AD62" s="117">
        <f t="shared" si="11"/>
        <v>0</v>
      </c>
      <c r="AE62" s="116">
        <f t="shared" si="0"/>
        <v>982.0640198271592</v>
      </c>
      <c r="AF62" s="116">
        <f t="shared" si="1"/>
        <v>1576.6607195803442</v>
      </c>
      <c r="AG62" s="116">
        <f t="shared" si="2"/>
        <v>1795.2862990567342</v>
      </c>
      <c r="AH62" s="119" t="str">
        <f t="shared" si="7"/>
        <v/>
      </c>
    </row>
    <row r="63" spans="27:34" x14ac:dyDescent="0.25">
      <c r="AA63" s="117">
        <f t="shared" si="8"/>
        <v>1.2505000000000011E-2</v>
      </c>
      <c r="AB63" s="117">
        <f t="shared" si="9"/>
        <v>2.6535000000000024E-2</v>
      </c>
      <c r="AC63" s="117">
        <f t="shared" si="10"/>
        <v>2.1045000000000019E-2</v>
      </c>
      <c r="AD63" s="117">
        <f t="shared" si="11"/>
        <v>0</v>
      </c>
      <c r="AE63" s="116">
        <f t="shared" si="0"/>
        <v>982.79932296175343</v>
      </c>
      <c r="AF63" s="116">
        <f t="shared" si="1"/>
        <v>1577.2201746062865</v>
      </c>
      <c r="AG63" s="116">
        <f t="shared" si="2"/>
        <v>1796.1487993136996</v>
      </c>
      <c r="AH63" s="119" t="str">
        <f t="shared" si="7"/>
        <v/>
      </c>
    </row>
    <row r="64" spans="27:34" x14ac:dyDescent="0.25">
      <c r="AA64" s="117">
        <f t="shared" si="8"/>
        <v>1.2710000000000011E-2</v>
      </c>
      <c r="AB64" s="117">
        <f t="shared" si="9"/>
        <v>2.6970000000000025E-2</v>
      </c>
      <c r="AC64" s="117">
        <f t="shared" si="10"/>
        <v>2.139000000000002E-2</v>
      </c>
      <c r="AD64" s="117">
        <f t="shared" si="11"/>
        <v>0</v>
      </c>
      <c r="AE64" s="116">
        <f t="shared" si="0"/>
        <v>983.53241408373026</v>
      </c>
      <c r="AF64" s="116">
        <f t="shared" si="1"/>
        <v>1577.7779138325525</v>
      </c>
      <c r="AG64" s="116">
        <f t="shared" si="2"/>
        <v>1797.0046046797218</v>
      </c>
      <c r="AH64" s="119" t="str">
        <f t="shared" si="7"/>
        <v/>
      </c>
    </row>
    <row r="65" spans="27:34" x14ac:dyDescent="0.25">
      <c r="AA65" s="117">
        <f t="shared" si="8"/>
        <v>1.2915000000000012E-2</v>
      </c>
      <c r="AB65" s="117">
        <f t="shared" si="9"/>
        <v>2.7405000000000027E-2</v>
      </c>
      <c r="AC65" s="117">
        <f t="shared" si="10"/>
        <v>2.1735000000000022E-2</v>
      </c>
      <c r="AD65" s="117">
        <f t="shared" si="11"/>
        <v>0</v>
      </c>
      <c r="AE65" s="116">
        <f t="shared" si="0"/>
        <v>984.26359708303767</v>
      </c>
      <c r="AF65" s="116">
        <f t="shared" si="1"/>
        <v>1578.3341479179908</v>
      </c>
      <c r="AG65" s="116">
        <f t="shared" si="2"/>
        <v>1797.8546568802167</v>
      </c>
      <c r="AH65" s="119" t="str">
        <f t="shared" si="7"/>
        <v/>
      </c>
    </row>
    <row r="66" spans="27:34" x14ac:dyDescent="0.25">
      <c r="AA66" s="117">
        <f t="shared" si="8"/>
        <v>1.3120000000000012E-2</v>
      </c>
      <c r="AB66" s="117">
        <f t="shared" si="9"/>
        <v>2.7840000000000028E-2</v>
      </c>
      <c r="AC66" s="117">
        <f t="shared" si="10"/>
        <v>2.2080000000000023E-2</v>
      </c>
      <c r="AD66" s="117">
        <f t="shared" si="11"/>
        <v>0</v>
      </c>
      <c r="AE66" s="116">
        <f t="shared" ref="AE66:AE129" si="12">B$3 * AA66 * (B$9 + (1-B$9)/(POWER(1+POWER(B$3*ABS(AA66)/(B$8*B$4), B$7), 1/B$7)))</f>
        <v>984.99313024517937</v>
      </c>
      <c r="AF66" s="116">
        <f t="shared" ref="AF66:AF129" si="13">C$3 * AB66 * (C$9 + (1-C$9)/(POWER(1+POWER(C$3*ABS(AB66)/(C$8*C$4), C$7), 1/C$7)))</f>
        <v>1578.8890588996255</v>
      </c>
      <c r="AG66" s="116">
        <f t="shared" ref="AG66:AG129" si="14">D$3 * AC66 * (D$9 + (1-D$9)/(POWER(1+POWER(D$3*ABS(AC66)/(D$8*D$4), D$7), 1/D$7)))</f>
        <v>1798.6997533821877</v>
      </c>
      <c r="AH66" s="119" t="str">
        <f t="shared" si="7"/>
        <v/>
      </c>
    </row>
    <row r="67" spans="27:34" x14ac:dyDescent="0.25">
      <c r="AA67" s="117">
        <f t="shared" ref="AA67:AA98" si="15">AA66+B$6/200</f>
        <v>1.3325000000000012E-2</v>
      </c>
      <c r="AB67" s="117">
        <f t="shared" ref="AB67:AB98" si="16">AB66+C$6/200</f>
        <v>2.8275000000000029E-2</v>
      </c>
      <c r="AC67" s="117">
        <f t="shared" ref="AC67:AC98" si="17">AC66+D$6/200</f>
        <v>2.2425000000000025E-2</v>
      </c>
      <c r="AD67" s="117">
        <f t="shared" ref="AD67:AD98" si="18">AD66+E$6/200</f>
        <v>0</v>
      </c>
      <c r="AE67" s="116">
        <f t="shared" si="12"/>
        <v>985.72123365327946</v>
      </c>
      <c r="AF67" s="116">
        <f t="shared" si="13"/>
        <v>1579.4428044441347</v>
      </c>
      <c r="AG67" s="116">
        <f t="shared" si="14"/>
        <v>1799.5405712285947</v>
      </c>
      <c r="AH67" s="119" t="str">
        <f t="shared" ref="AH67:AH130" si="19">IF(AND(NOT(ISBLANK($E$3)), NOT(ISBLANK($E$4)), NOT(ISBLANK($E$5)), NOT(ISBLANK($E$6)), NOT(ISBLANK($E$7)), NOT(ISBLANK($E$8)), NOT(ISBLANK($E$9))), $E$3 * AD67 * ($E$9 + (1-$E$9)/(POWER(1+POWER($E$3*ABS(AD67)/($E$8*$E$4), $E$7), 1/$E$7))), "")</f>
        <v/>
      </c>
    </row>
    <row r="68" spans="27:34" x14ac:dyDescent="0.25">
      <c r="AA68" s="117">
        <f t="shared" si="15"/>
        <v>1.3530000000000013E-2</v>
      </c>
      <c r="AB68" s="117">
        <f t="shared" si="16"/>
        <v>2.8710000000000031E-2</v>
      </c>
      <c r="AC68" s="117">
        <f t="shared" si="17"/>
        <v>2.2770000000000026E-2</v>
      </c>
      <c r="AD68" s="117">
        <f t="shared" si="18"/>
        <v>0</v>
      </c>
      <c r="AE68" s="116">
        <f t="shared" si="12"/>
        <v>986.44809530144778</v>
      </c>
      <c r="AF68" s="116">
        <f t="shared" si="13"/>
        <v>1579.995521415688</v>
      </c>
      <c r="AG68" s="116">
        <f t="shared" si="14"/>
        <v>1800.377686660094</v>
      </c>
      <c r="AH68" s="119" t="str">
        <f t="shared" si="19"/>
        <v/>
      </c>
    </row>
    <row r="69" spans="27:34" x14ac:dyDescent="0.25">
      <c r="AA69" s="117">
        <f t="shared" si="15"/>
        <v>1.3735000000000013E-2</v>
      </c>
      <c r="AB69" s="117">
        <f t="shared" si="16"/>
        <v>2.9145000000000032E-2</v>
      </c>
      <c r="AC69" s="117">
        <f t="shared" si="17"/>
        <v>2.3115000000000028E-2</v>
      </c>
      <c r="AD69" s="117">
        <f t="shared" si="18"/>
        <v>0</v>
      </c>
      <c r="AE69" s="116">
        <f t="shared" si="12"/>
        <v>987.17387615840607</v>
      </c>
      <c r="AF69" s="116">
        <f t="shared" si="13"/>
        <v>1580.5473288781848</v>
      </c>
      <c r="AG69" s="116">
        <f t="shared" si="14"/>
        <v>1801.2115913149946</v>
      </c>
      <c r="AH69" s="119" t="str">
        <f t="shared" si="19"/>
        <v/>
      </c>
    </row>
    <row r="70" spans="27:34" x14ac:dyDescent="0.25">
      <c r="AA70" s="117">
        <f t="shared" si="15"/>
        <v>1.3940000000000013E-2</v>
      </c>
      <c r="AB70" s="117">
        <f t="shared" si="16"/>
        <v>2.9580000000000033E-2</v>
      </c>
      <c r="AC70" s="117">
        <f t="shared" si="17"/>
        <v>2.3460000000000029E-2</v>
      </c>
      <c r="AD70" s="117">
        <f t="shared" si="18"/>
        <v>0</v>
      </c>
      <c r="AE70" s="116">
        <f t="shared" si="12"/>
        <v>987.89871437343481</v>
      </c>
      <c r="AF70" s="116">
        <f t="shared" si="13"/>
        <v>1581.098330628193</v>
      </c>
      <c r="AG70" s="116">
        <f t="shared" si="14"/>
        <v>1802.0427056415779</v>
      </c>
      <c r="AH70" s="119" t="str">
        <f t="shared" si="19"/>
        <v/>
      </c>
    </row>
    <row r="71" spans="27:34" x14ac:dyDescent="0.25">
      <c r="AA71" s="117">
        <f t="shared" si="15"/>
        <v>1.4145000000000013E-2</v>
      </c>
      <c r="AB71" s="117">
        <f t="shared" si="16"/>
        <v>3.0015000000000035E-2</v>
      </c>
      <c r="AC71" s="117">
        <f t="shared" si="17"/>
        <v>2.3805000000000031E-2</v>
      </c>
      <c r="AD71" s="117">
        <f t="shared" si="18"/>
        <v>0</v>
      </c>
      <c r="AE71" s="116">
        <f t="shared" si="12"/>
        <v>988.62272877948419</v>
      </c>
      <c r="AF71" s="116">
        <f t="shared" si="13"/>
        <v>1581.6486173373967</v>
      </c>
      <c r="AG71" s="116">
        <f t="shared" si="14"/>
        <v>1802.8713900328112</v>
      </c>
      <c r="AH71" s="119" t="str">
        <f t="shared" si="19"/>
        <v/>
      </c>
    </row>
    <row r="72" spans="27:34" x14ac:dyDescent="0.25">
      <c r="AA72" s="117">
        <f t="shared" si="15"/>
        <v>1.4350000000000014E-2</v>
      </c>
      <c r="AB72" s="117">
        <f t="shared" si="16"/>
        <v>3.0450000000000036E-2</v>
      </c>
      <c r="AC72" s="117">
        <f t="shared" si="17"/>
        <v>2.4150000000000033E-2</v>
      </c>
      <c r="AD72" s="117">
        <f t="shared" si="18"/>
        <v>0</v>
      </c>
      <c r="AE72" s="116">
        <f t="shared" si="12"/>
        <v>989.34602181868127</v>
      </c>
      <c r="AF72" s="116">
        <f t="shared" si="13"/>
        <v>1582.1982683692436</v>
      </c>
      <c r="AG72" s="116">
        <f t="shared" si="14"/>
        <v>1803.6979540949044</v>
      </c>
      <c r="AH72" s="119" t="str">
        <f t="shared" si="19"/>
        <v/>
      </c>
    </row>
    <row r="73" spans="27:34" x14ac:dyDescent="0.25">
      <c r="AA73" s="117">
        <f t="shared" si="15"/>
        <v>1.4555000000000014E-2</v>
      </c>
      <c r="AB73" s="117">
        <f t="shared" si="16"/>
        <v>3.0885000000000037E-2</v>
      </c>
      <c r="AC73" s="117">
        <f t="shared" si="17"/>
        <v>2.4495000000000034E-2</v>
      </c>
      <c r="AD73" s="117">
        <f t="shared" si="18"/>
        <v>0</v>
      </c>
      <c r="AE73" s="116">
        <f t="shared" si="12"/>
        <v>990.0686819918144</v>
      </c>
      <c r="AF73" s="116">
        <f t="shared" si="13"/>
        <v>1582.7473533230539</v>
      </c>
      <c r="AG73" s="116">
        <f t="shared" si="14"/>
        <v>1804.5226643825188</v>
      </c>
      <c r="AH73" s="119" t="str">
        <f t="shared" si="19"/>
        <v/>
      </c>
    </row>
    <row r="74" spans="27:34" x14ac:dyDescent="0.25">
      <c r="AA74" s="117">
        <f t="shared" si="15"/>
        <v>1.4760000000000014E-2</v>
      </c>
      <c r="AB74" s="117">
        <f t="shared" si="16"/>
        <v>3.1320000000000035E-2</v>
      </c>
      <c r="AC74" s="117">
        <f t="shared" si="17"/>
        <v>2.4840000000000036E-2</v>
      </c>
      <c r="AD74" s="117">
        <f t="shared" si="18"/>
        <v>0</v>
      </c>
      <c r="AE74" s="116">
        <f t="shared" si="12"/>
        <v>990.79078591443545</v>
      </c>
      <c r="AF74" s="116">
        <f t="shared" si="13"/>
        <v>1583.2959333495389</v>
      </c>
      <c r="AG74" s="116">
        <f t="shared" si="14"/>
        <v>1805.3457508707256</v>
      </c>
      <c r="AH74" s="119" t="str">
        <f t="shared" si="19"/>
        <v/>
      </c>
    </row>
    <row r="75" spans="27:34" x14ac:dyDescent="0.25">
      <c r="AA75" s="117">
        <f t="shared" si="15"/>
        <v>1.4965000000000015E-2</v>
      </c>
      <c r="AB75" s="117">
        <f t="shared" si="16"/>
        <v>3.1755000000000033E-2</v>
      </c>
      <c r="AC75" s="117">
        <f t="shared" si="17"/>
        <v>2.5185000000000037E-2</v>
      </c>
      <c r="AD75" s="117">
        <f t="shared" si="18"/>
        <v>0</v>
      </c>
      <c r="AE75" s="116">
        <f t="shared" si="12"/>
        <v>991.51240004700333</v>
      </c>
      <c r="AF75" s="116">
        <f t="shared" si="13"/>
        <v>1583.8440622741234</v>
      </c>
      <c r="AG75" s="116">
        <f t="shared" si="14"/>
        <v>1806.1674123833977</v>
      </c>
      <c r="AH75" s="119" t="str">
        <f t="shared" si="19"/>
        <v/>
      </c>
    </row>
    <row r="76" spans="27:34" x14ac:dyDescent="0.25">
      <c r="AA76" s="117">
        <f t="shared" si="15"/>
        <v>1.5170000000000015E-2</v>
      </c>
      <c r="AB76" s="117">
        <f t="shared" si="16"/>
        <v>3.2190000000000031E-2</v>
      </c>
      <c r="AC76" s="117">
        <f t="shared" si="17"/>
        <v>2.5530000000000039E-2</v>
      </c>
      <c r="AD76" s="117">
        <f t="shared" si="18"/>
        <v>0</v>
      </c>
      <c r="AE76" s="116">
        <f t="shared" si="12"/>
        <v>992.23358215423525</v>
      </c>
      <c r="AF76" s="116">
        <f t="shared" si="13"/>
        <v>1584.3917875582824</v>
      </c>
      <c r="AG76" s="116">
        <f t="shared" si="14"/>
        <v>1806.987821157323</v>
      </c>
      <c r="AH76" s="119" t="str">
        <f t="shared" si="19"/>
        <v/>
      </c>
    </row>
    <row r="77" spans="27:34" x14ac:dyDescent="0.25">
      <c r="AA77" s="117">
        <f t="shared" si="15"/>
        <v>1.5375000000000015E-2</v>
      </c>
      <c r="AB77" s="117">
        <f t="shared" si="16"/>
        <v>3.2625000000000029E-2</v>
      </c>
      <c r="AC77" s="117">
        <f t="shared" si="17"/>
        <v>2.587500000000004E-2</v>
      </c>
      <c r="AD77" s="117">
        <f t="shared" si="18"/>
        <v>0</v>
      </c>
      <c r="AE77" s="116">
        <f t="shared" si="12"/>
        <v>992.95438253892144</v>
      </c>
      <c r="AF77" s="116">
        <f t="shared" si="13"/>
        <v>1584.9391511240069</v>
      </c>
      <c r="AG77" s="116">
        <f t="shared" si="14"/>
        <v>1807.8071266886623</v>
      </c>
      <c r="AH77" s="119" t="str">
        <f t="shared" si="19"/>
        <v/>
      </c>
    </row>
    <row r="78" spans="27:34" x14ac:dyDescent="0.25">
      <c r="AA78" s="117">
        <f t="shared" si="15"/>
        <v>1.5580000000000016E-2</v>
      </c>
      <c r="AB78" s="117">
        <f t="shared" si="16"/>
        <v>3.3060000000000027E-2</v>
      </c>
      <c r="AC78" s="117">
        <f t="shared" si="17"/>
        <v>2.6220000000000042E-2</v>
      </c>
      <c r="AD78" s="117">
        <f t="shared" si="18"/>
        <v>0</v>
      </c>
      <c r="AE78" s="116">
        <f t="shared" si="12"/>
        <v>993.67484508743212</v>
      </c>
      <c r="AF78" s="116">
        <f t="shared" si="13"/>
        <v>1585.4861900623835</v>
      </c>
      <c r="AG78" s="116">
        <f t="shared" si="14"/>
        <v>1808.6254589820655</v>
      </c>
      <c r="AH78" s="119" t="str">
        <f t="shared" si="19"/>
        <v/>
      </c>
    </row>
    <row r="79" spans="27:34" x14ac:dyDescent="0.25">
      <c r="AA79" s="117">
        <f t="shared" si="15"/>
        <v>1.5785000000000014E-2</v>
      </c>
      <c r="AB79" s="117">
        <f t="shared" si="16"/>
        <v>3.3495000000000025E-2</v>
      </c>
      <c r="AC79" s="117">
        <f t="shared" si="17"/>
        <v>2.6565000000000043E-2</v>
      </c>
      <c r="AD79" s="117">
        <f t="shared" si="18"/>
        <v>0</v>
      </c>
      <c r="AE79" s="116">
        <f t="shared" si="12"/>
        <v>994.39500815761937</v>
      </c>
      <c r="AF79" s="116">
        <f t="shared" si="13"/>
        <v>1586.0329372438046</v>
      </c>
      <c r="AG79" s="116">
        <f t="shared" si="14"/>
        <v>1809.4429313013381</v>
      </c>
      <c r="AH79" s="119" t="str">
        <f t="shared" si="19"/>
        <v/>
      </c>
    </row>
    <row r="80" spans="27:34" x14ac:dyDescent="0.25">
      <c r="AA80" s="117">
        <f t="shared" si="15"/>
        <v>1.5990000000000015E-2</v>
      </c>
      <c r="AB80" s="117">
        <f t="shared" si="16"/>
        <v>3.3930000000000023E-2</v>
      </c>
      <c r="AC80" s="117">
        <f t="shared" si="17"/>
        <v>2.6910000000000045E-2</v>
      </c>
      <c r="AD80" s="117">
        <f t="shared" si="18"/>
        <v>0</v>
      </c>
      <c r="AE80" s="116">
        <f t="shared" si="12"/>
        <v>995.11490533450092</v>
      </c>
      <c r="AF80" s="116">
        <f t="shared" si="13"/>
        <v>1586.579421844523</v>
      </c>
      <c r="AG80" s="116">
        <f t="shared" si="14"/>
        <v>1810.2596425032359</v>
      </c>
      <c r="AH80" s="119" t="str">
        <f t="shared" si="19"/>
        <v/>
      </c>
    </row>
    <row r="81" spans="27:34" x14ac:dyDescent="0.25">
      <c r="AA81" s="117">
        <f t="shared" si="15"/>
        <v>1.6195000000000015E-2</v>
      </c>
      <c r="AB81" s="117">
        <f t="shared" si="16"/>
        <v>3.4365000000000021E-2</v>
      </c>
      <c r="AC81" s="117">
        <f t="shared" si="17"/>
        <v>2.7255000000000047E-2</v>
      </c>
      <c r="AD81" s="117">
        <f t="shared" si="18"/>
        <v>0</v>
      </c>
      <c r="AE81" s="116">
        <f t="shared" si="12"/>
        <v>995.83456607477194</v>
      </c>
      <c r="AF81" s="116">
        <f t="shared" si="13"/>
        <v>1587.1256698018885</v>
      </c>
      <c r="AG81" s="116">
        <f t="shared" si="14"/>
        <v>1811.0756790217717</v>
      </c>
      <c r="AH81" s="119" t="str">
        <f t="shared" si="19"/>
        <v/>
      </c>
    </row>
    <row r="82" spans="27:34" x14ac:dyDescent="0.25">
      <c r="AA82" s="117">
        <f t="shared" si="15"/>
        <v>1.6400000000000015E-2</v>
      </c>
      <c r="AB82" s="117">
        <f t="shared" si="16"/>
        <v>3.4800000000000018E-2</v>
      </c>
      <c r="AC82" s="117">
        <f t="shared" si="17"/>
        <v>2.7600000000000048E-2</v>
      </c>
      <c r="AD82" s="117">
        <f t="shared" si="18"/>
        <v>0</v>
      </c>
      <c r="AE82" s="116">
        <f t="shared" si="12"/>
        <v>996.55401625761772</v>
      </c>
      <c r="AF82" s="116">
        <f t="shared" si="13"/>
        <v>1587.6717042086693</v>
      </c>
      <c r="AG82" s="116">
        <f t="shared" si="14"/>
        <v>1811.8911165588941</v>
      </c>
      <c r="AH82" s="119" t="str">
        <f t="shared" si="19"/>
        <v/>
      </c>
    </row>
    <row r="83" spans="27:34" x14ac:dyDescent="0.25">
      <c r="AA83" s="117">
        <f t="shared" si="15"/>
        <v>1.6605000000000016E-2</v>
      </c>
      <c r="AB83" s="117">
        <f t="shared" si="16"/>
        <v>3.5235000000000016E-2</v>
      </c>
      <c r="AC83" s="117">
        <f t="shared" si="17"/>
        <v>2.794500000000005E-2</v>
      </c>
      <c r="AD83" s="117">
        <f t="shared" si="18"/>
        <v>0</v>
      </c>
      <c r="AE83" s="116">
        <f t="shared" si="12"/>
        <v>997.27327865640689</v>
      </c>
      <c r="AF83" s="116">
        <f t="shared" si="13"/>
        <v>1588.217545655245</v>
      </c>
      <c r="AG83" s="116">
        <f t="shared" si="14"/>
        <v>1812.7060215278991</v>
      </c>
      <c r="AH83" s="119" t="str">
        <f t="shared" si="19"/>
        <v/>
      </c>
    </row>
    <row r="84" spans="27:34" x14ac:dyDescent="0.25">
      <c r="AA84" s="117">
        <f t="shared" si="15"/>
        <v>1.6810000000000016E-2</v>
      </c>
      <c r="AB84" s="117">
        <f t="shared" si="16"/>
        <v>3.5670000000000014E-2</v>
      </c>
      <c r="AC84" s="117">
        <f t="shared" si="17"/>
        <v>2.8290000000000051E-2</v>
      </c>
      <c r="AD84" s="117">
        <f t="shared" si="18"/>
        <v>0</v>
      </c>
      <c r="AE84" s="116">
        <f t="shared" si="12"/>
        <v>997.99237334340569</v>
      </c>
      <c r="AF84" s="116">
        <f t="shared" si="13"/>
        <v>1588.7632125270841</v>
      </c>
      <c r="AG84" s="116">
        <f t="shared" si="14"/>
        <v>1813.5204522881968</v>
      </c>
      <c r="AH84" s="119" t="str">
        <f t="shared" si="19"/>
        <v/>
      </c>
    </row>
    <row r="85" spans="27:34" x14ac:dyDescent="0.25">
      <c r="AA85" s="117">
        <f t="shared" si="15"/>
        <v>1.7015000000000016E-2</v>
      </c>
      <c r="AB85" s="117">
        <f t="shared" si="16"/>
        <v>3.6105000000000012E-2</v>
      </c>
      <c r="AC85" s="117">
        <f t="shared" si="17"/>
        <v>2.8635000000000053E-2</v>
      </c>
      <c r="AD85" s="117">
        <f t="shared" si="18"/>
        <v>0</v>
      </c>
      <c r="AE85" s="116">
        <f t="shared" si="12"/>
        <v>998.71131803769072</v>
      </c>
      <c r="AF85" s="116">
        <f t="shared" si="13"/>
        <v>1589.3087212638068</v>
      </c>
      <c r="AG85" s="116">
        <f t="shared" si="14"/>
        <v>1814.3344602036127</v>
      </c>
      <c r="AH85" s="119" t="str">
        <f t="shared" si="19"/>
        <v/>
      </c>
    </row>
    <row r="86" spans="27:34" x14ac:dyDescent="0.25">
      <c r="AA86" s="117">
        <f t="shared" si="15"/>
        <v>1.7220000000000017E-2</v>
      </c>
      <c r="AB86" s="117">
        <f t="shared" si="16"/>
        <v>3.654000000000001E-2</v>
      </c>
      <c r="AC86" s="117">
        <f t="shared" si="17"/>
        <v>2.8980000000000054E-2</v>
      </c>
      <c r="AD86" s="117">
        <f t="shared" si="18"/>
        <v>0</v>
      </c>
      <c r="AE86" s="116">
        <f t="shared" si="12"/>
        <v>999.4301284047915</v>
      </c>
      <c r="AF86" s="116">
        <f t="shared" si="13"/>
        <v>1589.8540865851801</v>
      </c>
      <c r="AG86" s="116">
        <f t="shared" si="14"/>
        <v>1815.1480905511858</v>
      </c>
      <c r="AH86" s="119" t="str">
        <f t="shared" si="19"/>
        <v/>
      </c>
    </row>
    <row r="87" spans="27:34" x14ac:dyDescent="0.25">
      <c r="AA87" s="117">
        <f t="shared" si="15"/>
        <v>1.7425000000000017E-2</v>
      </c>
      <c r="AB87" s="117">
        <f t="shared" si="16"/>
        <v>3.6975000000000008E-2</v>
      </c>
      <c r="AC87" s="117">
        <f t="shared" si="17"/>
        <v>2.9325000000000056E-2</v>
      </c>
      <c r="AD87" s="117">
        <f t="shared" si="18"/>
        <v>0</v>
      </c>
      <c r="AE87" s="116">
        <f t="shared" si="12"/>
        <v>1000.1488183152215</v>
      </c>
      <c r="AF87" s="116">
        <f t="shared" si="13"/>
        <v>1590.3993216885881</v>
      </c>
      <c r="AG87" s="116">
        <f t="shared" si="14"/>
        <v>1815.9613833029923</v>
      </c>
      <c r="AH87" s="119" t="str">
        <f t="shared" si="19"/>
        <v/>
      </c>
    </row>
    <row r="88" spans="27:34" x14ac:dyDescent="0.25">
      <c r="AA88" s="117">
        <f t="shared" si="15"/>
        <v>1.7630000000000017E-2</v>
      </c>
      <c r="AB88" s="117">
        <f t="shared" si="16"/>
        <v>3.7410000000000006E-2</v>
      </c>
      <c r="AC88" s="117">
        <f t="shared" si="17"/>
        <v>2.9670000000000057E-2</v>
      </c>
      <c r="AD88" s="117">
        <f t="shared" si="18"/>
        <v>0</v>
      </c>
      <c r="AE88" s="116">
        <f t="shared" si="12"/>
        <v>1000.8674000679399</v>
      </c>
      <c r="AF88" s="116">
        <f t="shared" si="13"/>
        <v>1590.9444384218616</v>
      </c>
      <c r="AG88" s="116">
        <f t="shared" si="14"/>
        <v>1816.7743737999731</v>
      </c>
      <c r="AH88" s="119" t="str">
        <f t="shared" si="19"/>
        <v/>
      </c>
    </row>
    <row r="89" spans="27:34" x14ac:dyDescent="0.25">
      <c r="AA89" s="117">
        <f t="shared" si="15"/>
        <v>1.7835000000000018E-2</v>
      </c>
      <c r="AB89" s="117">
        <f t="shared" si="16"/>
        <v>3.7845000000000004E-2</v>
      </c>
      <c r="AC89" s="117">
        <f t="shared" si="17"/>
        <v>3.0015000000000059E-2</v>
      </c>
      <c r="AD89" s="117">
        <f t="shared" si="18"/>
        <v>0</v>
      </c>
      <c r="AE89" s="116">
        <f t="shared" si="12"/>
        <v>1001.5858845838288</v>
      </c>
      <c r="AF89" s="116">
        <f t="shared" si="13"/>
        <v>1591.4894474347843</v>
      </c>
      <c r="AG89" s="116">
        <f t="shared" si="14"/>
        <v>1817.5870933336851</v>
      </c>
      <c r="AH89" s="119" t="str">
        <f t="shared" si="19"/>
        <v/>
      </c>
    </row>
    <row r="90" spans="27:34" x14ac:dyDescent="0.25">
      <c r="AA90" s="117">
        <f t="shared" si="15"/>
        <v>1.8040000000000018E-2</v>
      </c>
      <c r="AB90" s="117">
        <f t="shared" si="16"/>
        <v>3.8280000000000002E-2</v>
      </c>
      <c r="AC90" s="117">
        <f t="shared" si="17"/>
        <v>3.0360000000000061E-2</v>
      </c>
      <c r="AD90" s="117">
        <f t="shared" si="18"/>
        <v>0</v>
      </c>
      <c r="AE90" s="116">
        <f t="shared" si="12"/>
        <v>1002.3042815735017</v>
      </c>
      <c r="AF90" s="116">
        <f t="shared" si="13"/>
        <v>1592.034358312105</v>
      </c>
      <c r="AG90" s="116">
        <f t="shared" si="14"/>
        <v>1818.3995696494364</v>
      </c>
      <c r="AH90" s="119" t="str">
        <f t="shared" si="19"/>
        <v/>
      </c>
    </row>
    <row r="91" spans="27:34" x14ac:dyDescent="0.25">
      <c r="AA91" s="117">
        <f t="shared" si="15"/>
        <v>1.8245000000000018E-2</v>
      </c>
      <c r="AB91" s="117">
        <f t="shared" si="16"/>
        <v>3.8714999999999999E-2</v>
      </c>
      <c r="AC91" s="117">
        <f t="shared" si="17"/>
        <v>3.0705000000000062E-2</v>
      </c>
      <c r="AD91" s="117">
        <f t="shared" si="18"/>
        <v>0</v>
      </c>
      <c r="AE91" s="116">
        <f t="shared" si="12"/>
        <v>1003.0225996830796</v>
      </c>
      <c r="AF91" s="116">
        <f t="shared" si="13"/>
        <v>1592.5791796904998</v>
      </c>
      <c r="AG91" s="116">
        <f t="shared" si="14"/>
        <v>1819.2118273821513</v>
      </c>
      <c r="AH91" s="119" t="str">
        <f t="shared" si="19"/>
        <v/>
      </c>
    </row>
    <row r="92" spans="27:34" x14ac:dyDescent="0.25">
      <c r="AA92" s="117">
        <f t="shared" si="15"/>
        <v>1.8450000000000018E-2</v>
      </c>
      <c r="AB92" s="117">
        <f t="shared" si="16"/>
        <v>3.9149999999999997E-2</v>
      </c>
      <c r="AC92" s="117">
        <f t="shared" si="17"/>
        <v>3.1050000000000064E-2</v>
      </c>
      <c r="AD92" s="117">
        <f t="shared" si="18"/>
        <v>0</v>
      </c>
      <c r="AE92" s="116">
        <f t="shared" si="12"/>
        <v>1003.7408466210389</v>
      </c>
      <c r="AF92" s="116">
        <f t="shared" si="13"/>
        <v>1593.1239193615597</v>
      </c>
      <c r="AG92" s="116">
        <f t="shared" si="14"/>
        <v>1820.0238884345856</v>
      </c>
      <c r="AH92" s="119" t="str">
        <f t="shared" si="19"/>
        <v/>
      </c>
    </row>
    <row r="93" spans="27:34" x14ac:dyDescent="0.25">
      <c r="AA93" s="117">
        <f t="shared" si="15"/>
        <v>1.8655000000000019E-2</v>
      </c>
      <c r="AB93" s="117">
        <f t="shared" si="16"/>
        <v>3.9584999999999995E-2</v>
      </c>
      <c r="AC93" s="117">
        <f t="shared" si="17"/>
        <v>3.1395000000000062E-2</v>
      </c>
      <c r="AD93" s="117">
        <f t="shared" si="18"/>
        <v>0</v>
      </c>
      <c r="AE93" s="116">
        <f t="shared" si="12"/>
        <v>1004.4590292687575</v>
      </c>
      <c r="AF93" s="116">
        <f t="shared" si="13"/>
        <v>1593.6685843626187</v>
      </c>
      <c r="AG93" s="116">
        <f t="shared" si="14"/>
        <v>1820.8357723060412</v>
      </c>
      <c r="AH93" s="119" t="str">
        <f t="shared" si="19"/>
        <v/>
      </c>
    </row>
    <row r="94" spans="27:34" x14ac:dyDescent="0.25">
      <c r="AA94" s="117">
        <f t="shared" si="15"/>
        <v>1.8860000000000019E-2</v>
      </c>
      <c r="AB94" s="117">
        <f t="shared" si="16"/>
        <v>4.0019999999999993E-2</v>
      </c>
      <c r="AC94" s="117">
        <f t="shared" si="17"/>
        <v>3.174000000000006E-2</v>
      </c>
      <c r="AD94" s="117">
        <f t="shared" si="18"/>
        <v>0</v>
      </c>
      <c r="AE94" s="116">
        <f t="shared" si="12"/>
        <v>1005.1771537770084</v>
      </c>
      <c r="AF94" s="116">
        <f t="shared" si="13"/>
        <v>1594.2131810569613</v>
      </c>
      <c r="AG94" s="116">
        <f t="shared" si="14"/>
        <v>1821.6474963785088</v>
      </c>
      <c r="AH94" s="119" t="str">
        <f t="shared" si="19"/>
        <v/>
      </c>
    </row>
    <row r="95" spans="27:34" x14ac:dyDescent="0.25">
      <c r="AA95" s="117">
        <f t="shared" si="15"/>
        <v>1.9065000000000019E-2</v>
      </c>
      <c r="AB95" s="117">
        <f t="shared" si="16"/>
        <v>4.0454999999999991E-2</v>
      </c>
      <c r="AC95" s="117">
        <f t="shared" si="17"/>
        <v>3.2085000000000058E-2</v>
      </c>
      <c r="AD95" s="117">
        <f t="shared" si="18"/>
        <v>0</v>
      </c>
      <c r="AE95" s="116">
        <f t="shared" si="12"/>
        <v>1005.8952256503106</v>
      </c>
      <c r="AF95" s="116">
        <f t="shared" si="13"/>
        <v>1594.7577152047511</v>
      </c>
      <c r="AG95" s="116">
        <f t="shared" si="14"/>
        <v>1822.4590761661359</v>
      </c>
      <c r="AH95" s="119" t="str">
        <f t="shared" si="19"/>
        <v/>
      </c>
    </row>
    <row r="96" spans="27:34" x14ac:dyDescent="0.25">
      <c r="AA96" s="117">
        <f t="shared" si="15"/>
        <v>1.927000000000002E-2</v>
      </c>
      <c r="AB96" s="117">
        <f t="shared" si="16"/>
        <v>4.0889999999999989E-2</v>
      </c>
      <c r="AC96" s="117">
        <f t="shared" si="17"/>
        <v>3.2430000000000056E-2</v>
      </c>
      <c r="AD96" s="117">
        <f t="shared" si="18"/>
        <v>0</v>
      </c>
      <c r="AE96" s="116">
        <f t="shared" si="12"/>
        <v>1006.6132498207747</v>
      </c>
      <c r="AF96" s="116">
        <f t="shared" si="13"/>
        <v>1595.3021920258448</v>
      </c>
      <c r="AG96" s="116">
        <f t="shared" si="14"/>
        <v>1823.2705255330425</v>
      </c>
      <c r="AH96" s="119" t="str">
        <f t="shared" si="19"/>
        <v/>
      </c>
    </row>
    <row r="97" spans="27:34" x14ac:dyDescent="0.25">
      <c r="AA97" s="117">
        <f t="shared" si="15"/>
        <v>1.947500000000002E-2</v>
      </c>
      <c r="AB97" s="117">
        <f t="shared" si="16"/>
        <v>4.1324999999999987E-2</v>
      </c>
      <c r="AC97" s="117">
        <f t="shared" si="17"/>
        <v>3.2775000000000054E-2</v>
      </c>
      <c r="AD97" s="117">
        <f t="shared" si="18"/>
        <v>0</v>
      </c>
      <c r="AE97" s="116">
        <f t="shared" si="12"/>
        <v>1007.331230712844</v>
      </c>
      <c r="AF97" s="116">
        <f t="shared" si="13"/>
        <v>1595.8466162554832</v>
      </c>
      <c r="AG97" s="116">
        <f t="shared" si="14"/>
        <v>1824.0818568837899</v>
      </c>
      <c r="AH97" s="119" t="str">
        <f t="shared" si="19"/>
        <v/>
      </c>
    </row>
    <row r="98" spans="27:34" x14ac:dyDescent="0.25">
      <c r="AA98" s="117">
        <f t="shared" si="15"/>
        <v>1.968000000000002E-2</v>
      </c>
      <c r="AB98" s="117">
        <f t="shared" si="16"/>
        <v>4.1759999999999985E-2</v>
      </c>
      <c r="AC98" s="117">
        <f t="shared" si="17"/>
        <v>3.3120000000000052E-2</v>
      </c>
      <c r="AD98" s="117">
        <f t="shared" si="18"/>
        <v>0</v>
      </c>
      <c r="AE98" s="116">
        <f t="shared" si="12"/>
        <v>1008.0491723001395</v>
      </c>
      <c r="AF98" s="116">
        <f t="shared" si="13"/>
        <v>1596.3909921937343</v>
      </c>
      <c r="AG98" s="116">
        <f t="shared" si="14"/>
        <v>1824.8930813301718</v>
      </c>
      <c r="AH98" s="119" t="str">
        <f t="shared" si="19"/>
        <v/>
      </c>
    </row>
    <row r="99" spans="27:34" x14ac:dyDescent="0.25">
      <c r="AA99" s="117">
        <f t="shared" ref="AA99:AA130" si="20">AA98+B$6/200</f>
        <v>1.9885000000000021E-2</v>
      </c>
      <c r="AB99" s="117">
        <f t="shared" ref="AB99:AB130" si="21">AB98+C$6/200</f>
        <v>4.2194999999999983E-2</v>
      </c>
      <c r="AC99" s="117">
        <f t="shared" ref="AC99:AC130" si="22">AC98+D$6/200</f>
        <v>3.346500000000005E-2</v>
      </c>
      <c r="AD99" s="117">
        <f t="shared" ref="AD99:AD130" si="23">AD98+E$6/200</f>
        <v>0</v>
      </c>
      <c r="AE99" s="116">
        <f t="shared" si="12"/>
        <v>1008.7670781554319</v>
      </c>
      <c r="AF99" s="116">
        <f t="shared" si="13"/>
        <v>1596.9353237494579</v>
      </c>
      <c r="AG99" s="116">
        <f t="shared" si="14"/>
        <v>1825.7042088374646</v>
      </c>
      <c r="AH99" s="119" t="str">
        <f t="shared" si="19"/>
        <v/>
      </c>
    </row>
    <row r="100" spans="27:34" x14ac:dyDescent="0.25">
      <c r="AA100" s="117">
        <f t="shared" si="20"/>
        <v>2.0090000000000021E-2</v>
      </c>
      <c r="AB100" s="117">
        <f t="shared" si="21"/>
        <v>4.262999999999998E-2</v>
      </c>
      <c r="AC100" s="117">
        <f t="shared" si="22"/>
        <v>3.3810000000000048E-2</v>
      </c>
      <c r="AD100" s="117">
        <f t="shared" si="23"/>
        <v>0</v>
      </c>
      <c r="AE100" s="116">
        <f t="shared" si="12"/>
        <v>1009.4849514946392</v>
      </c>
      <c r="AF100" s="116">
        <f t="shared" si="13"/>
        <v>1597.4796144794236</v>
      </c>
      <c r="AG100" s="116">
        <f t="shared" si="14"/>
        <v>1826.5152483528705</v>
      </c>
      <c r="AH100" s="119" t="str">
        <f t="shared" si="19"/>
        <v/>
      </c>
    </row>
    <row r="101" spans="27:34" x14ac:dyDescent="0.25">
      <c r="AA101" s="117">
        <f t="shared" si="20"/>
        <v>2.0295000000000021E-2</v>
      </c>
      <c r="AB101" s="117">
        <f t="shared" si="21"/>
        <v>4.3064999999999978E-2</v>
      </c>
      <c r="AC101" s="117">
        <f t="shared" si="22"/>
        <v>3.4155000000000046E-2</v>
      </c>
      <c r="AD101" s="117">
        <f t="shared" si="23"/>
        <v>0</v>
      </c>
      <c r="AE101" s="116">
        <f t="shared" si="12"/>
        <v>1010.20279521561</v>
      </c>
      <c r="AF101" s="116">
        <f t="shared" si="13"/>
        <v>1598.0238676231775</v>
      </c>
      <c r="AG101" s="116">
        <f t="shared" si="14"/>
        <v>1827.3262079184476</v>
      </c>
      <c r="AH101" s="119" t="str">
        <f t="shared" si="19"/>
        <v/>
      </c>
    </row>
    <row r="102" spans="27:34" x14ac:dyDescent="0.25">
      <c r="AA102" s="117">
        <f t="shared" si="20"/>
        <v>2.0500000000000022E-2</v>
      </c>
      <c r="AB102" s="117">
        <f t="shared" si="21"/>
        <v>4.3499999999999976E-2</v>
      </c>
      <c r="AC102" s="117">
        <f t="shared" si="22"/>
        <v>3.4500000000000045E-2</v>
      </c>
      <c r="AD102" s="117">
        <f t="shared" si="23"/>
        <v>0</v>
      </c>
      <c r="AE102" s="116">
        <f t="shared" si="12"/>
        <v>1010.9206119323584</v>
      </c>
      <c r="AF102" s="116">
        <f t="shared" si="13"/>
        <v>1598.5680861341477</v>
      </c>
      <c r="AG102" s="116">
        <f t="shared" si="14"/>
        <v>1828.1370947705436</v>
      </c>
      <c r="AH102" s="119" t="str">
        <f t="shared" si="19"/>
        <v/>
      </c>
    </row>
    <row r="103" spans="27:34" x14ac:dyDescent="0.25">
      <c r="AA103" s="117">
        <f t="shared" si="20"/>
        <v>2.0705000000000022E-2</v>
      </c>
      <c r="AB103" s="117">
        <f t="shared" si="21"/>
        <v>4.3934999999999974E-2</v>
      </c>
      <c r="AC103" s="117">
        <f t="shared" si="22"/>
        <v>3.4845000000000043E-2</v>
      </c>
      <c r="AD103" s="117">
        <f t="shared" si="23"/>
        <v>0</v>
      </c>
      <c r="AE103" s="116">
        <f t="shared" si="12"/>
        <v>1011.6384040053214</v>
      </c>
      <c r="AF103" s="116">
        <f t="shared" si="13"/>
        <v>1599.1122727074339</v>
      </c>
      <c r="AG103" s="116">
        <f t="shared" si="14"/>
        <v>1828.9479154274679</v>
      </c>
      <c r="AH103" s="119" t="str">
        <f t="shared" si="19"/>
        <v/>
      </c>
    </row>
    <row r="104" spans="27:34" x14ac:dyDescent="0.25">
      <c r="AA104" s="117">
        <f t="shared" si="20"/>
        <v>2.0910000000000022E-2</v>
      </c>
      <c r="AB104" s="117">
        <f t="shared" si="21"/>
        <v>4.4369999999999972E-2</v>
      </c>
      <c r="AC104" s="117">
        <f t="shared" si="22"/>
        <v>3.5190000000000041E-2</v>
      </c>
      <c r="AD104" s="117">
        <f t="shared" si="23"/>
        <v>0</v>
      </c>
      <c r="AE104" s="116">
        <f t="shared" si="12"/>
        <v>1012.3561735681327</v>
      </c>
      <c r="AF104" s="116">
        <f t="shared" si="13"/>
        <v>1599.6564298046515</v>
      </c>
      <c r="AG104" s="116">
        <f t="shared" si="14"/>
        <v>1829.7586757668705</v>
      </c>
      <c r="AH104" s="119" t="str">
        <f t="shared" si="19"/>
        <v/>
      </c>
    </row>
    <row r="105" spans="27:34" x14ac:dyDescent="0.25">
      <c r="AA105" s="117">
        <f t="shared" si="20"/>
        <v>2.1115000000000023E-2</v>
      </c>
      <c r="AB105" s="117">
        <f t="shared" si="21"/>
        <v>4.480499999999997E-2</v>
      </c>
      <c r="AC105" s="117">
        <f t="shared" si="22"/>
        <v>3.5535000000000039E-2</v>
      </c>
      <c r="AD105" s="117">
        <f t="shared" si="23"/>
        <v>0</v>
      </c>
      <c r="AE105" s="116">
        <f t="shared" si="12"/>
        <v>1013.0739225513458</v>
      </c>
      <c r="AF105" s="116">
        <f t="shared" si="13"/>
        <v>1600.200559676179</v>
      </c>
      <c r="AG105" s="116">
        <f t="shared" si="14"/>
        <v>1830.5693810941477</v>
      </c>
      <c r="AH105" s="119" t="str">
        <f t="shared" si="19"/>
        <v/>
      </c>
    </row>
    <row r="106" spans="27:34" x14ac:dyDescent="0.25">
      <c r="AA106" s="117">
        <f t="shared" si="20"/>
        <v>2.1320000000000023E-2</v>
      </c>
      <c r="AB106" s="117">
        <f t="shared" si="21"/>
        <v>4.5239999999999968E-2</v>
      </c>
      <c r="AC106" s="117">
        <f t="shared" si="22"/>
        <v>3.5880000000000037E-2</v>
      </c>
      <c r="AD106" s="117">
        <f t="shared" si="23"/>
        <v>0</v>
      </c>
      <c r="AE106" s="116">
        <f t="shared" si="12"/>
        <v>1013.7916527034758</v>
      </c>
      <c r="AF106" s="116">
        <f t="shared" si="13"/>
        <v>1600.7446643810954</v>
      </c>
      <c r="AG106" s="116">
        <f t="shared" si="14"/>
        <v>1831.3800362029588</v>
      </c>
      <c r="AH106" s="119" t="str">
        <f t="shared" si="19"/>
        <v/>
      </c>
    </row>
    <row r="107" spans="27:34" x14ac:dyDescent="0.25">
      <c r="AA107" s="117">
        <f t="shared" si="20"/>
        <v>2.1525000000000023E-2</v>
      </c>
      <c r="AB107" s="117">
        <f t="shared" si="21"/>
        <v>4.5674999999999966E-2</v>
      </c>
      <c r="AC107" s="117">
        <f t="shared" si="22"/>
        <v>3.6225000000000035E-2</v>
      </c>
      <c r="AD107" s="117">
        <f t="shared" si="23"/>
        <v>0</v>
      </c>
      <c r="AE107" s="116">
        <f t="shared" si="12"/>
        <v>1014.5093656096906</v>
      </c>
      <c r="AF107" s="116">
        <f t="shared" si="13"/>
        <v>1601.2887458050673</v>
      </c>
      <c r="AG107" s="116">
        <f t="shared" si="14"/>
        <v>1832.1906454288589</v>
      </c>
      <c r="AH107" s="119" t="str">
        <f t="shared" si="19"/>
        <v/>
      </c>
    </row>
    <row r="108" spans="27:34" x14ac:dyDescent="0.25">
      <c r="AA108" s="117">
        <f t="shared" si="20"/>
        <v>2.1730000000000024E-2</v>
      </c>
      <c r="AB108" s="117">
        <f t="shared" si="21"/>
        <v>4.6109999999999964E-2</v>
      </c>
      <c r="AC108" s="117">
        <f t="shared" si="22"/>
        <v>3.6570000000000033E-2</v>
      </c>
      <c r="AD108" s="117">
        <f t="shared" si="23"/>
        <v>0</v>
      </c>
      <c r="AE108" s="116">
        <f t="shared" si="12"/>
        <v>1015.2270627084229</v>
      </c>
      <c r="AF108" s="116">
        <f t="shared" si="13"/>
        <v>1601.8328056764146</v>
      </c>
      <c r="AG108" s="116">
        <f t="shared" si="14"/>
        <v>1833.0012126968661</v>
      </c>
      <c r="AH108" s="119" t="str">
        <f t="shared" si="19"/>
        <v/>
      </c>
    </row>
    <row r="109" spans="27:34" x14ac:dyDescent="0.25">
      <c r="AA109" s="117">
        <f t="shared" si="20"/>
        <v>2.1935000000000024E-2</v>
      </c>
      <c r="AB109" s="117">
        <f t="shared" si="21"/>
        <v>4.6544999999999961E-2</v>
      </c>
      <c r="AC109" s="117">
        <f t="shared" si="22"/>
        <v>3.6915000000000031E-2</v>
      </c>
      <c r="AD109" s="117">
        <f t="shared" si="23"/>
        <v>0</v>
      </c>
      <c r="AE109" s="116">
        <f t="shared" si="12"/>
        <v>1015.9447453061646</v>
      </c>
      <c r="AF109" s="116">
        <f t="shared" si="13"/>
        <v>1602.3768455805568</v>
      </c>
      <c r="AG109" s="116">
        <f t="shared" si="14"/>
        <v>1833.8117415636971</v>
      </c>
      <c r="AH109" s="119" t="str">
        <f t="shared" si="19"/>
        <v/>
      </c>
    </row>
    <row r="110" spans="27:34" x14ac:dyDescent="0.25">
      <c r="AA110" s="117">
        <f t="shared" si="20"/>
        <v>2.2140000000000024E-2</v>
      </c>
      <c r="AB110" s="117">
        <f t="shared" si="21"/>
        <v>4.6979999999999959E-2</v>
      </c>
      <c r="AC110" s="117">
        <f t="shared" si="22"/>
        <v>3.7260000000000029E-2</v>
      </c>
      <c r="AD110" s="117">
        <f t="shared" si="23"/>
        <v>0</v>
      </c>
      <c r="AE110" s="116">
        <f t="shared" si="12"/>
        <v>1016.6624145906457</v>
      </c>
      <c r="AF110" s="116">
        <f t="shared" si="13"/>
        <v>1602.9208669730124</v>
      </c>
      <c r="AG110" s="116">
        <f t="shared" si="14"/>
        <v>1834.6222352553323</v>
      </c>
      <c r="AH110" s="119" t="str">
        <f t="shared" si="19"/>
        <v/>
      </c>
    </row>
    <row r="111" spans="27:34" x14ac:dyDescent="0.25">
      <c r="AA111" s="117">
        <f t="shared" si="20"/>
        <v>2.2345000000000025E-2</v>
      </c>
      <c r="AB111" s="117">
        <f t="shared" si="21"/>
        <v>4.7414999999999957E-2</v>
      </c>
      <c r="AC111" s="117">
        <f t="shared" si="22"/>
        <v>3.7605000000000027E-2</v>
      </c>
      <c r="AD111" s="117">
        <f t="shared" si="23"/>
        <v>0</v>
      </c>
      <c r="AE111" s="116">
        <f t="shared" si="12"/>
        <v>1017.3800716425908</v>
      </c>
      <c r="AF111" s="116">
        <f t="shared" si="13"/>
        <v>1603.4648711911093</v>
      </c>
      <c r="AG111" s="116">
        <f t="shared" si="14"/>
        <v>1835.4326967004329</v>
      </c>
      <c r="AH111" s="119" t="str">
        <f t="shared" si="19"/>
        <v/>
      </c>
    </row>
    <row r="112" spans="27:34" x14ac:dyDescent="0.25">
      <c r="AA112" s="117">
        <f t="shared" si="20"/>
        <v>2.2550000000000025E-2</v>
      </c>
      <c r="AB112" s="117">
        <f t="shared" si="21"/>
        <v>4.7849999999999955E-2</v>
      </c>
      <c r="AC112" s="117">
        <f t="shared" si="22"/>
        <v>3.7950000000000025E-2</v>
      </c>
      <c r="AD112" s="117">
        <f t="shared" si="23"/>
        <v>0</v>
      </c>
      <c r="AE112" s="116">
        <f t="shared" si="12"/>
        <v>1018.0977174462225</v>
      </c>
      <c r="AF112" s="116">
        <f t="shared" si="13"/>
        <v>1604.0088594645479</v>
      </c>
      <c r="AG112" s="116">
        <f t="shared" si="14"/>
        <v>1836.2431285601288</v>
      </c>
      <c r="AH112" s="119" t="str">
        <f t="shared" si="19"/>
        <v/>
      </c>
    </row>
    <row r="113" spans="27:34" x14ac:dyDescent="0.25">
      <c r="AA113" s="117">
        <f t="shared" si="20"/>
        <v>2.2755000000000025E-2</v>
      </c>
      <c r="AB113" s="117">
        <f t="shared" si="21"/>
        <v>4.8284999999999953E-2</v>
      </c>
      <c r="AC113" s="117">
        <f t="shared" si="22"/>
        <v>3.8295000000000023E-2</v>
      </c>
      <c r="AD113" s="117">
        <f t="shared" si="23"/>
        <v>0</v>
      </c>
      <c r="AE113" s="116">
        <f t="shared" si="12"/>
        <v>1018.8153528986458</v>
      </c>
      <c r="AF113" s="116">
        <f t="shared" si="13"/>
        <v>1604.5528329249323</v>
      </c>
      <c r="AG113" s="116">
        <f t="shared" si="14"/>
        <v>1837.0535332545824</v>
      </c>
      <c r="AH113" s="119" t="str">
        <f t="shared" si="19"/>
        <v/>
      </c>
    </row>
    <row r="114" spans="27:34" x14ac:dyDescent="0.25">
      <c r="AA114" s="117">
        <f t="shared" si="20"/>
        <v>2.2960000000000026E-2</v>
      </c>
      <c r="AB114" s="117">
        <f t="shared" si="21"/>
        <v>4.8719999999999951E-2</v>
      </c>
      <c r="AC114" s="117">
        <f t="shared" si="22"/>
        <v>3.8640000000000022E-2</v>
      </c>
      <c r="AD114" s="117">
        <f t="shared" si="23"/>
        <v>0</v>
      </c>
      <c r="AE114" s="116">
        <f t="shared" si="12"/>
        <v>1019.532978818248</v>
      </c>
      <c r="AF114" s="116">
        <f t="shared" si="13"/>
        <v>1605.0967926143842</v>
      </c>
      <c r="AG114" s="116">
        <f t="shared" si="14"/>
        <v>1837.863912986709</v>
      </c>
      <c r="AH114" s="119" t="str">
        <f t="shared" si="19"/>
        <v/>
      </c>
    </row>
    <row r="115" spans="27:34" x14ac:dyDescent="0.25">
      <c r="AA115" s="117">
        <f t="shared" si="20"/>
        <v>2.3165000000000026E-2</v>
      </c>
      <c r="AB115" s="117">
        <f t="shared" si="21"/>
        <v>4.9154999999999949E-2</v>
      </c>
      <c r="AC115" s="117">
        <f t="shared" si="22"/>
        <v>3.898500000000002E-2</v>
      </c>
      <c r="AD115" s="117">
        <f t="shared" si="23"/>
        <v>0</v>
      </c>
      <c r="AE115" s="116">
        <f t="shared" si="12"/>
        <v>1020.2505959522258</v>
      </c>
      <c r="AF115" s="116">
        <f t="shared" si="13"/>
        <v>1605.6407394933315</v>
      </c>
      <c r="AG115" s="116">
        <f t="shared" si="14"/>
        <v>1838.6742697633758</v>
      </c>
      <c r="AH115" s="119" t="str">
        <f t="shared" si="19"/>
        <v/>
      </c>
    </row>
    <row r="116" spans="27:34" x14ac:dyDescent="0.25">
      <c r="AA116" s="117">
        <f t="shared" si="20"/>
        <v>2.3370000000000026E-2</v>
      </c>
      <c r="AB116" s="117">
        <f t="shared" si="21"/>
        <v>4.9589999999999947E-2</v>
      </c>
      <c r="AC116" s="117">
        <f t="shared" si="22"/>
        <v>3.9330000000000018E-2</v>
      </c>
      <c r="AD116" s="117">
        <f t="shared" si="23"/>
        <v>0</v>
      </c>
      <c r="AE116" s="116">
        <f t="shared" si="12"/>
        <v>1020.9682049833333</v>
      </c>
      <c r="AF116" s="116">
        <f t="shared" si="13"/>
        <v>1606.1846744475554</v>
      </c>
      <c r="AG116" s="116">
        <f t="shared" si="14"/>
        <v>1839.4846054143741</v>
      </c>
      <c r="AH116" s="119" t="str">
        <f t="shared" si="19"/>
        <v/>
      </c>
    </row>
    <row r="117" spans="27:34" x14ac:dyDescent="0.25">
      <c r="AA117" s="117">
        <f t="shared" si="20"/>
        <v>2.3575000000000026E-2</v>
      </c>
      <c r="AB117" s="117">
        <f t="shared" si="21"/>
        <v>5.0024999999999945E-2</v>
      </c>
      <c r="AC117" s="117">
        <f t="shared" si="22"/>
        <v>3.9675000000000016E-2</v>
      </c>
      <c r="AD117" s="117">
        <f t="shared" si="23"/>
        <v>0</v>
      </c>
      <c r="AE117" s="116">
        <f t="shared" si="12"/>
        <v>1021.6858065359341</v>
      </c>
      <c r="AF117" s="116">
        <f t="shared" si="13"/>
        <v>1606.728598294583</v>
      </c>
      <c r="AG117" s="116">
        <f t="shared" si="14"/>
        <v>1840.2949216094064</v>
      </c>
      <c r="AH117" s="119" t="str">
        <f t="shared" si="19"/>
        <v/>
      </c>
    </row>
    <row r="118" spans="27:34" x14ac:dyDescent="0.25">
      <c r="AA118" s="117">
        <f t="shared" si="20"/>
        <v>2.3780000000000027E-2</v>
      </c>
      <c r="AB118" s="117">
        <f t="shared" si="21"/>
        <v>5.0459999999999942E-2</v>
      </c>
      <c r="AC118" s="117">
        <f t="shared" si="22"/>
        <v>4.0020000000000014E-2</v>
      </c>
      <c r="AD118" s="117">
        <f t="shared" si="23"/>
        <v>0</v>
      </c>
      <c r="AE118" s="116">
        <f t="shared" si="12"/>
        <v>1022.4034011814482</v>
      </c>
      <c r="AF118" s="116">
        <f t="shared" si="13"/>
        <v>1607.2725117894704</v>
      </c>
      <c r="AG118" s="116">
        <f t="shared" si="14"/>
        <v>1841.1052198733173</v>
      </c>
      <c r="AH118" s="119" t="str">
        <f t="shared" si="19"/>
        <v/>
      </c>
    </row>
    <row r="119" spans="27:34" x14ac:dyDescent="0.25">
      <c r="AA119" s="117">
        <f t="shared" si="20"/>
        <v>2.3985000000000027E-2</v>
      </c>
      <c r="AB119" s="117">
        <f t="shared" si="21"/>
        <v>5.089499999999994E-2</v>
      </c>
      <c r="AC119" s="117">
        <f t="shared" si="22"/>
        <v>4.0365000000000012E-2</v>
      </c>
      <c r="AD119" s="117">
        <f t="shared" si="23"/>
        <v>0</v>
      </c>
      <c r="AE119" s="116">
        <f t="shared" si="12"/>
        <v>1023.1209894432413</v>
      </c>
      <c r="AF119" s="116">
        <f t="shared" si="13"/>
        <v>1607.8164156300641</v>
      </c>
      <c r="AG119" s="116">
        <f t="shared" si="14"/>
        <v>1841.9155015997608</v>
      </c>
      <c r="AH119" s="119" t="str">
        <f t="shared" si="19"/>
        <v/>
      </c>
    </row>
    <row r="120" spans="27:34" x14ac:dyDescent="0.25">
      <c r="AA120" s="117">
        <f t="shared" si="20"/>
        <v>2.4190000000000027E-2</v>
      </c>
      <c r="AB120" s="117">
        <f t="shared" si="21"/>
        <v>5.1329999999999938E-2</v>
      </c>
      <c r="AC120" s="117">
        <f t="shared" si="22"/>
        <v>4.071000000000001E-2</v>
      </c>
      <c r="AD120" s="117">
        <f t="shared" si="23"/>
        <v>0</v>
      </c>
      <c r="AE120" s="116">
        <f t="shared" si="12"/>
        <v>1023.8385718010292</v>
      </c>
      <c r="AF120" s="116">
        <f t="shared" si="13"/>
        <v>1608.3603104617728</v>
      </c>
      <c r="AG120" s="116">
        <f t="shared" si="14"/>
        <v>1842.7257680634746</v>
      </c>
      <c r="AH120" s="119" t="str">
        <f t="shared" si="19"/>
        <v/>
      </c>
    </row>
    <row r="121" spans="27:34" x14ac:dyDescent="0.25">
      <c r="AA121" s="117">
        <f t="shared" si="20"/>
        <v>2.4395000000000028E-2</v>
      </c>
      <c r="AB121" s="117">
        <f t="shared" si="21"/>
        <v>5.1764999999999936E-2</v>
      </c>
      <c r="AC121" s="117">
        <f t="shared" si="22"/>
        <v>4.1055000000000008E-2</v>
      </c>
      <c r="AD121" s="117">
        <f t="shared" si="23"/>
        <v>0</v>
      </c>
      <c r="AE121" s="116">
        <f t="shared" si="12"/>
        <v>1024.5561486948484</v>
      </c>
      <c r="AF121" s="116">
        <f t="shared" si="13"/>
        <v>1608.9041968819035</v>
      </c>
      <c r="AG121" s="116">
        <f t="shared" si="14"/>
        <v>1843.5360204313172</v>
      </c>
      <c r="AH121" s="119" t="str">
        <f t="shared" si="19"/>
        <v/>
      </c>
    </row>
    <row r="122" spans="27:34" x14ac:dyDescent="0.25">
      <c r="AA122" s="117">
        <f t="shared" si="20"/>
        <v>2.4600000000000028E-2</v>
      </c>
      <c r="AB122" s="117">
        <f t="shared" si="21"/>
        <v>5.2199999999999934E-2</v>
      </c>
      <c r="AC122" s="117">
        <f t="shared" si="22"/>
        <v>4.1400000000000006E-2</v>
      </c>
      <c r="AD122" s="117">
        <f t="shared" si="23"/>
        <v>0</v>
      </c>
      <c r="AE122" s="116">
        <f t="shared" si="12"/>
        <v>1025.2737205286301</v>
      </c>
      <c r="AF122" s="116">
        <f t="shared" si="13"/>
        <v>1609.4480754436158</v>
      </c>
      <c r="AG122" s="116">
        <f t="shared" si="14"/>
        <v>1844.3462597721982</v>
      </c>
      <c r="AH122" s="119" t="str">
        <f t="shared" si="19"/>
        <v/>
      </c>
    </row>
    <row r="123" spans="27:34" x14ac:dyDescent="0.25">
      <c r="AA123" s="117">
        <f t="shared" si="20"/>
        <v>2.4805000000000028E-2</v>
      </c>
      <c r="AB123" s="117">
        <f t="shared" si="21"/>
        <v>5.2634999999999932E-2</v>
      </c>
      <c r="AC123" s="117">
        <f t="shared" si="22"/>
        <v>4.1745000000000004E-2</v>
      </c>
      <c r="AD123" s="117">
        <f t="shared" si="23"/>
        <v>0</v>
      </c>
      <c r="AE123" s="116">
        <f t="shared" si="12"/>
        <v>1025.9912876734329</v>
      </c>
      <c r="AF123" s="116">
        <f t="shared" si="13"/>
        <v>1609.9919466595084</v>
      </c>
      <c r="AG123" s="116">
        <f t="shared" si="14"/>
        <v>1845.1564870660231</v>
      </c>
      <c r="AH123" s="119" t="str">
        <f t="shared" si="19"/>
        <v/>
      </c>
    </row>
    <row r="124" spans="27:34" x14ac:dyDescent="0.25">
      <c r="AA124" s="117">
        <f t="shared" si="20"/>
        <v>2.5010000000000029E-2</v>
      </c>
      <c r="AB124" s="117">
        <f t="shared" si="21"/>
        <v>5.306999999999993E-2</v>
      </c>
      <c r="AC124" s="117">
        <f t="shared" si="22"/>
        <v>4.2090000000000002E-2</v>
      </c>
      <c r="AD124" s="117">
        <f t="shared" si="23"/>
        <v>0</v>
      </c>
      <c r="AE124" s="116">
        <f t="shared" si="12"/>
        <v>1026.7088504703561</v>
      </c>
      <c r="AF124" s="116">
        <f t="shared" si="13"/>
        <v>1610.5358110048994</v>
      </c>
      <c r="AG124" s="116">
        <f t="shared" si="14"/>
        <v>1845.9667032117507</v>
      </c>
      <c r="AH124" s="119" t="str">
        <f t="shared" si="19"/>
        <v/>
      </c>
    </row>
    <row r="125" spans="27:34" x14ac:dyDescent="0.25">
      <c r="AA125" s="117">
        <f t="shared" si="20"/>
        <v>2.5215000000000029E-2</v>
      </c>
      <c r="AB125" s="117">
        <f t="shared" si="21"/>
        <v>5.3504999999999928E-2</v>
      </c>
      <c r="AC125" s="117">
        <f t="shared" si="22"/>
        <v>4.2435E-2</v>
      </c>
      <c r="AD125" s="117">
        <f t="shared" si="23"/>
        <v>0</v>
      </c>
      <c r="AE125" s="116">
        <f t="shared" si="12"/>
        <v>1027.42640923318</v>
      </c>
      <c r="AF125" s="116">
        <f t="shared" si="13"/>
        <v>1611.0796689208119</v>
      </c>
      <c r="AG125" s="116">
        <f t="shared" si="14"/>
        <v>1846.776909034676</v>
      </c>
      <c r="AH125" s="119" t="str">
        <f t="shared" si="19"/>
        <v/>
      </c>
    </row>
    <row r="126" spans="27:34" x14ac:dyDescent="0.25">
      <c r="AA126" s="117">
        <f t="shared" si="20"/>
        <v>2.5420000000000029E-2</v>
      </c>
      <c r="AB126" s="117">
        <f t="shared" si="21"/>
        <v>5.3939999999999926E-2</v>
      </c>
      <c r="AC126" s="117">
        <f t="shared" si="22"/>
        <v>4.2779999999999999E-2</v>
      </c>
      <c r="AD126" s="117">
        <f t="shared" si="23"/>
        <v>0</v>
      </c>
      <c r="AE126" s="116">
        <f t="shared" si="12"/>
        <v>1028.1439642507494</v>
      </c>
      <c r="AF126" s="116">
        <f t="shared" si="13"/>
        <v>1611.6235208166975</v>
      </c>
      <c r="AG126" s="116">
        <f t="shared" si="14"/>
        <v>1847.5871052929901</v>
      </c>
      <c r="AH126" s="119" t="str">
        <f t="shared" si="19"/>
        <v/>
      </c>
    </row>
    <row r="127" spans="27:34" x14ac:dyDescent="0.25">
      <c r="AA127" s="117">
        <f t="shared" si="20"/>
        <v>2.562500000000003E-2</v>
      </c>
      <c r="AB127" s="117">
        <f t="shared" si="21"/>
        <v>5.4374999999999923E-2</v>
      </c>
      <c r="AC127" s="117">
        <f t="shared" si="22"/>
        <v>4.3124999999999997E-2</v>
      </c>
      <c r="AD127" s="117">
        <f t="shared" si="23"/>
        <v>0</v>
      </c>
      <c r="AE127" s="116">
        <f t="shared" si="12"/>
        <v>1028.8615157891354</v>
      </c>
      <c r="AF127" s="116">
        <f t="shared" si="13"/>
        <v>1612.1673670729322</v>
      </c>
      <c r="AG127" s="116">
        <f t="shared" si="14"/>
        <v>1848.3972926837212</v>
      </c>
      <c r="AH127" s="119" t="str">
        <f t="shared" si="19"/>
        <v/>
      </c>
    </row>
    <row r="128" spans="27:34" x14ac:dyDescent="0.25">
      <c r="AA128" s="117">
        <f t="shared" si="20"/>
        <v>2.583000000000003E-2</v>
      </c>
      <c r="AB128" s="117">
        <f t="shared" si="21"/>
        <v>5.4809999999999921E-2</v>
      </c>
      <c r="AC128" s="117">
        <f t="shared" si="22"/>
        <v>4.3469999999999995E-2</v>
      </c>
      <c r="AD128" s="117">
        <f t="shared" si="23"/>
        <v>0</v>
      </c>
      <c r="AE128" s="116">
        <f t="shared" si="12"/>
        <v>1029.5790640935916</v>
      </c>
      <c r="AF128" s="116">
        <f t="shared" si="13"/>
        <v>1612.7112080430836</v>
      </c>
      <c r="AG128" s="116">
        <f t="shared" si="14"/>
        <v>1849.2074718481028</v>
      </c>
      <c r="AH128" s="119" t="str">
        <f t="shared" si="19"/>
        <v/>
      </c>
    </row>
    <row r="129" spans="27:34" x14ac:dyDescent="0.25">
      <c r="AA129" s="117">
        <f t="shared" si="20"/>
        <v>2.603500000000003E-2</v>
      </c>
      <c r="AB129" s="117">
        <f t="shared" si="21"/>
        <v>5.5244999999999919E-2</v>
      </c>
      <c r="AC129" s="117">
        <f t="shared" si="22"/>
        <v>4.3814999999999993E-2</v>
      </c>
      <c r="AD129" s="117">
        <f t="shared" si="23"/>
        <v>0</v>
      </c>
      <c r="AE129" s="116">
        <f t="shared" si="12"/>
        <v>1030.2966093903335</v>
      </c>
      <c r="AF129" s="116">
        <f t="shared" si="13"/>
        <v>1613.2550440559969</v>
      </c>
      <c r="AG129" s="116">
        <f t="shared" si="14"/>
        <v>1850.0176433764311</v>
      </c>
      <c r="AH129" s="119" t="str">
        <f t="shared" si="19"/>
        <v/>
      </c>
    </row>
    <row r="130" spans="27:34" x14ac:dyDescent="0.25">
      <c r="AA130" s="117">
        <f t="shared" si="20"/>
        <v>2.6240000000000031E-2</v>
      </c>
      <c r="AB130" s="117">
        <f t="shared" si="21"/>
        <v>5.5679999999999917E-2</v>
      </c>
      <c r="AC130" s="117">
        <f t="shared" si="22"/>
        <v>4.4159999999999991E-2</v>
      </c>
      <c r="AD130" s="117">
        <f t="shared" si="23"/>
        <v>0</v>
      </c>
      <c r="AE130" s="116">
        <f t="shared" ref="AE130:AE193" si="24">B$3 * AA130 * (B$9 + (1-B$9)/(POWER(1+POWER(B$3*ABS(AA130)/(B$8*B$4), B$7), 1/B$7)))</f>
        <v>1031.0141518881464</v>
      </c>
      <c r="AF130" s="116">
        <f t="shared" ref="AF130:AF193" si="25">C$3 * AB130 * (C$9 + (1-C$9)/(POWER(1+POWER(C$3*ABS(AB130)/(C$8*C$4), C$7), 1/C$7)))</f>
        <v>1613.7988754176993</v>
      </c>
      <c r="AG130" s="116">
        <f t="shared" ref="AG130:AG193" si="26">D$3 * AC130 * (D$9 + (1-D$9)/(POWER(1+POWER(D$3*ABS(AC130)/(D$8*D$4), D$7), 1/D$7)))</f>
        <v>1850.8278078124733</v>
      </c>
      <c r="AH130" s="119" t="str">
        <f t="shared" si="19"/>
        <v/>
      </c>
    </row>
    <row r="131" spans="27:34" x14ac:dyDescent="0.25">
      <c r="AA131" s="117">
        <f t="shared" ref="AA131:AA162" si="27">AA130+B$6/200</f>
        <v>2.6445000000000031E-2</v>
      </c>
      <c r="AB131" s="117">
        <f t="shared" ref="AB131:AB162" si="28">AB130+C$6/200</f>
        <v>5.6114999999999915E-2</v>
      </c>
      <c r="AC131" s="117">
        <f t="shared" ref="AC131:AC162" si="29">AC130+D$6/200</f>
        <v>4.4504999999999989E-2</v>
      </c>
      <c r="AD131" s="117">
        <f t="shared" ref="AD131:AD162" si="30">AD130+E$6/200</f>
        <v>0</v>
      </c>
      <c r="AE131" s="116">
        <f t="shared" si="24"/>
        <v>1031.7316917798544</v>
      </c>
      <c r="AF131" s="116">
        <f t="shared" si="25"/>
        <v>1614.3427024131422</v>
      </c>
      <c r="AG131" s="116">
        <f t="shared" si="26"/>
        <v>1851.6379656574538</v>
      </c>
      <c r="AH131" s="119" t="str">
        <f t="shared" ref="AH131:AH194" si="31">IF(AND(NOT(ISBLANK($E$3)), NOT(ISBLANK($E$4)), NOT(ISBLANK($E$5)), NOT(ISBLANK($E$6)), NOT(ISBLANK($E$7)), NOT(ISBLANK($E$8)), NOT(ISBLANK($E$9))), $E$3 * AD131 * ($E$9 + (1-$E$9)/(POWER(1+POWER($E$3*ABS(AD131)/($E$8*$E$4), $E$7), 1/$E$7))), "")</f>
        <v/>
      </c>
    </row>
    <row r="132" spans="27:34" x14ac:dyDescent="0.25">
      <c r="AA132" s="117">
        <f t="shared" si="27"/>
        <v>2.6650000000000031E-2</v>
      </c>
      <c r="AB132" s="117">
        <f t="shared" si="28"/>
        <v>5.6549999999999913E-2</v>
      </c>
      <c r="AC132" s="117">
        <f t="shared" si="29"/>
        <v>4.4849999999999987E-2</v>
      </c>
      <c r="AD132" s="117">
        <f t="shared" si="30"/>
        <v>0</v>
      </c>
      <c r="AE132" s="116">
        <f t="shared" si="24"/>
        <v>1032.4492292436471</v>
      </c>
      <c r="AF132" s="116">
        <f t="shared" si="25"/>
        <v>1614.8865253078045</v>
      </c>
      <c r="AG132" s="116">
        <f t="shared" si="26"/>
        <v>1852.4481173736815</v>
      </c>
      <c r="AH132" s="119" t="str">
        <f t="shared" si="31"/>
        <v/>
      </c>
    </row>
    <row r="133" spans="27:34" x14ac:dyDescent="0.25">
      <c r="AA133" s="117">
        <f t="shared" si="27"/>
        <v>2.6855000000000032E-2</v>
      </c>
      <c r="AB133" s="117">
        <f t="shared" si="28"/>
        <v>5.6984999999999911E-2</v>
      </c>
      <c r="AC133" s="117">
        <f t="shared" si="29"/>
        <v>4.5194999999999985E-2</v>
      </c>
      <c r="AD133" s="117">
        <f t="shared" si="30"/>
        <v>0</v>
      </c>
      <c r="AE133" s="116">
        <f t="shared" si="24"/>
        <v>1033.1667644442939</v>
      </c>
      <c r="AF133" s="116">
        <f t="shared" si="25"/>
        <v>1615.430344349156</v>
      </c>
      <c r="AG133" s="116">
        <f t="shared" si="26"/>
        <v>1853.2582633878351</v>
      </c>
      <c r="AH133" s="119" t="str">
        <f t="shared" si="31"/>
        <v/>
      </c>
    </row>
    <row r="134" spans="27:34" x14ac:dyDescent="0.25">
      <c r="AA134" s="117">
        <f t="shared" si="27"/>
        <v>2.7060000000000032E-2</v>
      </c>
      <c r="AB134" s="117">
        <f t="shared" si="28"/>
        <v>5.7419999999999909E-2</v>
      </c>
      <c r="AC134" s="117">
        <f t="shared" si="29"/>
        <v>4.5539999999999983E-2</v>
      </c>
      <c r="AD134" s="117">
        <f t="shared" si="30"/>
        <v>0</v>
      </c>
      <c r="AE134" s="116">
        <f t="shared" si="24"/>
        <v>1033.8842975342454</v>
      </c>
      <c r="AF134" s="116">
        <f t="shared" si="25"/>
        <v>1615.9741597680054</v>
      </c>
      <c r="AG134" s="116">
        <f t="shared" si="26"/>
        <v>1854.0684040939561</v>
      </c>
      <c r="AH134" s="119" t="str">
        <f t="shared" si="31"/>
        <v/>
      </c>
    </row>
    <row r="135" spans="27:34" x14ac:dyDescent="0.25">
      <c r="AA135" s="117">
        <f t="shared" si="27"/>
        <v>2.7265000000000032E-2</v>
      </c>
      <c r="AB135" s="117">
        <f t="shared" si="28"/>
        <v>5.7854999999999907E-2</v>
      </c>
      <c r="AC135" s="117">
        <f t="shared" si="29"/>
        <v>4.5884999999999981E-2</v>
      </c>
      <c r="AD135" s="117">
        <f t="shared" si="30"/>
        <v>0</v>
      </c>
      <c r="AE135" s="116">
        <f t="shared" si="24"/>
        <v>1034.6018286546384</v>
      </c>
      <c r="AF135" s="116">
        <f t="shared" si="25"/>
        <v>1616.5179717797339</v>
      </c>
      <c r="AG135" s="116">
        <f t="shared" si="26"/>
        <v>1854.878539856159</v>
      </c>
      <c r="AH135" s="119" t="str">
        <f t="shared" si="31"/>
        <v/>
      </c>
    </row>
    <row r="136" spans="27:34" x14ac:dyDescent="0.25">
      <c r="AA136" s="117">
        <f t="shared" si="27"/>
        <v>2.7470000000000033E-2</v>
      </c>
      <c r="AB136" s="117">
        <f t="shared" si="28"/>
        <v>5.8289999999999904E-2</v>
      </c>
      <c r="AC136" s="117">
        <f t="shared" si="29"/>
        <v>4.6229999999999979E-2</v>
      </c>
      <c r="AD136" s="117">
        <f t="shared" si="30"/>
        <v>0</v>
      </c>
      <c r="AE136" s="116">
        <f t="shared" si="24"/>
        <v>1035.3193579362126</v>
      </c>
      <c r="AF136" s="116">
        <f t="shared" si="25"/>
        <v>1617.0617805854386</v>
      </c>
      <c r="AG136" s="116">
        <f t="shared" si="26"/>
        <v>1855.6886710111146</v>
      </c>
      <c r="AH136" s="119" t="str">
        <f t="shared" si="31"/>
        <v/>
      </c>
    </row>
    <row r="137" spans="27:34" x14ac:dyDescent="0.25">
      <c r="AA137" s="117">
        <f t="shared" si="27"/>
        <v>2.7675000000000033E-2</v>
      </c>
      <c r="AB137" s="117">
        <f t="shared" si="28"/>
        <v>5.8724999999999902E-2</v>
      </c>
      <c r="AC137" s="117">
        <f t="shared" si="29"/>
        <v>4.6574999999999978E-2</v>
      </c>
      <c r="AD137" s="117">
        <f t="shared" si="30"/>
        <v>0</v>
      </c>
      <c r="AE137" s="116">
        <f t="shared" si="24"/>
        <v>1036.0368855001443</v>
      </c>
      <c r="AF137" s="116">
        <f t="shared" si="25"/>
        <v>1617.6055863729669</v>
      </c>
      <c r="AG137" s="116">
        <f t="shared" si="26"/>
        <v>1856.4987978702982</v>
      </c>
      <c r="AH137" s="119" t="str">
        <f t="shared" si="31"/>
        <v/>
      </c>
    </row>
    <row r="138" spans="27:34" x14ac:dyDescent="0.25">
      <c r="AA138" s="117">
        <f t="shared" si="27"/>
        <v>2.7880000000000033E-2</v>
      </c>
      <c r="AB138" s="117">
        <f t="shared" si="28"/>
        <v>5.91599999999999E-2</v>
      </c>
      <c r="AC138" s="117">
        <f t="shared" si="29"/>
        <v>4.6919999999999976E-2</v>
      </c>
      <c r="AD138" s="117">
        <f t="shared" si="30"/>
        <v>0</v>
      </c>
      <c r="AE138" s="116">
        <f t="shared" si="24"/>
        <v>1036.7544114588115</v>
      </c>
      <c r="AF138" s="116">
        <f t="shared" si="25"/>
        <v>1618.1493893178865</v>
      </c>
      <c r="AG138" s="116">
        <f t="shared" si="26"/>
        <v>1857.3089207220401</v>
      </c>
      <c r="AH138" s="119" t="str">
        <f t="shared" si="31"/>
        <v/>
      </c>
    </row>
    <row r="139" spans="27:34" x14ac:dyDescent="0.25">
      <c r="AA139" s="117">
        <f t="shared" si="27"/>
        <v>2.8085000000000034E-2</v>
      </c>
      <c r="AB139" s="117">
        <f t="shared" si="28"/>
        <v>5.9594999999999898E-2</v>
      </c>
      <c r="AC139" s="117">
        <f t="shared" si="29"/>
        <v>4.7264999999999974E-2</v>
      </c>
      <c r="AD139" s="117">
        <f t="shared" si="30"/>
        <v>0</v>
      </c>
      <c r="AE139" s="116">
        <f t="shared" si="24"/>
        <v>1037.4719359164903</v>
      </c>
      <c r="AF139" s="116">
        <f t="shared" si="25"/>
        <v>1618.6931895843682</v>
      </c>
      <c r="AG139" s="116">
        <f t="shared" si="26"/>
        <v>1858.1190398334008</v>
      </c>
      <c r="AH139" s="119" t="str">
        <f t="shared" si="31"/>
        <v/>
      </c>
    </row>
    <row r="140" spans="27:34" x14ac:dyDescent="0.25">
      <c r="AA140" s="117">
        <f t="shared" si="27"/>
        <v>2.8290000000000034E-2</v>
      </c>
      <c r="AB140" s="117">
        <f t="shared" si="28"/>
        <v>6.0029999999999896E-2</v>
      </c>
      <c r="AC140" s="117">
        <f t="shared" si="29"/>
        <v>4.7609999999999972E-2</v>
      </c>
      <c r="AD140" s="117">
        <f t="shared" si="30"/>
        <v>0</v>
      </c>
      <c r="AE140" s="116">
        <f t="shared" si="24"/>
        <v>1038.1894589699928</v>
      </c>
      <c r="AF140" s="116">
        <f t="shared" si="25"/>
        <v>1619.2369873259984</v>
      </c>
      <c r="AG140" s="116">
        <f t="shared" si="26"/>
        <v>1858.9291554518804</v>
      </c>
      <c r="AH140" s="119" t="str">
        <f t="shared" si="31"/>
        <v/>
      </c>
    </row>
    <row r="141" spans="27:34" x14ac:dyDescent="0.25">
      <c r="AA141" s="117">
        <f t="shared" si="27"/>
        <v>2.8495000000000034E-2</v>
      </c>
      <c r="AB141" s="117">
        <f t="shared" si="28"/>
        <v>6.0464999999999894E-2</v>
      </c>
      <c r="AC141" s="117">
        <f t="shared" si="29"/>
        <v>4.795499999999997E-2</v>
      </c>
      <c r="AD141" s="117">
        <f t="shared" si="30"/>
        <v>0</v>
      </c>
      <c r="AE141" s="116">
        <f t="shared" si="24"/>
        <v>1038.9069807092483</v>
      </c>
      <c r="AF141" s="116">
        <f t="shared" si="25"/>
        <v>1619.7807826865371</v>
      </c>
      <c r="AG141" s="116">
        <f t="shared" si="26"/>
        <v>1859.739267806975</v>
      </c>
      <c r="AH141" s="119" t="str">
        <f t="shared" si="31"/>
        <v/>
      </c>
    </row>
    <row r="142" spans="27:34" x14ac:dyDescent="0.25">
      <c r="AA142" s="117">
        <f t="shared" si="27"/>
        <v>2.8700000000000035E-2</v>
      </c>
      <c r="AB142" s="117">
        <f t="shared" si="28"/>
        <v>6.0899999999999892E-2</v>
      </c>
      <c r="AC142" s="117">
        <f t="shared" si="29"/>
        <v>4.8299999999999968E-2</v>
      </c>
      <c r="AD142" s="117">
        <f t="shared" si="30"/>
        <v>0</v>
      </c>
      <c r="AE142" s="116">
        <f t="shared" si="24"/>
        <v>1039.6245012178404</v>
      </c>
      <c r="AF142" s="116">
        <f t="shared" si="25"/>
        <v>1620.3245758006076</v>
      </c>
      <c r="AG142" s="116">
        <f t="shared" si="26"/>
        <v>1860.5493771116076</v>
      </c>
      <c r="AH142" s="119" t="str">
        <f t="shared" si="31"/>
        <v/>
      </c>
    </row>
    <row r="143" spans="27:34" x14ac:dyDescent="0.25">
      <c r="AA143" s="117">
        <f t="shared" si="27"/>
        <v>2.8905000000000035E-2</v>
      </c>
      <c r="AB143" s="117">
        <f t="shared" si="28"/>
        <v>6.133499999999989E-2</v>
      </c>
      <c r="AC143" s="117">
        <f t="shared" si="29"/>
        <v>4.8644999999999966E-2</v>
      </c>
      <c r="AD143" s="117">
        <f t="shared" si="30"/>
        <v>0</v>
      </c>
      <c r="AE143" s="116">
        <f t="shared" si="24"/>
        <v>1040.3420205734924</v>
      </c>
      <c r="AF143" s="116">
        <f t="shared" si="25"/>
        <v>1620.8683667943351</v>
      </c>
      <c r="AG143" s="116">
        <f t="shared" si="26"/>
        <v>1861.3594835634276</v>
      </c>
      <c r="AH143" s="119" t="str">
        <f t="shared" si="31"/>
        <v/>
      </c>
    </row>
    <row r="144" spans="27:34" x14ac:dyDescent="0.25">
      <c r="AA144" s="117">
        <f t="shared" si="27"/>
        <v>2.9110000000000035E-2</v>
      </c>
      <c r="AB144" s="117">
        <f t="shared" si="28"/>
        <v>6.1769999999999887E-2</v>
      </c>
      <c r="AC144" s="117">
        <f t="shared" si="29"/>
        <v>4.8989999999999964E-2</v>
      </c>
      <c r="AD144" s="117">
        <f t="shared" si="30"/>
        <v>0</v>
      </c>
      <c r="AE144" s="116">
        <f t="shared" si="24"/>
        <v>1041.0595388485169</v>
      </c>
      <c r="AF144" s="116">
        <f t="shared" si="25"/>
        <v>1621.4121557859426</v>
      </c>
      <c r="AG144" s="116">
        <f t="shared" si="26"/>
        <v>1862.1695873460071</v>
      </c>
      <c r="AH144" s="119" t="str">
        <f t="shared" si="31"/>
        <v/>
      </c>
    </row>
    <row r="145" spans="27:34" x14ac:dyDescent="0.25">
      <c r="AA145" s="117">
        <f t="shared" si="27"/>
        <v>2.9315000000000035E-2</v>
      </c>
      <c r="AB145" s="117">
        <f t="shared" si="28"/>
        <v>6.2204999999999885E-2</v>
      </c>
      <c r="AC145" s="117">
        <f t="shared" si="29"/>
        <v>4.9334999999999962E-2</v>
      </c>
      <c r="AD145" s="117">
        <f t="shared" si="30"/>
        <v>0</v>
      </c>
      <c r="AE145" s="116">
        <f t="shared" si="24"/>
        <v>1041.7770561102291</v>
      </c>
      <c r="AF145" s="116">
        <f t="shared" si="25"/>
        <v>1621.9559428862935</v>
      </c>
      <c r="AG145" s="116">
        <f t="shared" si="26"/>
        <v>1862.9796886299284</v>
      </c>
      <c r="AH145" s="119" t="str">
        <f t="shared" si="31"/>
        <v/>
      </c>
    </row>
    <row r="146" spans="27:34" x14ac:dyDescent="0.25">
      <c r="AA146" s="117">
        <f t="shared" si="27"/>
        <v>2.9520000000000036E-2</v>
      </c>
      <c r="AB146" s="117">
        <f t="shared" si="28"/>
        <v>6.263999999999989E-2</v>
      </c>
      <c r="AC146" s="117">
        <f t="shared" si="29"/>
        <v>4.967999999999996E-2</v>
      </c>
      <c r="AD146" s="117">
        <f t="shared" si="30"/>
        <v>0</v>
      </c>
      <c r="AE146" s="116">
        <f t="shared" si="24"/>
        <v>1042.4945724213214</v>
      </c>
      <c r="AF146" s="116">
        <f t="shared" si="25"/>
        <v>1622.4997281993994</v>
      </c>
      <c r="AG146" s="116">
        <f t="shared" si="26"/>
        <v>1863.7897875737922</v>
      </c>
      <c r="AH146" s="119" t="str">
        <f t="shared" si="31"/>
        <v/>
      </c>
    </row>
    <row r="147" spans="27:34" x14ac:dyDescent="0.25">
      <c r="AA147" s="117">
        <f t="shared" si="27"/>
        <v>2.9725000000000036E-2</v>
      </c>
      <c r="AB147" s="117">
        <f t="shared" si="28"/>
        <v>6.3074999999999895E-2</v>
      </c>
      <c r="AC147" s="117">
        <f t="shared" si="29"/>
        <v>5.0024999999999958E-2</v>
      </c>
      <c r="AD147" s="117">
        <f t="shared" si="30"/>
        <v>0</v>
      </c>
      <c r="AE147" s="116">
        <f t="shared" si="24"/>
        <v>1043.2120878402084</v>
      </c>
      <c r="AF147" s="116">
        <f t="shared" si="25"/>
        <v>1623.0435118228825</v>
      </c>
      <c r="AG147" s="116">
        <f t="shared" si="26"/>
        <v>1864.5998843251266</v>
      </c>
      <c r="AH147" s="119" t="str">
        <f t="shared" si="31"/>
        <v/>
      </c>
    </row>
    <row r="148" spans="27:34" x14ac:dyDescent="0.25">
      <c r="AA148" s="117">
        <f t="shared" si="27"/>
        <v>2.9930000000000036E-2</v>
      </c>
      <c r="AB148" s="117">
        <f t="shared" si="28"/>
        <v>6.35099999999999E-2</v>
      </c>
      <c r="AC148" s="117">
        <f t="shared" si="29"/>
        <v>5.0369999999999956E-2</v>
      </c>
      <c r="AD148" s="117">
        <f t="shared" si="30"/>
        <v>0</v>
      </c>
      <c r="AE148" s="116">
        <f t="shared" si="24"/>
        <v>1043.9296024213502</v>
      </c>
      <c r="AF148" s="116">
        <f t="shared" si="25"/>
        <v>1623.5872938484154</v>
      </c>
      <c r="AG148" s="116">
        <f t="shared" si="26"/>
        <v>1865.4099790212344</v>
      </c>
      <c r="AH148" s="119" t="str">
        <f t="shared" si="31"/>
        <v/>
      </c>
    </row>
    <row r="149" spans="27:34" x14ac:dyDescent="0.25">
      <c r="AA149" s="117">
        <f t="shared" si="27"/>
        <v>3.0135000000000037E-2</v>
      </c>
      <c r="AB149" s="117">
        <f t="shared" si="28"/>
        <v>6.3944999999999905E-2</v>
      </c>
      <c r="AC149" s="117">
        <f t="shared" si="29"/>
        <v>5.0714999999999955E-2</v>
      </c>
      <c r="AD149" s="117">
        <f t="shared" si="30"/>
        <v>0</v>
      </c>
      <c r="AE149" s="116">
        <f t="shared" si="24"/>
        <v>1044.6471162155406</v>
      </c>
      <c r="AF149" s="116">
        <f t="shared" si="25"/>
        <v>1624.1310743621159</v>
      </c>
      <c r="AG149" s="116">
        <f t="shared" si="26"/>
        <v>1866.2200717899636</v>
      </c>
      <c r="AH149" s="119" t="str">
        <f t="shared" si="31"/>
        <v/>
      </c>
    </row>
    <row r="150" spans="27:34" x14ac:dyDescent="0.25">
      <c r="AA150" s="117">
        <f t="shared" si="27"/>
        <v>3.0340000000000037E-2</v>
      </c>
      <c r="AB150" s="117">
        <f t="shared" si="28"/>
        <v>6.437999999999991E-2</v>
      </c>
      <c r="AC150" s="117">
        <f t="shared" si="29"/>
        <v>5.1059999999999953E-2</v>
      </c>
      <c r="AD150" s="117">
        <f t="shared" si="30"/>
        <v>0</v>
      </c>
      <c r="AE150" s="116">
        <f t="shared" si="24"/>
        <v>1045.3646292701781</v>
      </c>
      <c r="AF150" s="116">
        <f t="shared" si="25"/>
        <v>1624.6748534449175</v>
      </c>
      <c r="AG150" s="116">
        <f t="shared" si="26"/>
        <v>1867.0301627504159</v>
      </c>
      <c r="AH150" s="119" t="str">
        <f t="shared" si="31"/>
        <v/>
      </c>
    </row>
    <row r="151" spans="27:34" x14ac:dyDescent="0.25">
      <c r="AA151" s="117">
        <f t="shared" si="27"/>
        <v>3.0545000000000037E-2</v>
      </c>
      <c r="AB151" s="117">
        <f t="shared" si="28"/>
        <v>6.4814999999999914E-2</v>
      </c>
      <c r="AC151" s="117">
        <f t="shared" si="29"/>
        <v>5.1404999999999951E-2</v>
      </c>
      <c r="AD151" s="117">
        <f t="shared" si="30"/>
        <v>0</v>
      </c>
      <c r="AE151" s="116">
        <f t="shared" si="24"/>
        <v>1046.0821416295139</v>
      </c>
      <c r="AF151" s="116">
        <f t="shared" si="25"/>
        <v>1625.2186311729197</v>
      </c>
      <c r="AG151" s="116">
        <f t="shared" si="26"/>
        <v>1867.8402520136003</v>
      </c>
      <c r="AH151" s="119" t="str">
        <f t="shared" si="31"/>
        <v/>
      </c>
    </row>
    <row r="152" spans="27:34" x14ac:dyDescent="0.25">
      <c r="AA152" s="117">
        <f t="shared" si="27"/>
        <v>3.0750000000000038E-2</v>
      </c>
      <c r="AB152" s="117">
        <f t="shared" si="28"/>
        <v>6.5249999999999919E-2</v>
      </c>
      <c r="AC152" s="117">
        <f t="shared" si="29"/>
        <v>5.1749999999999949E-2</v>
      </c>
      <c r="AD152" s="117">
        <f t="shared" si="30"/>
        <v>0</v>
      </c>
      <c r="AE152" s="116">
        <f t="shared" si="24"/>
        <v>1046.7996533348796</v>
      </c>
      <c r="AF152" s="116">
        <f t="shared" si="25"/>
        <v>1625.7624076176987</v>
      </c>
      <c r="AG152" s="116">
        <f t="shared" si="26"/>
        <v>1868.6503396830296</v>
      </c>
      <c r="AH152" s="119" t="str">
        <f t="shared" si="31"/>
        <v/>
      </c>
    </row>
    <row r="153" spans="27:34" x14ac:dyDescent="0.25">
      <c r="AA153" s="117">
        <f t="shared" si="27"/>
        <v>3.0955000000000038E-2</v>
      </c>
      <c r="AB153" s="117">
        <f t="shared" si="28"/>
        <v>6.5684999999999924E-2</v>
      </c>
      <c r="AC153" s="117">
        <f t="shared" si="29"/>
        <v>5.2094999999999947E-2</v>
      </c>
      <c r="AD153" s="117">
        <f t="shared" si="30"/>
        <v>0</v>
      </c>
      <c r="AE153" s="116">
        <f t="shared" si="24"/>
        <v>1047.5171644248974</v>
      </c>
      <c r="AF153" s="116">
        <f t="shared" si="25"/>
        <v>1626.3061828466095</v>
      </c>
      <c r="AG153" s="116">
        <f t="shared" si="26"/>
        <v>1869.4604258552745</v>
      </c>
      <c r="AH153" s="119" t="str">
        <f t="shared" si="31"/>
        <v/>
      </c>
    </row>
    <row r="154" spans="27:34" x14ac:dyDescent="0.25">
      <c r="AA154" s="117">
        <f t="shared" si="27"/>
        <v>3.1160000000000038E-2</v>
      </c>
      <c r="AB154" s="117">
        <f t="shared" si="28"/>
        <v>6.6119999999999929E-2</v>
      </c>
      <c r="AC154" s="117">
        <f t="shared" si="29"/>
        <v>5.2439999999999945E-2</v>
      </c>
      <c r="AD154" s="117">
        <f t="shared" si="30"/>
        <v>0</v>
      </c>
      <c r="AE154" s="116">
        <f t="shared" si="24"/>
        <v>1048.2346749356748</v>
      </c>
      <c r="AF154" s="116">
        <f t="shared" si="25"/>
        <v>1626.8499569230598</v>
      </c>
      <c r="AG154" s="116">
        <f t="shared" si="26"/>
        <v>1870.2705106204701</v>
      </c>
      <c r="AH154" s="119" t="str">
        <f t="shared" si="31"/>
        <v/>
      </c>
    </row>
    <row r="155" spans="27:34" x14ac:dyDescent="0.25">
      <c r="AA155" s="117">
        <f t="shared" si="27"/>
        <v>3.1365000000000039E-2</v>
      </c>
      <c r="AB155" s="117">
        <f t="shared" si="28"/>
        <v>6.6554999999999934E-2</v>
      </c>
      <c r="AC155" s="117">
        <f t="shared" si="29"/>
        <v>5.2784999999999943E-2</v>
      </c>
      <c r="AD155" s="117">
        <f t="shared" si="30"/>
        <v>0</v>
      </c>
      <c r="AE155" s="116">
        <f t="shared" si="24"/>
        <v>1048.9521849009823</v>
      </c>
      <c r="AF155" s="116">
        <f t="shared" si="25"/>
        <v>1627.3937299067641</v>
      </c>
      <c r="AG155" s="116">
        <f t="shared" si="26"/>
        <v>1871.0805940627818</v>
      </c>
      <c r="AH155" s="119" t="str">
        <f t="shared" si="31"/>
        <v/>
      </c>
    </row>
    <row r="156" spans="27:34" x14ac:dyDescent="0.25">
      <c r="AA156" s="117">
        <f t="shared" si="27"/>
        <v>3.1570000000000036E-2</v>
      </c>
      <c r="AB156" s="117">
        <f t="shared" si="28"/>
        <v>6.6989999999999938E-2</v>
      </c>
      <c r="AC156" s="117">
        <f t="shared" si="29"/>
        <v>5.3129999999999941E-2</v>
      </c>
      <c r="AD156" s="117">
        <f t="shared" si="30"/>
        <v>0</v>
      </c>
      <c r="AE156" s="116">
        <f t="shared" si="24"/>
        <v>1049.6696943524198</v>
      </c>
      <c r="AF156" s="116">
        <f t="shared" si="25"/>
        <v>1627.9375018539799</v>
      </c>
      <c r="AG156" s="116">
        <f t="shared" si="26"/>
        <v>1871.8906762608383</v>
      </c>
      <c r="AH156" s="119" t="str">
        <f t="shared" si="31"/>
        <v/>
      </c>
    </row>
    <row r="157" spans="27:34" x14ac:dyDescent="0.25">
      <c r="AA157" s="117">
        <f t="shared" si="27"/>
        <v>3.1775000000000032E-2</v>
      </c>
      <c r="AB157" s="117">
        <f t="shared" si="28"/>
        <v>6.7424999999999943E-2</v>
      </c>
      <c r="AC157" s="117">
        <f t="shared" si="29"/>
        <v>5.3474999999999939E-2</v>
      </c>
      <c r="AD157" s="117">
        <f t="shared" si="30"/>
        <v>0</v>
      </c>
      <c r="AE157" s="116">
        <f t="shared" si="24"/>
        <v>1050.3872033195676</v>
      </c>
      <c r="AF157" s="116">
        <f t="shared" si="25"/>
        <v>1628.4812728177296</v>
      </c>
      <c r="AG157" s="116">
        <f t="shared" si="26"/>
        <v>1872.7007572881271</v>
      </c>
      <c r="AH157" s="119" t="str">
        <f t="shared" si="31"/>
        <v/>
      </c>
    </row>
    <row r="158" spans="27:34" x14ac:dyDescent="0.25">
      <c r="AA158" s="117">
        <f t="shared" si="27"/>
        <v>3.1980000000000029E-2</v>
      </c>
      <c r="AB158" s="117">
        <f t="shared" si="28"/>
        <v>6.7859999999999948E-2</v>
      </c>
      <c r="AC158" s="117">
        <f t="shared" si="29"/>
        <v>5.3819999999999937E-2</v>
      </c>
      <c r="AD158" s="117">
        <f t="shared" si="30"/>
        <v>0</v>
      </c>
      <c r="AE158" s="116">
        <f t="shared" si="24"/>
        <v>1051.1047118301281</v>
      </c>
      <c r="AF158" s="116">
        <f t="shared" si="25"/>
        <v>1629.0250428480067</v>
      </c>
      <c r="AG158" s="116">
        <f t="shared" si="26"/>
        <v>1873.5108372133616</v>
      </c>
      <c r="AH158" s="119" t="str">
        <f t="shared" si="31"/>
        <v/>
      </c>
    </row>
    <row r="159" spans="27:34" x14ac:dyDescent="0.25">
      <c r="AA159" s="117">
        <f t="shared" si="27"/>
        <v>3.2185000000000026E-2</v>
      </c>
      <c r="AB159" s="117">
        <f t="shared" si="28"/>
        <v>6.8294999999999953E-2</v>
      </c>
      <c r="AC159" s="117">
        <f t="shared" si="29"/>
        <v>5.4164999999999935E-2</v>
      </c>
      <c r="AD159" s="117">
        <f t="shared" si="30"/>
        <v>0</v>
      </c>
      <c r="AE159" s="116">
        <f t="shared" si="24"/>
        <v>1051.8222199100564</v>
      </c>
      <c r="AF159" s="116">
        <f t="shared" si="25"/>
        <v>1629.5688119919678</v>
      </c>
      <c r="AG159" s="116">
        <f t="shared" si="26"/>
        <v>1874.3209161008169</v>
      </c>
      <c r="AH159" s="119" t="str">
        <f t="shared" si="31"/>
        <v/>
      </c>
    </row>
    <row r="160" spans="27:34" x14ac:dyDescent="0.25">
      <c r="AA160" s="117">
        <f t="shared" si="27"/>
        <v>3.2390000000000023E-2</v>
      </c>
      <c r="AB160" s="117">
        <f t="shared" si="28"/>
        <v>6.8729999999999958E-2</v>
      </c>
      <c r="AC160" s="117">
        <f t="shared" si="29"/>
        <v>5.4509999999999934E-2</v>
      </c>
      <c r="AD160" s="117">
        <f t="shared" si="30"/>
        <v>0</v>
      </c>
      <c r="AE160" s="116">
        <f t="shared" si="24"/>
        <v>1052.5397275836804</v>
      </c>
      <c r="AF160" s="116">
        <f t="shared" si="25"/>
        <v>1630.1125802941051</v>
      </c>
      <c r="AG160" s="116">
        <f t="shared" si="26"/>
        <v>1875.1309940106466</v>
      </c>
      <c r="AH160" s="119" t="str">
        <f t="shared" si="31"/>
        <v/>
      </c>
    </row>
    <row r="161" spans="27:34" x14ac:dyDescent="0.25">
      <c r="AA161" s="117">
        <f t="shared" si="27"/>
        <v>3.259500000000002E-2</v>
      </c>
      <c r="AB161" s="117">
        <f t="shared" si="28"/>
        <v>6.9164999999999963E-2</v>
      </c>
      <c r="AC161" s="117">
        <f t="shared" si="29"/>
        <v>5.4854999999999932E-2</v>
      </c>
      <c r="AD161" s="117">
        <f t="shared" si="30"/>
        <v>0</v>
      </c>
      <c r="AE161" s="116">
        <f t="shared" si="24"/>
        <v>1053.2572348738111</v>
      </c>
      <c r="AF161" s="116">
        <f t="shared" si="25"/>
        <v>1630.6563477964178</v>
      </c>
      <c r="AG161" s="116">
        <f t="shared" si="26"/>
        <v>1875.9410709991671</v>
      </c>
      <c r="AH161" s="119" t="str">
        <f t="shared" si="31"/>
        <v/>
      </c>
    </row>
    <row r="162" spans="27:34" x14ac:dyDescent="0.25">
      <c r="AA162" s="117">
        <f t="shared" si="27"/>
        <v>3.2800000000000017E-2</v>
      </c>
      <c r="AB162" s="117">
        <f t="shared" si="28"/>
        <v>6.9599999999999967E-2</v>
      </c>
      <c r="AC162" s="117">
        <f t="shared" si="29"/>
        <v>5.519999999999993E-2</v>
      </c>
      <c r="AD162" s="117">
        <f t="shared" si="30"/>
        <v>0</v>
      </c>
      <c r="AE162" s="116">
        <f t="shared" si="24"/>
        <v>1053.9747418018474</v>
      </c>
      <c r="AF162" s="116">
        <f t="shared" si="25"/>
        <v>1631.2001145385641</v>
      </c>
      <c r="AG162" s="116">
        <f t="shared" si="26"/>
        <v>1876.7511471191258</v>
      </c>
      <c r="AH162" s="119" t="str">
        <f t="shared" si="31"/>
        <v/>
      </c>
    </row>
    <row r="163" spans="27:34" x14ac:dyDescent="0.25">
      <c r="AA163" s="117">
        <f t="shared" ref="AA163:AA194" si="32">AA162+B$6/200</f>
        <v>3.3005000000000013E-2</v>
      </c>
      <c r="AB163" s="117">
        <f t="shared" ref="AB163:AB194" si="33">AB162+C$6/200</f>
        <v>7.0034999999999972E-2</v>
      </c>
      <c r="AC163" s="117">
        <f t="shared" ref="AC163:AC194" si="34">AC162+D$6/200</f>
        <v>5.5544999999999928E-2</v>
      </c>
      <c r="AD163" s="117">
        <f t="shared" ref="AD163:AD194" si="35">AD162+E$6/200</f>
        <v>0</v>
      </c>
      <c r="AE163" s="116">
        <f t="shared" si="24"/>
        <v>1054.6922483878716</v>
      </c>
      <c r="AF163" s="116">
        <f t="shared" si="25"/>
        <v>1631.7438805580057</v>
      </c>
      <c r="AG163" s="116">
        <f t="shared" si="26"/>
        <v>1877.561222419946</v>
      </c>
      <c r="AH163" s="119" t="str">
        <f t="shared" si="31"/>
        <v/>
      </c>
    </row>
    <row r="164" spans="27:34" x14ac:dyDescent="0.25">
      <c r="AA164" s="117">
        <f t="shared" si="32"/>
        <v>3.321000000000001E-2</v>
      </c>
      <c r="AB164" s="117">
        <f t="shared" si="33"/>
        <v>7.0469999999999977E-2</v>
      </c>
      <c r="AC164" s="117">
        <f t="shared" si="34"/>
        <v>5.5889999999999926E-2</v>
      </c>
      <c r="AD164" s="117">
        <f t="shared" si="35"/>
        <v>0</v>
      </c>
      <c r="AE164" s="116">
        <f t="shared" si="24"/>
        <v>1055.4097546507364</v>
      </c>
      <c r="AF164" s="116">
        <f t="shared" si="25"/>
        <v>1632.2876458901389</v>
      </c>
      <c r="AG164" s="116">
        <f t="shared" si="26"/>
        <v>1878.3712969479595</v>
      </c>
      <c r="AH164" s="119" t="str">
        <f t="shared" si="31"/>
        <v/>
      </c>
    </row>
    <row r="165" spans="27:34" x14ac:dyDescent="0.25">
      <c r="AA165" s="117">
        <f t="shared" si="32"/>
        <v>3.3415000000000007E-2</v>
      </c>
      <c r="AB165" s="117">
        <f t="shared" si="33"/>
        <v>7.0904999999999982E-2</v>
      </c>
      <c r="AC165" s="117">
        <f t="shared" si="34"/>
        <v>5.6234999999999924E-2</v>
      </c>
      <c r="AD165" s="117">
        <f t="shared" si="35"/>
        <v>0</v>
      </c>
      <c r="AE165" s="116">
        <f t="shared" si="24"/>
        <v>1056.1272606081482</v>
      </c>
      <c r="AF165" s="116">
        <f t="shared" si="25"/>
        <v>1632.8314105684287</v>
      </c>
      <c r="AG165" s="116">
        <f t="shared" si="26"/>
        <v>1879.1813707466119</v>
      </c>
      <c r="AH165" s="119" t="str">
        <f t="shared" si="31"/>
        <v/>
      </c>
    </row>
    <row r="166" spans="27:34" x14ac:dyDescent="0.25">
      <c r="AA166" s="117">
        <f t="shared" si="32"/>
        <v>3.3620000000000004E-2</v>
      </c>
      <c r="AB166" s="117">
        <f t="shared" si="33"/>
        <v>7.1339999999999987E-2</v>
      </c>
      <c r="AC166" s="117">
        <f t="shared" si="34"/>
        <v>5.6579999999999922E-2</v>
      </c>
      <c r="AD166" s="117">
        <f t="shared" si="35"/>
        <v>0</v>
      </c>
      <c r="AE166" s="116">
        <f t="shared" si="24"/>
        <v>1056.8447662767437</v>
      </c>
      <c r="AF166" s="116">
        <f t="shared" si="25"/>
        <v>1633.3751746245148</v>
      </c>
      <c r="AG166" s="116">
        <f t="shared" si="26"/>
        <v>1879.9914438566627</v>
      </c>
      <c r="AH166" s="119" t="str">
        <f t="shared" si="31"/>
        <v/>
      </c>
    </row>
    <row r="167" spans="27:34" x14ac:dyDescent="0.25">
      <c r="AA167" s="117">
        <f t="shared" si="32"/>
        <v>3.3825000000000001E-2</v>
      </c>
      <c r="AB167" s="117">
        <f t="shared" si="33"/>
        <v>7.1774999999999992E-2</v>
      </c>
      <c r="AC167" s="117">
        <f t="shared" si="34"/>
        <v>5.692499999999992E-2</v>
      </c>
      <c r="AD167" s="117">
        <f t="shared" si="35"/>
        <v>0</v>
      </c>
      <c r="AE167" s="116">
        <f t="shared" si="24"/>
        <v>1057.5622716721593</v>
      </c>
      <c r="AF167" s="116">
        <f t="shared" si="25"/>
        <v>1633.9189380883263</v>
      </c>
      <c r="AG167" s="116">
        <f t="shared" si="26"/>
        <v>1880.8015163163634</v>
      </c>
      <c r="AH167" s="119" t="str">
        <f t="shared" si="31"/>
        <v/>
      </c>
    </row>
    <row r="168" spans="27:34" x14ac:dyDescent="0.25">
      <c r="AA168" s="117">
        <f t="shared" si="32"/>
        <v>3.4029999999999998E-2</v>
      </c>
      <c r="AB168" s="117">
        <f t="shared" si="33"/>
        <v>7.2209999999999996E-2</v>
      </c>
      <c r="AC168" s="117">
        <f t="shared" si="34"/>
        <v>5.7269999999999918E-2</v>
      </c>
      <c r="AD168" s="117">
        <f t="shared" si="35"/>
        <v>0</v>
      </c>
      <c r="AE168" s="116">
        <f t="shared" si="24"/>
        <v>1058.2797768090977</v>
      </c>
      <c r="AF168" s="116">
        <f t="shared" si="25"/>
        <v>1634.462700988187</v>
      </c>
      <c r="AG168" s="116">
        <f t="shared" si="26"/>
        <v>1881.6115881616302</v>
      </c>
      <c r="AH168" s="119" t="str">
        <f t="shared" si="31"/>
        <v/>
      </c>
    </row>
    <row r="169" spans="27:34" x14ac:dyDescent="0.25">
      <c r="AA169" s="117">
        <f t="shared" si="32"/>
        <v>3.4234999999999995E-2</v>
      </c>
      <c r="AB169" s="117">
        <f t="shared" si="33"/>
        <v>7.2645000000000001E-2</v>
      </c>
      <c r="AC169" s="117">
        <f t="shared" si="34"/>
        <v>5.7614999999999916E-2</v>
      </c>
      <c r="AD169" s="117">
        <f t="shared" si="35"/>
        <v>0</v>
      </c>
      <c r="AE169" s="116">
        <f t="shared" si="24"/>
        <v>1058.9972817013886</v>
      </c>
      <c r="AF169" s="116">
        <f t="shared" si="25"/>
        <v>1635.0064633509044</v>
      </c>
      <c r="AG169" s="116">
        <f t="shared" si="26"/>
        <v>1882.4216594261923</v>
      </c>
      <c r="AH169" s="119" t="str">
        <f t="shared" si="31"/>
        <v/>
      </c>
    </row>
    <row r="170" spans="27:34" x14ac:dyDescent="0.25">
      <c r="AA170" s="117">
        <f t="shared" si="32"/>
        <v>3.4439999999999991E-2</v>
      </c>
      <c r="AB170" s="117">
        <f t="shared" si="33"/>
        <v>7.3080000000000006E-2</v>
      </c>
      <c r="AC170" s="117">
        <f t="shared" si="34"/>
        <v>5.7959999999999914E-2</v>
      </c>
      <c r="AD170" s="117">
        <f t="shared" si="35"/>
        <v>0</v>
      </c>
      <c r="AE170" s="116">
        <f t="shared" si="24"/>
        <v>1059.7147863620442</v>
      </c>
      <c r="AF170" s="116">
        <f t="shared" si="25"/>
        <v>1635.5502252018628</v>
      </c>
      <c r="AG170" s="116">
        <f t="shared" si="26"/>
        <v>1883.2317301417443</v>
      </c>
      <c r="AH170" s="119" t="str">
        <f t="shared" si="31"/>
        <v/>
      </c>
    </row>
    <row r="171" spans="27:34" x14ac:dyDescent="0.25">
      <c r="AA171" s="117">
        <f t="shared" si="32"/>
        <v>3.4644999999999988E-2</v>
      </c>
      <c r="AB171" s="117">
        <f t="shared" si="33"/>
        <v>7.3515000000000011E-2</v>
      </c>
      <c r="AC171" s="117">
        <f t="shared" si="34"/>
        <v>5.8304999999999912E-2</v>
      </c>
      <c r="AD171" s="117">
        <f t="shared" si="35"/>
        <v>0</v>
      </c>
      <c r="AE171" s="116">
        <f t="shared" si="24"/>
        <v>1060.4322908033148</v>
      </c>
      <c r="AF171" s="116">
        <f t="shared" si="25"/>
        <v>1636.0939865651055</v>
      </c>
      <c r="AG171" s="116">
        <f t="shared" si="26"/>
        <v>1884.0418003380757</v>
      </c>
      <c r="AH171" s="119" t="str">
        <f t="shared" si="31"/>
        <v/>
      </c>
    </row>
    <row r="172" spans="27:34" x14ac:dyDescent="0.25">
      <c r="AA172" s="117">
        <f t="shared" si="32"/>
        <v>3.4849999999999985E-2</v>
      </c>
      <c r="AB172" s="117">
        <f t="shared" si="33"/>
        <v>7.3950000000000016E-2</v>
      </c>
      <c r="AC172" s="117">
        <f t="shared" si="34"/>
        <v>5.8649999999999911E-2</v>
      </c>
      <c r="AD172" s="117">
        <f t="shared" si="35"/>
        <v>0</v>
      </c>
      <c r="AE172" s="116">
        <f t="shared" si="24"/>
        <v>1061.149795036735</v>
      </c>
      <c r="AF172" s="116">
        <f t="shared" si="25"/>
        <v>1636.6377474634146</v>
      </c>
      <c r="AG172" s="116">
        <f t="shared" si="26"/>
        <v>1884.8518700431973</v>
      </c>
      <c r="AH172" s="119" t="str">
        <f t="shared" si="31"/>
        <v/>
      </c>
    </row>
    <row r="173" spans="27:34" x14ac:dyDescent="0.25">
      <c r="AA173" s="117">
        <f t="shared" si="32"/>
        <v>3.5054999999999982E-2</v>
      </c>
      <c r="AB173" s="117">
        <f t="shared" si="33"/>
        <v>7.4385000000000021E-2</v>
      </c>
      <c r="AC173" s="117">
        <f t="shared" si="34"/>
        <v>5.8994999999999909E-2</v>
      </c>
      <c r="AD173" s="117">
        <f t="shared" si="35"/>
        <v>0</v>
      </c>
      <c r="AE173" s="116">
        <f t="shared" si="24"/>
        <v>1061.8672990731695</v>
      </c>
      <c r="AF173" s="116">
        <f t="shared" si="25"/>
        <v>1637.1815079183821</v>
      </c>
      <c r="AG173" s="116">
        <f t="shared" si="26"/>
        <v>1885.6619392834582</v>
      </c>
      <c r="AH173" s="119" t="str">
        <f t="shared" si="31"/>
        <v/>
      </c>
    </row>
    <row r="174" spans="27:34" x14ac:dyDescent="0.25">
      <c r="AA174" s="117">
        <f t="shared" si="32"/>
        <v>3.5259999999999979E-2</v>
      </c>
      <c r="AB174" s="117">
        <f t="shared" si="33"/>
        <v>7.4820000000000025E-2</v>
      </c>
      <c r="AC174" s="117">
        <f t="shared" si="34"/>
        <v>5.9339999999999907E-2</v>
      </c>
      <c r="AD174" s="117">
        <f t="shared" si="35"/>
        <v>0</v>
      </c>
      <c r="AE174" s="116">
        <f t="shared" si="24"/>
        <v>1062.5848029228569</v>
      </c>
      <c r="AF174" s="116">
        <f t="shared" si="25"/>
        <v>1637.7252679504784</v>
      </c>
      <c r="AG174" s="116">
        <f t="shared" si="26"/>
        <v>1886.4720080836478</v>
      </c>
      <c r="AH174" s="119" t="str">
        <f t="shared" si="31"/>
        <v/>
      </c>
    </row>
    <row r="175" spans="27:34" x14ac:dyDescent="0.25">
      <c r="AA175" s="117">
        <f t="shared" si="32"/>
        <v>3.5464999999999976E-2</v>
      </c>
      <c r="AB175" s="117">
        <f t="shared" si="33"/>
        <v>7.525500000000003E-2</v>
      </c>
      <c r="AC175" s="117">
        <f t="shared" si="34"/>
        <v>5.9684999999999905E-2</v>
      </c>
      <c r="AD175" s="117">
        <f t="shared" si="35"/>
        <v>0</v>
      </c>
      <c r="AE175" s="116">
        <f t="shared" si="24"/>
        <v>1063.302306595449</v>
      </c>
      <c r="AF175" s="116">
        <f t="shared" si="25"/>
        <v>1638.2690275791203</v>
      </c>
      <c r="AG175" s="116">
        <f t="shared" si="26"/>
        <v>1887.2820764671044</v>
      </c>
      <c r="AH175" s="119" t="str">
        <f t="shared" si="31"/>
        <v/>
      </c>
    </row>
    <row r="176" spans="27:34" x14ac:dyDescent="0.25">
      <c r="AA176" s="117">
        <f t="shared" si="32"/>
        <v>3.5669999999999973E-2</v>
      </c>
      <c r="AB176" s="117">
        <f t="shared" si="33"/>
        <v>7.5690000000000035E-2</v>
      </c>
      <c r="AC176" s="117">
        <f t="shared" si="34"/>
        <v>6.0029999999999903E-2</v>
      </c>
      <c r="AD176" s="117">
        <f t="shared" si="35"/>
        <v>0</v>
      </c>
      <c r="AE176" s="116">
        <f t="shared" si="24"/>
        <v>1064.0198101000458</v>
      </c>
      <c r="AF176" s="116">
        <f t="shared" si="25"/>
        <v>1638.8127868227245</v>
      </c>
      <c r="AG176" s="116">
        <f t="shared" si="26"/>
        <v>1888.0921444558019</v>
      </c>
      <c r="AH176" s="119" t="str">
        <f t="shared" si="31"/>
        <v/>
      </c>
    </row>
    <row r="177" spans="27:34" x14ac:dyDescent="0.25">
      <c r="AA177" s="117">
        <f t="shared" si="32"/>
        <v>3.5874999999999969E-2</v>
      </c>
      <c r="AB177" s="117">
        <f t="shared" si="33"/>
        <v>7.612500000000004E-2</v>
      </c>
      <c r="AC177" s="117">
        <f t="shared" si="34"/>
        <v>6.0374999999999901E-2</v>
      </c>
      <c r="AD177" s="117">
        <f t="shared" si="35"/>
        <v>0</v>
      </c>
      <c r="AE177" s="116">
        <f t="shared" si="24"/>
        <v>1064.737313445233</v>
      </c>
      <c r="AF177" s="116">
        <f t="shared" si="25"/>
        <v>1639.3565456987706</v>
      </c>
      <c r="AG177" s="116">
        <f t="shared" si="26"/>
        <v>1888.9022120704396</v>
      </c>
      <c r="AH177" s="119" t="str">
        <f t="shared" si="31"/>
        <v/>
      </c>
    </row>
    <row r="178" spans="27:34" x14ac:dyDescent="0.25">
      <c r="AA178" s="117">
        <f t="shared" si="32"/>
        <v>3.6079999999999966E-2</v>
      </c>
      <c r="AB178" s="117">
        <f t="shared" si="33"/>
        <v>7.6560000000000045E-2</v>
      </c>
      <c r="AC178" s="117">
        <f t="shared" si="34"/>
        <v>6.0719999999999899E-2</v>
      </c>
      <c r="AD178" s="117">
        <f t="shared" si="35"/>
        <v>0</v>
      </c>
      <c r="AE178" s="116">
        <f t="shared" si="24"/>
        <v>1065.45481663911</v>
      </c>
      <c r="AF178" s="116">
        <f t="shared" si="25"/>
        <v>1639.9003042238494</v>
      </c>
      <c r="AG178" s="116">
        <f t="shared" si="26"/>
        <v>1889.7122793305218</v>
      </c>
      <c r="AH178" s="119" t="str">
        <f t="shared" si="31"/>
        <v/>
      </c>
    </row>
    <row r="179" spans="27:34" x14ac:dyDescent="0.25">
      <c r="AA179" s="117">
        <f t="shared" si="32"/>
        <v>3.6284999999999963E-2</v>
      </c>
      <c r="AB179" s="117">
        <f t="shared" si="33"/>
        <v>7.699500000000005E-2</v>
      </c>
      <c r="AC179" s="117">
        <f t="shared" si="34"/>
        <v>6.1064999999999897E-2</v>
      </c>
      <c r="AD179" s="117">
        <f t="shared" si="35"/>
        <v>0</v>
      </c>
      <c r="AE179" s="116">
        <f t="shared" si="24"/>
        <v>1066.1723196893238</v>
      </c>
      <c r="AF179" s="116">
        <f t="shared" si="25"/>
        <v>1640.4440624137185</v>
      </c>
      <c r="AG179" s="116">
        <f t="shared" si="26"/>
        <v>1890.522346254432</v>
      </c>
      <c r="AH179" s="119" t="str">
        <f t="shared" si="31"/>
        <v/>
      </c>
    </row>
    <row r="180" spans="27:34" x14ac:dyDescent="0.25">
      <c r="AA180" s="117">
        <f t="shared" si="32"/>
        <v>3.648999999999996E-2</v>
      </c>
      <c r="AB180" s="117">
        <f t="shared" si="33"/>
        <v>7.7430000000000054E-2</v>
      </c>
      <c r="AC180" s="117">
        <f t="shared" si="34"/>
        <v>6.1409999999999895E-2</v>
      </c>
      <c r="AD180" s="117">
        <f t="shared" si="35"/>
        <v>0</v>
      </c>
      <c r="AE180" s="116">
        <f t="shared" si="24"/>
        <v>1066.8898226030933</v>
      </c>
      <c r="AF180" s="116">
        <f t="shared" si="25"/>
        <v>1640.9878202833393</v>
      </c>
      <c r="AG180" s="116">
        <f t="shared" si="26"/>
        <v>1891.3324128595063</v>
      </c>
      <c r="AH180" s="119" t="str">
        <f t="shared" si="31"/>
        <v/>
      </c>
    </row>
    <row r="181" spans="27:34" x14ac:dyDescent="0.25">
      <c r="AA181" s="117">
        <f t="shared" si="32"/>
        <v>3.6694999999999957E-2</v>
      </c>
      <c r="AB181" s="117">
        <f t="shared" si="33"/>
        <v>7.7865000000000059E-2</v>
      </c>
      <c r="AC181" s="117">
        <f t="shared" si="34"/>
        <v>6.1754999999999893E-2</v>
      </c>
      <c r="AD181" s="117">
        <f t="shared" si="35"/>
        <v>0</v>
      </c>
      <c r="AE181" s="116">
        <f t="shared" si="24"/>
        <v>1067.6073253872387</v>
      </c>
      <c r="AF181" s="116">
        <f t="shared" si="25"/>
        <v>1641.5315778469301</v>
      </c>
      <c r="AG181" s="116">
        <f t="shared" si="26"/>
        <v>1892.142479162095</v>
      </c>
      <c r="AH181" s="119" t="str">
        <f t="shared" si="31"/>
        <v/>
      </c>
    </row>
    <row r="182" spans="27:34" x14ac:dyDescent="0.25">
      <c r="AA182" s="117">
        <f t="shared" si="32"/>
        <v>3.6899999999999954E-2</v>
      </c>
      <c r="AB182" s="117">
        <f t="shared" si="33"/>
        <v>7.8300000000000064E-2</v>
      </c>
      <c r="AC182" s="117">
        <f t="shared" si="34"/>
        <v>6.2099999999999891E-2</v>
      </c>
      <c r="AD182" s="117">
        <f t="shared" si="35"/>
        <v>0</v>
      </c>
      <c r="AE182" s="116">
        <f t="shared" si="24"/>
        <v>1068.3248280482035</v>
      </c>
      <c r="AF182" s="116">
        <f t="shared" si="25"/>
        <v>1642.0753351180026</v>
      </c>
      <c r="AG182" s="116">
        <f t="shared" si="26"/>
        <v>1892.9525451776278</v>
      </c>
      <c r="AH182" s="119" t="str">
        <f t="shared" si="31"/>
        <v/>
      </c>
    </row>
    <row r="183" spans="27:34" x14ac:dyDescent="0.25">
      <c r="AA183" s="117">
        <f t="shared" si="32"/>
        <v>3.7104999999999951E-2</v>
      </c>
      <c r="AB183" s="117">
        <f t="shared" si="33"/>
        <v>7.8735000000000069E-2</v>
      </c>
      <c r="AC183" s="117">
        <f t="shared" si="34"/>
        <v>6.2444999999999889E-2</v>
      </c>
      <c r="AD183" s="117">
        <f t="shared" si="35"/>
        <v>0</v>
      </c>
      <c r="AE183" s="116">
        <f t="shared" si="24"/>
        <v>1069.0423305920742</v>
      </c>
      <c r="AF183" s="116">
        <f t="shared" si="25"/>
        <v>1642.6190921094019</v>
      </c>
      <c r="AG183" s="116">
        <f t="shared" si="26"/>
        <v>1893.7626109206642</v>
      </c>
      <c r="AH183" s="119" t="str">
        <f t="shared" si="31"/>
        <v/>
      </c>
    </row>
    <row r="184" spans="27:34" x14ac:dyDescent="0.25">
      <c r="AA184" s="117">
        <f t="shared" si="32"/>
        <v>3.7309999999999947E-2</v>
      </c>
      <c r="AB184" s="117">
        <f t="shared" si="33"/>
        <v>7.9170000000000074E-2</v>
      </c>
      <c r="AC184" s="117">
        <f t="shared" si="34"/>
        <v>6.2789999999999888E-2</v>
      </c>
      <c r="AD184" s="117">
        <f t="shared" si="35"/>
        <v>0</v>
      </c>
      <c r="AE184" s="116">
        <f t="shared" si="24"/>
        <v>1069.7598330246115</v>
      </c>
      <c r="AF184" s="116">
        <f t="shared" si="25"/>
        <v>1643.1628488333422</v>
      </c>
      <c r="AG184" s="116">
        <f t="shared" si="26"/>
        <v>1894.572676404953</v>
      </c>
      <c r="AH184" s="119" t="str">
        <f t="shared" si="31"/>
        <v/>
      </c>
    </row>
    <row r="185" spans="27:34" x14ac:dyDescent="0.25">
      <c r="AA185" s="117">
        <f t="shared" si="32"/>
        <v>3.7514999999999944E-2</v>
      </c>
      <c r="AB185" s="117">
        <f t="shared" si="33"/>
        <v>7.9605000000000078E-2</v>
      </c>
      <c r="AC185" s="117">
        <f t="shared" si="34"/>
        <v>6.3134999999999886E-2</v>
      </c>
      <c r="AD185" s="117">
        <f t="shared" si="35"/>
        <v>0</v>
      </c>
      <c r="AE185" s="116">
        <f t="shared" si="24"/>
        <v>1070.4773353512583</v>
      </c>
      <c r="AF185" s="116">
        <f t="shared" si="25"/>
        <v>1643.7066053014412</v>
      </c>
      <c r="AG185" s="116">
        <f t="shared" si="26"/>
        <v>1895.3827416434785</v>
      </c>
      <c r="AH185" s="119" t="str">
        <f t="shared" si="31"/>
        <v/>
      </c>
    </row>
    <row r="186" spans="27:34" x14ac:dyDescent="0.25">
      <c r="AA186" s="117">
        <f t="shared" si="32"/>
        <v>3.7719999999999941E-2</v>
      </c>
      <c r="AB186" s="117">
        <f t="shared" si="33"/>
        <v>8.0040000000000083E-2</v>
      </c>
      <c r="AC186" s="117">
        <f t="shared" si="34"/>
        <v>6.3479999999999884E-2</v>
      </c>
      <c r="AD186" s="117">
        <f t="shared" si="35"/>
        <v>0</v>
      </c>
      <c r="AE186" s="116">
        <f t="shared" si="24"/>
        <v>1071.194837577166</v>
      </c>
      <c r="AF186" s="116">
        <f t="shared" si="25"/>
        <v>1644.2503615247524</v>
      </c>
      <c r="AG186" s="116">
        <f t="shared" si="26"/>
        <v>1896.1928066485073</v>
      </c>
      <c r="AH186" s="119" t="str">
        <f t="shared" si="31"/>
        <v/>
      </c>
    </row>
    <row r="187" spans="27:34" x14ac:dyDescent="0.25">
      <c r="AA187" s="117">
        <f t="shared" si="32"/>
        <v>3.7924999999999938E-2</v>
      </c>
      <c r="AB187" s="117">
        <f t="shared" si="33"/>
        <v>8.0475000000000088E-2</v>
      </c>
      <c r="AC187" s="117">
        <f t="shared" si="34"/>
        <v>6.3824999999999882E-2</v>
      </c>
      <c r="AD187" s="117">
        <f t="shared" si="35"/>
        <v>0</v>
      </c>
      <c r="AE187" s="116">
        <f t="shared" si="24"/>
        <v>1071.9123397072087</v>
      </c>
      <c r="AF187" s="116">
        <f t="shared" si="25"/>
        <v>1644.7941175137967</v>
      </c>
      <c r="AG187" s="116">
        <f t="shared" si="26"/>
        <v>1897.0028714316334</v>
      </c>
      <c r="AH187" s="119" t="str">
        <f t="shared" si="31"/>
        <v/>
      </c>
    </row>
    <row r="188" spans="27:34" x14ac:dyDescent="0.25">
      <c r="AA188" s="117">
        <f t="shared" si="32"/>
        <v>3.8129999999999935E-2</v>
      </c>
      <c r="AB188" s="117">
        <f t="shared" si="33"/>
        <v>8.0910000000000093E-2</v>
      </c>
      <c r="AC188" s="117">
        <f t="shared" si="34"/>
        <v>6.416999999999988E-2</v>
      </c>
      <c r="AD188" s="117">
        <f t="shared" si="35"/>
        <v>0</v>
      </c>
      <c r="AE188" s="116">
        <f t="shared" si="24"/>
        <v>1072.6298417459996</v>
      </c>
      <c r="AF188" s="116">
        <f t="shared" si="25"/>
        <v>1645.337873278587</v>
      </c>
      <c r="AG188" s="116">
        <f t="shared" si="26"/>
        <v>1897.8129360038165</v>
      </c>
      <c r="AH188" s="119" t="str">
        <f t="shared" si="31"/>
        <v/>
      </c>
    </row>
    <row r="189" spans="27:34" x14ac:dyDescent="0.25">
      <c r="AA189" s="117">
        <f t="shared" si="32"/>
        <v>3.8334999999999932E-2</v>
      </c>
      <c r="AB189" s="117">
        <f t="shared" si="33"/>
        <v>8.1345000000000098E-2</v>
      </c>
      <c r="AC189" s="117">
        <f t="shared" si="34"/>
        <v>6.4514999999999878E-2</v>
      </c>
      <c r="AD189" s="117">
        <f t="shared" si="35"/>
        <v>0</v>
      </c>
      <c r="AE189" s="116">
        <f t="shared" si="24"/>
        <v>1073.3473436979086</v>
      </c>
      <c r="AF189" s="116">
        <f t="shared" si="25"/>
        <v>1645.8816288286598</v>
      </c>
      <c r="AG189" s="116">
        <f t="shared" si="26"/>
        <v>1898.6230003754165</v>
      </c>
      <c r="AH189" s="119" t="str">
        <f t="shared" si="31"/>
        <v/>
      </c>
    </row>
    <row r="190" spans="27:34" x14ac:dyDescent="0.25">
      <c r="AA190" s="117">
        <f t="shared" si="32"/>
        <v>3.8539999999999928E-2</v>
      </c>
      <c r="AB190" s="117">
        <f t="shared" si="33"/>
        <v>8.1780000000000103E-2</v>
      </c>
      <c r="AC190" s="117">
        <f t="shared" si="34"/>
        <v>6.4859999999999876E-2</v>
      </c>
      <c r="AD190" s="117">
        <f t="shared" si="35"/>
        <v>0</v>
      </c>
      <c r="AE190" s="116">
        <f t="shared" si="24"/>
        <v>1074.0648455670721</v>
      </c>
      <c r="AF190" s="116">
        <f t="shared" si="25"/>
        <v>1646.425384173097</v>
      </c>
      <c r="AG190" s="116">
        <f t="shared" si="26"/>
        <v>1899.4330645562386</v>
      </c>
      <c r="AH190" s="119" t="str">
        <f t="shared" si="31"/>
        <v/>
      </c>
    </row>
    <row r="191" spans="27:34" x14ac:dyDescent="0.25">
      <c r="AA191" s="117">
        <f t="shared" si="32"/>
        <v>3.8744999999999925E-2</v>
      </c>
      <c r="AB191" s="117">
        <f t="shared" si="33"/>
        <v>8.2215000000000107E-2</v>
      </c>
      <c r="AC191" s="117">
        <f t="shared" si="34"/>
        <v>6.5204999999999874E-2</v>
      </c>
      <c r="AD191" s="117">
        <f t="shared" si="35"/>
        <v>0</v>
      </c>
      <c r="AE191" s="116">
        <f t="shared" si="24"/>
        <v>1074.7823473574108</v>
      </c>
      <c r="AF191" s="116">
        <f t="shared" si="25"/>
        <v>1646.9691393205514</v>
      </c>
      <c r="AG191" s="116">
        <f t="shared" si="26"/>
        <v>1900.2431285555563</v>
      </c>
      <c r="AH191" s="119" t="str">
        <f t="shared" si="31"/>
        <v/>
      </c>
    </row>
    <row r="192" spans="27:34" x14ac:dyDescent="0.25">
      <c r="AA192" s="117">
        <f t="shared" si="32"/>
        <v>3.8949999999999922E-2</v>
      </c>
      <c r="AB192" s="117">
        <f t="shared" si="33"/>
        <v>8.2650000000000112E-2</v>
      </c>
      <c r="AC192" s="117">
        <f t="shared" si="34"/>
        <v>6.5549999999999872E-2</v>
      </c>
      <c r="AD192" s="117">
        <f t="shared" si="35"/>
        <v>0</v>
      </c>
      <c r="AE192" s="116">
        <f t="shared" si="24"/>
        <v>1075.49984907264</v>
      </c>
      <c r="AF192" s="116">
        <f t="shared" si="25"/>
        <v>1647.5128942792674</v>
      </c>
      <c r="AG192" s="116">
        <f t="shared" si="26"/>
        <v>1901.0531923821475</v>
      </c>
      <c r="AH192" s="119" t="str">
        <f t="shared" si="31"/>
        <v/>
      </c>
    </row>
    <row r="193" spans="27:34" x14ac:dyDescent="0.25">
      <c r="AA193" s="117">
        <f t="shared" si="32"/>
        <v>3.9154999999999919E-2</v>
      </c>
      <c r="AB193" s="117">
        <f t="shared" si="33"/>
        <v>8.3085000000000117E-2</v>
      </c>
      <c r="AC193" s="117">
        <f t="shared" si="34"/>
        <v>6.589499999999987E-2</v>
      </c>
      <c r="AD193" s="117">
        <f t="shared" si="35"/>
        <v>0</v>
      </c>
      <c r="AE193" s="116">
        <f t="shared" si="24"/>
        <v>1076.2173507162822</v>
      </c>
      <c r="AF193" s="116">
        <f t="shared" si="25"/>
        <v>1648.0566490571068</v>
      </c>
      <c r="AG193" s="116">
        <f t="shared" si="26"/>
        <v>1901.8632560443248</v>
      </c>
      <c r="AH193" s="119" t="str">
        <f t="shared" si="31"/>
        <v/>
      </c>
    </row>
    <row r="194" spans="27:34" x14ac:dyDescent="0.25">
      <c r="AA194" s="117">
        <f t="shared" si="32"/>
        <v>3.9359999999999916E-2</v>
      </c>
      <c r="AB194" s="117">
        <f t="shared" si="33"/>
        <v>8.3520000000000122E-2</v>
      </c>
      <c r="AC194" s="117">
        <f t="shared" si="34"/>
        <v>6.6239999999999868E-2</v>
      </c>
      <c r="AD194" s="117">
        <f t="shared" si="35"/>
        <v>0</v>
      </c>
      <c r="AE194" s="116">
        <f t="shared" ref="AE194:AE202" si="36">B$3 * AA194 * (B$9 + (1-B$9)/(POWER(1+POWER(B$3*ABS(AA194)/(B$8*B$4), B$7), 1/B$7)))</f>
        <v>1076.9348522916755</v>
      </c>
      <c r="AF194" s="116">
        <f t="shared" ref="AF194:AF202" si="37">C$3 * AB194 * (C$9 + (1-C$9)/(POWER(1+POWER(C$3*ABS(AB194)/(C$8*C$4), C$7), 1/C$7)))</f>
        <v>1648.6004036615609</v>
      </c>
      <c r="AG194" s="116">
        <f t="shared" ref="AG194:AG202" si="38">D$3 * AC194 * (D$9 + (1-D$9)/(POWER(1+POWER(D$3*ABS(AC194)/(D$8*D$4), D$7), 1/D$7)))</f>
        <v>1902.6733195499576</v>
      </c>
      <c r="AH194" s="119" t="str">
        <f t="shared" si="31"/>
        <v/>
      </c>
    </row>
    <row r="195" spans="27:34" x14ac:dyDescent="0.25">
      <c r="AA195" s="117">
        <f t="shared" ref="AA195:AA202" si="39">AA194+B$6/200</f>
        <v>3.9564999999999913E-2</v>
      </c>
      <c r="AB195" s="117">
        <f t="shared" ref="AB195:AB202" si="40">AB194+C$6/200</f>
        <v>8.3955000000000127E-2</v>
      </c>
      <c r="AC195" s="117">
        <f t="shared" ref="AC195:AC202" si="41">AC194+D$6/200</f>
        <v>6.6584999999999867E-2</v>
      </c>
      <c r="AD195" s="117">
        <f t="shared" ref="AD195:AD202" si="42">AD194+E$6/200</f>
        <v>0</v>
      </c>
      <c r="AE195" s="116">
        <f t="shared" si="36"/>
        <v>1077.6523538019881</v>
      </c>
      <c r="AF195" s="116">
        <f t="shared" si="37"/>
        <v>1649.1441580997782</v>
      </c>
      <c r="AG195" s="116">
        <f t="shared" si="38"/>
        <v>1903.4833829065001</v>
      </c>
      <c r="AH195" s="119" t="str">
        <f t="shared" ref="AH195:AH202" si="43">IF(AND(NOT(ISBLANK($E$3)), NOT(ISBLANK($E$4)), NOT(ISBLANK($E$5)), NOT(ISBLANK($E$6)), NOT(ISBLANK($E$7)), NOT(ISBLANK($E$8)), NOT(ISBLANK($E$9))), $E$3 * AD195 * ($E$9 + (1-$E$9)/(POWER(1+POWER($E$3*ABS(AD195)/($E$8*$E$4), $E$7), 1/$E$7))), "")</f>
        <v/>
      </c>
    </row>
    <row r="196" spans="27:34" x14ac:dyDescent="0.25">
      <c r="AA196" s="117">
        <f t="shared" si="39"/>
        <v>3.976999999999991E-2</v>
      </c>
      <c r="AB196" s="117">
        <f t="shared" si="40"/>
        <v>8.4390000000000132E-2</v>
      </c>
      <c r="AC196" s="117">
        <f t="shared" si="41"/>
        <v>6.6929999999999865E-2</v>
      </c>
      <c r="AD196" s="117">
        <f t="shared" si="42"/>
        <v>0</v>
      </c>
      <c r="AE196" s="116">
        <f t="shared" si="36"/>
        <v>1078.3698552502246</v>
      </c>
      <c r="AF196" s="116">
        <f t="shared" si="37"/>
        <v>1649.6879123785736</v>
      </c>
      <c r="AG196" s="116">
        <f t="shared" si="38"/>
        <v>1904.2934461210186</v>
      </c>
      <c r="AH196" s="119" t="str">
        <f t="shared" si="43"/>
        <v/>
      </c>
    </row>
    <row r="197" spans="27:34" x14ac:dyDescent="0.25">
      <c r="AA197" s="117">
        <f t="shared" si="39"/>
        <v>3.9974999999999906E-2</v>
      </c>
      <c r="AB197" s="117">
        <f t="shared" si="40"/>
        <v>8.4825000000000136E-2</v>
      </c>
      <c r="AC197" s="117">
        <f t="shared" si="41"/>
        <v>6.7274999999999863E-2</v>
      </c>
      <c r="AD197" s="117">
        <f t="shared" si="42"/>
        <v>0</v>
      </c>
      <c r="AE197" s="116">
        <f t="shared" si="36"/>
        <v>1079.0873566392372</v>
      </c>
      <c r="AF197" s="116">
        <f t="shared" si="37"/>
        <v>1650.2316665044527</v>
      </c>
      <c r="AG197" s="116">
        <f t="shared" si="38"/>
        <v>1905.1035092002064</v>
      </c>
      <c r="AH197" s="119" t="str">
        <f t="shared" si="43"/>
        <v/>
      </c>
    </row>
    <row r="198" spans="27:34" x14ac:dyDescent="0.25">
      <c r="AA198" s="117">
        <f t="shared" si="39"/>
        <v>4.0179999999999903E-2</v>
      </c>
      <c r="AB198" s="117">
        <f t="shared" si="40"/>
        <v>8.5260000000000141E-2</v>
      </c>
      <c r="AC198" s="117">
        <f t="shared" si="41"/>
        <v>6.7619999999999861E-2</v>
      </c>
      <c r="AD198" s="117">
        <f t="shared" si="42"/>
        <v>0</v>
      </c>
      <c r="AE198" s="116">
        <f t="shared" si="36"/>
        <v>1079.8048579717326</v>
      </c>
      <c r="AF198" s="116">
        <f t="shared" si="37"/>
        <v>1650.7754204836237</v>
      </c>
      <c r="AG198" s="116">
        <f t="shared" si="38"/>
        <v>1905.9135721504142</v>
      </c>
      <c r="AH198" s="119" t="str">
        <f t="shared" si="43"/>
        <v/>
      </c>
    </row>
    <row r="199" spans="27:34" x14ac:dyDescent="0.25">
      <c r="AA199" s="117">
        <f t="shared" si="39"/>
        <v>4.03849999999999E-2</v>
      </c>
      <c r="AB199" s="117">
        <f t="shared" si="40"/>
        <v>8.5695000000000146E-2</v>
      </c>
      <c r="AC199" s="117">
        <f t="shared" si="41"/>
        <v>6.7964999999999859E-2</v>
      </c>
      <c r="AD199" s="117">
        <f t="shared" si="42"/>
        <v>0</v>
      </c>
      <c r="AE199" s="116">
        <f t="shared" si="36"/>
        <v>1080.5223592502828</v>
      </c>
      <c r="AF199" s="116">
        <f t="shared" si="37"/>
        <v>1651.3191743220113</v>
      </c>
      <c r="AG199" s="116">
        <f t="shared" si="38"/>
        <v>1906.7236349776604</v>
      </c>
      <c r="AH199" s="119" t="str">
        <f t="shared" si="43"/>
        <v/>
      </c>
    </row>
    <row r="200" spans="27:34" x14ac:dyDescent="0.25">
      <c r="AA200" s="117">
        <f t="shared" si="39"/>
        <v>4.0589999999999897E-2</v>
      </c>
      <c r="AB200" s="117">
        <f t="shared" si="40"/>
        <v>8.6130000000000151E-2</v>
      </c>
      <c r="AC200" s="117">
        <f t="shared" si="41"/>
        <v>6.8309999999999857E-2</v>
      </c>
      <c r="AD200" s="117">
        <f t="shared" si="42"/>
        <v>0</v>
      </c>
      <c r="AE200" s="116">
        <f t="shared" si="36"/>
        <v>1081.2398604773271</v>
      </c>
      <c r="AF200" s="116">
        <f t="shared" si="37"/>
        <v>1651.8629280252728</v>
      </c>
      <c r="AG200" s="116">
        <f t="shared" si="38"/>
        <v>1907.5336976876556</v>
      </c>
      <c r="AH200" s="119" t="str">
        <f t="shared" si="43"/>
        <v/>
      </c>
    </row>
    <row r="201" spans="27:34" x14ac:dyDescent="0.25">
      <c r="AA201" s="117">
        <f t="shared" si="39"/>
        <v>4.0794999999999894E-2</v>
      </c>
      <c r="AB201" s="117">
        <f t="shared" si="40"/>
        <v>8.6565000000000156E-2</v>
      </c>
      <c r="AC201" s="117">
        <f t="shared" si="41"/>
        <v>6.8654999999999855E-2</v>
      </c>
      <c r="AD201" s="117">
        <f t="shared" si="42"/>
        <v>0</v>
      </c>
      <c r="AE201" s="116">
        <f t="shared" si="36"/>
        <v>1081.957361655187</v>
      </c>
      <c r="AF201" s="116">
        <f t="shared" si="37"/>
        <v>1652.4066815988133</v>
      </c>
      <c r="AG201" s="116">
        <f t="shared" si="38"/>
        <v>1908.343760285818</v>
      </c>
      <c r="AH201" s="119" t="str">
        <f t="shared" si="43"/>
        <v/>
      </c>
    </row>
    <row r="202" spans="27:34" x14ac:dyDescent="0.25">
      <c r="AA202" s="117">
        <f t="shared" si="39"/>
        <v>4.0999999999999891E-2</v>
      </c>
      <c r="AB202" s="117">
        <f t="shared" si="40"/>
        <v>8.7000000000000161E-2</v>
      </c>
      <c r="AC202" s="117">
        <f t="shared" si="41"/>
        <v>6.8999999999999853E-2</v>
      </c>
      <c r="AD202" s="117">
        <f t="shared" si="42"/>
        <v>0</v>
      </c>
      <c r="AE202" s="116">
        <f t="shared" si="36"/>
        <v>1082.6748627860654</v>
      </c>
      <c r="AF202" s="116">
        <f t="shared" si="37"/>
        <v>1652.9504350477941</v>
      </c>
      <c r="AG202" s="116">
        <f t="shared" si="38"/>
        <v>1909.1538227772901</v>
      </c>
      <c r="AH202" s="119" t="str">
        <f t="shared" si="43"/>
        <v/>
      </c>
    </row>
  </sheetData>
  <mergeCells count="1">
    <mergeCell ref="A1:E1"/>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4593F-8754-4154-9A6D-43EF4E56B869}">
  <sheetPr codeName="Hoja6">
    <tabColor rgb="FF92D050"/>
  </sheetPr>
  <dimension ref="A1:T4587"/>
  <sheetViews>
    <sheetView showGridLines="0" zoomScaleNormal="100" workbookViewId="0">
      <selection activeCell="F4" sqref="F4"/>
    </sheetView>
  </sheetViews>
  <sheetFormatPr defaultColWidth="10.85546875" defaultRowHeight="15" x14ac:dyDescent="0.25"/>
  <cols>
    <col min="3" max="4" width="10.85546875" style="139"/>
    <col min="9" max="10" width="12.85546875" style="226" customWidth="1"/>
    <col min="11" max="11" width="12" style="226" customWidth="1"/>
    <col min="12" max="12" width="26.140625" style="146" hidden="1" customWidth="1"/>
    <col min="15" max="15" width="10.85546875" style="230" customWidth="1"/>
    <col min="16" max="16" width="10.85546875" style="231" customWidth="1"/>
  </cols>
  <sheetData>
    <row r="1" spans="1:20" ht="18.75" customHeight="1" thickBot="1" x14ac:dyDescent="0.3">
      <c r="A1" s="200" t="s">
        <v>132</v>
      </c>
      <c r="B1" s="200"/>
      <c r="C1" s="200"/>
      <c r="D1" s="200"/>
      <c r="E1" s="200"/>
      <c r="F1" s="200"/>
      <c r="G1" s="144">
        <v>0</v>
      </c>
      <c r="I1" s="146"/>
      <c r="J1" s="147" t="s">
        <v>143</v>
      </c>
      <c r="K1" s="148"/>
      <c r="L1" s="218"/>
      <c r="M1" s="217"/>
      <c r="O1" s="219" t="s">
        <v>147</v>
      </c>
      <c r="P1" s="220"/>
    </row>
    <row r="2" spans="1:20" ht="15" customHeight="1" x14ac:dyDescent="0.25">
      <c r="B2" s="222"/>
      <c r="C2" s="222"/>
      <c r="D2" s="222"/>
      <c r="E2" s="222"/>
      <c r="F2" s="222"/>
      <c r="I2" s="198" t="s">
        <v>142</v>
      </c>
      <c r="J2" s="198" t="s">
        <v>133</v>
      </c>
      <c r="K2" s="198" t="s">
        <v>134</v>
      </c>
      <c r="L2" s="198" t="s">
        <v>146</v>
      </c>
      <c r="M2" s="221"/>
      <c r="N2" s="221"/>
      <c r="O2" s="198" t="s">
        <v>135</v>
      </c>
      <c r="P2" s="198" t="s">
        <v>136</v>
      </c>
      <c r="Q2" s="233" t="s">
        <v>148</v>
      </c>
      <c r="R2" s="234"/>
      <c r="S2" s="234"/>
      <c r="T2" s="234"/>
    </row>
    <row r="3" spans="1:20" ht="15.75" thickBot="1" x14ac:dyDescent="0.3">
      <c r="A3" s="222"/>
      <c r="B3" s="222"/>
      <c r="C3" s="222"/>
      <c r="D3" s="222"/>
      <c r="E3" s="222"/>
      <c r="F3" s="222"/>
      <c r="G3" s="223"/>
      <c r="I3" s="199"/>
      <c r="J3" s="199"/>
      <c r="K3" s="199"/>
      <c r="L3" s="199"/>
      <c r="M3" s="221"/>
      <c r="N3" s="221"/>
      <c r="O3" s="199"/>
      <c r="P3" s="199"/>
      <c r="Q3" s="233"/>
      <c r="R3" s="234"/>
      <c r="S3" s="234"/>
      <c r="T3" s="234"/>
    </row>
    <row r="4" spans="1:20" ht="15" customHeight="1" x14ac:dyDescent="0.25">
      <c r="C4"/>
      <c r="D4"/>
      <c r="I4" s="224"/>
      <c r="J4" s="225"/>
      <c r="K4" s="225"/>
      <c r="L4" s="145" t="s">
        <v>144</v>
      </c>
      <c r="O4" s="227"/>
      <c r="P4" s="228"/>
      <c r="Q4" s="233"/>
      <c r="R4" s="234"/>
      <c r="S4" s="234"/>
      <c r="T4" s="234"/>
    </row>
    <row r="5" spans="1:20" x14ac:dyDescent="0.25">
      <c r="C5"/>
      <c r="D5"/>
      <c r="I5" s="225"/>
      <c r="J5" s="225"/>
      <c r="K5" s="225"/>
      <c r="L5" s="145" t="s">
        <v>144</v>
      </c>
      <c r="O5" s="229"/>
      <c r="P5" s="228"/>
      <c r="Q5" s="233"/>
      <c r="R5" s="234"/>
      <c r="S5" s="234"/>
      <c r="T5" s="234"/>
    </row>
    <row r="6" spans="1:20" x14ac:dyDescent="0.25">
      <c r="C6"/>
      <c r="D6"/>
      <c r="I6" s="225"/>
      <c r="J6" s="225"/>
      <c r="K6" s="225"/>
      <c r="L6" s="145" t="s">
        <v>144</v>
      </c>
      <c r="O6" s="229"/>
      <c r="P6" s="228"/>
      <c r="Q6" s="233"/>
      <c r="R6" s="234"/>
      <c r="S6" s="234"/>
      <c r="T6" s="234"/>
    </row>
    <row r="7" spans="1:20" x14ac:dyDescent="0.25">
      <c r="C7"/>
      <c r="D7"/>
      <c r="I7" s="225"/>
      <c r="J7" s="225"/>
      <c r="K7" s="225"/>
      <c r="L7" s="145" t="s">
        <v>144</v>
      </c>
      <c r="O7" s="229"/>
      <c r="P7" s="228"/>
      <c r="Q7" s="233"/>
      <c r="R7" s="234"/>
      <c r="S7" s="234"/>
      <c r="T7" s="234"/>
    </row>
    <row r="8" spans="1:20" x14ac:dyDescent="0.25">
      <c r="C8"/>
      <c r="D8"/>
      <c r="I8" s="225"/>
      <c r="J8" s="225"/>
      <c r="K8" s="225"/>
      <c r="L8" s="145" t="s">
        <v>144</v>
      </c>
      <c r="O8" s="229"/>
      <c r="P8" s="228"/>
      <c r="Q8" s="233"/>
      <c r="R8" s="234"/>
      <c r="S8" s="234"/>
      <c r="T8" s="234"/>
    </row>
    <row r="9" spans="1:20" x14ac:dyDescent="0.25">
      <c r="C9"/>
      <c r="D9"/>
      <c r="I9" s="225"/>
      <c r="J9" s="225"/>
      <c r="K9" s="225"/>
      <c r="L9" s="145" t="s">
        <v>144</v>
      </c>
      <c r="O9" s="229"/>
      <c r="P9" s="228"/>
      <c r="Q9" s="233"/>
      <c r="R9" s="234"/>
      <c r="S9" s="234"/>
      <c r="T9" s="234"/>
    </row>
    <row r="10" spans="1:20" x14ac:dyDescent="0.25">
      <c r="C10"/>
      <c r="D10"/>
      <c r="I10" s="225"/>
      <c r="J10" s="225"/>
      <c r="K10" s="225"/>
      <c r="L10" s="145" t="s">
        <v>144</v>
      </c>
      <c r="O10" s="229"/>
      <c r="P10" s="228"/>
      <c r="Q10" s="233"/>
      <c r="R10" s="234"/>
      <c r="S10" s="234"/>
      <c r="T10" s="234"/>
    </row>
    <row r="11" spans="1:20" x14ac:dyDescent="0.25">
      <c r="C11"/>
      <c r="D11"/>
      <c r="I11" s="225"/>
      <c r="J11" s="225"/>
      <c r="K11" s="225"/>
      <c r="L11" s="145" t="s">
        <v>144</v>
      </c>
      <c r="O11" s="229"/>
      <c r="P11" s="228"/>
      <c r="Q11" s="233"/>
      <c r="R11" s="234"/>
      <c r="S11" s="234"/>
      <c r="T11" s="234"/>
    </row>
    <row r="12" spans="1:20" x14ac:dyDescent="0.25">
      <c r="C12"/>
      <c r="D12"/>
      <c r="I12" s="225"/>
      <c r="J12" s="225"/>
      <c r="K12" s="225"/>
      <c r="L12" s="145" t="s">
        <v>144</v>
      </c>
      <c r="O12" s="229"/>
      <c r="P12" s="228"/>
      <c r="Q12" s="233"/>
      <c r="R12" s="234"/>
      <c r="S12" s="234"/>
      <c r="T12" s="234"/>
    </row>
    <row r="13" spans="1:20" x14ac:dyDescent="0.25">
      <c r="C13"/>
      <c r="D13"/>
      <c r="I13" s="225"/>
      <c r="J13" s="225"/>
      <c r="K13" s="225"/>
      <c r="L13" s="145" t="s">
        <v>144</v>
      </c>
      <c r="O13" s="229"/>
      <c r="P13" s="228"/>
      <c r="Q13" s="232"/>
      <c r="R13" s="137"/>
      <c r="S13" s="137"/>
    </row>
    <row r="14" spans="1:20" x14ac:dyDescent="0.25">
      <c r="C14"/>
      <c r="D14"/>
      <c r="I14" s="225"/>
      <c r="J14" s="225"/>
      <c r="K14" s="225"/>
      <c r="L14" s="145" t="s">
        <v>144</v>
      </c>
      <c r="O14" s="229"/>
      <c r="P14" s="228"/>
    </row>
    <row r="15" spans="1:20" x14ac:dyDescent="0.25">
      <c r="C15"/>
      <c r="D15"/>
      <c r="I15" s="225"/>
      <c r="J15" s="225"/>
      <c r="K15" s="225"/>
      <c r="L15" s="145" t="s">
        <v>144</v>
      </c>
      <c r="O15" s="229"/>
      <c r="P15" s="228"/>
    </row>
    <row r="16" spans="1:20" x14ac:dyDescent="0.25">
      <c r="C16"/>
      <c r="D16"/>
      <c r="I16" s="225"/>
      <c r="J16" s="225"/>
      <c r="K16" s="225"/>
      <c r="L16" s="145" t="s">
        <v>144</v>
      </c>
      <c r="O16" s="229"/>
      <c r="P16" s="228"/>
    </row>
    <row r="17" spans="3:20" x14ac:dyDescent="0.25">
      <c r="C17"/>
      <c r="D17"/>
      <c r="I17" s="225"/>
      <c r="J17" s="225"/>
      <c r="K17" s="225"/>
      <c r="L17" s="145" t="s">
        <v>144</v>
      </c>
      <c r="O17" s="229"/>
      <c r="P17" s="228"/>
    </row>
    <row r="18" spans="3:20" x14ac:dyDescent="0.25">
      <c r="C18"/>
      <c r="D18"/>
      <c r="I18" s="225"/>
      <c r="J18" s="225"/>
      <c r="K18" s="225"/>
      <c r="L18" s="145" t="s">
        <v>144</v>
      </c>
      <c r="O18" s="229"/>
      <c r="P18" s="228"/>
    </row>
    <row r="19" spans="3:20" x14ac:dyDescent="0.25">
      <c r="C19"/>
      <c r="D19"/>
      <c r="I19" s="225"/>
      <c r="J19" s="225"/>
      <c r="K19" s="225"/>
      <c r="L19" s="145" t="s">
        <v>144</v>
      </c>
      <c r="O19" s="229"/>
      <c r="P19" s="228"/>
    </row>
    <row r="20" spans="3:20" x14ac:dyDescent="0.25">
      <c r="C20"/>
      <c r="D20"/>
      <c r="I20" s="225"/>
      <c r="J20" s="225"/>
      <c r="K20" s="225"/>
      <c r="L20" s="145" t="s">
        <v>144</v>
      </c>
      <c r="O20" s="229"/>
      <c r="P20" s="228"/>
    </row>
    <row r="21" spans="3:20" x14ac:dyDescent="0.25">
      <c r="C21"/>
      <c r="D21"/>
      <c r="I21" s="225"/>
      <c r="J21" s="225"/>
      <c r="K21" s="225"/>
      <c r="L21" s="145" t="s">
        <v>144</v>
      </c>
      <c r="O21" s="229"/>
      <c r="P21" s="228"/>
    </row>
    <row r="22" spans="3:20" x14ac:dyDescent="0.25">
      <c r="C22"/>
      <c r="D22"/>
      <c r="I22" s="225"/>
      <c r="J22" s="225"/>
      <c r="K22" s="225"/>
      <c r="L22" s="145" t="s">
        <v>144</v>
      </c>
      <c r="O22" s="229"/>
      <c r="P22" s="228"/>
    </row>
    <row r="23" spans="3:20" x14ac:dyDescent="0.25">
      <c r="C23"/>
      <c r="D23"/>
      <c r="I23" s="225"/>
      <c r="J23" s="225"/>
      <c r="K23" s="225"/>
      <c r="L23" s="145" t="s">
        <v>144</v>
      </c>
      <c r="O23" s="229"/>
      <c r="P23" s="228"/>
    </row>
    <row r="24" spans="3:20" x14ac:dyDescent="0.25">
      <c r="C24"/>
      <c r="D24"/>
      <c r="I24" s="225"/>
      <c r="J24" s="225"/>
      <c r="K24" s="225"/>
      <c r="L24" s="145" t="s">
        <v>144</v>
      </c>
      <c r="O24" s="229"/>
      <c r="P24" s="228"/>
    </row>
    <row r="25" spans="3:20" x14ac:dyDescent="0.25">
      <c r="C25"/>
      <c r="D25"/>
      <c r="I25" s="225"/>
      <c r="J25" s="225"/>
      <c r="K25" s="225"/>
      <c r="L25" s="145" t="s">
        <v>144</v>
      </c>
      <c r="O25" s="229"/>
      <c r="P25" s="228"/>
      <c r="T25" s="138">
        <v>10</v>
      </c>
    </row>
    <row r="26" spans="3:20" x14ac:dyDescent="0.25">
      <c r="C26"/>
      <c r="D26"/>
      <c r="I26" s="225"/>
      <c r="J26" s="225"/>
      <c r="K26" s="225"/>
      <c r="L26" s="145" t="s">
        <v>144</v>
      </c>
      <c r="O26" s="229"/>
      <c r="P26" s="228"/>
    </row>
    <row r="27" spans="3:20" x14ac:dyDescent="0.25">
      <c r="C27"/>
      <c r="D27"/>
      <c r="I27" s="225"/>
      <c r="J27" s="225"/>
      <c r="K27" s="225"/>
      <c r="L27" s="145" t="s">
        <v>144</v>
      </c>
      <c r="O27" s="229"/>
      <c r="P27" s="228"/>
    </row>
    <row r="28" spans="3:20" x14ac:dyDescent="0.25">
      <c r="C28"/>
      <c r="D28"/>
      <c r="I28" s="225"/>
      <c r="J28" s="225"/>
      <c r="K28" s="225"/>
      <c r="L28" s="145" t="s">
        <v>144</v>
      </c>
      <c r="O28" s="229"/>
      <c r="P28" s="228"/>
    </row>
    <row r="29" spans="3:20" x14ac:dyDescent="0.25">
      <c r="C29"/>
      <c r="D29"/>
      <c r="I29" s="225"/>
      <c r="J29" s="225"/>
      <c r="K29" s="225"/>
      <c r="L29" s="145" t="s">
        <v>144</v>
      </c>
      <c r="O29" s="229"/>
      <c r="P29" s="228"/>
    </row>
    <row r="30" spans="3:20" x14ac:dyDescent="0.25">
      <c r="C30"/>
      <c r="D30"/>
      <c r="I30" s="225"/>
      <c r="J30" s="225"/>
      <c r="K30" s="225"/>
      <c r="L30" s="145" t="s">
        <v>144</v>
      </c>
      <c r="O30" s="229"/>
      <c r="P30" s="228"/>
    </row>
    <row r="31" spans="3:20" x14ac:dyDescent="0.25">
      <c r="C31"/>
      <c r="D31"/>
      <c r="I31" s="225"/>
      <c r="J31" s="225"/>
      <c r="K31" s="225"/>
      <c r="L31" s="145" t="s">
        <v>144</v>
      </c>
      <c r="O31" s="229"/>
      <c r="P31" s="228"/>
    </row>
    <row r="32" spans="3:20" x14ac:dyDescent="0.25">
      <c r="I32" s="225"/>
      <c r="J32" s="225"/>
      <c r="K32" s="225"/>
      <c r="L32" s="145" t="s">
        <v>144</v>
      </c>
      <c r="O32" s="229"/>
      <c r="P32" s="228"/>
    </row>
    <row r="33" spans="8:16" ht="15" customHeight="1" x14ac:dyDescent="0.25">
      <c r="I33" s="225"/>
      <c r="J33" s="225"/>
      <c r="K33" s="225"/>
      <c r="L33" s="145" t="s">
        <v>144</v>
      </c>
      <c r="O33" s="229"/>
      <c r="P33" s="228"/>
    </row>
    <row r="34" spans="8:16" ht="13.5" customHeight="1" x14ac:dyDescent="0.25">
      <c r="H34" s="137"/>
      <c r="I34" s="225"/>
      <c r="J34" s="225"/>
      <c r="K34" s="225"/>
      <c r="L34" s="145" t="s">
        <v>144</v>
      </c>
      <c r="O34" s="229"/>
      <c r="P34" s="228"/>
    </row>
    <row r="35" spans="8:16" x14ac:dyDescent="0.25">
      <c r="I35" s="225"/>
      <c r="J35" s="225"/>
      <c r="K35" s="225"/>
      <c r="L35" s="145" t="s">
        <v>144</v>
      </c>
      <c r="O35" s="229"/>
      <c r="P35" s="228"/>
    </row>
    <row r="36" spans="8:16" x14ac:dyDescent="0.25">
      <c r="I36" s="225"/>
      <c r="J36" s="225"/>
      <c r="K36" s="225"/>
      <c r="L36" s="145" t="s">
        <v>144</v>
      </c>
      <c r="O36" s="229"/>
      <c r="P36" s="228"/>
    </row>
    <row r="37" spans="8:16" x14ac:dyDescent="0.25">
      <c r="I37" s="225"/>
      <c r="J37" s="225"/>
      <c r="K37" s="225"/>
      <c r="L37" s="145" t="s">
        <v>144</v>
      </c>
      <c r="O37" s="229"/>
      <c r="P37" s="228"/>
    </row>
    <row r="38" spans="8:16" x14ac:dyDescent="0.25">
      <c r="I38" s="225"/>
      <c r="J38" s="225"/>
      <c r="K38" s="225"/>
      <c r="L38" s="145" t="s">
        <v>144</v>
      </c>
      <c r="O38" s="229"/>
      <c r="P38" s="228"/>
    </row>
    <row r="39" spans="8:16" x14ac:dyDescent="0.25">
      <c r="I39" s="225"/>
      <c r="J39" s="225"/>
      <c r="K39" s="225"/>
      <c r="L39" s="145" t="s">
        <v>144</v>
      </c>
      <c r="O39" s="229"/>
      <c r="P39" s="228"/>
    </row>
    <row r="40" spans="8:16" x14ac:dyDescent="0.25">
      <c r="I40" s="225"/>
      <c r="J40" s="225"/>
      <c r="K40" s="225"/>
      <c r="L40" s="145" t="s">
        <v>144</v>
      </c>
      <c r="O40" s="229"/>
      <c r="P40" s="228"/>
    </row>
    <row r="41" spans="8:16" x14ac:dyDescent="0.25">
      <c r="I41" s="225"/>
      <c r="J41" s="225"/>
      <c r="K41" s="225"/>
      <c r="L41" s="145" t="s">
        <v>144</v>
      </c>
      <c r="O41" s="229"/>
      <c r="P41" s="228"/>
    </row>
    <row r="42" spans="8:16" x14ac:dyDescent="0.25">
      <c r="I42" s="225"/>
      <c r="J42" s="225"/>
      <c r="K42" s="225"/>
      <c r="L42" s="145" t="s">
        <v>144</v>
      </c>
      <c r="O42" s="229"/>
      <c r="P42" s="228"/>
    </row>
    <row r="43" spans="8:16" x14ac:dyDescent="0.25">
      <c r="I43" s="225"/>
      <c r="J43" s="225"/>
      <c r="K43" s="225"/>
      <c r="L43" s="145" t="s">
        <v>144</v>
      </c>
      <c r="O43" s="229"/>
      <c r="P43" s="228"/>
    </row>
    <row r="44" spans="8:16" x14ac:dyDescent="0.25">
      <c r="I44" s="225"/>
      <c r="J44" s="225"/>
      <c r="K44" s="225"/>
      <c r="L44" s="145" t="s">
        <v>144</v>
      </c>
      <c r="O44" s="229"/>
      <c r="P44" s="228"/>
    </row>
    <row r="45" spans="8:16" x14ac:dyDescent="0.25">
      <c r="I45" s="225"/>
      <c r="J45" s="225"/>
      <c r="K45" s="225"/>
      <c r="L45" s="145" t="s">
        <v>144</v>
      </c>
      <c r="O45" s="229"/>
      <c r="P45" s="228"/>
    </row>
    <row r="46" spans="8:16" x14ac:dyDescent="0.25">
      <c r="I46" s="225"/>
      <c r="J46" s="225"/>
      <c r="K46" s="225"/>
      <c r="L46" s="145" t="s">
        <v>144</v>
      </c>
      <c r="O46" s="229"/>
      <c r="P46" s="228"/>
    </row>
    <row r="47" spans="8:16" x14ac:dyDescent="0.25">
      <c r="I47" s="225"/>
      <c r="J47" s="225"/>
      <c r="K47" s="225"/>
      <c r="L47" s="145" t="s">
        <v>144</v>
      </c>
      <c r="O47" s="229"/>
      <c r="P47" s="228"/>
    </row>
    <row r="48" spans="8:16" x14ac:dyDescent="0.25">
      <c r="I48" s="225"/>
      <c r="J48" s="225"/>
      <c r="K48" s="225"/>
      <c r="L48" s="145" t="s">
        <v>144</v>
      </c>
      <c r="O48" s="229"/>
      <c r="P48" s="228"/>
    </row>
    <row r="49" spans="9:16" x14ac:dyDescent="0.25">
      <c r="I49" s="225"/>
      <c r="J49" s="225"/>
      <c r="K49" s="225"/>
      <c r="L49" s="145" t="s">
        <v>144</v>
      </c>
      <c r="O49" s="229"/>
      <c r="P49" s="228"/>
    </row>
    <row r="50" spans="9:16" x14ac:dyDescent="0.25">
      <c r="I50" s="225"/>
      <c r="J50" s="225"/>
      <c r="K50" s="225"/>
      <c r="L50" s="145" t="s">
        <v>144</v>
      </c>
      <c r="O50" s="229"/>
      <c r="P50" s="228"/>
    </row>
    <row r="51" spans="9:16" x14ac:dyDescent="0.25">
      <c r="I51" s="225"/>
      <c r="J51" s="225"/>
      <c r="K51" s="225"/>
      <c r="L51" s="145" t="s">
        <v>144</v>
      </c>
      <c r="O51" s="229"/>
      <c r="P51" s="228"/>
    </row>
    <row r="52" spans="9:16" x14ac:dyDescent="0.25">
      <c r="I52" s="225"/>
      <c r="J52" s="225"/>
      <c r="K52" s="225"/>
      <c r="L52" s="145" t="s">
        <v>144</v>
      </c>
      <c r="O52" s="229"/>
      <c r="P52" s="228"/>
    </row>
    <row r="53" spans="9:16" x14ac:dyDescent="0.25">
      <c r="I53" s="225"/>
      <c r="J53" s="225"/>
      <c r="K53" s="225"/>
      <c r="L53" s="145" t="s">
        <v>144</v>
      </c>
      <c r="O53" s="229"/>
      <c r="P53" s="228"/>
    </row>
    <row r="54" spans="9:16" x14ac:dyDescent="0.25">
      <c r="I54" s="225"/>
      <c r="J54" s="225"/>
      <c r="K54" s="225"/>
      <c r="L54" s="145" t="s">
        <v>144</v>
      </c>
      <c r="O54" s="229"/>
      <c r="P54" s="228"/>
    </row>
    <row r="55" spans="9:16" x14ac:dyDescent="0.25">
      <c r="I55" s="225"/>
      <c r="J55" s="225"/>
      <c r="K55" s="225"/>
      <c r="L55" s="145" t="s">
        <v>144</v>
      </c>
      <c r="O55" s="229"/>
      <c r="P55" s="228"/>
    </row>
    <row r="56" spans="9:16" x14ac:dyDescent="0.25">
      <c r="I56" s="225"/>
      <c r="J56" s="225"/>
      <c r="K56" s="225"/>
      <c r="L56" s="145" t="s">
        <v>144</v>
      </c>
      <c r="O56" s="229"/>
      <c r="P56" s="228"/>
    </row>
    <row r="57" spans="9:16" x14ac:dyDescent="0.25">
      <c r="I57" s="225"/>
      <c r="J57" s="225"/>
      <c r="K57" s="225"/>
      <c r="L57" s="145" t="s">
        <v>144</v>
      </c>
      <c r="O57" s="229"/>
      <c r="P57" s="228"/>
    </row>
    <row r="58" spans="9:16" x14ac:dyDescent="0.25">
      <c r="I58" s="225"/>
      <c r="J58" s="225"/>
      <c r="K58" s="225"/>
      <c r="L58" s="145" t="s">
        <v>144</v>
      </c>
      <c r="O58" s="229"/>
      <c r="P58" s="228"/>
    </row>
    <row r="59" spans="9:16" x14ac:dyDescent="0.25">
      <c r="I59" s="225"/>
      <c r="J59" s="225"/>
      <c r="K59" s="225"/>
      <c r="L59" s="145" t="s">
        <v>144</v>
      </c>
      <c r="O59" s="229"/>
      <c r="P59" s="228"/>
    </row>
    <row r="60" spans="9:16" x14ac:dyDescent="0.25">
      <c r="I60" s="225"/>
      <c r="J60" s="225"/>
      <c r="K60" s="225"/>
      <c r="L60" s="145" t="s">
        <v>144</v>
      </c>
      <c r="O60" s="229"/>
      <c r="P60" s="228"/>
    </row>
    <row r="61" spans="9:16" x14ac:dyDescent="0.25">
      <c r="I61" s="225"/>
      <c r="J61" s="225"/>
      <c r="K61" s="225"/>
      <c r="L61" s="145" t="s">
        <v>144</v>
      </c>
      <c r="O61" s="229"/>
      <c r="P61" s="228"/>
    </row>
    <row r="62" spans="9:16" x14ac:dyDescent="0.25">
      <c r="I62" s="225"/>
      <c r="J62" s="225"/>
      <c r="K62" s="225"/>
      <c r="L62" s="145" t="s">
        <v>144</v>
      </c>
      <c r="O62" s="229"/>
      <c r="P62" s="228"/>
    </row>
    <row r="63" spans="9:16" x14ac:dyDescent="0.25">
      <c r="I63" s="225"/>
      <c r="J63" s="225"/>
      <c r="K63" s="225"/>
      <c r="L63" s="145" t="s">
        <v>144</v>
      </c>
      <c r="O63" s="229"/>
      <c r="P63" s="228"/>
    </row>
    <row r="64" spans="9:16" x14ac:dyDescent="0.25">
      <c r="I64" s="225"/>
      <c r="J64" s="225"/>
      <c r="K64" s="225"/>
      <c r="L64" s="145" t="s">
        <v>144</v>
      </c>
      <c r="O64" s="229"/>
      <c r="P64" s="228"/>
    </row>
    <row r="65" spans="9:16" x14ac:dyDescent="0.25">
      <c r="I65" s="225"/>
      <c r="J65" s="225"/>
      <c r="K65" s="225"/>
      <c r="L65" s="145" t="s">
        <v>144</v>
      </c>
      <c r="O65" s="229"/>
      <c r="P65" s="228"/>
    </row>
    <row r="66" spans="9:16" x14ac:dyDescent="0.25">
      <c r="I66" s="225"/>
      <c r="J66" s="225"/>
      <c r="K66" s="225"/>
      <c r="L66" s="145" t="s">
        <v>144</v>
      </c>
      <c r="O66" s="229"/>
      <c r="P66" s="228"/>
    </row>
    <row r="67" spans="9:16" x14ac:dyDescent="0.25">
      <c r="I67" s="225"/>
      <c r="J67" s="225"/>
      <c r="K67" s="225"/>
      <c r="L67" s="145" t="s">
        <v>144</v>
      </c>
      <c r="O67" s="229"/>
      <c r="P67" s="228"/>
    </row>
    <row r="68" spans="9:16" x14ac:dyDescent="0.25">
      <c r="I68" s="225"/>
      <c r="J68" s="225"/>
      <c r="K68" s="225"/>
      <c r="L68" s="145" t="s">
        <v>144</v>
      </c>
      <c r="O68" s="229"/>
      <c r="P68" s="228"/>
    </row>
    <row r="69" spans="9:16" x14ac:dyDescent="0.25">
      <c r="I69" s="225"/>
      <c r="J69" s="225"/>
      <c r="K69" s="225"/>
      <c r="L69" s="145" t="s">
        <v>144</v>
      </c>
      <c r="O69" s="229"/>
      <c r="P69" s="228"/>
    </row>
    <row r="70" spans="9:16" x14ac:dyDescent="0.25">
      <c r="I70" s="225"/>
      <c r="J70" s="225"/>
      <c r="K70" s="225"/>
      <c r="L70" s="145" t="s">
        <v>144</v>
      </c>
      <c r="O70" s="229"/>
      <c r="P70" s="228"/>
    </row>
    <row r="71" spans="9:16" x14ac:dyDescent="0.25">
      <c r="I71" s="225"/>
      <c r="J71" s="225"/>
      <c r="K71" s="225"/>
      <c r="L71" s="145" t="s">
        <v>144</v>
      </c>
      <c r="O71" s="229"/>
      <c r="P71" s="228"/>
    </row>
    <row r="72" spans="9:16" x14ac:dyDescent="0.25">
      <c r="I72" s="225"/>
      <c r="J72" s="225"/>
      <c r="K72" s="225"/>
      <c r="L72" s="145" t="s">
        <v>144</v>
      </c>
      <c r="O72" s="229"/>
      <c r="P72" s="228"/>
    </row>
    <row r="73" spans="9:16" x14ac:dyDescent="0.25">
      <c r="I73" s="225"/>
      <c r="J73" s="225"/>
      <c r="K73" s="225"/>
      <c r="L73" s="145" t="s">
        <v>144</v>
      </c>
      <c r="O73" s="229"/>
      <c r="P73" s="228"/>
    </row>
    <row r="74" spans="9:16" x14ac:dyDescent="0.25">
      <c r="I74" s="225"/>
      <c r="J74" s="225"/>
      <c r="K74" s="225"/>
      <c r="L74" s="145" t="s">
        <v>144</v>
      </c>
      <c r="O74" s="229"/>
      <c r="P74" s="228"/>
    </row>
    <row r="75" spans="9:16" x14ac:dyDescent="0.25">
      <c r="I75" s="225"/>
      <c r="J75" s="225"/>
      <c r="K75" s="225"/>
      <c r="L75" s="145" t="s">
        <v>144</v>
      </c>
      <c r="O75" s="229"/>
      <c r="P75" s="228"/>
    </row>
    <row r="76" spans="9:16" x14ac:dyDescent="0.25">
      <c r="I76" s="225"/>
      <c r="J76" s="225"/>
      <c r="K76" s="225"/>
      <c r="L76" s="145" t="s">
        <v>144</v>
      </c>
      <c r="O76" s="229"/>
      <c r="P76" s="228"/>
    </row>
    <row r="77" spans="9:16" x14ac:dyDescent="0.25">
      <c r="I77" s="225"/>
      <c r="J77" s="225"/>
      <c r="K77" s="225"/>
      <c r="L77" s="145" t="s">
        <v>144</v>
      </c>
      <c r="O77" s="229"/>
      <c r="P77" s="228"/>
    </row>
    <row r="78" spans="9:16" x14ac:dyDescent="0.25">
      <c r="I78" s="225"/>
      <c r="J78" s="225"/>
      <c r="K78" s="225"/>
      <c r="L78" s="145" t="s">
        <v>144</v>
      </c>
      <c r="O78" s="229"/>
      <c r="P78" s="228"/>
    </row>
    <row r="79" spans="9:16" x14ac:dyDescent="0.25">
      <c r="I79" s="225"/>
      <c r="J79" s="225"/>
      <c r="K79" s="225"/>
      <c r="L79" s="145" t="s">
        <v>144</v>
      </c>
      <c r="O79" s="229"/>
      <c r="P79" s="228"/>
    </row>
    <row r="80" spans="9:16" x14ac:dyDescent="0.25">
      <c r="I80" s="225"/>
      <c r="J80" s="225"/>
      <c r="K80" s="225"/>
      <c r="L80" s="145" t="s">
        <v>144</v>
      </c>
      <c r="O80" s="229"/>
      <c r="P80" s="228"/>
    </row>
    <row r="81" spans="9:16" x14ac:dyDescent="0.25">
      <c r="I81" s="225"/>
      <c r="J81" s="225"/>
      <c r="K81" s="225"/>
      <c r="L81" s="145" t="s">
        <v>144</v>
      </c>
      <c r="O81" s="229"/>
      <c r="P81" s="228"/>
    </row>
    <row r="82" spans="9:16" x14ac:dyDescent="0.25">
      <c r="I82" s="225"/>
      <c r="J82" s="225"/>
      <c r="K82" s="225"/>
      <c r="L82" s="145" t="s">
        <v>144</v>
      </c>
      <c r="O82" s="229"/>
      <c r="P82" s="228"/>
    </row>
    <row r="83" spans="9:16" x14ac:dyDescent="0.25">
      <c r="I83" s="225"/>
      <c r="J83" s="225"/>
      <c r="K83" s="225"/>
      <c r="L83" s="145" t="s">
        <v>144</v>
      </c>
      <c r="O83" s="229"/>
      <c r="P83" s="228"/>
    </row>
    <row r="84" spans="9:16" x14ac:dyDescent="0.25">
      <c r="I84" s="225"/>
      <c r="J84" s="225"/>
      <c r="K84" s="225"/>
      <c r="L84" s="145" t="s">
        <v>144</v>
      </c>
      <c r="O84" s="229"/>
      <c r="P84" s="228"/>
    </row>
    <row r="85" spans="9:16" x14ac:dyDescent="0.25">
      <c r="I85" s="225"/>
      <c r="J85" s="225"/>
      <c r="K85" s="225"/>
      <c r="L85" s="145" t="s">
        <v>144</v>
      </c>
      <c r="O85" s="229"/>
      <c r="P85" s="228"/>
    </row>
    <row r="86" spans="9:16" x14ac:dyDescent="0.25">
      <c r="I86" s="225"/>
      <c r="J86" s="225"/>
      <c r="K86" s="225"/>
      <c r="L86" s="145" t="s">
        <v>144</v>
      </c>
      <c r="O86" s="229"/>
      <c r="P86" s="228"/>
    </row>
    <row r="87" spans="9:16" x14ac:dyDescent="0.25">
      <c r="I87" s="225"/>
      <c r="J87" s="225"/>
      <c r="K87" s="225"/>
      <c r="L87" s="145" t="s">
        <v>144</v>
      </c>
      <c r="O87" s="229"/>
      <c r="P87" s="228"/>
    </row>
    <row r="88" spans="9:16" x14ac:dyDescent="0.25">
      <c r="I88" s="225"/>
      <c r="J88" s="225"/>
      <c r="K88" s="225"/>
      <c r="L88" s="145" t="s">
        <v>144</v>
      </c>
      <c r="O88" s="229"/>
      <c r="P88" s="228"/>
    </row>
    <row r="89" spans="9:16" x14ac:dyDescent="0.25">
      <c r="I89" s="225"/>
      <c r="J89" s="225"/>
      <c r="K89" s="225"/>
      <c r="L89" s="145" t="s">
        <v>144</v>
      </c>
      <c r="O89" s="229"/>
      <c r="P89" s="228"/>
    </row>
    <row r="90" spans="9:16" x14ac:dyDescent="0.25">
      <c r="I90" s="225"/>
      <c r="J90" s="225"/>
      <c r="K90" s="225"/>
      <c r="L90" s="145" t="s">
        <v>144</v>
      </c>
      <c r="O90" s="229"/>
      <c r="P90" s="228"/>
    </row>
    <row r="91" spans="9:16" x14ac:dyDescent="0.25">
      <c r="I91" s="225"/>
      <c r="J91" s="225"/>
      <c r="K91" s="225"/>
      <c r="L91" s="145" t="s">
        <v>144</v>
      </c>
      <c r="O91" s="229"/>
      <c r="P91" s="228"/>
    </row>
    <row r="92" spans="9:16" x14ac:dyDescent="0.25">
      <c r="I92" s="225"/>
      <c r="J92" s="225"/>
      <c r="K92" s="225"/>
      <c r="L92" s="145" t="s">
        <v>144</v>
      </c>
      <c r="O92" s="229"/>
      <c r="P92" s="228"/>
    </row>
    <row r="93" spans="9:16" x14ac:dyDescent="0.25">
      <c r="I93" s="225"/>
      <c r="J93" s="225"/>
      <c r="K93" s="225"/>
      <c r="L93" s="145" t="s">
        <v>144</v>
      </c>
      <c r="O93" s="229"/>
      <c r="P93" s="228"/>
    </row>
    <row r="94" spans="9:16" x14ac:dyDescent="0.25">
      <c r="I94" s="225"/>
      <c r="J94" s="225"/>
      <c r="K94" s="225"/>
      <c r="L94" s="145" t="s">
        <v>144</v>
      </c>
      <c r="O94" s="229"/>
      <c r="P94" s="228"/>
    </row>
    <row r="95" spans="9:16" x14ac:dyDescent="0.25">
      <c r="I95" s="225"/>
      <c r="J95" s="225"/>
      <c r="K95" s="225"/>
      <c r="L95" s="145" t="s">
        <v>144</v>
      </c>
      <c r="O95" s="229"/>
      <c r="P95" s="228"/>
    </row>
    <row r="96" spans="9:16" x14ac:dyDescent="0.25">
      <c r="I96" s="225"/>
      <c r="J96" s="225"/>
      <c r="K96" s="225"/>
      <c r="L96" s="145" t="s">
        <v>144</v>
      </c>
      <c r="O96" s="229"/>
      <c r="P96" s="228"/>
    </row>
    <row r="97" spans="9:16" x14ac:dyDescent="0.25">
      <c r="I97" s="225"/>
      <c r="J97" s="225"/>
      <c r="K97" s="225"/>
      <c r="L97" s="145" t="s">
        <v>144</v>
      </c>
      <c r="O97" s="229"/>
      <c r="P97" s="228"/>
    </row>
    <row r="98" spans="9:16" x14ac:dyDescent="0.25">
      <c r="I98" s="225"/>
      <c r="J98" s="225"/>
      <c r="K98" s="225"/>
      <c r="L98" s="145" t="s">
        <v>144</v>
      </c>
      <c r="O98" s="229"/>
      <c r="P98" s="228"/>
    </row>
    <row r="99" spans="9:16" x14ac:dyDescent="0.25">
      <c r="I99" s="225"/>
      <c r="J99" s="225"/>
      <c r="K99" s="225"/>
      <c r="L99" s="145" t="s">
        <v>144</v>
      </c>
      <c r="O99" s="229"/>
      <c r="P99" s="228"/>
    </row>
    <row r="100" spans="9:16" x14ac:dyDescent="0.25">
      <c r="I100" s="225"/>
      <c r="J100" s="225"/>
      <c r="K100" s="225"/>
      <c r="L100" s="145" t="s">
        <v>144</v>
      </c>
      <c r="O100" s="229"/>
      <c r="P100" s="228"/>
    </row>
    <row r="101" spans="9:16" x14ac:dyDescent="0.25">
      <c r="I101" s="225"/>
      <c r="J101" s="225"/>
      <c r="K101" s="225"/>
      <c r="L101" s="145" t="s">
        <v>144</v>
      </c>
      <c r="O101" s="229"/>
      <c r="P101" s="228"/>
    </row>
    <row r="102" spans="9:16" x14ac:dyDescent="0.25">
      <c r="I102" s="225"/>
      <c r="J102" s="225"/>
      <c r="K102" s="225"/>
      <c r="L102" s="145" t="s">
        <v>145</v>
      </c>
      <c r="O102" s="229"/>
      <c r="P102" s="228"/>
    </row>
    <row r="103" spans="9:16" x14ac:dyDescent="0.25">
      <c r="I103" s="225"/>
      <c r="J103" s="225"/>
      <c r="K103" s="225"/>
      <c r="L103" s="145" t="s">
        <v>144</v>
      </c>
      <c r="O103" s="229"/>
      <c r="P103" s="228"/>
    </row>
    <row r="104" spans="9:16" x14ac:dyDescent="0.25">
      <c r="I104" s="225"/>
      <c r="J104" s="225"/>
      <c r="K104" s="225"/>
      <c r="L104" s="145" t="s">
        <v>144</v>
      </c>
      <c r="O104" s="229"/>
      <c r="P104" s="228"/>
    </row>
    <row r="105" spans="9:16" x14ac:dyDescent="0.25">
      <c r="I105" s="225"/>
      <c r="J105" s="225"/>
      <c r="K105" s="225"/>
      <c r="L105" s="145" t="s">
        <v>145</v>
      </c>
      <c r="O105" s="229"/>
      <c r="P105" s="228"/>
    </row>
    <row r="106" spans="9:16" x14ac:dyDescent="0.25">
      <c r="I106" s="225"/>
      <c r="J106" s="225"/>
      <c r="K106" s="225"/>
      <c r="L106" s="145" t="s">
        <v>145</v>
      </c>
      <c r="O106" s="229"/>
      <c r="P106" s="228"/>
    </row>
    <row r="107" spans="9:16" x14ac:dyDescent="0.25">
      <c r="I107" s="225"/>
      <c r="J107" s="225"/>
      <c r="K107" s="225"/>
      <c r="L107" s="145" t="s">
        <v>145</v>
      </c>
      <c r="O107" s="229"/>
      <c r="P107" s="228"/>
    </row>
    <row r="108" spans="9:16" x14ac:dyDescent="0.25">
      <c r="I108" s="225"/>
      <c r="J108" s="225"/>
      <c r="K108" s="225"/>
      <c r="L108" s="145" t="s">
        <v>145</v>
      </c>
      <c r="O108" s="229"/>
      <c r="P108" s="228"/>
    </row>
    <row r="109" spans="9:16" x14ac:dyDescent="0.25">
      <c r="I109" s="225"/>
      <c r="J109" s="225"/>
      <c r="K109" s="225"/>
      <c r="L109" s="145" t="s">
        <v>145</v>
      </c>
      <c r="O109" s="229"/>
      <c r="P109" s="228"/>
    </row>
    <row r="110" spans="9:16" x14ac:dyDescent="0.25">
      <c r="I110" s="225"/>
      <c r="J110" s="225"/>
      <c r="K110" s="225"/>
      <c r="L110" s="145" t="s">
        <v>144</v>
      </c>
      <c r="O110" s="229"/>
      <c r="P110" s="228"/>
    </row>
    <row r="111" spans="9:16" x14ac:dyDescent="0.25">
      <c r="I111" s="225"/>
      <c r="J111" s="225"/>
      <c r="K111" s="225"/>
      <c r="L111" s="145" t="s">
        <v>145</v>
      </c>
      <c r="O111" s="229"/>
      <c r="P111" s="228"/>
    </row>
    <row r="112" spans="9:16" x14ac:dyDescent="0.25">
      <c r="I112" s="225"/>
      <c r="J112" s="225"/>
      <c r="K112" s="225"/>
      <c r="L112" s="145" t="s">
        <v>145</v>
      </c>
      <c r="O112" s="229"/>
      <c r="P112" s="228"/>
    </row>
    <row r="113" spans="9:16" x14ac:dyDescent="0.25">
      <c r="I113" s="225"/>
      <c r="J113" s="225"/>
      <c r="K113" s="225"/>
      <c r="L113" s="145" t="s">
        <v>145</v>
      </c>
      <c r="O113" s="229"/>
      <c r="P113" s="228"/>
    </row>
    <row r="114" spans="9:16" x14ac:dyDescent="0.25">
      <c r="I114" s="225"/>
      <c r="J114" s="225"/>
      <c r="K114" s="225"/>
      <c r="L114" s="145" t="s">
        <v>145</v>
      </c>
      <c r="O114" s="229"/>
      <c r="P114" s="228"/>
    </row>
    <row r="115" spans="9:16" x14ac:dyDescent="0.25">
      <c r="I115" s="225"/>
      <c r="J115" s="225"/>
      <c r="K115" s="225"/>
      <c r="L115" s="145" t="s">
        <v>145</v>
      </c>
      <c r="O115" s="229"/>
      <c r="P115" s="228"/>
    </row>
    <row r="116" spans="9:16" x14ac:dyDescent="0.25">
      <c r="I116" s="225"/>
      <c r="J116" s="225"/>
      <c r="K116" s="225"/>
      <c r="L116" s="145" t="s">
        <v>145</v>
      </c>
      <c r="O116" s="229"/>
      <c r="P116" s="228"/>
    </row>
    <row r="117" spans="9:16" x14ac:dyDescent="0.25">
      <c r="I117" s="225"/>
      <c r="J117" s="225"/>
      <c r="K117" s="225"/>
      <c r="L117" s="145" t="s">
        <v>145</v>
      </c>
      <c r="O117" s="229"/>
      <c r="P117" s="228"/>
    </row>
    <row r="118" spans="9:16" x14ac:dyDescent="0.25">
      <c r="I118" s="225"/>
      <c r="J118" s="225"/>
      <c r="K118" s="225"/>
      <c r="L118" s="145" t="s">
        <v>145</v>
      </c>
      <c r="O118" s="229"/>
      <c r="P118" s="228"/>
    </row>
    <row r="119" spans="9:16" x14ac:dyDescent="0.25">
      <c r="I119" s="225"/>
      <c r="J119" s="225"/>
      <c r="K119" s="225"/>
      <c r="L119" s="145" t="s">
        <v>145</v>
      </c>
      <c r="O119" s="229"/>
      <c r="P119" s="228"/>
    </row>
    <row r="120" spans="9:16" x14ac:dyDescent="0.25">
      <c r="I120" s="225"/>
      <c r="J120" s="225"/>
      <c r="K120" s="225"/>
      <c r="L120" s="145" t="s">
        <v>145</v>
      </c>
      <c r="O120" s="229"/>
      <c r="P120" s="228"/>
    </row>
    <row r="121" spans="9:16" x14ac:dyDescent="0.25">
      <c r="I121" s="225"/>
      <c r="J121" s="225"/>
      <c r="K121" s="225"/>
      <c r="L121" s="145" t="s">
        <v>145</v>
      </c>
      <c r="O121" s="229"/>
      <c r="P121" s="228"/>
    </row>
    <row r="122" spans="9:16" x14ac:dyDescent="0.25">
      <c r="I122" s="225"/>
      <c r="J122" s="225"/>
      <c r="K122" s="225"/>
      <c r="L122" s="145" t="s">
        <v>145</v>
      </c>
      <c r="O122" s="229"/>
      <c r="P122" s="228"/>
    </row>
    <row r="123" spans="9:16" x14ac:dyDescent="0.25">
      <c r="I123" s="225"/>
      <c r="J123" s="225"/>
      <c r="K123" s="225"/>
      <c r="L123" s="145" t="s">
        <v>145</v>
      </c>
      <c r="O123" s="229"/>
      <c r="P123" s="228"/>
    </row>
    <row r="124" spans="9:16" x14ac:dyDescent="0.25">
      <c r="I124" s="225"/>
      <c r="J124" s="225"/>
      <c r="K124" s="225"/>
      <c r="L124" s="145" t="s">
        <v>145</v>
      </c>
      <c r="O124" s="229"/>
      <c r="P124" s="228"/>
    </row>
    <row r="125" spans="9:16" x14ac:dyDescent="0.25">
      <c r="I125" s="225"/>
      <c r="J125" s="225"/>
      <c r="K125" s="225"/>
      <c r="L125" s="145" t="s">
        <v>145</v>
      </c>
      <c r="O125" s="229"/>
      <c r="P125" s="228"/>
    </row>
    <row r="126" spans="9:16" x14ac:dyDescent="0.25">
      <c r="I126" s="225"/>
      <c r="J126" s="225"/>
      <c r="K126" s="225"/>
      <c r="L126" s="145" t="s">
        <v>145</v>
      </c>
      <c r="O126" s="229"/>
      <c r="P126" s="228"/>
    </row>
    <row r="127" spans="9:16" x14ac:dyDescent="0.25">
      <c r="I127" s="225"/>
      <c r="J127" s="225"/>
      <c r="K127" s="225"/>
      <c r="L127" s="145" t="s">
        <v>145</v>
      </c>
      <c r="O127" s="229"/>
      <c r="P127" s="228"/>
    </row>
    <row r="128" spans="9:16" x14ac:dyDescent="0.25">
      <c r="I128" s="225"/>
      <c r="J128" s="225"/>
      <c r="K128" s="225"/>
      <c r="L128" s="145" t="s">
        <v>145</v>
      </c>
      <c r="O128" s="229"/>
      <c r="P128" s="228"/>
    </row>
    <row r="129" spans="9:16" x14ac:dyDescent="0.25">
      <c r="I129" s="225"/>
      <c r="J129" s="225"/>
      <c r="K129" s="225"/>
      <c r="L129" s="145" t="s">
        <v>145</v>
      </c>
      <c r="O129" s="229"/>
      <c r="P129" s="228"/>
    </row>
    <row r="130" spans="9:16" x14ac:dyDescent="0.25">
      <c r="I130" s="225"/>
      <c r="J130" s="225"/>
      <c r="K130" s="225"/>
      <c r="L130" s="145" t="s">
        <v>145</v>
      </c>
      <c r="O130" s="229"/>
      <c r="P130" s="228"/>
    </row>
    <row r="131" spans="9:16" x14ac:dyDescent="0.25">
      <c r="I131" s="225"/>
      <c r="J131" s="225"/>
      <c r="K131" s="225"/>
      <c r="L131" s="145" t="s">
        <v>145</v>
      </c>
      <c r="O131" s="229"/>
      <c r="P131" s="228"/>
    </row>
    <row r="132" spans="9:16" x14ac:dyDescent="0.25">
      <c r="I132" s="225"/>
      <c r="J132" s="225"/>
      <c r="K132" s="225"/>
      <c r="L132" s="145" t="s">
        <v>145</v>
      </c>
      <c r="O132" s="229"/>
      <c r="P132" s="228"/>
    </row>
    <row r="133" spans="9:16" x14ac:dyDescent="0.25">
      <c r="I133" s="225"/>
      <c r="J133" s="225"/>
      <c r="K133" s="225"/>
      <c r="L133" s="145" t="s">
        <v>145</v>
      </c>
      <c r="O133" s="229"/>
      <c r="P133" s="228"/>
    </row>
    <row r="134" spans="9:16" x14ac:dyDescent="0.25">
      <c r="I134" s="225"/>
      <c r="J134" s="225"/>
      <c r="K134" s="225"/>
      <c r="L134" s="145" t="s">
        <v>145</v>
      </c>
      <c r="O134" s="229"/>
      <c r="P134" s="228"/>
    </row>
    <row r="135" spans="9:16" x14ac:dyDescent="0.25">
      <c r="I135" s="225"/>
      <c r="J135" s="225"/>
      <c r="K135" s="225"/>
      <c r="L135" s="145" t="s">
        <v>145</v>
      </c>
      <c r="O135" s="229"/>
      <c r="P135" s="228"/>
    </row>
    <row r="136" spans="9:16" x14ac:dyDescent="0.25">
      <c r="I136" s="225"/>
      <c r="J136" s="225"/>
      <c r="K136" s="225"/>
      <c r="L136" s="145" t="s">
        <v>145</v>
      </c>
      <c r="O136" s="229"/>
      <c r="P136" s="228"/>
    </row>
    <row r="137" spans="9:16" x14ac:dyDescent="0.25">
      <c r="I137" s="225"/>
      <c r="J137" s="225"/>
      <c r="K137" s="225"/>
      <c r="L137" s="145" t="s">
        <v>145</v>
      </c>
      <c r="O137" s="229"/>
      <c r="P137" s="228"/>
    </row>
    <row r="138" spans="9:16" x14ac:dyDescent="0.25">
      <c r="I138" s="225"/>
      <c r="J138" s="225"/>
      <c r="K138" s="225"/>
      <c r="L138" s="145" t="s">
        <v>145</v>
      </c>
      <c r="O138" s="229"/>
      <c r="P138" s="228"/>
    </row>
    <row r="139" spans="9:16" x14ac:dyDescent="0.25">
      <c r="I139" s="225"/>
      <c r="J139" s="225"/>
      <c r="K139" s="225"/>
      <c r="L139" s="145" t="s">
        <v>145</v>
      </c>
      <c r="O139" s="229"/>
      <c r="P139" s="228"/>
    </row>
    <row r="140" spans="9:16" x14ac:dyDescent="0.25">
      <c r="I140" s="225"/>
      <c r="J140" s="225"/>
      <c r="K140" s="225"/>
      <c r="L140" s="145" t="s">
        <v>145</v>
      </c>
      <c r="O140" s="229"/>
      <c r="P140" s="228"/>
    </row>
    <row r="141" spans="9:16" x14ac:dyDescent="0.25">
      <c r="I141" s="225"/>
      <c r="J141" s="225"/>
      <c r="K141" s="225"/>
      <c r="L141" s="145" t="s">
        <v>145</v>
      </c>
      <c r="O141" s="229"/>
      <c r="P141" s="228"/>
    </row>
    <row r="142" spans="9:16" x14ac:dyDescent="0.25">
      <c r="I142" s="225"/>
      <c r="J142" s="225"/>
      <c r="K142" s="225"/>
      <c r="L142" s="145" t="s">
        <v>145</v>
      </c>
      <c r="O142" s="229"/>
      <c r="P142" s="228"/>
    </row>
    <row r="143" spans="9:16" x14ac:dyDescent="0.25">
      <c r="I143" s="225"/>
      <c r="J143" s="225"/>
      <c r="K143" s="225"/>
      <c r="L143" s="145" t="s">
        <v>145</v>
      </c>
      <c r="O143" s="229"/>
      <c r="P143" s="228"/>
    </row>
    <row r="144" spans="9:16" x14ac:dyDescent="0.25">
      <c r="I144" s="225"/>
      <c r="J144" s="225"/>
      <c r="K144" s="225"/>
      <c r="L144" s="145" t="s">
        <v>145</v>
      </c>
      <c r="O144" s="229"/>
      <c r="P144" s="228"/>
    </row>
    <row r="145" spans="9:16" x14ac:dyDescent="0.25">
      <c r="I145" s="225"/>
      <c r="J145" s="225"/>
      <c r="K145" s="225"/>
      <c r="L145" s="145" t="s">
        <v>145</v>
      </c>
      <c r="O145" s="229"/>
      <c r="P145" s="228"/>
    </row>
    <row r="146" spans="9:16" x14ac:dyDescent="0.25">
      <c r="I146" s="225"/>
      <c r="J146" s="225"/>
      <c r="K146" s="225"/>
      <c r="L146" s="145" t="s">
        <v>145</v>
      </c>
      <c r="O146" s="229"/>
      <c r="P146" s="228"/>
    </row>
    <row r="147" spans="9:16" x14ac:dyDescent="0.25">
      <c r="I147" s="225"/>
      <c r="J147" s="225"/>
      <c r="K147" s="225"/>
      <c r="L147" s="145" t="s">
        <v>145</v>
      </c>
      <c r="O147" s="229"/>
      <c r="P147" s="228"/>
    </row>
    <row r="148" spans="9:16" x14ac:dyDescent="0.25">
      <c r="I148" s="225"/>
      <c r="J148" s="225"/>
      <c r="K148" s="225"/>
      <c r="L148" s="145" t="s">
        <v>145</v>
      </c>
      <c r="O148" s="229"/>
      <c r="P148" s="228"/>
    </row>
    <row r="149" spans="9:16" x14ac:dyDescent="0.25">
      <c r="I149" s="225"/>
      <c r="J149" s="225"/>
      <c r="K149" s="225"/>
      <c r="L149" s="145" t="s">
        <v>145</v>
      </c>
      <c r="O149" s="229"/>
      <c r="P149" s="228"/>
    </row>
    <row r="150" spans="9:16" x14ac:dyDescent="0.25">
      <c r="I150" s="225"/>
      <c r="J150" s="225"/>
      <c r="K150" s="225"/>
      <c r="L150" s="145" t="s">
        <v>145</v>
      </c>
      <c r="O150" s="229"/>
      <c r="P150" s="228"/>
    </row>
    <row r="151" spans="9:16" x14ac:dyDescent="0.25">
      <c r="I151" s="225"/>
      <c r="J151" s="225"/>
      <c r="K151" s="225"/>
      <c r="L151" s="145" t="s">
        <v>145</v>
      </c>
      <c r="O151" s="229"/>
      <c r="P151" s="228"/>
    </row>
    <row r="152" spans="9:16" x14ac:dyDescent="0.25">
      <c r="I152" s="225"/>
      <c r="J152" s="225"/>
      <c r="K152" s="225"/>
      <c r="L152" s="145" t="s">
        <v>145</v>
      </c>
      <c r="O152" s="229"/>
      <c r="P152" s="228"/>
    </row>
    <row r="153" spans="9:16" x14ac:dyDescent="0.25">
      <c r="I153" s="225"/>
      <c r="J153" s="225"/>
      <c r="K153" s="225"/>
      <c r="L153" s="145" t="s">
        <v>145</v>
      </c>
      <c r="O153" s="229"/>
      <c r="P153" s="228"/>
    </row>
    <row r="154" spans="9:16" x14ac:dyDescent="0.25">
      <c r="I154" s="225"/>
      <c r="J154" s="225"/>
      <c r="K154" s="225"/>
      <c r="L154" s="145" t="s">
        <v>145</v>
      </c>
      <c r="O154" s="229"/>
      <c r="P154" s="228"/>
    </row>
    <row r="155" spans="9:16" x14ac:dyDescent="0.25">
      <c r="I155" s="225"/>
      <c r="J155" s="225"/>
      <c r="K155" s="225"/>
      <c r="L155" s="145" t="s">
        <v>145</v>
      </c>
      <c r="O155" s="229"/>
      <c r="P155" s="228"/>
    </row>
    <row r="156" spans="9:16" x14ac:dyDescent="0.25">
      <c r="I156" s="225"/>
      <c r="J156" s="225"/>
      <c r="K156" s="225"/>
      <c r="L156" s="145" t="s">
        <v>145</v>
      </c>
      <c r="O156" s="229"/>
      <c r="P156" s="228"/>
    </row>
    <row r="157" spans="9:16" x14ac:dyDescent="0.25">
      <c r="I157" s="225"/>
      <c r="J157" s="225"/>
      <c r="K157" s="225"/>
      <c r="L157" s="145" t="s">
        <v>145</v>
      </c>
      <c r="O157" s="229"/>
      <c r="P157" s="228"/>
    </row>
    <row r="158" spans="9:16" x14ac:dyDescent="0.25">
      <c r="I158" s="225"/>
      <c r="J158" s="225"/>
      <c r="K158" s="225"/>
      <c r="L158" s="145" t="s">
        <v>145</v>
      </c>
      <c r="O158" s="229"/>
      <c r="P158" s="228"/>
    </row>
    <row r="159" spans="9:16" x14ac:dyDescent="0.25">
      <c r="I159" s="225"/>
      <c r="J159" s="225"/>
      <c r="K159" s="225"/>
      <c r="L159" s="145" t="s">
        <v>145</v>
      </c>
      <c r="O159" s="229"/>
      <c r="P159" s="228"/>
    </row>
    <row r="160" spans="9:16" x14ac:dyDescent="0.25">
      <c r="I160" s="225"/>
      <c r="J160" s="225"/>
      <c r="K160" s="225"/>
      <c r="L160" s="145" t="s">
        <v>145</v>
      </c>
      <c r="O160" s="229"/>
      <c r="P160" s="228"/>
    </row>
    <row r="161" spans="9:16" x14ac:dyDescent="0.25">
      <c r="I161" s="225"/>
      <c r="J161" s="225"/>
      <c r="K161" s="225"/>
      <c r="L161" s="145" t="s">
        <v>145</v>
      </c>
      <c r="O161" s="229"/>
      <c r="P161" s="228"/>
    </row>
    <row r="162" spans="9:16" x14ac:dyDescent="0.25">
      <c r="I162" s="225"/>
      <c r="J162" s="225"/>
      <c r="K162" s="225"/>
      <c r="L162" s="145" t="s">
        <v>145</v>
      </c>
      <c r="O162" s="229"/>
      <c r="P162" s="228"/>
    </row>
    <row r="163" spans="9:16" x14ac:dyDescent="0.25">
      <c r="I163" s="225"/>
      <c r="J163" s="225"/>
      <c r="K163" s="225"/>
      <c r="L163" s="145" t="s">
        <v>145</v>
      </c>
      <c r="O163" s="229"/>
      <c r="P163" s="228"/>
    </row>
    <row r="164" spans="9:16" x14ac:dyDescent="0.25">
      <c r="I164" s="225"/>
      <c r="J164" s="225"/>
      <c r="K164" s="225"/>
      <c r="L164" s="145" t="s">
        <v>145</v>
      </c>
      <c r="O164" s="229"/>
      <c r="P164" s="228"/>
    </row>
    <row r="165" spans="9:16" x14ac:dyDescent="0.25">
      <c r="I165" s="225"/>
      <c r="J165" s="225"/>
      <c r="K165" s="225"/>
      <c r="L165" s="145" t="s">
        <v>145</v>
      </c>
      <c r="O165" s="229"/>
      <c r="P165" s="228"/>
    </row>
    <row r="166" spans="9:16" x14ac:dyDescent="0.25">
      <c r="I166" s="225"/>
      <c r="J166" s="225"/>
      <c r="K166" s="225"/>
      <c r="L166" s="145" t="s">
        <v>145</v>
      </c>
      <c r="O166" s="229"/>
      <c r="P166" s="228"/>
    </row>
    <row r="167" spans="9:16" x14ac:dyDescent="0.25">
      <c r="I167" s="225"/>
      <c r="J167" s="225"/>
      <c r="K167" s="225"/>
      <c r="L167" s="145" t="s">
        <v>145</v>
      </c>
      <c r="O167" s="229"/>
      <c r="P167" s="228"/>
    </row>
    <row r="168" spans="9:16" x14ac:dyDescent="0.25">
      <c r="I168" s="225"/>
      <c r="J168" s="225"/>
      <c r="K168" s="225"/>
      <c r="L168" s="145" t="s">
        <v>145</v>
      </c>
      <c r="O168" s="229"/>
      <c r="P168" s="228"/>
    </row>
    <row r="169" spans="9:16" x14ac:dyDescent="0.25">
      <c r="I169" s="225"/>
      <c r="J169" s="225"/>
      <c r="K169" s="225"/>
      <c r="L169" s="145" t="s">
        <v>145</v>
      </c>
      <c r="O169" s="229"/>
      <c r="P169" s="228"/>
    </row>
    <row r="170" spans="9:16" x14ac:dyDescent="0.25">
      <c r="I170" s="225"/>
      <c r="J170" s="225"/>
      <c r="K170" s="225"/>
      <c r="L170" s="145" t="s">
        <v>145</v>
      </c>
      <c r="O170" s="229"/>
      <c r="P170" s="228"/>
    </row>
    <row r="171" spans="9:16" x14ac:dyDescent="0.25">
      <c r="I171" s="225"/>
      <c r="J171" s="225"/>
      <c r="K171" s="225"/>
      <c r="L171" s="145" t="s">
        <v>145</v>
      </c>
      <c r="O171" s="229"/>
      <c r="P171" s="228"/>
    </row>
    <row r="172" spans="9:16" x14ac:dyDescent="0.25">
      <c r="I172" s="225"/>
      <c r="J172" s="225"/>
      <c r="K172" s="225"/>
      <c r="L172" s="145" t="s">
        <v>145</v>
      </c>
      <c r="O172" s="229"/>
      <c r="P172" s="228"/>
    </row>
    <row r="173" spans="9:16" x14ac:dyDescent="0.25">
      <c r="I173" s="225"/>
      <c r="J173" s="225"/>
      <c r="K173" s="225"/>
      <c r="L173" s="145" t="s">
        <v>145</v>
      </c>
      <c r="O173" s="229"/>
      <c r="P173" s="228"/>
    </row>
    <row r="174" spans="9:16" x14ac:dyDescent="0.25">
      <c r="I174" s="225"/>
      <c r="J174" s="225"/>
      <c r="K174" s="225"/>
      <c r="L174" s="145" t="s">
        <v>145</v>
      </c>
      <c r="O174" s="229"/>
      <c r="P174" s="228"/>
    </row>
    <row r="175" spans="9:16" x14ac:dyDescent="0.25">
      <c r="I175" s="225"/>
      <c r="J175" s="225"/>
      <c r="K175" s="225"/>
      <c r="L175" s="145" t="s">
        <v>145</v>
      </c>
      <c r="O175" s="229"/>
      <c r="P175" s="228"/>
    </row>
    <row r="176" spans="9:16" x14ac:dyDescent="0.25">
      <c r="I176" s="225"/>
      <c r="J176" s="225"/>
      <c r="K176" s="225"/>
      <c r="L176" s="145" t="s">
        <v>145</v>
      </c>
      <c r="O176" s="229"/>
      <c r="P176" s="228"/>
    </row>
    <row r="177" spans="9:16" x14ac:dyDescent="0.25">
      <c r="I177" s="225"/>
      <c r="J177" s="225"/>
      <c r="K177" s="225"/>
      <c r="L177" s="145" t="s">
        <v>145</v>
      </c>
      <c r="O177" s="229"/>
      <c r="P177" s="228"/>
    </row>
    <row r="178" spans="9:16" x14ac:dyDescent="0.25">
      <c r="I178" s="225"/>
      <c r="J178" s="225"/>
      <c r="K178" s="225"/>
      <c r="L178" s="145" t="s">
        <v>145</v>
      </c>
      <c r="O178" s="229"/>
      <c r="P178" s="228"/>
    </row>
    <row r="179" spans="9:16" x14ac:dyDescent="0.25">
      <c r="I179" s="225"/>
      <c r="J179" s="225"/>
      <c r="K179" s="225"/>
      <c r="L179" s="145" t="s">
        <v>145</v>
      </c>
      <c r="O179" s="229"/>
      <c r="P179" s="228"/>
    </row>
    <row r="180" spans="9:16" x14ac:dyDescent="0.25">
      <c r="I180" s="225"/>
      <c r="J180" s="225"/>
      <c r="K180" s="225"/>
      <c r="L180" s="145" t="s">
        <v>145</v>
      </c>
      <c r="O180" s="229"/>
      <c r="P180" s="228"/>
    </row>
    <row r="181" spans="9:16" x14ac:dyDescent="0.25">
      <c r="I181" s="225"/>
      <c r="J181" s="225"/>
      <c r="K181" s="225"/>
      <c r="L181" s="145" t="s">
        <v>145</v>
      </c>
      <c r="O181" s="229"/>
      <c r="P181" s="228"/>
    </row>
    <row r="182" spans="9:16" x14ac:dyDescent="0.25">
      <c r="I182" s="225"/>
      <c r="J182" s="225"/>
      <c r="K182" s="225"/>
      <c r="L182" s="145" t="s">
        <v>145</v>
      </c>
      <c r="O182" s="229"/>
      <c r="P182" s="228"/>
    </row>
    <row r="183" spans="9:16" x14ac:dyDescent="0.25">
      <c r="I183" s="225"/>
      <c r="J183" s="225"/>
      <c r="K183" s="225"/>
      <c r="L183" s="145" t="s">
        <v>145</v>
      </c>
      <c r="O183" s="229"/>
      <c r="P183" s="228"/>
    </row>
    <row r="184" spans="9:16" x14ac:dyDescent="0.25">
      <c r="I184" s="225"/>
      <c r="J184" s="225"/>
      <c r="K184" s="225"/>
      <c r="L184" s="145" t="s">
        <v>145</v>
      </c>
      <c r="O184" s="229"/>
      <c r="P184" s="228"/>
    </row>
    <row r="185" spans="9:16" x14ac:dyDescent="0.25">
      <c r="I185" s="225"/>
      <c r="J185" s="225"/>
      <c r="K185" s="225"/>
      <c r="L185" s="145" t="s">
        <v>145</v>
      </c>
      <c r="O185" s="229"/>
      <c r="P185" s="228"/>
    </row>
    <row r="186" spans="9:16" x14ac:dyDescent="0.25">
      <c r="I186" s="225"/>
      <c r="J186" s="225"/>
      <c r="K186" s="225"/>
      <c r="L186" s="145" t="s">
        <v>145</v>
      </c>
      <c r="O186" s="229"/>
      <c r="P186" s="228"/>
    </row>
    <row r="187" spans="9:16" x14ac:dyDescent="0.25">
      <c r="I187" s="225"/>
      <c r="J187" s="225"/>
      <c r="K187" s="225"/>
      <c r="L187" s="145" t="s">
        <v>145</v>
      </c>
      <c r="O187" s="229"/>
      <c r="P187" s="228"/>
    </row>
    <row r="188" spans="9:16" x14ac:dyDescent="0.25">
      <c r="I188" s="225"/>
      <c r="J188" s="225"/>
      <c r="K188" s="225"/>
      <c r="L188" s="145" t="s">
        <v>145</v>
      </c>
      <c r="O188" s="229"/>
      <c r="P188" s="228"/>
    </row>
    <row r="189" spans="9:16" x14ac:dyDescent="0.25">
      <c r="I189" s="225"/>
      <c r="J189" s="225"/>
      <c r="K189" s="225"/>
      <c r="L189" s="145" t="s">
        <v>145</v>
      </c>
      <c r="O189" s="229"/>
      <c r="P189" s="228"/>
    </row>
    <row r="190" spans="9:16" x14ac:dyDescent="0.25">
      <c r="I190" s="225"/>
      <c r="J190" s="225"/>
      <c r="K190" s="225"/>
      <c r="L190" s="145" t="s">
        <v>145</v>
      </c>
      <c r="O190" s="229"/>
      <c r="P190" s="228"/>
    </row>
    <row r="191" spans="9:16" x14ac:dyDescent="0.25">
      <c r="I191" s="225"/>
      <c r="J191" s="225"/>
      <c r="K191" s="225"/>
      <c r="L191" s="145" t="s">
        <v>145</v>
      </c>
      <c r="O191" s="229"/>
      <c r="P191" s="228"/>
    </row>
    <row r="192" spans="9:16" x14ac:dyDescent="0.25">
      <c r="I192" s="225"/>
      <c r="J192" s="225"/>
      <c r="K192" s="225"/>
      <c r="L192" s="145" t="s">
        <v>145</v>
      </c>
      <c r="O192" s="229"/>
      <c r="P192" s="228"/>
    </row>
    <row r="193" spans="9:16" x14ac:dyDescent="0.25">
      <c r="I193" s="225"/>
      <c r="J193" s="225"/>
      <c r="K193" s="225"/>
      <c r="L193" s="145" t="s">
        <v>145</v>
      </c>
      <c r="O193" s="229"/>
      <c r="P193" s="228"/>
    </row>
    <row r="194" spans="9:16" x14ac:dyDescent="0.25">
      <c r="I194" s="225"/>
      <c r="J194" s="225"/>
      <c r="K194" s="225"/>
      <c r="L194" s="145" t="s">
        <v>145</v>
      </c>
      <c r="O194" s="229"/>
      <c r="P194" s="228"/>
    </row>
    <row r="195" spans="9:16" x14ac:dyDescent="0.25">
      <c r="I195" s="225"/>
      <c r="J195" s="225"/>
      <c r="K195" s="225"/>
      <c r="L195" s="145" t="s">
        <v>145</v>
      </c>
      <c r="O195" s="229"/>
      <c r="P195" s="228"/>
    </row>
    <row r="196" spans="9:16" x14ac:dyDescent="0.25">
      <c r="I196" s="225"/>
      <c r="J196" s="225"/>
      <c r="K196" s="225"/>
      <c r="L196" s="145" t="s">
        <v>145</v>
      </c>
      <c r="O196" s="229"/>
      <c r="P196" s="228"/>
    </row>
    <row r="197" spans="9:16" x14ac:dyDescent="0.25">
      <c r="I197" s="225"/>
      <c r="J197" s="225"/>
      <c r="K197" s="225"/>
      <c r="L197" s="145" t="s">
        <v>145</v>
      </c>
      <c r="O197" s="229"/>
      <c r="P197" s="228"/>
    </row>
    <row r="198" spans="9:16" x14ac:dyDescent="0.25">
      <c r="I198" s="225"/>
      <c r="J198" s="225"/>
      <c r="K198" s="225"/>
      <c r="L198" s="145" t="s">
        <v>145</v>
      </c>
      <c r="O198" s="229"/>
      <c r="P198" s="228"/>
    </row>
    <row r="199" spans="9:16" x14ac:dyDescent="0.25">
      <c r="I199" s="225"/>
      <c r="J199" s="225"/>
      <c r="K199" s="225"/>
      <c r="L199" s="145" t="s">
        <v>145</v>
      </c>
      <c r="O199" s="229"/>
      <c r="P199" s="228"/>
    </row>
    <row r="200" spans="9:16" x14ac:dyDescent="0.25">
      <c r="I200" s="225"/>
      <c r="J200" s="225"/>
      <c r="K200" s="225"/>
      <c r="L200" s="145" t="s">
        <v>145</v>
      </c>
      <c r="O200" s="229"/>
      <c r="P200" s="228"/>
    </row>
    <row r="201" spans="9:16" x14ac:dyDescent="0.25">
      <c r="I201" s="225"/>
      <c r="J201" s="225"/>
      <c r="K201" s="225"/>
      <c r="L201" s="145" t="s">
        <v>145</v>
      </c>
      <c r="O201" s="229"/>
      <c r="P201" s="228"/>
    </row>
    <row r="202" spans="9:16" x14ac:dyDescent="0.25">
      <c r="I202" s="225"/>
      <c r="J202" s="225"/>
      <c r="K202" s="225"/>
      <c r="L202" s="145" t="s">
        <v>145</v>
      </c>
      <c r="O202" s="229"/>
      <c r="P202" s="228"/>
    </row>
    <row r="203" spans="9:16" x14ac:dyDescent="0.25">
      <c r="I203" s="225"/>
      <c r="J203" s="225"/>
      <c r="K203" s="225"/>
      <c r="L203" s="145" t="s">
        <v>145</v>
      </c>
      <c r="O203" s="229"/>
      <c r="P203" s="228"/>
    </row>
    <row r="204" spans="9:16" x14ac:dyDescent="0.25">
      <c r="I204" s="225"/>
      <c r="J204" s="225"/>
      <c r="K204" s="225"/>
      <c r="L204" s="145" t="s">
        <v>145</v>
      </c>
      <c r="O204" s="229"/>
      <c r="P204" s="228"/>
    </row>
    <row r="205" spans="9:16" x14ac:dyDescent="0.25">
      <c r="I205" s="225"/>
      <c r="J205" s="225"/>
      <c r="K205" s="225"/>
      <c r="L205" s="145" t="s">
        <v>145</v>
      </c>
      <c r="O205" s="229"/>
      <c r="P205" s="228"/>
    </row>
    <row r="206" spans="9:16" x14ac:dyDescent="0.25">
      <c r="I206" s="225"/>
      <c r="J206" s="225"/>
      <c r="K206" s="225"/>
      <c r="L206" s="145" t="s">
        <v>145</v>
      </c>
      <c r="O206" s="229"/>
      <c r="P206" s="228"/>
    </row>
    <row r="207" spans="9:16" x14ac:dyDescent="0.25">
      <c r="I207" s="225"/>
      <c r="J207" s="225"/>
      <c r="K207" s="225"/>
      <c r="L207" s="145" t="s">
        <v>145</v>
      </c>
      <c r="O207" s="229"/>
      <c r="P207" s="228"/>
    </row>
    <row r="208" spans="9:16" x14ac:dyDescent="0.25">
      <c r="I208" s="225"/>
      <c r="J208" s="225"/>
      <c r="K208" s="225"/>
      <c r="L208" s="145" t="s">
        <v>145</v>
      </c>
      <c r="O208" s="229"/>
      <c r="P208" s="228"/>
    </row>
    <row r="209" spans="9:16" x14ac:dyDescent="0.25">
      <c r="I209" s="225"/>
      <c r="J209" s="225"/>
      <c r="K209" s="225"/>
      <c r="L209" s="145" t="s">
        <v>145</v>
      </c>
      <c r="O209" s="229"/>
      <c r="P209" s="228"/>
    </row>
    <row r="210" spans="9:16" x14ac:dyDescent="0.25">
      <c r="I210" s="225"/>
      <c r="J210" s="225"/>
      <c r="K210" s="225"/>
      <c r="L210" s="145" t="s">
        <v>145</v>
      </c>
      <c r="O210" s="229"/>
      <c r="P210" s="228"/>
    </row>
    <row r="211" spans="9:16" x14ac:dyDescent="0.25">
      <c r="I211" s="225"/>
      <c r="J211" s="225"/>
      <c r="K211" s="225"/>
      <c r="L211" s="145" t="s">
        <v>145</v>
      </c>
      <c r="O211" s="229"/>
      <c r="P211" s="228"/>
    </row>
    <row r="212" spans="9:16" x14ac:dyDescent="0.25">
      <c r="I212" s="225"/>
      <c r="J212" s="225"/>
      <c r="K212" s="225"/>
      <c r="L212" s="145" t="s">
        <v>145</v>
      </c>
      <c r="O212" s="229"/>
      <c r="P212" s="228"/>
    </row>
    <row r="213" spans="9:16" x14ac:dyDescent="0.25">
      <c r="I213" s="225"/>
      <c r="J213" s="225"/>
      <c r="K213" s="225"/>
      <c r="L213" s="145" t="s">
        <v>145</v>
      </c>
      <c r="O213" s="229"/>
      <c r="P213" s="228"/>
    </row>
    <row r="214" spans="9:16" x14ac:dyDescent="0.25">
      <c r="I214" s="225"/>
      <c r="J214" s="225"/>
      <c r="K214" s="225"/>
      <c r="L214" s="145" t="s">
        <v>145</v>
      </c>
      <c r="O214" s="229"/>
      <c r="P214" s="228"/>
    </row>
    <row r="215" spans="9:16" x14ac:dyDescent="0.25">
      <c r="I215" s="225"/>
      <c r="J215" s="225"/>
      <c r="K215" s="225"/>
      <c r="L215" s="145" t="s">
        <v>145</v>
      </c>
      <c r="O215" s="229"/>
      <c r="P215" s="228"/>
    </row>
    <row r="216" spans="9:16" x14ac:dyDescent="0.25">
      <c r="I216" s="225"/>
      <c r="J216" s="225"/>
      <c r="K216" s="225"/>
      <c r="L216" s="145" t="s">
        <v>145</v>
      </c>
      <c r="O216" s="229"/>
      <c r="P216" s="228"/>
    </row>
    <row r="217" spans="9:16" x14ac:dyDescent="0.25">
      <c r="I217" s="225"/>
      <c r="J217" s="225"/>
      <c r="K217" s="225"/>
      <c r="L217" s="145" t="s">
        <v>145</v>
      </c>
      <c r="O217" s="229"/>
      <c r="P217" s="228"/>
    </row>
    <row r="218" spans="9:16" x14ac:dyDescent="0.25">
      <c r="I218" s="225"/>
      <c r="J218" s="225"/>
      <c r="K218" s="225"/>
      <c r="L218" s="145" t="s">
        <v>145</v>
      </c>
      <c r="O218" s="229"/>
      <c r="P218" s="228"/>
    </row>
    <row r="219" spans="9:16" x14ac:dyDescent="0.25">
      <c r="I219" s="225"/>
      <c r="J219" s="225"/>
      <c r="K219" s="225"/>
      <c r="L219" s="145" t="s">
        <v>145</v>
      </c>
      <c r="O219" s="229"/>
      <c r="P219" s="228"/>
    </row>
    <row r="220" spans="9:16" x14ac:dyDescent="0.25">
      <c r="I220" s="225"/>
      <c r="J220" s="225"/>
      <c r="K220" s="225"/>
      <c r="L220" s="145" t="s">
        <v>145</v>
      </c>
      <c r="O220" s="229"/>
      <c r="P220" s="228"/>
    </row>
    <row r="221" spans="9:16" x14ac:dyDescent="0.25">
      <c r="I221" s="225"/>
      <c r="J221" s="225"/>
      <c r="K221" s="225"/>
      <c r="L221" s="145" t="s">
        <v>145</v>
      </c>
      <c r="O221" s="229"/>
      <c r="P221" s="228"/>
    </row>
    <row r="222" spans="9:16" x14ac:dyDescent="0.25">
      <c r="I222" s="225"/>
      <c r="J222" s="225"/>
      <c r="K222" s="225"/>
      <c r="L222" s="145" t="s">
        <v>145</v>
      </c>
      <c r="O222" s="229"/>
      <c r="P222" s="228"/>
    </row>
    <row r="223" spans="9:16" x14ac:dyDescent="0.25">
      <c r="I223" s="225"/>
      <c r="J223" s="225"/>
      <c r="K223" s="225"/>
      <c r="L223" s="145" t="s">
        <v>145</v>
      </c>
      <c r="O223" s="229"/>
      <c r="P223" s="228"/>
    </row>
    <row r="224" spans="9:16" x14ac:dyDescent="0.25">
      <c r="I224" s="225"/>
      <c r="J224" s="225"/>
      <c r="K224" s="225"/>
      <c r="L224" s="145" t="s">
        <v>145</v>
      </c>
      <c r="O224" s="229"/>
      <c r="P224" s="228"/>
    </row>
    <row r="225" spans="9:16" x14ac:dyDescent="0.25">
      <c r="I225" s="225"/>
      <c r="J225" s="225"/>
      <c r="K225" s="225"/>
      <c r="L225" s="145" t="s">
        <v>145</v>
      </c>
      <c r="O225" s="229"/>
      <c r="P225" s="228"/>
    </row>
    <row r="226" spans="9:16" x14ac:dyDescent="0.25">
      <c r="I226" s="225"/>
      <c r="J226" s="225"/>
      <c r="K226" s="225"/>
      <c r="L226" s="145" t="s">
        <v>145</v>
      </c>
      <c r="O226" s="229"/>
      <c r="P226" s="228"/>
    </row>
    <row r="227" spans="9:16" x14ac:dyDescent="0.25">
      <c r="I227" s="225"/>
      <c r="J227" s="225"/>
      <c r="K227" s="225"/>
      <c r="L227" s="145" t="s">
        <v>145</v>
      </c>
      <c r="O227" s="229"/>
      <c r="P227" s="228"/>
    </row>
    <row r="228" spans="9:16" x14ac:dyDescent="0.25">
      <c r="I228" s="225"/>
      <c r="J228" s="225"/>
      <c r="K228" s="225"/>
      <c r="L228" s="145" t="s">
        <v>145</v>
      </c>
      <c r="O228" s="229"/>
      <c r="P228" s="228"/>
    </row>
    <row r="229" spans="9:16" x14ac:dyDescent="0.25">
      <c r="I229" s="225"/>
      <c r="J229" s="225"/>
      <c r="K229" s="225"/>
      <c r="L229" s="145" t="s">
        <v>145</v>
      </c>
      <c r="O229" s="229"/>
      <c r="P229" s="228"/>
    </row>
    <row r="230" spans="9:16" x14ac:dyDescent="0.25">
      <c r="I230" s="225"/>
      <c r="J230" s="225"/>
      <c r="K230" s="225"/>
      <c r="L230" s="145" t="s">
        <v>145</v>
      </c>
      <c r="O230" s="229"/>
      <c r="P230" s="228"/>
    </row>
    <row r="231" spans="9:16" x14ac:dyDescent="0.25">
      <c r="I231" s="225"/>
      <c r="J231" s="225"/>
      <c r="K231" s="225"/>
      <c r="L231" s="145" t="s">
        <v>145</v>
      </c>
      <c r="O231" s="229"/>
      <c r="P231" s="228"/>
    </row>
    <row r="232" spans="9:16" x14ac:dyDescent="0.25">
      <c r="I232" s="225"/>
      <c r="J232" s="225"/>
      <c r="K232" s="225"/>
      <c r="L232" s="145" t="s">
        <v>145</v>
      </c>
      <c r="O232" s="229"/>
      <c r="P232" s="228"/>
    </row>
    <row r="233" spans="9:16" x14ac:dyDescent="0.25">
      <c r="I233" s="225"/>
      <c r="J233" s="225"/>
      <c r="K233" s="225"/>
      <c r="L233" s="145" t="s">
        <v>145</v>
      </c>
      <c r="O233" s="229"/>
      <c r="P233" s="228"/>
    </row>
    <row r="234" spans="9:16" x14ac:dyDescent="0.25">
      <c r="I234" s="225"/>
      <c r="J234" s="225"/>
      <c r="K234" s="225"/>
      <c r="L234" s="145" t="s">
        <v>145</v>
      </c>
      <c r="O234" s="229"/>
      <c r="P234" s="228"/>
    </row>
    <row r="235" spans="9:16" x14ac:dyDescent="0.25">
      <c r="I235" s="225"/>
      <c r="J235" s="225"/>
      <c r="K235" s="225"/>
      <c r="L235" s="145" t="s">
        <v>145</v>
      </c>
      <c r="O235" s="229"/>
      <c r="P235" s="228"/>
    </row>
    <row r="236" spans="9:16" x14ac:dyDescent="0.25">
      <c r="I236" s="225"/>
      <c r="J236" s="225"/>
      <c r="K236" s="225"/>
      <c r="L236" s="145" t="s">
        <v>145</v>
      </c>
      <c r="O236" s="229"/>
      <c r="P236" s="228"/>
    </row>
    <row r="237" spans="9:16" x14ac:dyDescent="0.25">
      <c r="I237" s="225"/>
      <c r="J237" s="225"/>
      <c r="K237" s="225"/>
      <c r="L237" s="145" t="s">
        <v>145</v>
      </c>
      <c r="O237" s="229"/>
      <c r="P237" s="228"/>
    </row>
    <row r="238" spans="9:16" x14ac:dyDescent="0.25">
      <c r="I238" s="225"/>
      <c r="J238" s="225"/>
      <c r="K238" s="225"/>
      <c r="L238" s="145" t="s">
        <v>145</v>
      </c>
      <c r="O238" s="229"/>
      <c r="P238" s="228"/>
    </row>
    <row r="239" spans="9:16" x14ac:dyDescent="0.25">
      <c r="I239" s="225"/>
      <c r="J239" s="225"/>
      <c r="K239" s="225"/>
      <c r="L239" s="145" t="s">
        <v>145</v>
      </c>
      <c r="O239" s="229"/>
      <c r="P239" s="228"/>
    </row>
    <row r="240" spans="9:16" x14ac:dyDescent="0.25">
      <c r="I240" s="225"/>
      <c r="J240" s="225"/>
      <c r="K240" s="225"/>
      <c r="L240" s="145" t="s">
        <v>145</v>
      </c>
      <c r="O240" s="229"/>
      <c r="P240" s="228"/>
    </row>
    <row r="241" spans="9:16" x14ac:dyDescent="0.25">
      <c r="I241" s="225"/>
      <c r="J241" s="225"/>
      <c r="K241" s="225"/>
      <c r="L241" s="145" t="s">
        <v>145</v>
      </c>
      <c r="O241" s="229"/>
      <c r="P241" s="228"/>
    </row>
    <row r="242" spans="9:16" x14ac:dyDescent="0.25">
      <c r="I242" s="225"/>
      <c r="J242" s="225"/>
      <c r="K242" s="225"/>
      <c r="L242" s="145" t="s">
        <v>145</v>
      </c>
      <c r="O242" s="229"/>
      <c r="P242" s="228"/>
    </row>
    <row r="243" spans="9:16" x14ac:dyDescent="0.25">
      <c r="I243" s="225"/>
      <c r="J243" s="225"/>
      <c r="K243" s="225"/>
      <c r="L243" s="145" t="s">
        <v>145</v>
      </c>
      <c r="O243" s="229"/>
      <c r="P243" s="228"/>
    </row>
    <row r="244" spans="9:16" x14ac:dyDescent="0.25">
      <c r="I244" s="225"/>
      <c r="J244" s="225"/>
      <c r="K244" s="225"/>
      <c r="L244" s="145" t="s">
        <v>145</v>
      </c>
      <c r="O244" s="229"/>
      <c r="P244" s="228"/>
    </row>
    <row r="245" spans="9:16" x14ac:dyDescent="0.25">
      <c r="I245" s="225"/>
      <c r="J245" s="225"/>
      <c r="K245" s="225"/>
      <c r="L245" s="145" t="s">
        <v>145</v>
      </c>
      <c r="O245" s="229"/>
      <c r="P245" s="228"/>
    </row>
    <row r="246" spans="9:16" x14ac:dyDescent="0.25">
      <c r="I246" s="225"/>
      <c r="J246" s="225"/>
      <c r="K246" s="225"/>
      <c r="L246" s="145" t="s">
        <v>145</v>
      </c>
      <c r="O246" s="229"/>
      <c r="P246" s="228"/>
    </row>
    <row r="247" spans="9:16" x14ac:dyDescent="0.25">
      <c r="I247" s="225"/>
      <c r="J247" s="225"/>
      <c r="K247" s="225"/>
      <c r="L247" s="145" t="s">
        <v>145</v>
      </c>
      <c r="O247" s="229"/>
      <c r="P247" s="228"/>
    </row>
    <row r="248" spans="9:16" x14ac:dyDescent="0.25">
      <c r="I248" s="225"/>
      <c r="J248" s="225"/>
      <c r="K248" s="225"/>
      <c r="L248" s="145" t="s">
        <v>145</v>
      </c>
      <c r="O248" s="229"/>
      <c r="P248" s="228"/>
    </row>
    <row r="249" spans="9:16" x14ac:dyDescent="0.25">
      <c r="I249" s="225"/>
      <c r="J249" s="225"/>
      <c r="K249" s="225"/>
      <c r="L249" s="145" t="s">
        <v>145</v>
      </c>
      <c r="O249" s="229"/>
      <c r="P249" s="228"/>
    </row>
    <row r="250" spans="9:16" x14ac:dyDescent="0.25">
      <c r="I250" s="225"/>
      <c r="J250" s="225"/>
      <c r="K250" s="225"/>
      <c r="L250" s="145" t="s">
        <v>145</v>
      </c>
      <c r="O250" s="229"/>
      <c r="P250" s="228"/>
    </row>
    <row r="251" spans="9:16" x14ac:dyDescent="0.25">
      <c r="I251" s="225"/>
      <c r="J251" s="225"/>
      <c r="K251" s="225"/>
      <c r="L251" s="145" t="s">
        <v>145</v>
      </c>
      <c r="O251" s="229"/>
      <c r="P251" s="228"/>
    </row>
    <row r="252" spans="9:16" x14ac:dyDescent="0.25">
      <c r="I252" s="225"/>
      <c r="J252" s="225"/>
      <c r="K252" s="225"/>
      <c r="L252" s="145" t="s">
        <v>145</v>
      </c>
      <c r="O252" s="229"/>
      <c r="P252" s="228"/>
    </row>
    <row r="253" spans="9:16" x14ac:dyDescent="0.25">
      <c r="I253" s="225"/>
      <c r="J253" s="225"/>
      <c r="K253" s="225"/>
      <c r="L253" s="145" t="s">
        <v>145</v>
      </c>
      <c r="O253" s="229"/>
      <c r="P253" s="228"/>
    </row>
    <row r="254" spans="9:16" x14ac:dyDescent="0.25">
      <c r="I254" s="225"/>
      <c r="J254" s="225"/>
      <c r="K254" s="225"/>
      <c r="L254" s="145" t="s">
        <v>145</v>
      </c>
      <c r="O254" s="229"/>
      <c r="P254" s="228"/>
    </row>
    <row r="255" spans="9:16" x14ac:dyDescent="0.25">
      <c r="I255" s="225"/>
      <c r="J255" s="225"/>
      <c r="K255" s="225"/>
      <c r="L255" s="145" t="s">
        <v>145</v>
      </c>
      <c r="O255" s="229"/>
      <c r="P255" s="228"/>
    </row>
    <row r="256" spans="9:16" x14ac:dyDescent="0.25">
      <c r="I256" s="225"/>
      <c r="J256" s="225"/>
      <c r="K256" s="225"/>
      <c r="L256" s="145" t="s">
        <v>145</v>
      </c>
      <c r="O256" s="229"/>
      <c r="P256" s="228"/>
    </row>
    <row r="257" spans="9:16" x14ac:dyDescent="0.25">
      <c r="I257" s="225"/>
      <c r="J257" s="225"/>
      <c r="K257" s="225"/>
      <c r="L257" s="145" t="s">
        <v>145</v>
      </c>
      <c r="O257" s="229"/>
      <c r="P257" s="228"/>
    </row>
    <row r="258" spans="9:16" x14ac:dyDescent="0.25">
      <c r="I258" s="225"/>
      <c r="J258" s="225"/>
      <c r="K258" s="225"/>
      <c r="L258" s="145" t="s">
        <v>145</v>
      </c>
      <c r="O258" s="229"/>
      <c r="P258" s="228"/>
    </row>
    <row r="259" spans="9:16" x14ac:dyDescent="0.25">
      <c r="I259" s="225"/>
      <c r="J259" s="225"/>
      <c r="K259" s="225"/>
      <c r="L259" s="145" t="s">
        <v>145</v>
      </c>
      <c r="O259" s="229"/>
      <c r="P259" s="228"/>
    </row>
    <row r="260" spans="9:16" x14ac:dyDescent="0.25">
      <c r="I260" s="225"/>
      <c r="J260" s="225"/>
      <c r="K260" s="225"/>
      <c r="L260" s="145" t="s">
        <v>145</v>
      </c>
      <c r="O260" s="229"/>
      <c r="P260" s="228"/>
    </row>
    <row r="261" spans="9:16" x14ac:dyDescent="0.25">
      <c r="I261" s="225"/>
      <c r="J261" s="225"/>
      <c r="K261" s="225"/>
      <c r="L261" s="145" t="s">
        <v>145</v>
      </c>
      <c r="O261" s="229"/>
      <c r="P261" s="228"/>
    </row>
    <row r="262" spans="9:16" x14ac:dyDescent="0.25">
      <c r="I262" s="225"/>
      <c r="J262" s="225"/>
      <c r="K262" s="225"/>
      <c r="L262" s="145" t="s">
        <v>145</v>
      </c>
      <c r="O262" s="229"/>
      <c r="P262" s="228"/>
    </row>
    <row r="263" spans="9:16" x14ac:dyDescent="0.25">
      <c r="I263" s="225"/>
      <c r="J263" s="225"/>
      <c r="K263" s="225"/>
      <c r="L263" s="145" t="s">
        <v>145</v>
      </c>
      <c r="O263" s="229"/>
      <c r="P263" s="228"/>
    </row>
    <row r="264" spans="9:16" x14ac:dyDescent="0.25">
      <c r="I264" s="225"/>
      <c r="J264" s="225"/>
      <c r="K264" s="225"/>
      <c r="L264" s="145" t="s">
        <v>145</v>
      </c>
      <c r="O264" s="229"/>
      <c r="P264" s="228"/>
    </row>
    <row r="265" spans="9:16" x14ac:dyDescent="0.25">
      <c r="I265" s="225"/>
      <c r="J265" s="225"/>
      <c r="K265" s="225"/>
      <c r="L265" s="145" t="s">
        <v>145</v>
      </c>
      <c r="O265" s="229"/>
      <c r="P265" s="228"/>
    </row>
    <row r="266" spans="9:16" x14ac:dyDescent="0.25">
      <c r="I266" s="225"/>
      <c r="J266" s="225"/>
      <c r="K266" s="225"/>
      <c r="L266" s="145" t="s">
        <v>145</v>
      </c>
      <c r="O266" s="229"/>
      <c r="P266" s="228"/>
    </row>
    <row r="267" spans="9:16" x14ac:dyDescent="0.25">
      <c r="I267" s="225"/>
      <c r="J267" s="225"/>
      <c r="K267" s="225"/>
      <c r="L267" s="145" t="s">
        <v>145</v>
      </c>
      <c r="O267" s="229"/>
      <c r="P267" s="228"/>
    </row>
    <row r="268" spans="9:16" x14ac:dyDescent="0.25">
      <c r="I268" s="225"/>
      <c r="J268" s="225"/>
      <c r="K268" s="225"/>
      <c r="L268" s="145" t="s">
        <v>145</v>
      </c>
      <c r="O268" s="229"/>
      <c r="P268" s="228"/>
    </row>
    <row r="269" spans="9:16" x14ac:dyDescent="0.25">
      <c r="I269" s="225"/>
      <c r="J269" s="225"/>
      <c r="K269" s="225"/>
      <c r="L269" s="145" t="s">
        <v>145</v>
      </c>
      <c r="O269" s="229"/>
      <c r="P269" s="228"/>
    </row>
    <row r="270" spans="9:16" x14ac:dyDescent="0.25">
      <c r="I270" s="225"/>
      <c r="J270" s="225"/>
      <c r="K270" s="225"/>
      <c r="L270" s="145" t="s">
        <v>145</v>
      </c>
      <c r="O270" s="229"/>
      <c r="P270" s="228"/>
    </row>
    <row r="271" spans="9:16" x14ac:dyDescent="0.25">
      <c r="I271" s="225"/>
      <c r="J271" s="225"/>
      <c r="K271" s="225"/>
      <c r="L271" s="145" t="s">
        <v>145</v>
      </c>
      <c r="O271" s="229"/>
      <c r="P271" s="228"/>
    </row>
    <row r="272" spans="9:16" x14ac:dyDescent="0.25">
      <c r="I272" s="225"/>
      <c r="J272" s="225"/>
      <c r="K272" s="225"/>
      <c r="L272" s="145" t="s">
        <v>145</v>
      </c>
      <c r="O272" s="229"/>
      <c r="P272" s="228"/>
    </row>
    <row r="273" spans="9:16" x14ac:dyDescent="0.25">
      <c r="I273" s="225"/>
      <c r="J273" s="225"/>
      <c r="K273" s="225"/>
      <c r="L273" s="145" t="s">
        <v>145</v>
      </c>
      <c r="O273" s="229"/>
      <c r="P273" s="228"/>
    </row>
    <row r="274" spans="9:16" x14ac:dyDescent="0.25">
      <c r="I274" s="225"/>
      <c r="J274" s="225"/>
      <c r="K274" s="225"/>
      <c r="L274" s="145" t="s">
        <v>145</v>
      </c>
      <c r="O274" s="229"/>
      <c r="P274" s="228"/>
    </row>
    <row r="275" spans="9:16" x14ac:dyDescent="0.25">
      <c r="I275" s="225"/>
      <c r="J275" s="225"/>
      <c r="K275" s="225"/>
      <c r="L275" s="145" t="s">
        <v>145</v>
      </c>
      <c r="O275" s="229"/>
      <c r="P275" s="228"/>
    </row>
    <row r="276" spans="9:16" x14ac:dyDescent="0.25">
      <c r="I276" s="225"/>
      <c r="J276" s="225"/>
      <c r="K276" s="225"/>
      <c r="L276" s="145" t="s">
        <v>145</v>
      </c>
      <c r="O276" s="229"/>
      <c r="P276" s="228"/>
    </row>
    <row r="277" spans="9:16" x14ac:dyDescent="0.25">
      <c r="I277" s="225"/>
      <c r="J277" s="225"/>
      <c r="K277" s="225"/>
      <c r="L277" s="145" t="s">
        <v>145</v>
      </c>
      <c r="O277" s="229"/>
      <c r="P277" s="228"/>
    </row>
    <row r="278" spans="9:16" x14ac:dyDescent="0.25">
      <c r="I278" s="225"/>
      <c r="J278" s="225"/>
      <c r="K278" s="225"/>
      <c r="L278" s="145" t="s">
        <v>145</v>
      </c>
      <c r="O278" s="229"/>
      <c r="P278" s="228"/>
    </row>
    <row r="279" spans="9:16" x14ac:dyDescent="0.25">
      <c r="I279" s="225"/>
      <c r="J279" s="225"/>
      <c r="K279" s="225"/>
      <c r="L279" s="145" t="s">
        <v>145</v>
      </c>
      <c r="O279" s="229"/>
      <c r="P279" s="228"/>
    </row>
    <row r="280" spans="9:16" x14ac:dyDescent="0.25">
      <c r="I280" s="225"/>
      <c r="J280" s="225"/>
      <c r="K280" s="225"/>
      <c r="L280" s="145" t="s">
        <v>145</v>
      </c>
      <c r="O280" s="229"/>
      <c r="P280" s="228"/>
    </row>
    <row r="281" spans="9:16" x14ac:dyDescent="0.25">
      <c r="I281" s="225"/>
      <c r="J281" s="225"/>
      <c r="K281" s="225"/>
      <c r="L281" s="145" t="s">
        <v>145</v>
      </c>
      <c r="O281" s="229"/>
      <c r="P281" s="228"/>
    </row>
    <row r="282" spans="9:16" x14ac:dyDescent="0.25">
      <c r="I282" s="225"/>
      <c r="J282" s="225"/>
      <c r="K282" s="225"/>
      <c r="L282" s="145" t="s">
        <v>145</v>
      </c>
      <c r="O282" s="229"/>
      <c r="P282" s="228"/>
    </row>
    <row r="283" spans="9:16" x14ac:dyDescent="0.25">
      <c r="I283" s="225"/>
      <c r="J283" s="225"/>
      <c r="K283" s="225"/>
      <c r="L283" s="145" t="s">
        <v>145</v>
      </c>
      <c r="O283" s="229"/>
      <c r="P283" s="228"/>
    </row>
    <row r="284" spans="9:16" x14ac:dyDescent="0.25">
      <c r="I284" s="225"/>
      <c r="J284" s="225"/>
      <c r="K284" s="225"/>
      <c r="L284" s="145" t="s">
        <v>145</v>
      </c>
      <c r="O284" s="229"/>
      <c r="P284" s="228"/>
    </row>
    <row r="285" spans="9:16" x14ac:dyDescent="0.25">
      <c r="I285" s="225"/>
      <c r="J285" s="225"/>
      <c r="K285" s="225"/>
      <c r="L285" s="145" t="s">
        <v>145</v>
      </c>
      <c r="O285" s="229"/>
      <c r="P285" s="228"/>
    </row>
    <row r="286" spans="9:16" x14ac:dyDescent="0.25">
      <c r="I286" s="225"/>
      <c r="J286" s="225"/>
      <c r="K286" s="225"/>
      <c r="L286" s="145" t="s">
        <v>145</v>
      </c>
      <c r="O286" s="229"/>
      <c r="P286" s="228"/>
    </row>
    <row r="287" spans="9:16" x14ac:dyDescent="0.25">
      <c r="I287" s="225"/>
      <c r="J287" s="225"/>
      <c r="K287" s="225"/>
      <c r="L287" s="145" t="s">
        <v>145</v>
      </c>
      <c r="O287" s="229"/>
      <c r="P287" s="228"/>
    </row>
    <row r="288" spans="9:16" x14ac:dyDescent="0.25">
      <c r="I288" s="225"/>
      <c r="J288" s="225"/>
      <c r="K288" s="225"/>
      <c r="L288" s="145" t="s">
        <v>145</v>
      </c>
      <c r="O288" s="229"/>
      <c r="P288" s="228"/>
    </row>
    <row r="289" spans="9:16" x14ac:dyDescent="0.25">
      <c r="I289" s="225"/>
      <c r="J289" s="225"/>
      <c r="K289" s="225"/>
      <c r="L289" s="145" t="s">
        <v>145</v>
      </c>
      <c r="O289" s="229"/>
      <c r="P289" s="228"/>
    </row>
    <row r="290" spans="9:16" x14ac:dyDescent="0.25">
      <c r="I290" s="225"/>
      <c r="J290" s="225"/>
      <c r="K290" s="225"/>
      <c r="L290" s="145" t="s">
        <v>145</v>
      </c>
      <c r="O290" s="229"/>
      <c r="P290" s="228"/>
    </row>
    <row r="291" spans="9:16" x14ac:dyDescent="0.25">
      <c r="I291" s="225"/>
      <c r="J291" s="225"/>
      <c r="K291" s="225"/>
      <c r="L291" s="145" t="s">
        <v>145</v>
      </c>
      <c r="O291" s="229"/>
      <c r="P291" s="228"/>
    </row>
    <row r="292" spans="9:16" x14ac:dyDescent="0.25">
      <c r="I292" s="225"/>
      <c r="J292" s="225"/>
      <c r="K292" s="225"/>
      <c r="L292" s="145" t="s">
        <v>145</v>
      </c>
      <c r="O292" s="229"/>
      <c r="P292" s="228"/>
    </row>
    <row r="293" spans="9:16" x14ac:dyDescent="0.25">
      <c r="I293" s="225"/>
      <c r="J293" s="225"/>
      <c r="K293" s="225"/>
      <c r="L293" s="145" t="s">
        <v>145</v>
      </c>
      <c r="O293" s="229"/>
      <c r="P293" s="228"/>
    </row>
    <row r="294" spans="9:16" x14ac:dyDescent="0.25">
      <c r="I294" s="225"/>
      <c r="J294" s="225"/>
      <c r="K294" s="225"/>
      <c r="L294" s="145" t="s">
        <v>145</v>
      </c>
      <c r="O294" s="229"/>
      <c r="P294" s="228"/>
    </row>
    <row r="295" spans="9:16" x14ac:dyDescent="0.25">
      <c r="I295" s="225"/>
      <c r="J295" s="225"/>
      <c r="K295" s="225"/>
      <c r="L295" s="145" t="s">
        <v>145</v>
      </c>
      <c r="O295" s="229"/>
      <c r="P295" s="228"/>
    </row>
    <row r="296" spans="9:16" x14ac:dyDescent="0.25">
      <c r="I296" s="225"/>
      <c r="J296" s="225"/>
      <c r="K296" s="225"/>
      <c r="L296" s="145" t="s">
        <v>145</v>
      </c>
      <c r="O296" s="229"/>
      <c r="P296" s="228"/>
    </row>
    <row r="297" spans="9:16" x14ac:dyDescent="0.25">
      <c r="I297" s="225"/>
      <c r="J297" s="225"/>
      <c r="K297" s="225"/>
      <c r="L297" s="145" t="s">
        <v>145</v>
      </c>
      <c r="O297" s="229"/>
      <c r="P297" s="228"/>
    </row>
    <row r="298" spans="9:16" x14ac:dyDescent="0.25">
      <c r="I298" s="225"/>
      <c r="J298" s="225"/>
      <c r="K298" s="225"/>
      <c r="L298" s="145" t="s">
        <v>145</v>
      </c>
      <c r="O298" s="229"/>
      <c r="P298" s="228"/>
    </row>
    <row r="299" spans="9:16" x14ac:dyDescent="0.25">
      <c r="I299" s="225"/>
      <c r="J299" s="225"/>
      <c r="K299" s="225"/>
      <c r="L299" s="145" t="s">
        <v>145</v>
      </c>
      <c r="O299" s="229"/>
      <c r="P299" s="228"/>
    </row>
    <row r="300" spans="9:16" x14ac:dyDescent="0.25">
      <c r="I300" s="225"/>
      <c r="J300" s="225"/>
      <c r="K300" s="225"/>
      <c r="L300" s="145" t="s">
        <v>145</v>
      </c>
      <c r="O300" s="229"/>
      <c r="P300" s="228"/>
    </row>
    <row r="301" spans="9:16" x14ac:dyDescent="0.25">
      <c r="I301" s="225"/>
      <c r="J301" s="225"/>
      <c r="K301" s="225"/>
      <c r="L301" s="145" t="s">
        <v>145</v>
      </c>
      <c r="O301" s="229"/>
      <c r="P301" s="228"/>
    </row>
    <row r="302" spans="9:16" x14ac:dyDescent="0.25">
      <c r="I302" s="225"/>
      <c r="J302" s="225"/>
      <c r="K302" s="225"/>
      <c r="L302" s="145" t="s">
        <v>145</v>
      </c>
      <c r="O302" s="229"/>
      <c r="P302" s="228"/>
    </row>
    <row r="303" spans="9:16" x14ac:dyDescent="0.25">
      <c r="I303" s="225"/>
      <c r="J303" s="225"/>
      <c r="K303" s="225"/>
      <c r="L303" s="145" t="s">
        <v>145</v>
      </c>
      <c r="O303" s="229"/>
      <c r="P303" s="228"/>
    </row>
    <row r="304" spans="9:16" x14ac:dyDescent="0.25">
      <c r="I304" s="225"/>
      <c r="J304" s="225"/>
      <c r="K304" s="225"/>
      <c r="L304" s="145" t="s">
        <v>145</v>
      </c>
      <c r="O304" s="229"/>
      <c r="P304" s="228"/>
    </row>
    <row r="305" spans="9:16" x14ac:dyDescent="0.25">
      <c r="I305" s="225"/>
      <c r="J305" s="225"/>
      <c r="K305" s="225"/>
      <c r="L305" s="145" t="s">
        <v>145</v>
      </c>
      <c r="O305" s="229"/>
      <c r="P305" s="228"/>
    </row>
    <row r="306" spans="9:16" x14ac:dyDescent="0.25">
      <c r="I306" s="225"/>
      <c r="J306" s="225"/>
      <c r="K306" s="225"/>
      <c r="L306" s="145" t="s">
        <v>145</v>
      </c>
      <c r="O306" s="229"/>
      <c r="P306" s="228"/>
    </row>
    <row r="307" spans="9:16" x14ac:dyDescent="0.25">
      <c r="I307" s="225"/>
      <c r="J307" s="225"/>
      <c r="K307" s="225"/>
      <c r="L307" s="145" t="s">
        <v>145</v>
      </c>
      <c r="O307" s="229"/>
      <c r="P307" s="228"/>
    </row>
    <row r="308" spans="9:16" x14ac:dyDescent="0.25">
      <c r="I308" s="225"/>
      <c r="J308" s="225"/>
      <c r="K308" s="225"/>
      <c r="L308" s="145" t="s">
        <v>145</v>
      </c>
      <c r="O308" s="229"/>
      <c r="P308" s="228"/>
    </row>
    <row r="309" spans="9:16" x14ac:dyDescent="0.25">
      <c r="I309" s="225"/>
      <c r="J309" s="225"/>
      <c r="K309" s="225"/>
      <c r="L309" s="145" t="s">
        <v>145</v>
      </c>
      <c r="O309" s="229"/>
      <c r="P309" s="228"/>
    </row>
    <row r="310" spans="9:16" x14ac:dyDescent="0.25">
      <c r="I310" s="225"/>
      <c r="J310" s="225"/>
      <c r="K310" s="225"/>
      <c r="L310" s="145" t="s">
        <v>145</v>
      </c>
      <c r="O310" s="229"/>
      <c r="P310" s="228"/>
    </row>
    <row r="311" spans="9:16" x14ac:dyDescent="0.25">
      <c r="I311" s="225"/>
      <c r="J311" s="225"/>
      <c r="K311" s="225"/>
      <c r="L311" s="145" t="s">
        <v>145</v>
      </c>
      <c r="O311" s="229"/>
      <c r="P311" s="228"/>
    </row>
    <row r="312" spans="9:16" x14ac:dyDescent="0.25">
      <c r="I312" s="225"/>
      <c r="J312" s="225"/>
      <c r="K312" s="225"/>
      <c r="L312" s="145" t="s">
        <v>145</v>
      </c>
      <c r="O312" s="229"/>
      <c r="P312" s="228"/>
    </row>
    <row r="313" spans="9:16" x14ac:dyDescent="0.25">
      <c r="I313" s="225"/>
      <c r="J313" s="225"/>
      <c r="K313" s="225"/>
      <c r="L313" s="145" t="s">
        <v>145</v>
      </c>
      <c r="O313" s="229"/>
      <c r="P313" s="228"/>
    </row>
    <row r="314" spans="9:16" x14ac:dyDescent="0.25">
      <c r="I314" s="225"/>
      <c r="J314" s="225"/>
      <c r="K314" s="225"/>
      <c r="L314" s="145" t="s">
        <v>145</v>
      </c>
      <c r="O314" s="229"/>
      <c r="P314" s="228"/>
    </row>
    <row r="315" spans="9:16" x14ac:dyDescent="0.25">
      <c r="I315" s="225"/>
      <c r="J315" s="225"/>
      <c r="K315" s="225"/>
      <c r="L315" s="145" t="s">
        <v>145</v>
      </c>
      <c r="O315" s="229"/>
      <c r="P315" s="228"/>
    </row>
    <row r="316" spans="9:16" x14ac:dyDescent="0.25">
      <c r="I316" s="225"/>
      <c r="J316" s="225"/>
      <c r="K316" s="225"/>
      <c r="L316" s="145" t="s">
        <v>145</v>
      </c>
      <c r="O316" s="229"/>
      <c r="P316" s="228"/>
    </row>
    <row r="317" spans="9:16" x14ac:dyDescent="0.25">
      <c r="I317" s="225"/>
      <c r="J317" s="225"/>
      <c r="K317" s="225"/>
      <c r="L317" s="145" t="s">
        <v>145</v>
      </c>
      <c r="O317" s="229"/>
      <c r="P317" s="228"/>
    </row>
    <row r="318" spans="9:16" x14ac:dyDescent="0.25">
      <c r="I318" s="225"/>
      <c r="J318" s="225"/>
      <c r="K318" s="225"/>
      <c r="L318" s="145" t="s">
        <v>145</v>
      </c>
      <c r="O318" s="229"/>
      <c r="P318" s="228"/>
    </row>
    <row r="319" spans="9:16" x14ac:dyDescent="0.25">
      <c r="I319" s="225"/>
      <c r="J319" s="225"/>
      <c r="K319" s="225"/>
      <c r="L319" s="145" t="s">
        <v>145</v>
      </c>
      <c r="O319" s="229"/>
      <c r="P319" s="228"/>
    </row>
    <row r="320" spans="9:16" x14ac:dyDescent="0.25">
      <c r="I320" s="225"/>
      <c r="J320" s="225"/>
      <c r="K320" s="225"/>
      <c r="L320" s="145" t="s">
        <v>145</v>
      </c>
      <c r="O320" s="229"/>
      <c r="P320" s="228"/>
    </row>
    <row r="321" spans="9:16" x14ac:dyDescent="0.25">
      <c r="I321" s="225"/>
      <c r="J321" s="225"/>
      <c r="K321" s="225"/>
      <c r="L321" s="145" t="s">
        <v>145</v>
      </c>
      <c r="O321" s="229"/>
      <c r="P321" s="228"/>
    </row>
    <row r="322" spans="9:16" x14ac:dyDescent="0.25">
      <c r="I322" s="225"/>
      <c r="J322" s="225"/>
      <c r="K322" s="225"/>
      <c r="L322" s="145" t="s">
        <v>145</v>
      </c>
      <c r="O322" s="229"/>
      <c r="P322" s="228"/>
    </row>
    <row r="323" spans="9:16" x14ac:dyDescent="0.25">
      <c r="I323" s="225"/>
      <c r="J323" s="225"/>
      <c r="K323" s="225"/>
      <c r="L323" s="145" t="s">
        <v>145</v>
      </c>
      <c r="O323" s="229"/>
      <c r="P323" s="228"/>
    </row>
    <row r="324" spans="9:16" x14ac:dyDescent="0.25">
      <c r="I324" s="225"/>
      <c r="J324" s="225"/>
      <c r="K324" s="225"/>
      <c r="L324" s="145" t="s">
        <v>145</v>
      </c>
      <c r="O324" s="229"/>
      <c r="P324" s="228"/>
    </row>
    <row r="325" spans="9:16" x14ac:dyDescent="0.25">
      <c r="I325" s="225"/>
      <c r="J325" s="225"/>
      <c r="K325" s="225"/>
      <c r="L325" s="145" t="s">
        <v>145</v>
      </c>
      <c r="O325" s="229"/>
      <c r="P325" s="228"/>
    </row>
    <row r="326" spans="9:16" x14ac:dyDescent="0.25">
      <c r="I326" s="225"/>
      <c r="J326" s="225"/>
      <c r="K326" s="225"/>
      <c r="L326" s="145" t="s">
        <v>145</v>
      </c>
      <c r="O326" s="229"/>
      <c r="P326" s="228"/>
    </row>
    <row r="327" spans="9:16" x14ac:dyDescent="0.25">
      <c r="I327" s="225"/>
      <c r="J327" s="225"/>
      <c r="K327" s="225"/>
      <c r="L327" s="145" t="s">
        <v>145</v>
      </c>
      <c r="O327" s="229"/>
      <c r="P327" s="228"/>
    </row>
    <row r="328" spans="9:16" x14ac:dyDescent="0.25">
      <c r="I328" s="225"/>
      <c r="J328" s="225"/>
      <c r="K328" s="225"/>
      <c r="L328" s="145" t="s">
        <v>145</v>
      </c>
      <c r="O328" s="229"/>
      <c r="P328" s="228"/>
    </row>
    <row r="329" spans="9:16" x14ac:dyDescent="0.25">
      <c r="I329" s="225"/>
      <c r="J329" s="225"/>
      <c r="K329" s="225"/>
      <c r="L329" s="145" t="s">
        <v>145</v>
      </c>
      <c r="O329" s="229"/>
      <c r="P329" s="228"/>
    </row>
    <row r="330" spans="9:16" x14ac:dyDescent="0.25">
      <c r="I330" s="225"/>
      <c r="J330" s="225"/>
      <c r="K330" s="225"/>
      <c r="L330" s="145" t="s">
        <v>145</v>
      </c>
      <c r="O330" s="229"/>
      <c r="P330" s="228"/>
    </row>
    <row r="331" spans="9:16" x14ac:dyDescent="0.25">
      <c r="I331" s="225"/>
      <c r="J331" s="225"/>
      <c r="K331" s="225"/>
      <c r="L331" s="145" t="s">
        <v>145</v>
      </c>
      <c r="O331" s="229"/>
      <c r="P331" s="228"/>
    </row>
    <row r="332" spans="9:16" x14ac:dyDescent="0.25">
      <c r="I332" s="225"/>
      <c r="J332" s="225"/>
      <c r="K332" s="225"/>
      <c r="L332" s="145" t="s">
        <v>145</v>
      </c>
      <c r="O332" s="229"/>
      <c r="P332" s="228"/>
    </row>
    <row r="333" spans="9:16" x14ac:dyDescent="0.25">
      <c r="I333" s="225"/>
      <c r="J333" s="225"/>
      <c r="K333" s="225"/>
      <c r="L333" s="145" t="s">
        <v>145</v>
      </c>
      <c r="O333" s="229"/>
      <c r="P333" s="228"/>
    </row>
    <row r="334" spans="9:16" x14ac:dyDescent="0.25">
      <c r="I334" s="225"/>
      <c r="J334" s="225"/>
      <c r="K334" s="225"/>
      <c r="L334" s="145" t="s">
        <v>145</v>
      </c>
      <c r="O334" s="229"/>
      <c r="P334" s="228"/>
    </row>
    <row r="335" spans="9:16" x14ac:dyDescent="0.25">
      <c r="I335" s="225"/>
      <c r="J335" s="225"/>
      <c r="K335" s="225"/>
      <c r="L335" s="145" t="s">
        <v>145</v>
      </c>
      <c r="O335" s="229"/>
      <c r="P335" s="228"/>
    </row>
    <row r="336" spans="9:16" x14ac:dyDescent="0.25">
      <c r="I336" s="225"/>
      <c r="J336" s="225"/>
      <c r="K336" s="225"/>
      <c r="L336" s="145" t="s">
        <v>145</v>
      </c>
      <c r="O336" s="229"/>
      <c r="P336" s="228"/>
    </row>
    <row r="337" spans="9:16" x14ac:dyDescent="0.25">
      <c r="I337" s="225"/>
      <c r="J337" s="225"/>
      <c r="K337" s="225"/>
      <c r="L337" s="145" t="s">
        <v>145</v>
      </c>
      <c r="O337" s="229"/>
      <c r="P337" s="228"/>
    </row>
    <row r="338" spans="9:16" x14ac:dyDescent="0.25">
      <c r="I338" s="225"/>
      <c r="J338" s="225"/>
      <c r="K338" s="225"/>
      <c r="L338" s="145" t="s">
        <v>145</v>
      </c>
      <c r="O338" s="229"/>
      <c r="P338" s="228"/>
    </row>
    <row r="339" spans="9:16" x14ac:dyDescent="0.25">
      <c r="I339" s="225"/>
      <c r="J339" s="225"/>
      <c r="K339" s="225"/>
      <c r="L339" s="145" t="s">
        <v>145</v>
      </c>
      <c r="O339" s="229"/>
      <c r="P339" s="228"/>
    </row>
    <row r="340" spans="9:16" x14ac:dyDescent="0.25">
      <c r="I340" s="225"/>
      <c r="J340" s="225"/>
      <c r="K340" s="225"/>
      <c r="L340" s="145" t="s">
        <v>145</v>
      </c>
      <c r="O340" s="229"/>
      <c r="P340" s="228"/>
    </row>
    <row r="341" spans="9:16" x14ac:dyDescent="0.25">
      <c r="I341" s="225"/>
      <c r="J341" s="225"/>
      <c r="K341" s="225"/>
      <c r="L341" s="145" t="s">
        <v>145</v>
      </c>
      <c r="O341" s="229"/>
      <c r="P341" s="228"/>
    </row>
    <row r="342" spans="9:16" x14ac:dyDescent="0.25">
      <c r="I342" s="225"/>
      <c r="J342" s="225"/>
      <c r="K342" s="225"/>
      <c r="L342" s="145" t="s">
        <v>145</v>
      </c>
      <c r="O342" s="229"/>
      <c r="P342" s="228"/>
    </row>
    <row r="343" spans="9:16" x14ac:dyDescent="0.25">
      <c r="I343" s="225"/>
      <c r="J343" s="225"/>
      <c r="K343" s="225"/>
      <c r="L343" s="145" t="s">
        <v>145</v>
      </c>
      <c r="O343" s="229"/>
      <c r="P343" s="228"/>
    </row>
    <row r="344" spans="9:16" x14ac:dyDescent="0.25">
      <c r="I344" s="225"/>
      <c r="J344" s="225"/>
      <c r="K344" s="225"/>
      <c r="L344" s="145" t="s">
        <v>145</v>
      </c>
      <c r="O344" s="229"/>
      <c r="P344" s="228"/>
    </row>
    <row r="345" spans="9:16" x14ac:dyDescent="0.25">
      <c r="I345" s="225"/>
      <c r="J345" s="225"/>
      <c r="K345" s="225"/>
      <c r="L345" s="145" t="s">
        <v>144</v>
      </c>
      <c r="O345" s="229"/>
      <c r="P345" s="228"/>
    </row>
    <row r="346" spans="9:16" x14ac:dyDescent="0.25">
      <c r="I346" s="225"/>
      <c r="J346" s="225"/>
      <c r="K346" s="225"/>
      <c r="L346" s="145" t="s">
        <v>145</v>
      </c>
      <c r="O346" s="229"/>
      <c r="P346" s="228"/>
    </row>
    <row r="347" spans="9:16" x14ac:dyDescent="0.25">
      <c r="I347" s="225"/>
      <c r="J347" s="225"/>
      <c r="K347" s="225"/>
      <c r="L347" s="145" t="s">
        <v>145</v>
      </c>
      <c r="O347" s="229"/>
      <c r="P347" s="228"/>
    </row>
    <row r="348" spans="9:16" x14ac:dyDescent="0.25">
      <c r="I348" s="225"/>
      <c r="J348" s="225"/>
      <c r="K348" s="225"/>
      <c r="L348" s="145" t="s">
        <v>145</v>
      </c>
      <c r="O348" s="229"/>
      <c r="P348" s="228"/>
    </row>
    <row r="349" spans="9:16" x14ac:dyDescent="0.25">
      <c r="I349" s="225"/>
      <c r="J349" s="225"/>
      <c r="K349" s="225"/>
      <c r="L349" s="145" t="s">
        <v>145</v>
      </c>
      <c r="O349" s="229"/>
      <c r="P349" s="228"/>
    </row>
    <row r="350" spans="9:16" x14ac:dyDescent="0.25">
      <c r="I350" s="225"/>
      <c r="J350" s="225"/>
      <c r="K350" s="225"/>
      <c r="L350" s="145" t="s">
        <v>144</v>
      </c>
      <c r="O350" s="229"/>
      <c r="P350" s="228"/>
    </row>
    <row r="351" spans="9:16" x14ac:dyDescent="0.25">
      <c r="I351" s="225"/>
      <c r="J351" s="225"/>
      <c r="K351" s="225"/>
      <c r="L351" s="145" t="s">
        <v>144</v>
      </c>
      <c r="O351" s="229"/>
      <c r="P351" s="228"/>
    </row>
    <row r="352" spans="9:16" x14ac:dyDescent="0.25">
      <c r="I352" s="225"/>
      <c r="J352" s="225"/>
      <c r="K352" s="225"/>
      <c r="L352" s="145" t="s">
        <v>145</v>
      </c>
      <c r="O352" s="229"/>
      <c r="P352" s="228"/>
    </row>
    <row r="353" spans="9:16" x14ac:dyDescent="0.25">
      <c r="I353" s="225"/>
      <c r="J353" s="225"/>
      <c r="K353" s="225"/>
      <c r="L353" s="145" t="s">
        <v>144</v>
      </c>
      <c r="O353" s="229"/>
      <c r="P353" s="228"/>
    </row>
    <row r="354" spans="9:16" x14ac:dyDescent="0.25">
      <c r="I354" s="225"/>
      <c r="J354" s="225"/>
      <c r="K354" s="225"/>
      <c r="L354" s="145" t="s">
        <v>145</v>
      </c>
      <c r="O354" s="229"/>
      <c r="P354" s="228"/>
    </row>
    <row r="355" spans="9:16" x14ac:dyDescent="0.25">
      <c r="I355" s="225"/>
      <c r="J355" s="225"/>
      <c r="K355" s="225"/>
      <c r="L355" s="145" t="s">
        <v>144</v>
      </c>
      <c r="O355" s="229"/>
      <c r="P355" s="228"/>
    </row>
    <row r="356" spans="9:16" x14ac:dyDescent="0.25">
      <c r="I356" s="225"/>
      <c r="J356" s="225"/>
      <c r="K356" s="225"/>
      <c r="L356" s="145" t="s">
        <v>144</v>
      </c>
      <c r="O356" s="229"/>
      <c r="P356" s="228"/>
    </row>
    <row r="357" spans="9:16" x14ac:dyDescent="0.25">
      <c r="I357" s="225"/>
      <c r="J357" s="225"/>
      <c r="K357" s="225"/>
      <c r="L357" s="145" t="s">
        <v>145</v>
      </c>
      <c r="O357" s="229"/>
      <c r="P357" s="228"/>
    </row>
    <row r="358" spans="9:16" x14ac:dyDescent="0.25">
      <c r="I358" s="225"/>
      <c r="J358" s="225"/>
      <c r="K358" s="225"/>
      <c r="L358" s="145" t="s">
        <v>144</v>
      </c>
      <c r="O358" s="229"/>
      <c r="P358" s="228"/>
    </row>
    <row r="359" spans="9:16" x14ac:dyDescent="0.25">
      <c r="I359" s="225"/>
      <c r="J359" s="225"/>
      <c r="K359" s="225"/>
      <c r="L359" s="145" t="s">
        <v>144</v>
      </c>
      <c r="O359" s="229"/>
      <c r="P359" s="228"/>
    </row>
    <row r="360" spans="9:16" x14ac:dyDescent="0.25">
      <c r="I360" s="225"/>
      <c r="J360" s="225"/>
      <c r="K360" s="225"/>
      <c r="L360" s="145" t="s">
        <v>144</v>
      </c>
      <c r="O360" s="229"/>
      <c r="P360" s="228"/>
    </row>
    <row r="361" spans="9:16" x14ac:dyDescent="0.25">
      <c r="I361" s="225"/>
      <c r="J361" s="225"/>
      <c r="K361" s="225"/>
      <c r="L361" s="145" t="s">
        <v>145</v>
      </c>
      <c r="O361" s="229"/>
      <c r="P361" s="228"/>
    </row>
    <row r="362" spans="9:16" x14ac:dyDescent="0.25">
      <c r="I362" s="225"/>
      <c r="J362" s="225"/>
      <c r="K362" s="225"/>
      <c r="L362" s="145" t="s">
        <v>144</v>
      </c>
      <c r="O362" s="229"/>
      <c r="P362" s="228"/>
    </row>
    <row r="363" spans="9:16" x14ac:dyDescent="0.25">
      <c r="I363" s="225"/>
      <c r="J363" s="225"/>
      <c r="K363" s="225"/>
      <c r="L363" s="145" t="s">
        <v>144</v>
      </c>
      <c r="O363" s="229"/>
      <c r="P363" s="228"/>
    </row>
    <row r="364" spans="9:16" x14ac:dyDescent="0.25">
      <c r="I364" s="225"/>
      <c r="J364" s="225"/>
      <c r="K364" s="225"/>
      <c r="L364" s="145" t="s">
        <v>144</v>
      </c>
      <c r="O364" s="229"/>
      <c r="P364" s="228"/>
    </row>
    <row r="365" spans="9:16" x14ac:dyDescent="0.25">
      <c r="I365" s="225"/>
      <c r="J365" s="225"/>
      <c r="K365" s="225"/>
      <c r="L365" s="145" t="s">
        <v>145</v>
      </c>
      <c r="O365" s="229"/>
      <c r="P365" s="228"/>
    </row>
    <row r="366" spans="9:16" x14ac:dyDescent="0.25">
      <c r="I366" s="225"/>
      <c r="J366" s="225"/>
      <c r="K366" s="225"/>
      <c r="L366" s="145" t="s">
        <v>144</v>
      </c>
      <c r="O366" s="229"/>
      <c r="P366" s="228"/>
    </row>
    <row r="367" spans="9:16" x14ac:dyDescent="0.25">
      <c r="I367" s="225"/>
      <c r="J367" s="225"/>
      <c r="K367" s="225"/>
      <c r="L367" s="145" t="s">
        <v>144</v>
      </c>
      <c r="O367" s="229"/>
      <c r="P367" s="228"/>
    </row>
    <row r="368" spans="9:16" x14ac:dyDescent="0.25">
      <c r="I368" s="225"/>
      <c r="J368" s="225"/>
      <c r="K368" s="225"/>
      <c r="L368" s="145" t="s">
        <v>144</v>
      </c>
      <c r="O368" s="229"/>
      <c r="P368" s="228"/>
    </row>
    <row r="369" spans="9:16" x14ac:dyDescent="0.25">
      <c r="I369" s="225"/>
      <c r="J369" s="225"/>
      <c r="K369" s="225"/>
      <c r="L369" s="145" t="s">
        <v>144</v>
      </c>
      <c r="O369" s="229"/>
      <c r="P369" s="228"/>
    </row>
    <row r="370" spans="9:16" x14ac:dyDescent="0.25">
      <c r="I370" s="225"/>
      <c r="J370" s="225"/>
      <c r="K370" s="225"/>
      <c r="L370" s="145" t="s">
        <v>144</v>
      </c>
      <c r="O370" s="229"/>
      <c r="P370" s="228"/>
    </row>
    <row r="371" spans="9:16" x14ac:dyDescent="0.25">
      <c r="I371" s="225"/>
      <c r="J371" s="225"/>
      <c r="K371" s="225"/>
      <c r="L371" s="145" t="s">
        <v>144</v>
      </c>
      <c r="O371" s="229"/>
      <c r="P371" s="228"/>
    </row>
    <row r="372" spans="9:16" x14ac:dyDescent="0.25">
      <c r="I372" s="225"/>
      <c r="J372" s="225"/>
      <c r="K372" s="225"/>
      <c r="L372" s="145" t="s">
        <v>144</v>
      </c>
      <c r="O372" s="229"/>
      <c r="P372" s="228"/>
    </row>
    <row r="373" spans="9:16" x14ac:dyDescent="0.25">
      <c r="I373" s="225"/>
      <c r="J373" s="225"/>
      <c r="K373" s="225"/>
      <c r="L373" s="145" t="s">
        <v>144</v>
      </c>
      <c r="O373" s="229"/>
      <c r="P373" s="228"/>
    </row>
    <row r="374" spans="9:16" x14ac:dyDescent="0.25">
      <c r="I374" s="225"/>
      <c r="J374" s="225"/>
      <c r="K374" s="225"/>
      <c r="L374" s="145" t="s">
        <v>144</v>
      </c>
      <c r="O374" s="229"/>
      <c r="P374" s="228"/>
    </row>
    <row r="375" spans="9:16" x14ac:dyDescent="0.25">
      <c r="I375" s="225"/>
      <c r="J375" s="225"/>
      <c r="K375" s="225"/>
      <c r="L375" s="145" t="s">
        <v>144</v>
      </c>
      <c r="O375" s="229"/>
      <c r="P375" s="228"/>
    </row>
    <row r="376" spans="9:16" x14ac:dyDescent="0.25">
      <c r="I376" s="225"/>
      <c r="J376" s="225"/>
      <c r="K376" s="225"/>
      <c r="L376" s="145" t="s">
        <v>144</v>
      </c>
      <c r="O376" s="229"/>
      <c r="P376" s="228"/>
    </row>
    <row r="377" spans="9:16" x14ac:dyDescent="0.25">
      <c r="I377" s="225"/>
      <c r="J377" s="225"/>
      <c r="K377" s="225"/>
      <c r="L377" s="145" t="s">
        <v>144</v>
      </c>
      <c r="O377" s="229"/>
      <c r="P377" s="228"/>
    </row>
    <row r="378" spans="9:16" x14ac:dyDescent="0.25">
      <c r="I378" s="225"/>
      <c r="J378" s="225"/>
      <c r="K378" s="225"/>
      <c r="L378" s="145" t="s">
        <v>144</v>
      </c>
      <c r="O378" s="229"/>
      <c r="P378" s="228"/>
    </row>
    <row r="379" spans="9:16" x14ac:dyDescent="0.25">
      <c r="I379" s="225"/>
      <c r="J379" s="225"/>
      <c r="K379" s="225"/>
      <c r="L379" s="145" t="s">
        <v>144</v>
      </c>
      <c r="O379" s="229"/>
      <c r="P379" s="228"/>
    </row>
    <row r="380" spans="9:16" x14ac:dyDescent="0.25">
      <c r="I380" s="225"/>
      <c r="J380" s="225"/>
      <c r="K380" s="225"/>
      <c r="L380" s="145" t="s">
        <v>144</v>
      </c>
      <c r="O380" s="229"/>
      <c r="P380" s="228"/>
    </row>
    <row r="381" spans="9:16" x14ac:dyDescent="0.25">
      <c r="I381" s="225"/>
      <c r="J381" s="225"/>
      <c r="K381" s="225"/>
      <c r="L381" s="145" t="s">
        <v>144</v>
      </c>
      <c r="O381" s="229"/>
      <c r="P381" s="228"/>
    </row>
    <row r="382" spans="9:16" x14ac:dyDescent="0.25">
      <c r="I382" s="225"/>
      <c r="J382" s="225"/>
      <c r="K382" s="225"/>
      <c r="L382" s="145" t="s">
        <v>144</v>
      </c>
      <c r="O382" s="229"/>
      <c r="P382" s="228"/>
    </row>
    <row r="383" spans="9:16" x14ac:dyDescent="0.25">
      <c r="I383" s="225"/>
      <c r="J383" s="225"/>
      <c r="K383" s="225"/>
      <c r="L383" s="145" t="s">
        <v>144</v>
      </c>
      <c r="O383" s="229"/>
      <c r="P383" s="228"/>
    </row>
    <row r="384" spans="9:16" x14ac:dyDescent="0.25">
      <c r="I384" s="225"/>
      <c r="J384" s="225"/>
      <c r="K384" s="225"/>
      <c r="L384" s="145" t="s">
        <v>144</v>
      </c>
      <c r="O384" s="229"/>
      <c r="P384" s="228"/>
    </row>
    <row r="385" spans="9:16" x14ac:dyDescent="0.25">
      <c r="I385" s="225"/>
      <c r="J385" s="225"/>
      <c r="K385" s="225"/>
      <c r="L385" s="145" t="s">
        <v>144</v>
      </c>
      <c r="O385" s="229"/>
      <c r="P385" s="228"/>
    </row>
    <row r="386" spans="9:16" x14ac:dyDescent="0.25">
      <c r="I386" s="225"/>
      <c r="J386" s="225"/>
      <c r="K386" s="225"/>
      <c r="L386" s="145" t="s">
        <v>144</v>
      </c>
      <c r="O386" s="229"/>
      <c r="P386" s="228"/>
    </row>
    <row r="387" spans="9:16" x14ac:dyDescent="0.25">
      <c r="I387" s="225"/>
      <c r="J387" s="225"/>
      <c r="K387" s="225"/>
      <c r="L387" s="145" t="s">
        <v>144</v>
      </c>
      <c r="O387" s="229"/>
      <c r="P387" s="228"/>
    </row>
    <row r="388" spans="9:16" x14ac:dyDescent="0.25">
      <c r="I388" s="225"/>
      <c r="J388" s="225"/>
      <c r="K388" s="225"/>
      <c r="L388" s="145" t="s">
        <v>144</v>
      </c>
      <c r="O388" s="229"/>
      <c r="P388" s="228"/>
    </row>
    <row r="389" spans="9:16" x14ac:dyDescent="0.25">
      <c r="I389" s="225"/>
      <c r="J389" s="225"/>
      <c r="K389" s="225"/>
      <c r="L389" s="145" t="s">
        <v>144</v>
      </c>
      <c r="O389" s="229"/>
      <c r="P389" s="228"/>
    </row>
    <row r="390" spans="9:16" x14ac:dyDescent="0.25">
      <c r="I390" s="225"/>
      <c r="J390" s="225"/>
      <c r="K390" s="225"/>
      <c r="L390" s="145" t="s">
        <v>144</v>
      </c>
      <c r="O390" s="229"/>
      <c r="P390" s="228"/>
    </row>
    <row r="391" spans="9:16" x14ac:dyDescent="0.25">
      <c r="I391" s="225"/>
      <c r="J391" s="225"/>
      <c r="K391" s="225"/>
      <c r="L391" s="145" t="s">
        <v>144</v>
      </c>
      <c r="O391" s="229"/>
      <c r="P391" s="228"/>
    </row>
    <row r="392" spans="9:16" x14ac:dyDescent="0.25">
      <c r="I392" s="225"/>
      <c r="J392" s="225"/>
      <c r="K392" s="225"/>
      <c r="L392" s="145" t="s">
        <v>144</v>
      </c>
      <c r="O392" s="229"/>
      <c r="P392" s="228"/>
    </row>
    <row r="393" spans="9:16" x14ac:dyDescent="0.25">
      <c r="I393" s="225"/>
      <c r="J393" s="225"/>
      <c r="K393" s="225"/>
      <c r="L393" s="145" t="s">
        <v>144</v>
      </c>
      <c r="O393" s="229"/>
      <c r="P393" s="228"/>
    </row>
    <row r="394" spans="9:16" x14ac:dyDescent="0.25">
      <c r="I394" s="225"/>
      <c r="J394" s="225"/>
      <c r="K394" s="225"/>
      <c r="L394" s="145" t="s">
        <v>144</v>
      </c>
      <c r="O394" s="229"/>
      <c r="P394" s="228"/>
    </row>
    <row r="395" spans="9:16" x14ac:dyDescent="0.25">
      <c r="I395" s="225"/>
      <c r="J395" s="225"/>
      <c r="K395" s="225"/>
      <c r="L395" s="145" t="s">
        <v>144</v>
      </c>
      <c r="O395" s="229"/>
      <c r="P395" s="228"/>
    </row>
    <row r="396" spans="9:16" x14ac:dyDescent="0.25">
      <c r="I396" s="225"/>
      <c r="J396" s="225"/>
      <c r="K396" s="225"/>
      <c r="L396" s="145" t="s">
        <v>144</v>
      </c>
      <c r="O396" s="229"/>
      <c r="P396" s="228"/>
    </row>
    <row r="397" spans="9:16" x14ac:dyDescent="0.25">
      <c r="I397" s="225"/>
      <c r="J397" s="225"/>
      <c r="K397" s="225"/>
      <c r="L397" s="145" t="s">
        <v>144</v>
      </c>
      <c r="O397" s="229"/>
      <c r="P397" s="228"/>
    </row>
    <row r="398" spans="9:16" x14ac:dyDescent="0.25">
      <c r="I398" s="225"/>
      <c r="J398" s="225"/>
      <c r="K398" s="225"/>
      <c r="L398" s="145" t="s">
        <v>144</v>
      </c>
      <c r="O398" s="229"/>
      <c r="P398" s="228"/>
    </row>
    <row r="399" spans="9:16" x14ac:dyDescent="0.25">
      <c r="I399" s="225"/>
      <c r="J399" s="225"/>
      <c r="K399" s="225"/>
      <c r="L399" s="145" t="s">
        <v>144</v>
      </c>
      <c r="O399" s="229"/>
      <c r="P399" s="228"/>
    </row>
    <row r="400" spans="9:16" x14ac:dyDescent="0.25">
      <c r="I400" s="225"/>
      <c r="J400" s="225"/>
      <c r="K400" s="225"/>
      <c r="L400" s="145" t="s">
        <v>144</v>
      </c>
      <c r="O400" s="229"/>
      <c r="P400" s="228"/>
    </row>
    <row r="401" spans="9:16" x14ac:dyDescent="0.25">
      <c r="I401" s="225"/>
      <c r="J401" s="225"/>
      <c r="K401" s="225"/>
      <c r="L401" s="145" t="s">
        <v>144</v>
      </c>
      <c r="O401" s="229"/>
      <c r="P401" s="228"/>
    </row>
    <row r="402" spans="9:16" x14ac:dyDescent="0.25">
      <c r="I402" s="225"/>
      <c r="J402" s="225"/>
      <c r="K402" s="225"/>
      <c r="L402" s="145" t="s">
        <v>144</v>
      </c>
      <c r="O402" s="229"/>
      <c r="P402" s="228"/>
    </row>
    <row r="403" spans="9:16" x14ac:dyDescent="0.25">
      <c r="I403" s="225"/>
      <c r="J403" s="225"/>
      <c r="K403" s="225"/>
      <c r="L403" s="145" t="s">
        <v>144</v>
      </c>
      <c r="O403" s="229"/>
      <c r="P403" s="228"/>
    </row>
    <row r="404" spans="9:16" x14ac:dyDescent="0.25">
      <c r="I404" s="225"/>
      <c r="J404" s="225"/>
      <c r="K404" s="225"/>
      <c r="L404" s="145" t="s">
        <v>144</v>
      </c>
      <c r="O404" s="229"/>
      <c r="P404" s="228"/>
    </row>
    <row r="405" spans="9:16" x14ac:dyDescent="0.25">
      <c r="I405" s="225"/>
      <c r="J405" s="225"/>
      <c r="K405" s="225"/>
      <c r="L405" s="145" t="s">
        <v>144</v>
      </c>
      <c r="O405" s="229"/>
      <c r="P405" s="228"/>
    </row>
    <row r="406" spans="9:16" x14ac:dyDescent="0.25">
      <c r="I406" s="225"/>
      <c r="J406" s="225"/>
      <c r="K406" s="225"/>
      <c r="L406" s="145" t="s">
        <v>144</v>
      </c>
      <c r="O406" s="229"/>
      <c r="P406" s="228"/>
    </row>
    <row r="407" spans="9:16" x14ac:dyDescent="0.25">
      <c r="I407" s="225"/>
      <c r="J407" s="225"/>
      <c r="K407" s="225"/>
      <c r="L407" s="145" t="s">
        <v>144</v>
      </c>
      <c r="O407" s="229"/>
      <c r="P407" s="228"/>
    </row>
    <row r="408" spans="9:16" x14ac:dyDescent="0.25">
      <c r="I408" s="225"/>
      <c r="J408" s="225"/>
      <c r="K408" s="225"/>
      <c r="L408" s="145" t="s">
        <v>144</v>
      </c>
      <c r="O408" s="229"/>
      <c r="P408" s="228"/>
    </row>
    <row r="409" spans="9:16" x14ac:dyDescent="0.25">
      <c r="I409" s="225"/>
      <c r="J409" s="225"/>
      <c r="K409" s="225"/>
      <c r="L409" s="145" t="s">
        <v>144</v>
      </c>
      <c r="O409" s="229"/>
      <c r="P409" s="228"/>
    </row>
    <row r="410" spans="9:16" x14ac:dyDescent="0.25">
      <c r="I410" s="225"/>
      <c r="J410" s="225"/>
      <c r="K410" s="225"/>
      <c r="L410" s="145" t="s">
        <v>144</v>
      </c>
      <c r="O410" s="229"/>
      <c r="P410" s="228"/>
    </row>
    <row r="411" spans="9:16" x14ac:dyDescent="0.25">
      <c r="I411" s="225"/>
      <c r="J411" s="225"/>
      <c r="K411" s="225"/>
      <c r="L411" s="145" t="s">
        <v>144</v>
      </c>
      <c r="O411" s="229"/>
      <c r="P411" s="228"/>
    </row>
    <row r="412" spans="9:16" x14ac:dyDescent="0.25">
      <c r="I412" s="225"/>
      <c r="J412" s="225"/>
      <c r="K412" s="225"/>
      <c r="L412" s="145" t="s">
        <v>144</v>
      </c>
      <c r="O412" s="229"/>
      <c r="P412" s="228"/>
    </row>
    <row r="413" spans="9:16" x14ac:dyDescent="0.25">
      <c r="I413" s="225"/>
      <c r="J413" s="225"/>
      <c r="K413" s="225"/>
      <c r="L413" s="145" t="s">
        <v>144</v>
      </c>
      <c r="O413" s="229"/>
      <c r="P413" s="228"/>
    </row>
    <row r="414" spans="9:16" x14ac:dyDescent="0.25">
      <c r="I414" s="225"/>
      <c r="J414" s="225"/>
      <c r="K414" s="225"/>
      <c r="L414" s="145" t="s">
        <v>144</v>
      </c>
      <c r="O414" s="229"/>
      <c r="P414" s="228"/>
    </row>
    <row r="415" spans="9:16" x14ac:dyDescent="0.25">
      <c r="I415" s="225"/>
      <c r="J415" s="225"/>
      <c r="K415" s="225"/>
      <c r="L415" s="145" t="s">
        <v>144</v>
      </c>
      <c r="O415" s="229"/>
      <c r="P415" s="228"/>
    </row>
    <row r="416" spans="9:16" x14ac:dyDescent="0.25">
      <c r="I416" s="225"/>
      <c r="J416" s="225"/>
      <c r="K416" s="225"/>
      <c r="L416" s="145" t="s">
        <v>144</v>
      </c>
      <c r="O416" s="229"/>
      <c r="P416" s="228"/>
    </row>
    <row r="417" spans="9:16" x14ac:dyDescent="0.25">
      <c r="I417" s="225"/>
      <c r="J417" s="225"/>
      <c r="K417" s="225"/>
      <c r="L417" s="145" t="s">
        <v>144</v>
      </c>
      <c r="O417" s="229"/>
      <c r="P417" s="228"/>
    </row>
    <row r="418" spans="9:16" x14ac:dyDescent="0.25">
      <c r="I418" s="225"/>
      <c r="J418" s="225"/>
      <c r="K418" s="225"/>
      <c r="L418" s="145" t="s">
        <v>144</v>
      </c>
      <c r="O418" s="229"/>
      <c r="P418" s="228"/>
    </row>
    <row r="419" spans="9:16" x14ac:dyDescent="0.25">
      <c r="I419" s="225"/>
      <c r="J419" s="225"/>
      <c r="K419" s="225"/>
      <c r="L419" s="145" t="s">
        <v>144</v>
      </c>
      <c r="O419" s="229"/>
      <c r="P419" s="228"/>
    </row>
    <row r="420" spans="9:16" x14ac:dyDescent="0.25">
      <c r="I420" s="225"/>
      <c r="J420" s="225"/>
      <c r="K420" s="225"/>
      <c r="L420" s="145" t="s">
        <v>144</v>
      </c>
      <c r="O420" s="229"/>
      <c r="P420" s="228"/>
    </row>
    <row r="421" spans="9:16" x14ac:dyDescent="0.25">
      <c r="I421" s="225"/>
      <c r="J421" s="225"/>
      <c r="K421" s="225"/>
      <c r="L421" s="145" t="s">
        <v>144</v>
      </c>
      <c r="O421" s="229"/>
      <c r="P421" s="228"/>
    </row>
    <row r="422" spans="9:16" x14ac:dyDescent="0.25">
      <c r="I422" s="225"/>
      <c r="J422" s="225"/>
      <c r="K422" s="225"/>
      <c r="L422" s="145" t="s">
        <v>144</v>
      </c>
      <c r="O422" s="229"/>
      <c r="P422" s="228"/>
    </row>
    <row r="423" spans="9:16" x14ac:dyDescent="0.25">
      <c r="I423" s="225"/>
      <c r="J423" s="225"/>
      <c r="K423" s="225"/>
      <c r="L423" s="145" t="s">
        <v>144</v>
      </c>
      <c r="O423" s="229"/>
      <c r="P423" s="228"/>
    </row>
    <row r="424" spans="9:16" x14ac:dyDescent="0.25">
      <c r="I424" s="225"/>
      <c r="J424" s="225"/>
      <c r="K424" s="225"/>
      <c r="L424" s="145" t="s">
        <v>144</v>
      </c>
      <c r="O424" s="229"/>
      <c r="P424" s="228"/>
    </row>
    <row r="425" spans="9:16" x14ac:dyDescent="0.25">
      <c r="I425" s="225"/>
      <c r="J425" s="225"/>
      <c r="K425" s="225"/>
      <c r="L425" s="145" t="s">
        <v>144</v>
      </c>
      <c r="O425" s="229"/>
      <c r="P425" s="228"/>
    </row>
    <row r="426" spans="9:16" x14ac:dyDescent="0.25">
      <c r="I426" s="225"/>
      <c r="J426" s="225"/>
      <c r="K426" s="225"/>
      <c r="L426" s="145" t="s">
        <v>144</v>
      </c>
      <c r="O426" s="229"/>
      <c r="P426" s="228"/>
    </row>
    <row r="427" spans="9:16" x14ac:dyDescent="0.25">
      <c r="I427" s="225"/>
      <c r="J427" s="225"/>
      <c r="K427" s="225"/>
      <c r="L427" s="145" t="s">
        <v>144</v>
      </c>
      <c r="O427" s="229"/>
      <c r="P427" s="228"/>
    </row>
    <row r="428" spans="9:16" x14ac:dyDescent="0.25">
      <c r="I428" s="225"/>
      <c r="J428" s="225"/>
      <c r="K428" s="225"/>
      <c r="L428" s="145" t="s">
        <v>144</v>
      </c>
      <c r="O428" s="229"/>
      <c r="P428" s="228"/>
    </row>
    <row r="429" spans="9:16" x14ac:dyDescent="0.25">
      <c r="I429" s="225"/>
      <c r="J429" s="225"/>
      <c r="K429" s="225"/>
      <c r="L429" s="145" t="s">
        <v>144</v>
      </c>
      <c r="O429" s="229"/>
      <c r="P429" s="228"/>
    </row>
    <row r="430" spans="9:16" x14ac:dyDescent="0.25">
      <c r="I430" s="225"/>
      <c r="J430" s="225"/>
      <c r="K430" s="225"/>
      <c r="L430" s="145" t="s">
        <v>144</v>
      </c>
      <c r="O430" s="229"/>
      <c r="P430" s="228"/>
    </row>
    <row r="431" spans="9:16" x14ac:dyDescent="0.25">
      <c r="I431" s="225"/>
      <c r="J431" s="225"/>
      <c r="K431" s="225"/>
      <c r="L431" s="145" t="s">
        <v>144</v>
      </c>
      <c r="O431" s="229"/>
      <c r="P431" s="228"/>
    </row>
    <row r="432" spans="9:16" x14ac:dyDescent="0.25">
      <c r="I432" s="225"/>
      <c r="J432" s="225"/>
      <c r="K432" s="225"/>
      <c r="L432" s="145" t="s">
        <v>144</v>
      </c>
      <c r="O432" s="229"/>
      <c r="P432" s="228"/>
    </row>
    <row r="433" spans="9:16" x14ac:dyDescent="0.25">
      <c r="I433" s="225"/>
      <c r="J433" s="225"/>
      <c r="K433" s="225"/>
      <c r="L433" s="145" t="s">
        <v>144</v>
      </c>
      <c r="O433" s="229"/>
      <c r="P433" s="228"/>
    </row>
    <row r="434" spans="9:16" x14ac:dyDescent="0.25">
      <c r="I434" s="225"/>
      <c r="J434" s="225"/>
      <c r="K434" s="225"/>
      <c r="L434" s="145" t="s">
        <v>144</v>
      </c>
      <c r="O434" s="229"/>
      <c r="P434" s="228"/>
    </row>
    <row r="435" spans="9:16" x14ac:dyDescent="0.25">
      <c r="I435" s="225"/>
      <c r="J435" s="225"/>
      <c r="K435" s="225"/>
      <c r="L435" s="145" t="s">
        <v>144</v>
      </c>
      <c r="O435" s="229"/>
      <c r="P435" s="228"/>
    </row>
    <row r="436" spans="9:16" x14ac:dyDescent="0.25">
      <c r="I436" s="225"/>
      <c r="J436" s="225"/>
      <c r="K436" s="225"/>
      <c r="L436" s="145" t="s">
        <v>144</v>
      </c>
      <c r="O436" s="229"/>
      <c r="P436" s="228"/>
    </row>
    <row r="437" spans="9:16" x14ac:dyDescent="0.25">
      <c r="I437" s="225"/>
      <c r="J437" s="225"/>
      <c r="K437" s="225"/>
      <c r="L437" s="145" t="s">
        <v>144</v>
      </c>
      <c r="O437" s="229"/>
      <c r="P437" s="228"/>
    </row>
    <row r="438" spans="9:16" x14ac:dyDescent="0.25">
      <c r="I438" s="225"/>
      <c r="J438" s="225"/>
      <c r="K438" s="225"/>
      <c r="L438" s="145" t="s">
        <v>144</v>
      </c>
      <c r="O438" s="229"/>
      <c r="P438" s="228"/>
    </row>
    <row r="439" spans="9:16" x14ac:dyDescent="0.25">
      <c r="I439" s="225"/>
      <c r="J439" s="225"/>
      <c r="K439" s="225"/>
      <c r="L439" s="145" t="s">
        <v>145</v>
      </c>
      <c r="O439" s="229"/>
      <c r="P439" s="228"/>
    </row>
    <row r="440" spans="9:16" x14ac:dyDescent="0.25">
      <c r="I440" s="225"/>
      <c r="J440" s="225"/>
      <c r="K440" s="225"/>
      <c r="L440" s="145" t="s">
        <v>144</v>
      </c>
      <c r="O440" s="229"/>
      <c r="P440" s="228"/>
    </row>
    <row r="441" spans="9:16" x14ac:dyDescent="0.25">
      <c r="I441" s="225"/>
      <c r="J441" s="225"/>
      <c r="K441" s="225"/>
      <c r="L441" s="145" t="s">
        <v>144</v>
      </c>
      <c r="O441" s="229"/>
      <c r="P441" s="228"/>
    </row>
    <row r="442" spans="9:16" x14ac:dyDescent="0.25">
      <c r="I442" s="225"/>
      <c r="J442" s="225"/>
      <c r="K442" s="225"/>
      <c r="L442" s="145" t="s">
        <v>145</v>
      </c>
      <c r="O442" s="229"/>
      <c r="P442" s="228"/>
    </row>
    <row r="443" spans="9:16" x14ac:dyDescent="0.25">
      <c r="I443" s="225"/>
      <c r="J443" s="225"/>
      <c r="K443" s="225"/>
      <c r="L443" s="145" t="s">
        <v>144</v>
      </c>
      <c r="O443" s="229"/>
      <c r="P443" s="228"/>
    </row>
    <row r="444" spans="9:16" x14ac:dyDescent="0.25">
      <c r="I444" s="225"/>
      <c r="J444" s="225"/>
      <c r="K444" s="225"/>
      <c r="L444" s="145" t="s">
        <v>144</v>
      </c>
      <c r="O444" s="229"/>
      <c r="P444" s="228"/>
    </row>
    <row r="445" spans="9:16" x14ac:dyDescent="0.25">
      <c r="I445" s="225"/>
      <c r="J445" s="225"/>
      <c r="K445" s="225"/>
      <c r="L445" s="145" t="s">
        <v>144</v>
      </c>
      <c r="O445" s="229"/>
      <c r="P445" s="228"/>
    </row>
    <row r="446" spans="9:16" x14ac:dyDescent="0.25">
      <c r="I446" s="225"/>
      <c r="J446" s="225"/>
      <c r="K446" s="225"/>
      <c r="L446" s="145" t="s">
        <v>144</v>
      </c>
      <c r="O446" s="229"/>
      <c r="P446" s="228"/>
    </row>
    <row r="447" spans="9:16" x14ac:dyDescent="0.25">
      <c r="I447" s="225"/>
      <c r="J447" s="225"/>
      <c r="K447" s="225"/>
      <c r="L447" s="145" t="s">
        <v>145</v>
      </c>
      <c r="O447" s="229"/>
      <c r="P447" s="228"/>
    </row>
    <row r="448" spans="9:16" x14ac:dyDescent="0.25">
      <c r="I448" s="225"/>
      <c r="J448" s="225"/>
      <c r="K448" s="225"/>
      <c r="L448" s="145" t="s">
        <v>144</v>
      </c>
      <c r="O448" s="229"/>
      <c r="P448" s="228"/>
    </row>
    <row r="449" spans="9:16" x14ac:dyDescent="0.25">
      <c r="I449" s="225"/>
      <c r="J449" s="225"/>
      <c r="K449" s="225"/>
      <c r="L449" s="145" t="s">
        <v>144</v>
      </c>
      <c r="O449" s="229"/>
      <c r="P449" s="228"/>
    </row>
    <row r="450" spans="9:16" x14ac:dyDescent="0.25">
      <c r="I450" s="225"/>
      <c r="J450" s="225"/>
      <c r="K450" s="225"/>
      <c r="L450" s="145" t="s">
        <v>144</v>
      </c>
      <c r="O450" s="229"/>
      <c r="P450" s="228"/>
    </row>
    <row r="451" spans="9:16" x14ac:dyDescent="0.25">
      <c r="I451" s="225"/>
      <c r="J451" s="225"/>
      <c r="K451" s="225"/>
      <c r="L451" s="145" t="s">
        <v>145</v>
      </c>
      <c r="O451" s="229"/>
      <c r="P451" s="228"/>
    </row>
    <row r="452" spans="9:16" x14ac:dyDescent="0.25">
      <c r="I452" s="225"/>
      <c r="J452" s="225"/>
      <c r="K452" s="225"/>
      <c r="L452" s="145" t="s">
        <v>145</v>
      </c>
      <c r="O452" s="229"/>
      <c r="P452" s="228"/>
    </row>
    <row r="453" spans="9:16" x14ac:dyDescent="0.25">
      <c r="I453" s="225"/>
      <c r="J453" s="225"/>
      <c r="K453" s="225"/>
      <c r="L453" s="145" t="s">
        <v>144</v>
      </c>
      <c r="O453" s="229"/>
      <c r="P453" s="228"/>
    </row>
    <row r="454" spans="9:16" x14ac:dyDescent="0.25">
      <c r="I454" s="225"/>
      <c r="J454" s="225"/>
      <c r="K454" s="225"/>
      <c r="L454" s="145" t="s">
        <v>144</v>
      </c>
      <c r="O454" s="229"/>
      <c r="P454" s="228"/>
    </row>
    <row r="455" spans="9:16" x14ac:dyDescent="0.25">
      <c r="I455" s="225"/>
      <c r="J455" s="225"/>
      <c r="K455" s="225"/>
      <c r="L455" s="145" t="s">
        <v>144</v>
      </c>
      <c r="O455" s="229"/>
      <c r="P455" s="228"/>
    </row>
    <row r="456" spans="9:16" x14ac:dyDescent="0.25">
      <c r="I456" s="225"/>
      <c r="J456" s="225"/>
      <c r="K456" s="225"/>
      <c r="L456" s="145" t="s">
        <v>145</v>
      </c>
      <c r="O456" s="229"/>
      <c r="P456" s="228"/>
    </row>
    <row r="457" spans="9:16" x14ac:dyDescent="0.25">
      <c r="I457" s="225"/>
      <c r="J457" s="225"/>
      <c r="K457" s="225"/>
      <c r="L457" s="145" t="s">
        <v>144</v>
      </c>
      <c r="O457" s="229"/>
      <c r="P457" s="228"/>
    </row>
    <row r="458" spans="9:16" x14ac:dyDescent="0.25">
      <c r="I458" s="225"/>
      <c r="J458" s="225"/>
      <c r="K458" s="225"/>
      <c r="L458" s="145" t="s">
        <v>144</v>
      </c>
      <c r="O458" s="229"/>
      <c r="P458" s="228"/>
    </row>
    <row r="459" spans="9:16" x14ac:dyDescent="0.25">
      <c r="I459" s="225"/>
      <c r="J459" s="225"/>
      <c r="K459" s="225"/>
      <c r="L459" s="145" t="s">
        <v>145</v>
      </c>
      <c r="O459" s="229"/>
      <c r="P459" s="228"/>
    </row>
    <row r="460" spans="9:16" x14ac:dyDescent="0.25">
      <c r="I460" s="225"/>
      <c r="J460" s="225"/>
      <c r="K460" s="225"/>
      <c r="L460" s="145" t="s">
        <v>145</v>
      </c>
      <c r="O460" s="229"/>
      <c r="P460" s="228"/>
    </row>
    <row r="461" spans="9:16" x14ac:dyDescent="0.25">
      <c r="I461" s="225"/>
      <c r="J461" s="225"/>
      <c r="K461" s="225"/>
      <c r="L461" s="145" t="s">
        <v>144</v>
      </c>
      <c r="O461" s="229"/>
      <c r="P461" s="228"/>
    </row>
    <row r="462" spans="9:16" x14ac:dyDescent="0.25">
      <c r="I462" s="225"/>
      <c r="J462" s="225"/>
      <c r="K462" s="225"/>
      <c r="L462" s="145" t="s">
        <v>145</v>
      </c>
      <c r="O462" s="229"/>
      <c r="P462" s="228"/>
    </row>
    <row r="463" spans="9:16" x14ac:dyDescent="0.25">
      <c r="I463" s="225"/>
      <c r="J463" s="225"/>
      <c r="K463" s="225"/>
      <c r="L463" s="145" t="s">
        <v>145</v>
      </c>
      <c r="O463" s="229"/>
      <c r="P463" s="228"/>
    </row>
    <row r="464" spans="9:16" x14ac:dyDescent="0.25">
      <c r="I464" s="225"/>
      <c r="J464" s="225"/>
      <c r="K464" s="225"/>
      <c r="L464" s="145" t="s">
        <v>145</v>
      </c>
      <c r="O464" s="229"/>
      <c r="P464" s="228"/>
    </row>
    <row r="465" spans="9:16" x14ac:dyDescent="0.25">
      <c r="I465" s="225"/>
      <c r="J465" s="225"/>
      <c r="K465" s="225"/>
      <c r="L465" s="145" t="s">
        <v>145</v>
      </c>
      <c r="O465" s="229"/>
      <c r="P465" s="228"/>
    </row>
    <row r="466" spans="9:16" x14ac:dyDescent="0.25">
      <c r="I466" s="225"/>
      <c r="J466" s="225"/>
      <c r="K466" s="225"/>
      <c r="L466" s="145" t="s">
        <v>145</v>
      </c>
      <c r="O466" s="229"/>
      <c r="P466" s="228"/>
    </row>
    <row r="467" spans="9:16" x14ac:dyDescent="0.25">
      <c r="I467" s="225"/>
      <c r="J467" s="225"/>
      <c r="K467" s="225"/>
      <c r="L467" s="145" t="s">
        <v>145</v>
      </c>
      <c r="O467" s="229"/>
      <c r="P467" s="228"/>
    </row>
    <row r="468" spans="9:16" x14ac:dyDescent="0.25">
      <c r="I468" s="225"/>
      <c r="J468" s="225"/>
      <c r="K468" s="225"/>
      <c r="L468" s="145" t="s">
        <v>145</v>
      </c>
      <c r="O468" s="229"/>
      <c r="P468" s="228"/>
    </row>
    <row r="469" spans="9:16" x14ac:dyDescent="0.25">
      <c r="I469" s="225"/>
      <c r="J469" s="225"/>
      <c r="K469" s="225"/>
      <c r="L469" s="145" t="s">
        <v>145</v>
      </c>
      <c r="O469" s="229"/>
      <c r="P469" s="228"/>
    </row>
    <row r="470" spans="9:16" x14ac:dyDescent="0.25">
      <c r="I470" s="225"/>
      <c r="J470" s="225"/>
      <c r="K470" s="225"/>
      <c r="L470" s="145" t="s">
        <v>145</v>
      </c>
      <c r="O470" s="229"/>
      <c r="P470" s="228"/>
    </row>
    <row r="471" spans="9:16" x14ac:dyDescent="0.25">
      <c r="I471" s="225"/>
      <c r="J471" s="225"/>
      <c r="K471" s="225"/>
      <c r="L471" s="145" t="s">
        <v>145</v>
      </c>
      <c r="O471" s="229"/>
      <c r="P471" s="228"/>
    </row>
    <row r="472" spans="9:16" x14ac:dyDescent="0.25">
      <c r="I472" s="225"/>
      <c r="J472" s="225"/>
      <c r="K472" s="225"/>
      <c r="L472" s="145" t="s">
        <v>145</v>
      </c>
      <c r="O472" s="229"/>
      <c r="P472" s="228"/>
    </row>
    <row r="473" spans="9:16" x14ac:dyDescent="0.25">
      <c r="I473" s="225"/>
      <c r="J473" s="225"/>
      <c r="K473" s="225"/>
      <c r="L473" s="145" t="s">
        <v>145</v>
      </c>
      <c r="O473" s="229"/>
      <c r="P473" s="228"/>
    </row>
    <row r="474" spans="9:16" x14ac:dyDescent="0.25">
      <c r="I474" s="225"/>
      <c r="J474" s="225"/>
      <c r="K474" s="225"/>
      <c r="L474" s="145" t="s">
        <v>145</v>
      </c>
      <c r="O474" s="229"/>
      <c r="P474" s="228"/>
    </row>
    <row r="475" spans="9:16" x14ac:dyDescent="0.25">
      <c r="I475" s="225"/>
      <c r="J475" s="225"/>
      <c r="K475" s="225"/>
      <c r="L475" s="145" t="s">
        <v>145</v>
      </c>
      <c r="O475" s="229"/>
      <c r="P475" s="228"/>
    </row>
    <row r="476" spans="9:16" x14ac:dyDescent="0.25">
      <c r="I476" s="225"/>
      <c r="J476" s="225"/>
      <c r="K476" s="225"/>
      <c r="L476" s="145" t="s">
        <v>145</v>
      </c>
      <c r="O476" s="229"/>
      <c r="P476" s="228"/>
    </row>
    <row r="477" spans="9:16" x14ac:dyDescent="0.25">
      <c r="I477" s="225"/>
      <c r="J477" s="225"/>
      <c r="K477" s="225"/>
      <c r="L477" s="145" t="s">
        <v>145</v>
      </c>
      <c r="O477" s="229"/>
      <c r="P477" s="228"/>
    </row>
    <row r="478" spans="9:16" x14ac:dyDescent="0.25">
      <c r="I478" s="225"/>
      <c r="J478" s="225"/>
      <c r="K478" s="225"/>
      <c r="L478" s="145" t="s">
        <v>144</v>
      </c>
      <c r="O478" s="229"/>
      <c r="P478" s="228"/>
    </row>
    <row r="479" spans="9:16" x14ac:dyDescent="0.25">
      <c r="I479" s="225"/>
      <c r="J479" s="225"/>
      <c r="K479" s="225"/>
      <c r="L479" s="145" t="s">
        <v>145</v>
      </c>
      <c r="O479" s="229"/>
      <c r="P479" s="228"/>
    </row>
    <row r="480" spans="9:16" x14ac:dyDescent="0.25">
      <c r="I480" s="225"/>
      <c r="J480" s="225"/>
      <c r="K480" s="225"/>
      <c r="L480" s="145" t="s">
        <v>145</v>
      </c>
      <c r="O480" s="229"/>
      <c r="P480" s="228"/>
    </row>
    <row r="481" spans="9:16" x14ac:dyDescent="0.25">
      <c r="I481" s="225"/>
      <c r="J481" s="225"/>
      <c r="K481" s="225"/>
      <c r="L481" s="145" t="s">
        <v>145</v>
      </c>
      <c r="O481" s="229"/>
      <c r="P481" s="228"/>
    </row>
    <row r="482" spans="9:16" x14ac:dyDescent="0.25">
      <c r="I482" s="225"/>
      <c r="J482" s="225"/>
      <c r="K482" s="225"/>
      <c r="L482" s="145" t="s">
        <v>145</v>
      </c>
      <c r="O482" s="229"/>
      <c r="P482" s="228"/>
    </row>
    <row r="483" spans="9:16" x14ac:dyDescent="0.25">
      <c r="I483" s="225"/>
      <c r="J483" s="225"/>
      <c r="K483" s="225"/>
      <c r="L483" s="145" t="s">
        <v>145</v>
      </c>
      <c r="O483" s="229"/>
      <c r="P483" s="228"/>
    </row>
    <row r="484" spans="9:16" x14ac:dyDescent="0.25">
      <c r="I484" s="225"/>
      <c r="J484" s="225"/>
      <c r="K484" s="225"/>
      <c r="L484" s="145" t="s">
        <v>145</v>
      </c>
      <c r="O484" s="229"/>
      <c r="P484" s="228"/>
    </row>
    <row r="485" spans="9:16" x14ac:dyDescent="0.25">
      <c r="I485" s="225"/>
      <c r="J485" s="225"/>
      <c r="K485" s="225"/>
      <c r="L485" s="145" t="s">
        <v>145</v>
      </c>
      <c r="O485" s="229"/>
      <c r="P485" s="228"/>
    </row>
    <row r="486" spans="9:16" x14ac:dyDescent="0.25">
      <c r="I486" s="225"/>
      <c r="J486" s="225"/>
      <c r="K486" s="225"/>
      <c r="L486" s="145" t="s">
        <v>145</v>
      </c>
      <c r="O486" s="229"/>
      <c r="P486" s="228"/>
    </row>
    <row r="487" spans="9:16" x14ac:dyDescent="0.25">
      <c r="I487" s="225"/>
      <c r="J487" s="225"/>
      <c r="K487" s="225"/>
      <c r="L487" s="145" t="s">
        <v>145</v>
      </c>
      <c r="O487" s="229"/>
      <c r="P487" s="228"/>
    </row>
    <row r="488" spans="9:16" x14ac:dyDescent="0.25">
      <c r="I488" s="225"/>
      <c r="J488" s="225"/>
      <c r="K488" s="225"/>
      <c r="L488" s="145" t="s">
        <v>145</v>
      </c>
      <c r="O488" s="229"/>
      <c r="P488" s="228"/>
    </row>
    <row r="489" spans="9:16" x14ac:dyDescent="0.25">
      <c r="I489" s="225"/>
      <c r="J489" s="225"/>
      <c r="K489" s="225"/>
      <c r="L489" s="145" t="s">
        <v>145</v>
      </c>
      <c r="O489" s="229"/>
      <c r="P489" s="228"/>
    </row>
    <row r="490" spans="9:16" x14ac:dyDescent="0.25">
      <c r="I490" s="225"/>
      <c r="J490" s="225"/>
      <c r="K490" s="225"/>
      <c r="L490" s="145" t="s">
        <v>145</v>
      </c>
      <c r="O490" s="229"/>
      <c r="P490" s="228"/>
    </row>
    <row r="491" spans="9:16" x14ac:dyDescent="0.25">
      <c r="I491" s="225"/>
      <c r="J491" s="225"/>
      <c r="K491" s="225"/>
      <c r="L491" s="145" t="s">
        <v>145</v>
      </c>
      <c r="O491" s="229"/>
      <c r="P491" s="228"/>
    </row>
    <row r="492" spans="9:16" x14ac:dyDescent="0.25">
      <c r="I492" s="225"/>
      <c r="J492" s="225"/>
      <c r="K492" s="225"/>
      <c r="L492" s="145" t="s">
        <v>145</v>
      </c>
      <c r="O492" s="229"/>
      <c r="P492" s="228"/>
    </row>
    <row r="493" spans="9:16" x14ac:dyDescent="0.25">
      <c r="I493" s="225"/>
      <c r="J493" s="225"/>
      <c r="K493" s="225"/>
      <c r="L493" s="145" t="s">
        <v>145</v>
      </c>
      <c r="O493" s="229"/>
      <c r="P493" s="228"/>
    </row>
    <row r="494" spans="9:16" x14ac:dyDescent="0.25">
      <c r="I494" s="225"/>
      <c r="J494" s="225"/>
      <c r="K494" s="225"/>
      <c r="L494" s="145" t="s">
        <v>145</v>
      </c>
      <c r="O494" s="229"/>
      <c r="P494" s="228"/>
    </row>
    <row r="495" spans="9:16" x14ac:dyDescent="0.25">
      <c r="I495" s="225"/>
      <c r="J495" s="225"/>
      <c r="K495" s="225"/>
      <c r="L495" s="145" t="s">
        <v>145</v>
      </c>
      <c r="O495" s="229"/>
      <c r="P495" s="228"/>
    </row>
    <row r="496" spans="9:16" x14ac:dyDescent="0.25">
      <c r="I496" s="225"/>
      <c r="J496" s="225"/>
      <c r="K496" s="225"/>
      <c r="L496" s="145" t="s">
        <v>145</v>
      </c>
      <c r="O496" s="229"/>
      <c r="P496" s="228"/>
    </row>
    <row r="497" spans="9:16" x14ac:dyDescent="0.25">
      <c r="I497" s="225"/>
      <c r="J497" s="225"/>
      <c r="K497" s="225"/>
      <c r="L497" s="145" t="s">
        <v>145</v>
      </c>
      <c r="O497" s="229"/>
      <c r="P497" s="228"/>
    </row>
    <row r="498" spans="9:16" x14ac:dyDescent="0.25">
      <c r="I498" s="225"/>
      <c r="J498" s="225"/>
      <c r="K498" s="225"/>
      <c r="L498" s="145" t="s">
        <v>145</v>
      </c>
      <c r="O498" s="229"/>
      <c r="P498" s="228"/>
    </row>
    <row r="499" spans="9:16" x14ac:dyDescent="0.25">
      <c r="I499" s="225"/>
      <c r="J499" s="225"/>
      <c r="K499" s="225"/>
      <c r="L499" s="145" t="s">
        <v>145</v>
      </c>
      <c r="O499" s="229"/>
      <c r="P499" s="228"/>
    </row>
    <row r="500" spans="9:16" x14ac:dyDescent="0.25">
      <c r="I500" s="225"/>
      <c r="J500" s="225"/>
      <c r="K500" s="225"/>
      <c r="L500" s="145" t="s">
        <v>145</v>
      </c>
      <c r="O500" s="229"/>
      <c r="P500" s="228"/>
    </row>
    <row r="501" spans="9:16" x14ac:dyDescent="0.25">
      <c r="I501" s="225"/>
      <c r="J501" s="225"/>
      <c r="K501" s="225"/>
      <c r="L501" s="145" t="s">
        <v>145</v>
      </c>
      <c r="O501" s="229"/>
      <c r="P501" s="228"/>
    </row>
    <row r="502" spans="9:16" x14ac:dyDescent="0.25">
      <c r="I502" s="225"/>
      <c r="J502" s="225"/>
      <c r="K502" s="225"/>
      <c r="L502" s="145" t="s">
        <v>145</v>
      </c>
      <c r="O502" s="229"/>
      <c r="P502" s="228"/>
    </row>
    <row r="503" spans="9:16" x14ac:dyDescent="0.25">
      <c r="I503" s="225"/>
      <c r="J503" s="225"/>
      <c r="K503" s="225"/>
      <c r="L503" s="145" t="s">
        <v>145</v>
      </c>
      <c r="O503" s="229"/>
      <c r="P503" s="228"/>
    </row>
    <row r="504" spans="9:16" x14ac:dyDescent="0.25">
      <c r="I504" s="225"/>
      <c r="J504" s="225"/>
      <c r="K504" s="225"/>
      <c r="L504" s="145" t="s">
        <v>145</v>
      </c>
      <c r="O504" s="229"/>
      <c r="P504" s="228"/>
    </row>
    <row r="505" spans="9:16" x14ac:dyDescent="0.25">
      <c r="I505" s="225"/>
      <c r="J505" s="225"/>
      <c r="K505" s="225"/>
      <c r="L505" s="145" t="s">
        <v>145</v>
      </c>
      <c r="O505" s="229"/>
      <c r="P505" s="228"/>
    </row>
    <row r="506" spans="9:16" x14ac:dyDescent="0.25">
      <c r="I506" s="225"/>
      <c r="J506" s="225"/>
      <c r="K506" s="225"/>
      <c r="L506" s="145" t="s">
        <v>145</v>
      </c>
      <c r="O506" s="229"/>
      <c r="P506" s="228"/>
    </row>
    <row r="507" spans="9:16" x14ac:dyDescent="0.25">
      <c r="I507" s="225"/>
      <c r="J507" s="225"/>
      <c r="K507" s="225"/>
      <c r="L507" s="145" t="s">
        <v>145</v>
      </c>
      <c r="O507" s="229"/>
      <c r="P507" s="228"/>
    </row>
    <row r="508" spans="9:16" x14ac:dyDescent="0.25">
      <c r="I508" s="225"/>
      <c r="J508" s="225"/>
      <c r="K508" s="225"/>
      <c r="L508" s="145" t="s">
        <v>145</v>
      </c>
      <c r="O508" s="229"/>
      <c r="P508" s="228"/>
    </row>
    <row r="509" spans="9:16" x14ac:dyDescent="0.25">
      <c r="I509" s="225"/>
      <c r="J509" s="225"/>
      <c r="K509" s="225"/>
      <c r="L509" s="145" t="s">
        <v>145</v>
      </c>
      <c r="O509" s="229"/>
      <c r="P509" s="228"/>
    </row>
    <row r="510" spans="9:16" x14ac:dyDescent="0.25">
      <c r="I510" s="225"/>
      <c r="J510" s="225"/>
      <c r="K510" s="225"/>
      <c r="L510" s="145" t="s">
        <v>145</v>
      </c>
      <c r="O510" s="229"/>
      <c r="P510" s="228"/>
    </row>
    <row r="511" spans="9:16" x14ac:dyDescent="0.25">
      <c r="I511" s="225"/>
      <c r="J511" s="225"/>
      <c r="K511" s="225"/>
      <c r="L511" s="145" t="s">
        <v>145</v>
      </c>
      <c r="O511" s="229"/>
      <c r="P511" s="228"/>
    </row>
    <row r="512" spans="9:16" x14ac:dyDescent="0.25">
      <c r="I512" s="225"/>
      <c r="J512" s="225"/>
      <c r="K512" s="225"/>
      <c r="L512" s="145" t="s">
        <v>145</v>
      </c>
      <c r="O512" s="229"/>
      <c r="P512" s="228"/>
    </row>
    <row r="513" spans="9:16" x14ac:dyDescent="0.25">
      <c r="I513" s="225"/>
      <c r="J513" s="225"/>
      <c r="K513" s="225"/>
      <c r="L513" s="145" t="s">
        <v>145</v>
      </c>
      <c r="O513" s="229"/>
      <c r="P513" s="228"/>
    </row>
    <row r="514" spans="9:16" x14ac:dyDescent="0.25">
      <c r="I514" s="225"/>
      <c r="J514" s="225"/>
      <c r="K514" s="225"/>
      <c r="L514" s="145" t="s">
        <v>145</v>
      </c>
      <c r="O514" s="229"/>
      <c r="P514" s="228"/>
    </row>
    <row r="515" spans="9:16" x14ac:dyDescent="0.25">
      <c r="I515" s="225"/>
      <c r="J515" s="225"/>
      <c r="K515" s="225"/>
      <c r="L515" s="145" t="s">
        <v>145</v>
      </c>
      <c r="O515" s="229"/>
      <c r="P515" s="228"/>
    </row>
    <row r="516" spans="9:16" x14ac:dyDescent="0.25">
      <c r="I516" s="225"/>
      <c r="J516" s="225"/>
      <c r="K516" s="225"/>
      <c r="L516" s="145" t="s">
        <v>145</v>
      </c>
      <c r="O516" s="229"/>
      <c r="P516" s="228"/>
    </row>
    <row r="517" spans="9:16" x14ac:dyDescent="0.25">
      <c r="I517" s="225"/>
      <c r="J517" s="225"/>
      <c r="K517" s="225"/>
      <c r="L517" s="145" t="s">
        <v>145</v>
      </c>
      <c r="O517" s="229"/>
      <c r="P517" s="228"/>
    </row>
    <row r="518" spans="9:16" x14ac:dyDescent="0.25">
      <c r="I518" s="225"/>
      <c r="J518" s="225"/>
      <c r="K518" s="225"/>
      <c r="L518" s="145" t="s">
        <v>145</v>
      </c>
      <c r="O518" s="229"/>
      <c r="P518" s="228"/>
    </row>
    <row r="519" spans="9:16" x14ac:dyDescent="0.25">
      <c r="I519" s="225"/>
      <c r="J519" s="225"/>
      <c r="K519" s="225"/>
      <c r="L519" s="145" t="s">
        <v>145</v>
      </c>
      <c r="O519" s="229"/>
      <c r="P519" s="228"/>
    </row>
    <row r="520" spans="9:16" x14ac:dyDescent="0.25">
      <c r="I520" s="225"/>
      <c r="J520" s="225"/>
      <c r="K520" s="225"/>
      <c r="L520" s="145" t="s">
        <v>145</v>
      </c>
      <c r="O520" s="229"/>
      <c r="P520" s="228"/>
    </row>
    <row r="521" spans="9:16" x14ac:dyDescent="0.25">
      <c r="I521" s="225"/>
      <c r="J521" s="225"/>
      <c r="K521" s="225"/>
      <c r="L521" s="145" t="s">
        <v>145</v>
      </c>
      <c r="O521" s="229"/>
      <c r="P521" s="228"/>
    </row>
    <row r="522" spans="9:16" x14ac:dyDescent="0.25">
      <c r="I522" s="225"/>
      <c r="J522" s="225"/>
      <c r="K522" s="225"/>
      <c r="L522" s="145" t="s">
        <v>145</v>
      </c>
      <c r="O522" s="229"/>
      <c r="P522" s="228"/>
    </row>
    <row r="523" spans="9:16" x14ac:dyDescent="0.25">
      <c r="I523" s="225"/>
      <c r="J523" s="225"/>
      <c r="K523" s="225"/>
      <c r="L523" s="145" t="s">
        <v>145</v>
      </c>
      <c r="O523" s="229"/>
      <c r="P523" s="228"/>
    </row>
    <row r="524" spans="9:16" x14ac:dyDescent="0.25">
      <c r="I524" s="225"/>
      <c r="J524" s="225"/>
      <c r="K524" s="225"/>
      <c r="L524" s="145" t="s">
        <v>145</v>
      </c>
      <c r="O524" s="229"/>
      <c r="P524" s="228"/>
    </row>
    <row r="525" spans="9:16" x14ac:dyDescent="0.25">
      <c r="I525" s="225"/>
      <c r="J525" s="225"/>
      <c r="K525" s="225"/>
      <c r="L525" s="145" t="s">
        <v>145</v>
      </c>
      <c r="O525" s="229"/>
      <c r="P525" s="228"/>
    </row>
    <row r="526" spans="9:16" x14ac:dyDescent="0.25">
      <c r="I526" s="225"/>
      <c r="J526" s="225"/>
      <c r="K526" s="225"/>
      <c r="L526" s="145" t="s">
        <v>145</v>
      </c>
      <c r="O526" s="229"/>
      <c r="P526" s="228"/>
    </row>
    <row r="527" spans="9:16" x14ac:dyDescent="0.25">
      <c r="I527" s="225"/>
      <c r="J527" s="225"/>
      <c r="K527" s="225"/>
      <c r="L527" s="145" t="s">
        <v>145</v>
      </c>
      <c r="O527" s="229"/>
      <c r="P527" s="228"/>
    </row>
    <row r="528" spans="9:16" x14ac:dyDescent="0.25">
      <c r="I528" s="225"/>
      <c r="J528" s="225"/>
      <c r="K528" s="225"/>
      <c r="L528" s="145" t="s">
        <v>145</v>
      </c>
      <c r="O528" s="229"/>
      <c r="P528" s="228"/>
    </row>
    <row r="529" spans="9:16" x14ac:dyDescent="0.25">
      <c r="I529" s="225"/>
      <c r="J529" s="225"/>
      <c r="K529" s="225"/>
      <c r="L529" s="145" t="s">
        <v>145</v>
      </c>
      <c r="O529" s="229"/>
      <c r="P529" s="228"/>
    </row>
    <row r="530" spans="9:16" x14ac:dyDescent="0.25">
      <c r="I530" s="225"/>
      <c r="J530" s="225"/>
      <c r="K530" s="225"/>
      <c r="L530" s="145" t="s">
        <v>145</v>
      </c>
      <c r="O530" s="229"/>
      <c r="P530" s="228"/>
    </row>
    <row r="531" spans="9:16" x14ac:dyDescent="0.25">
      <c r="I531" s="225"/>
      <c r="J531" s="225"/>
      <c r="K531" s="225"/>
      <c r="L531" s="145" t="s">
        <v>145</v>
      </c>
      <c r="O531" s="229"/>
      <c r="P531" s="228"/>
    </row>
    <row r="532" spans="9:16" x14ac:dyDescent="0.25">
      <c r="I532" s="225"/>
      <c r="J532" s="225"/>
      <c r="K532" s="225"/>
      <c r="L532" s="145" t="s">
        <v>145</v>
      </c>
      <c r="O532" s="229"/>
      <c r="P532" s="228"/>
    </row>
    <row r="533" spans="9:16" x14ac:dyDescent="0.25">
      <c r="I533" s="225"/>
      <c r="J533" s="225"/>
      <c r="K533" s="225"/>
      <c r="L533" s="145" t="s">
        <v>145</v>
      </c>
      <c r="O533" s="229"/>
      <c r="P533" s="228"/>
    </row>
    <row r="534" spans="9:16" x14ac:dyDescent="0.25">
      <c r="I534" s="225"/>
      <c r="J534" s="225"/>
      <c r="K534" s="225"/>
      <c r="L534" s="145" t="s">
        <v>145</v>
      </c>
      <c r="O534" s="229"/>
      <c r="P534" s="228"/>
    </row>
    <row r="535" spans="9:16" x14ac:dyDescent="0.25">
      <c r="I535" s="225"/>
      <c r="J535" s="225"/>
      <c r="K535" s="225"/>
      <c r="L535" s="145" t="s">
        <v>145</v>
      </c>
      <c r="O535" s="229"/>
      <c r="P535" s="228"/>
    </row>
    <row r="536" spans="9:16" x14ac:dyDescent="0.25">
      <c r="I536" s="225"/>
      <c r="J536" s="225"/>
      <c r="K536" s="225"/>
      <c r="L536" s="145" t="s">
        <v>145</v>
      </c>
      <c r="O536" s="229"/>
      <c r="P536" s="228"/>
    </row>
    <row r="537" spans="9:16" x14ac:dyDescent="0.25">
      <c r="I537" s="225"/>
      <c r="J537" s="225"/>
      <c r="K537" s="225"/>
      <c r="L537" s="145" t="s">
        <v>145</v>
      </c>
      <c r="O537" s="229"/>
      <c r="P537" s="228"/>
    </row>
    <row r="538" spans="9:16" x14ac:dyDescent="0.25">
      <c r="I538" s="225"/>
      <c r="J538" s="225"/>
      <c r="K538" s="225"/>
      <c r="L538" s="145" t="s">
        <v>145</v>
      </c>
      <c r="O538" s="229"/>
      <c r="P538" s="228"/>
    </row>
    <row r="539" spans="9:16" x14ac:dyDescent="0.25">
      <c r="I539" s="225"/>
      <c r="J539" s="225"/>
      <c r="K539" s="225"/>
      <c r="L539" s="145" t="s">
        <v>145</v>
      </c>
      <c r="O539" s="229"/>
      <c r="P539" s="228"/>
    </row>
    <row r="540" spans="9:16" x14ac:dyDescent="0.25">
      <c r="I540" s="225"/>
      <c r="J540" s="225"/>
      <c r="K540" s="225"/>
      <c r="L540" s="145" t="s">
        <v>145</v>
      </c>
      <c r="O540" s="229"/>
      <c r="P540" s="228"/>
    </row>
    <row r="541" spans="9:16" x14ac:dyDescent="0.25">
      <c r="I541" s="225"/>
      <c r="J541" s="225"/>
      <c r="K541" s="225"/>
      <c r="L541" s="145" t="s">
        <v>145</v>
      </c>
      <c r="O541" s="229"/>
      <c r="P541" s="228"/>
    </row>
    <row r="542" spans="9:16" x14ac:dyDescent="0.25">
      <c r="I542" s="225"/>
      <c r="J542" s="225"/>
      <c r="K542" s="225"/>
      <c r="L542" s="145" t="s">
        <v>145</v>
      </c>
      <c r="O542" s="229"/>
      <c r="P542" s="228"/>
    </row>
    <row r="543" spans="9:16" x14ac:dyDescent="0.25">
      <c r="I543" s="225"/>
      <c r="J543" s="225"/>
      <c r="K543" s="225"/>
      <c r="L543" s="145" t="s">
        <v>145</v>
      </c>
      <c r="O543" s="229"/>
      <c r="P543" s="228"/>
    </row>
    <row r="544" spans="9:16" x14ac:dyDescent="0.25">
      <c r="I544" s="225"/>
      <c r="J544" s="225"/>
      <c r="K544" s="225"/>
      <c r="L544" s="145" t="s">
        <v>145</v>
      </c>
      <c r="O544" s="229"/>
      <c r="P544" s="228"/>
    </row>
    <row r="545" spans="9:16" x14ac:dyDescent="0.25">
      <c r="I545" s="225"/>
      <c r="J545" s="225"/>
      <c r="K545" s="225"/>
      <c r="L545" s="145" t="s">
        <v>145</v>
      </c>
      <c r="O545" s="229"/>
      <c r="P545" s="228"/>
    </row>
    <row r="546" spans="9:16" x14ac:dyDescent="0.25">
      <c r="I546" s="225"/>
      <c r="J546" s="225"/>
      <c r="K546" s="225"/>
      <c r="L546" s="145" t="s">
        <v>145</v>
      </c>
      <c r="O546" s="229"/>
      <c r="P546" s="228"/>
    </row>
    <row r="547" spans="9:16" x14ac:dyDescent="0.25">
      <c r="I547" s="225"/>
      <c r="J547" s="225"/>
      <c r="K547" s="225"/>
      <c r="L547" s="145" t="s">
        <v>145</v>
      </c>
      <c r="O547" s="229"/>
      <c r="P547" s="228"/>
    </row>
    <row r="548" spans="9:16" x14ac:dyDescent="0.25">
      <c r="I548" s="225"/>
      <c r="J548" s="225"/>
      <c r="K548" s="225"/>
      <c r="L548" s="145" t="s">
        <v>145</v>
      </c>
      <c r="O548" s="229"/>
      <c r="P548" s="228"/>
    </row>
    <row r="549" spans="9:16" x14ac:dyDescent="0.25">
      <c r="I549" s="225"/>
      <c r="J549" s="225"/>
      <c r="K549" s="225"/>
      <c r="L549" s="145" t="s">
        <v>145</v>
      </c>
      <c r="O549" s="229"/>
      <c r="P549" s="228"/>
    </row>
    <row r="550" spans="9:16" x14ac:dyDescent="0.25">
      <c r="I550" s="225"/>
      <c r="J550" s="225"/>
      <c r="K550" s="225"/>
      <c r="L550" s="145" t="s">
        <v>145</v>
      </c>
      <c r="O550" s="229"/>
      <c r="P550" s="228"/>
    </row>
    <row r="551" spans="9:16" x14ac:dyDescent="0.25">
      <c r="I551" s="225"/>
      <c r="J551" s="225"/>
      <c r="K551" s="225"/>
      <c r="L551" s="145" t="s">
        <v>145</v>
      </c>
      <c r="O551" s="229"/>
      <c r="P551" s="228"/>
    </row>
    <row r="552" spans="9:16" x14ac:dyDescent="0.25">
      <c r="I552" s="225"/>
      <c r="J552" s="225"/>
      <c r="K552" s="225"/>
      <c r="L552" s="145" t="s">
        <v>145</v>
      </c>
      <c r="O552" s="229"/>
      <c r="P552" s="228"/>
    </row>
    <row r="553" spans="9:16" x14ac:dyDescent="0.25">
      <c r="I553" s="225"/>
      <c r="J553" s="225"/>
      <c r="K553" s="225"/>
      <c r="L553" s="145" t="s">
        <v>145</v>
      </c>
      <c r="O553" s="229"/>
      <c r="P553" s="228"/>
    </row>
    <row r="554" spans="9:16" x14ac:dyDescent="0.25">
      <c r="I554" s="225"/>
      <c r="J554" s="225"/>
      <c r="K554" s="225"/>
      <c r="L554" s="145" t="s">
        <v>145</v>
      </c>
      <c r="O554" s="229"/>
      <c r="P554" s="228"/>
    </row>
    <row r="555" spans="9:16" x14ac:dyDescent="0.25">
      <c r="I555" s="225"/>
      <c r="J555" s="225"/>
      <c r="K555" s="225"/>
      <c r="L555" s="145" t="s">
        <v>145</v>
      </c>
      <c r="O555" s="229"/>
      <c r="P555" s="228"/>
    </row>
    <row r="556" spans="9:16" x14ac:dyDescent="0.25">
      <c r="I556" s="225"/>
      <c r="J556" s="225"/>
      <c r="K556" s="225"/>
      <c r="L556" s="145" t="s">
        <v>145</v>
      </c>
      <c r="O556" s="229"/>
      <c r="P556" s="228"/>
    </row>
    <row r="557" spans="9:16" x14ac:dyDescent="0.25">
      <c r="I557" s="225"/>
      <c r="J557" s="225"/>
      <c r="K557" s="225"/>
      <c r="L557" s="145" t="s">
        <v>145</v>
      </c>
      <c r="O557" s="229"/>
      <c r="P557" s="228"/>
    </row>
    <row r="558" spans="9:16" x14ac:dyDescent="0.25">
      <c r="I558" s="225"/>
      <c r="J558" s="225"/>
      <c r="K558" s="225"/>
      <c r="L558" s="145" t="s">
        <v>145</v>
      </c>
      <c r="O558" s="229"/>
      <c r="P558" s="228"/>
    </row>
    <row r="559" spans="9:16" x14ac:dyDescent="0.25">
      <c r="I559" s="225"/>
      <c r="J559" s="225"/>
      <c r="K559" s="225"/>
      <c r="L559" s="145" t="s">
        <v>145</v>
      </c>
      <c r="O559" s="229"/>
      <c r="P559" s="228"/>
    </row>
    <row r="560" spans="9:16" x14ac:dyDescent="0.25">
      <c r="I560" s="225"/>
      <c r="J560" s="225"/>
      <c r="K560" s="225"/>
      <c r="L560" s="145" t="s">
        <v>145</v>
      </c>
      <c r="O560" s="229"/>
      <c r="P560" s="228"/>
    </row>
    <row r="561" spans="9:16" x14ac:dyDescent="0.25">
      <c r="I561" s="225"/>
      <c r="J561" s="225"/>
      <c r="K561" s="225"/>
      <c r="L561" s="145" t="s">
        <v>145</v>
      </c>
      <c r="O561" s="229"/>
      <c r="P561" s="228"/>
    </row>
    <row r="562" spans="9:16" x14ac:dyDescent="0.25">
      <c r="I562" s="225"/>
      <c r="J562" s="225"/>
      <c r="K562" s="225"/>
      <c r="L562" s="145" t="s">
        <v>145</v>
      </c>
      <c r="O562" s="229"/>
      <c r="P562" s="228"/>
    </row>
    <row r="563" spans="9:16" x14ac:dyDescent="0.25">
      <c r="I563" s="225"/>
      <c r="J563" s="225"/>
      <c r="K563" s="225"/>
      <c r="L563" s="145" t="s">
        <v>145</v>
      </c>
      <c r="O563" s="229"/>
      <c r="P563" s="228"/>
    </row>
    <row r="564" spans="9:16" x14ac:dyDescent="0.25">
      <c r="I564" s="225"/>
      <c r="J564" s="225"/>
      <c r="K564" s="225"/>
      <c r="L564" s="145" t="s">
        <v>145</v>
      </c>
      <c r="O564" s="229"/>
      <c r="P564" s="228"/>
    </row>
    <row r="565" spans="9:16" x14ac:dyDescent="0.25">
      <c r="I565" s="225"/>
      <c r="J565" s="225"/>
      <c r="K565" s="225"/>
      <c r="L565" s="145" t="s">
        <v>145</v>
      </c>
      <c r="O565" s="229"/>
      <c r="P565" s="228"/>
    </row>
    <row r="566" spans="9:16" x14ac:dyDescent="0.25">
      <c r="I566" s="225"/>
      <c r="J566" s="225"/>
      <c r="K566" s="225"/>
      <c r="L566" s="145" t="s">
        <v>145</v>
      </c>
      <c r="O566" s="229"/>
      <c r="P566" s="228"/>
    </row>
    <row r="567" spans="9:16" x14ac:dyDescent="0.25">
      <c r="I567" s="225"/>
      <c r="J567" s="225"/>
      <c r="K567" s="225"/>
      <c r="L567" s="145" t="s">
        <v>145</v>
      </c>
      <c r="O567" s="229"/>
      <c r="P567" s="228"/>
    </row>
    <row r="568" spans="9:16" x14ac:dyDescent="0.25">
      <c r="I568" s="225"/>
      <c r="J568" s="225"/>
      <c r="K568" s="225"/>
      <c r="L568" s="145" t="s">
        <v>145</v>
      </c>
      <c r="O568" s="229"/>
      <c r="P568" s="228"/>
    </row>
    <row r="569" spans="9:16" x14ac:dyDescent="0.25">
      <c r="I569" s="225"/>
      <c r="J569" s="225"/>
      <c r="K569" s="225"/>
      <c r="L569" s="145" t="s">
        <v>145</v>
      </c>
      <c r="O569" s="229"/>
      <c r="P569" s="228"/>
    </row>
    <row r="570" spans="9:16" x14ac:dyDescent="0.25">
      <c r="I570" s="225"/>
      <c r="J570" s="225"/>
      <c r="K570" s="225"/>
      <c r="L570" s="145" t="s">
        <v>145</v>
      </c>
      <c r="O570" s="229"/>
      <c r="P570" s="228"/>
    </row>
    <row r="571" spans="9:16" x14ac:dyDescent="0.25">
      <c r="I571" s="225"/>
      <c r="J571" s="225"/>
      <c r="K571" s="225"/>
      <c r="L571" s="145" t="s">
        <v>145</v>
      </c>
      <c r="O571" s="229"/>
      <c r="P571" s="228"/>
    </row>
    <row r="572" spans="9:16" x14ac:dyDescent="0.25">
      <c r="I572" s="225"/>
      <c r="J572" s="225"/>
      <c r="K572" s="225"/>
      <c r="L572" s="145" t="s">
        <v>145</v>
      </c>
      <c r="O572" s="229"/>
      <c r="P572" s="228"/>
    </row>
    <row r="573" spans="9:16" x14ac:dyDescent="0.25">
      <c r="I573" s="225"/>
      <c r="J573" s="225"/>
      <c r="K573" s="225"/>
      <c r="L573" s="145" t="s">
        <v>145</v>
      </c>
      <c r="O573" s="229"/>
      <c r="P573" s="228"/>
    </row>
    <row r="574" spans="9:16" x14ac:dyDescent="0.25">
      <c r="I574" s="225"/>
      <c r="J574" s="225"/>
      <c r="K574" s="225"/>
      <c r="L574" s="145" t="s">
        <v>145</v>
      </c>
      <c r="O574" s="229"/>
      <c r="P574" s="228"/>
    </row>
    <row r="575" spans="9:16" x14ac:dyDescent="0.25">
      <c r="I575" s="225"/>
      <c r="J575" s="225"/>
      <c r="K575" s="225"/>
      <c r="L575" s="145" t="s">
        <v>145</v>
      </c>
      <c r="O575" s="229"/>
      <c r="P575" s="228"/>
    </row>
    <row r="576" spans="9:16" x14ac:dyDescent="0.25">
      <c r="I576" s="225"/>
      <c r="J576" s="225"/>
      <c r="K576" s="225"/>
      <c r="L576" s="145" t="s">
        <v>145</v>
      </c>
      <c r="O576" s="229"/>
      <c r="P576" s="228"/>
    </row>
    <row r="577" spans="9:16" x14ac:dyDescent="0.25">
      <c r="I577" s="225"/>
      <c r="J577" s="225"/>
      <c r="K577" s="225"/>
      <c r="L577" s="145" t="s">
        <v>145</v>
      </c>
      <c r="O577" s="229"/>
      <c r="P577" s="228"/>
    </row>
    <row r="578" spans="9:16" x14ac:dyDescent="0.25">
      <c r="I578" s="225"/>
      <c r="J578" s="225"/>
      <c r="K578" s="225"/>
      <c r="L578" s="145" t="s">
        <v>145</v>
      </c>
      <c r="O578" s="229"/>
      <c r="P578" s="228"/>
    </row>
    <row r="579" spans="9:16" x14ac:dyDescent="0.25">
      <c r="I579" s="225"/>
      <c r="J579" s="225"/>
      <c r="K579" s="225"/>
      <c r="L579" s="145" t="s">
        <v>145</v>
      </c>
      <c r="O579" s="229"/>
      <c r="P579" s="228"/>
    </row>
    <row r="580" spans="9:16" x14ac:dyDescent="0.25">
      <c r="I580" s="225"/>
      <c r="J580" s="225"/>
      <c r="K580" s="225"/>
      <c r="L580" s="145" t="s">
        <v>145</v>
      </c>
      <c r="O580" s="229"/>
      <c r="P580" s="228"/>
    </row>
    <row r="581" spans="9:16" x14ac:dyDescent="0.25">
      <c r="I581" s="225"/>
      <c r="J581" s="225"/>
      <c r="K581" s="225"/>
      <c r="L581" s="145" t="s">
        <v>145</v>
      </c>
      <c r="O581" s="229"/>
      <c r="P581" s="228"/>
    </row>
    <row r="582" spans="9:16" x14ac:dyDescent="0.25">
      <c r="I582" s="225"/>
      <c r="J582" s="225"/>
      <c r="K582" s="225"/>
      <c r="L582" s="145" t="s">
        <v>145</v>
      </c>
      <c r="O582" s="229"/>
      <c r="P582" s="228"/>
    </row>
    <row r="583" spans="9:16" x14ac:dyDescent="0.25">
      <c r="I583" s="225"/>
      <c r="J583" s="225"/>
      <c r="K583" s="225"/>
      <c r="L583" s="145" t="s">
        <v>145</v>
      </c>
      <c r="O583" s="229"/>
      <c r="P583" s="228"/>
    </row>
    <row r="584" spans="9:16" x14ac:dyDescent="0.25">
      <c r="I584" s="225"/>
      <c r="J584" s="225"/>
      <c r="K584" s="225"/>
      <c r="L584" s="145" t="s">
        <v>145</v>
      </c>
      <c r="O584" s="229"/>
      <c r="P584" s="228"/>
    </row>
    <row r="585" spans="9:16" x14ac:dyDescent="0.25">
      <c r="I585" s="225"/>
      <c r="J585" s="225"/>
      <c r="K585" s="225"/>
      <c r="L585" s="145" t="s">
        <v>145</v>
      </c>
      <c r="O585" s="229"/>
      <c r="P585" s="228"/>
    </row>
    <row r="586" spans="9:16" x14ac:dyDescent="0.25">
      <c r="I586" s="225"/>
      <c r="J586" s="225"/>
      <c r="K586" s="225"/>
      <c r="L586" s="145" t="s">
        <v>145</v>
      </c>
      <c r="O586" s="229"/>
      <c r="P586" s="228"/>
    </row>
    <row r="587" spans="9:16" x14ac:dyDescent="0.25">
      <c r="I587" s="225"/>
      <c r="J587" s="225"/>
      <c r="K587" s="225"/>
      <c r="L587" s="145" t="s">
        <v>145</v>
      </c>
      <c r="O587" s="229"/>
      <c r="P587" s="228"/>
    </row>
    <row r="588" spans="9:16" x14ac:dyDescent="0.25">
      <c r="I588" s="225"/>
      <c r="J588" s="225"/>
      <c r="K588" s="225"/>
      <c r="L588" s="145" t="s">
        <v>145</v>
      </c>
      <c r="O588" s="229"/>
      <c r="P588" s="228"/>
    </row>
    <row r="589" spans="9:16" x14ac:dyDescent="0.25">
      <c r="I589" s="225"/>
      <c r="J589" s="225"/>
      <c r="K589" s="225"/>
      <c r="L589" s="145" t="s">
        <v>145</v>
      </c>
      <c r="O589" s="229"/>
      <c r="P589" s="228"/>
    </row>
    <row r="590" spans="9:16" x14ac:dyDescent="0.25">
      <c r="I590" s="225"/>
      <c r="J590" s="225"/>
      <c r="K590" s="225"/>
      <c r="L590" s="145" t="s">
        <v>145</v>
      </c>
      <c r="O590" s="229"/>
      <c r="P590" s="228"/>
    </row>
    <row r="591" spans="9:16" x14ac:dyDescent="0.25">
      <c r="I591" s="225"/>
      <c r="J591" s="225"/>
      <c r="K591" s="225"/>
      <c r="L591" s="145" t="s">
        <v>145</v>
      </c>
      <c r="O591" s="229"/>
      <c r="P591" s="228"/>
    </row>
    <row r="592" spans="9:16" x14ac:dyDescent="0.25">
      <c r="I592" s="225"/>
      <c r="J592" s="225"/>
      <c r="K592" s="225"/>
      <c r="L592" s="145" t="s">
        <v>145</v>
      </c>
      <c r="O592" s="229"/>
      <c r="P592" s="228"/>
    </row>
    <row r="593" spans="9:16" x14ac:dyDescent="0.25">
      <c r="I593" s="225"/>
      <c r="J593" s="225"/>
      <c r="K593" s="225"/>
      <c r="L593" s="145" t="s">
        <v>145</v>
      </c>
      <c r="O593" s="229"/>
      <c r="P593" s="228"/>
    </row>
    <row r="594" spans="9:16" x14ac:dyDescent="0.25">
      <c r="I594" s="225"/>
      <c r="J594" s="225"/>
      <c r="K594" s="225"/>
      <c r="L594" s="145" t="s">
        <v>145</v>
      </c>
      <c r="O594" s="229"/>
      <c r="P594" s="228"/>
    </row>
    <row r="595" spans="9:16" x14ac:dyDescent="0.25">
      <c r="I595" s="225"/>
      <c r="J595" s="225"/>
      <c r="K595" s="225"/>
      <c r="L595" s="145" t="s">
        <v>145</v>
      </c>
      <c r="O595" s="229"/>
      <c r="P595" s="228"/>
    </row>
    <row r="596" spans="9:16" x14ac:dyDescent="0.25">
      <c r="I596" s="225"/>
      <c r="J596" s="225"/>
      <c r="K596" s="225"/>
      <c r="L596" s="145" t="s">
        <v>145</v>
      </c>
      <c r="O596" s="229"/>
      <c r="P596" s="228"/>
    </row>
    <row r="597" spans="9:16" x14ac:dyDescent="0.25">
      <c r="I597" s="225"/>
      <c r="J597" s="225"/>
      <c r="K597" s="225"/>
      <c r="L597" s="145" t="s">
        <v>145</v>
      </c>
      <c r="O597" s="229"/>
      <c r="P597" s="228"/>
    </row>
    <row r="598" spans="9:16" x14ac:dyDescent="0.25">
      <c r="I598" s="225"/>
      <c r="J598" s="225"/>
      <c r="K598" s="225"/>
      <c r="L598" s="145" t="s">
        <v>145</v>
      </c>
      <c r="O598" s="229"/>
      <c r="P598" s="228"/>
    </row>
    <row r="599" spans="9:16" x14ac:dyDescent="0.25">
      <c r="I599" s="225"/>
      <c r="J599" s="225"/>
      <c r="K599" s="225"/>
      <c r="L599" s="145" t="s">
        <v>145</v>
      </c>
      <c r="O599" s="229"/>
      <c r="P599" s="228"/>
    </row>
    <row r="600" spans="9:16" x14ac:dyDescent="0.25">
      <c r="I600" s="225"/>
      <c r="J600" s="225"/>
      <c r="K600" s="225"/>
      <c r="L600" s="145" t="s">
        <v>145</v>
      </c>
      <c r="O600" s="229"/>
      <c r="P600" s="228"/>
    </row>
    <row r="601" spans="9:16" x14ac:dyDescent="0.25">
      <c r="I601" s="225"/>
      <c r="J601" s="225"/>
      <c r="K601" s="225"/>
      <c r="L601" s="145" t="s">
        <v>145</v>
      </c>
      <c r="O601" s="229"/>
      <c r="P601" s="228"/>
    </row>
    <row r="602" spans="9:16" x14ac:dyDescent="0.25">
      <c r="I602" s="225"/>
      <c r="J602" s="225"/>
      <c r="K602" s="225"/>
      <c r="L602" s="145" t="s">
        <v>145</v>
      </c>
      <c r="O602" s="229"/>
      <c r="P602" s="228"/>
    </row>
    <row r="603" spans="9:16" x14ac:dyDescent="0.25">
      <c r="I603" s="225"/>
      <c r="J603" s="225"/>
      <c r="K603" s="225"/>
      <c r="L603" s="145" t="s">
        <v>145</v>
      </c>
      <c r="O603" s="229"/>
      <c r="P603" s="228"/>
    </row>
    <row r="604" spans="9:16" x14ac:dyDescent="0.25">
      <c r="I604" s="225"/>
      <c r="J604" s="225"/>
      <c r="K604" s="225"/>
      <c r="L604" s="145" t="s">
        <v>145</v>
      </c>
      <c r="O604" s="229"/>
      <c r="P604" s="228"/>
    </row>
    <row r="605" spans="9:16" x14ac:dyDescent="0.25">
      <c r="I605" s="225"/>
      <c r="J605" s="225"/>
      <c r="K605" s="225"/>
      <c r="L605" s="145" t="s">
        <v>145</v>
      </c>
      <c r="O605" s="229"/>
      <c r="P605" s="228"/>
    </row>
    <row r="606" spans="9:16" x14ac:dyDescent="0.25">
      <c r="I606" s="225"/>
      <c r="J606" s="225"/>
      <c r="K606" s="225"/>
      <c r="L606" s="145" t="s">
        <v>145</v>
      </c>
      <c r="O606" s="229"/>
      <c r="P606" s="228"/>
    </row>
    <row r="607" spans="9:16" x14ac:dyDescent="0.25">
      <c r="I607" s="225"/>
      <c r="J607" s="225"/>
      <c r="K607" s="225"/>
      <c r="L607" s="145" t="s">
        <v>145</v>
      </c>
      <c r="O607" s="229"/>
      <c r="P607" s="228"/>
    </row>
    <row r="608" spans="9:16" x14ac:dyDescent="0.25">
      <c r="I608" s="225"/>
      <c r="J608" s="225"/>
      <c r="K608" s="225"/>
      <c r="L608" s="145" t="s">
        <v>145</v>
      </c>
      <c r="O608" s="229"/>
      <c r="P608" s="228"/>
    </row>
    <row r="609" spans="9:16" x14ac:dyDescent="0.25">
      <c r="I609" s="225"/>
      <c r="J609" s="225"/>
      <c r="K609" s="225"/>
      <c r="L609" s="145" t="s">
        <v>145</v>
      </c>
      <c r="O609" s="229"/>
      <c r="P609" s="228"/>
    </row>
    <row r="610" spans="9:16" x14ac:dyDescent="0.25">
      <c r="I610" s="225"/>
      <c r="J610" s="225"/>
      <c r="K610" s="225"/>
      <c r="L610" s="145" t="s">
        <v>145</v>
      </c>
      <c r="O610" s="229"/>
      <c r="P610" s="228"/>
    </row>
    <row r="611" spans="9:16" x14ac:dyDescent="0.25">
      <c r="I611" s="225"/>
      <c r="J611" s="225"/>
      <c r="K611" s="225"/>
      <c r="L611" s="145" t="s">
        <v>145</v>
      </c>
      <c r="O611" s="229"/>
      <c r="P611" s="228"/>
    </row>
    <row r="612" spans="9:16" x14ac:dyDescent="0.25">
      <c r="I612" s="225"/>
      <c r="J612" s="225"/>
      <c r="K612" s="225"/>
      <c r="L612" s="145" t="s">
        <v>145</v>
      </c>
      <c r="O612" s="229"/>
      <c r="P612" s="228"/>
    </row>
    <row r="613" spans="9:16" x14ac:dyDescent="0.25">
      <c r="I613" s="225"/>
      <c r="J613" s="225"/>
      <c r="K613" s="225"/>
      <c r="L613" s="145" t="s">
        <v>145</v>
      </c>
      <c r="O613" s="229"/>
      <c r="P613" s="228"/>
    </row>
    <row r="614" spans="9:16" x14ac:dyDescent="0.25">
      <c r="I614" s="225"/>
      <c r="J614" s="225"/>
      <c r="K614" s="225"/>
      <c r="L614" s="145" t="s">
        <v>145</v>
      </c>
      <c r="O614" s="229"/>
      <c r="P614" s="228"/>
    </row>
    <row r="615" spans="9:16" x14ac:dyDescent="0.25">
      <c r="I615" s="225"/>
      <c r="J615" s="225"/>
      <c r="K615" s="225"/>
      <c r="L615" s="145" t="s">
        <v>145</v>
      </c>
      <c r="O615" s="229"/>
      <c r="P615" s="228"/>
    </row>
    <row r="616" spans="9:16" x14ac:dyDescent="0.25">
      <c r="I616" s="225"/>
      <c r="J616" s="225"/>
      <c r="K616" s="225"/>
      <c r="L616" s="145" t="s">
        <v>145</v>
      </c>
      <c r="O616" s="229"/>
      <c r="P616" s="228"/>
    </row>
    <row r="617" spans="9:16" x14ac:dyDescent="0.25">
      <c r="I617" s="225"/>
      <c r="J617" s="225"/>
      <c r="K617" s="225"/>
      <c r="L617" s="145" t="s">
        <v>145</v>
      </c>
      <c r="O617" s="229"/>
      <c r="P617" s="228"/>
    </row>
    <row r="618" spans="9:16" x14ac:dyDescent="0.25">
      <c r="I618" s="225"/>
      <c r="J618" s="225"/>
      <c r="K618" s="225"/>
      <c r="L618" s="145" t="s">
        <v>145</v>
      </c>
      <c r="O618" s="229"/>
      <c r="P618" s="228"/>
    </row>
    <row r="619" spans="9:16" x14ac:dyDescent="0.25">
      <c r="I619" s="225"/>
      <c r="J619" s="225"/>
      <c r="K619" s="225"/>
      <c r="L619" s="145" t="s">
        <v>145</v>
      </c>
      <c r="O619" s="229"/>
      <c r="P619" s="228"/>
    </row>
    <row r="620" spans="9:16" x14ac:dyDescent="0.25">
      <c r="I620" s="225"/>
      <c r="J620" s="225"/>
      <c r="K620" s="225"/>
      <c r="L620" s="145" t="s">
        <v>145</v>
      </c>
      <c r="O620" s="229"/>
      <c r="P620" s="228"/>
    </row>
    <row r="621" spans="9:16" x14ac:dyDescent="0.25">
      <c r="I621" s="225"/>
      <c r="J621" s="225"/>
      <c r="K621" s="225"/>
      <c r="L621" s="145" t="s">
        <v>145</v>
      </c>
      <c r="O621" s="229"/>
      <c r="P621" s="228"/>
    </row>
    <row r="622" spans="9:16" x14ac:dyDescent="0.25">
      <c r="I622" s="225"/>
      <c r="J622" s="225"/>
      <c r="K622" s="225"/>
      <c r="L622" s="145" t="s">
        <v>145</v>
      </c>
      <c r="O622" s="229"/>
      <c r="P622" s="228"/>
    </row>
    <row r="623" spans="9:16" x14ac:dyDescent="0.25">
      <c r="I623" s="225"/>
      <c r="J623" s="225"/>
      <c r="K623" s="225"/>
      <c r="L623" s="145" t="s">
        <v>145</v>
      </c>
      <c r="O623" s="229"/>
      <c r="P623" s="228"/>
    </row>
    <row r="624" spans="9:16" x14ac:dyDescent="0.25">
      <c r="I624" s="225"/>
      <c r="J624" s="225"/>
      <c r="K624" s="225"/>
      <c r="L624" s="145" t="s">
        <v>145</v>
      </c>
      <c r="O624" s="229"/>
      <c r="P624" s="228"/>
    </row>
    <row r="625" spans="9:16" x14ac:dyDescent="0.25">
      <c r="I625" s="225"/>
      <c r="J625" s="225"/>
      <c r="K625" s="225"/>
      <c r="L625" s="145" t="s">
        <v>145</v>
      </c>
      <c r="O625" s="229"/>
      <c r="P625" s="228"/>
    </row>
    <row r="626" spans="9:16" x14ac:dyDescent="0.25">
      <c r="I626" s="225"/>
      <c r="J626" s="225"/>
      <c r="K626" s="225"/>
      <c r="L626" s="145" t="s">
        <v>145</v>
      </c>
      <c r="O626" s="229"/>
      <c r="P626" s="228"/>
    </row>
    <row r="627" spans="9:16" x14ac:dyDescent="0.25">
      <c r="I627" s="225"/>
      <c r="J627" s="225"/>
      <c r="K627" s="225"/>
      <c r="L627" s="145" t="s">
        <v>145</v>
      </c>
      <c r="O627" s="229"/>
      <c r="P627" s="228"/>
    </row>
    <row r="628" spans="9:16" x14ac:dyDescent="0.25">
      <c r="I628" s="225"/>
      <c r="J628" s="225"/>
      <c r="K628" s="225"/>
      <c r="L628" s="145" t="s">
        <v>145</v>
      </c>
      <c r="O628" s="229"/>
      <c r="P628" s="228"/>
    </row>
    <row r="629" spans="9:16" x14ac:dyDescent="0.25">
      <c r="I629" s="225"/>
      <c r="J629" s="225"/>
      <c r="K629" s="225"/>
      <c r="L629" s="145" t="s">
        <v>145</v>
      </c>
      <c r="O629" s="229"/>
      <c r="P629" s="228"/>
    </row>
    <row r="630" spans="9:16" x14ac:dyDescent="0.25">
      <c r="I630" s="225"/>
      <c r="J630" s="225"/>
      <c r="K630" s="225"/>
      <c r="L630" s="145" t="s">
        <v>145</v>
      </c>
      <c r="O630" s="229"/>
      <c r="P630" s="228"/>
    </row>
    <row r="631" spans="9:16" x14ac:dyDescent="0.25">
      <c r="I631" s="225"/>
      <c r="J631" s="225"/>
      <c r="K631" s="225"/>
      <c r="L631" s="145" t="s">
        <v>145</v>
      </c>
      <c r="O631" s="229"/>
      <c r="P631" s="228"/>
    </row>
    <row r="632" spans="9:16" x14ac:dyDescent="0.25">
      <c r="I632" s="225"/>
      <c r="J632" s="225"/>
      <c r="K632" s="225"/>
      <c r="L632" s="145" t="s">
        <v>145</v>
      </c>
      <c r="O632" s="229"/>
      <c r="P632" s="228"/>
    </row>
    <row r="633" spans="9:16" x14ac:dyDescent="0.25">
      <c r="I633" s="225"/>
      <c r="J633" s="225"/>
      <c r="K633" s="225"/>
      <c r="L633" s="145" t="s">
        <v>145</v>
      </c>
      <c r="O633" s="229"/>
      <c r="P633" s="228"/>
    </row>
    <row r="634" spans="9:16" x14ac:dyDescent="0.25">
      <c r="I634" s="225"/>
      <c r="J634" s="225"/>
      <c r="K634" s="225"/>
      <c r="L634" s="145" t="s">
        <v>145</v>
      </c>
      <c r="O634" s="229"/>
      <c r="P634" s="228"/>
    </row>
    <row r="635" spans="9:16" x14ac:dyDescent="0.25">
      <c r="I635" s="225"/>
      <c r="J635" s="225"/>
      <c r="K635" s="225"/>
      <c r="L635" s="145" t="s">
        <v>145</v>
      </c>
      <c r="O635" s="229"/>
      <c r="P635" s="228"/>
    </row>
    <row r="636" spans="9:16" x14ac:dyDescent="0.25">
      <c r="I636" s="225"/>
      <c r="J636" s="225"/>
      <c r="K636" s="225"/>
      <c r="L636" s="145" t="s">
        <v>145</v>
      </c>
      <c r="O636" s="229"/>
      <c r="P636" s="228"/>
    </row>
    <row r="637" spans="9:16" x14ac:dyDescent="0.25">
      <c r="I637" s="225"/>
      <c r="J637" s="225"/>
      <c r="K637" s="225"/>
      <c r="L637" s="145" t="s">
        <v>145</v>
      </c>
      <c r="O637" s="229"/>
      <c r="P637" s="228"/>
    </row>
    <row r="638" spans="9:16" x14ac:dyDescent="0.25">
      <c r="I638" s="225"/>
      <c r="J638" s="225"/>
      <c r="K638" s="225"/>
      <c r="L638" s="145" t="s">
        <v>145</v>
      </c>
      <c r="O638" s="229"/>
      <c r="P638" s="228"/>
    </row>
    <row r="639" spans="9:16" x14ac:dyDescent="0.25">
      <c r="I639" s="225"/>
      <c r="J639" s="225"/>
      <c r="K639" s="225"/>
      <c r="L639" s="145" t="s">
        <v>145</v>
      </c>
      <c r="O639" s="229"/>
      <c r="P639" s="228"/>
    </row>
    <row r="640" spans="9:16" x14ac:dyDescent="0.25">
      <c r="I640" s="225"/>
      <c r="J640" s="225"/>
      <c r="K640" s="225"/>
      <c r="L640" s="145" t="s">
        <v>145</v>
      </c>
      <c r="O640" s="229"/>
      <c r="P640" s="228"/>
    </row>
    <row r="641" spans="9:16" x14ac:dyDescent="0.25">
      <c r="I641" s="225"/>
      <c r="J641" s="225"/>
      <c r="K641" s="225"/>
      <c r="L641" s="145" t="s">
        <v>145</v>
      </c>
      <c r="O641" s="229"/>
      <c r="P641" s="228"/>
    </row>
    <row r="642" spans="9:16" x14ac:dyDescent="0.25">
      <c r="I642" s="225"/>
      <c r="J642" s="225"/>
      <c r="K642" s="225"/>
      <c r="L642" s="145" t="s">
        <v>145</v>
      </c>
      <c r="O642" s="229"/>
      <c r="P642" s="228"/>
    </row>
    <row r="643" spans="9:16" x14ac:dyDescent="0.25">
      <c r="I643" s="225"/>
      <c r="J643" s="225"/>
      <c r="K643" s="225"/>
      <c r="L643" s="145" t="s">
        <v>145</v>
      </c>
      <c r="O643" s="229"/>
      <c r="P643" s="228"/>
    </row>
    <row r="644" spans="9:16" x14ac:dyDescent="0.25">
      <c r="I644" s="225"/>
      <c r="J644" s="225"/>
      <c r="K644" s="225"/>
      <c r="L644" s="145" t="s">
        <v>145</v>
      </c>
      <c r="O644" s="229"/>
      <c r="P644" s="228"/>
    </row>
    <row r="645" spans="9:16" x14ac:dyDescent="0.25">
      <c r="I645" s="225"/>
      <c r="J645" s="225"/>
      <c r="K645" s="225"/>
      <c r="L645" s="145" t="s">
        <v>145</v>
      </c>
      <c r="O645" s="229"/>
      <c r="P645" s="228"/>
    </row>
    <row r="646" spans="9:16" x14ac:dyDescent="0.25">
      <c r="I646" s="225"/>
      <c r="J646" s="225"/>
      <c r="K646" s="225"/>
      <c r="L646" s="145" t="s">
        <v>145</v>
      </c>
      <c r="O646" s="229"/>
      <c r="P646" s="228"/>
    </row>
    <row r="647" spans="9:16" x14ac:dyDescent="0.25">
      <c r="I647" s="225"/>
      <c r="J647" s="225"/>
      <c r="K647" s="225"/>
      <c r="L647" s="145" t="s">
        <v>145</v>
      </c>
      <c r="O647" s="229"/>
      <c r="P647" s="228"/>
    </row>
    <row r="648" spans="9:16" x14ac:dyDescent="0.25">
      <c r="I648" s="225"/>
      <c r="J648" s="225"/>
      <c r="K648" s="225"/>
      <c r="L648" s="145" t="s">
        <v>145</v>
      </c>
      <c r="O648" s="229"/>
      <c r="P648" s="228"/>
    </row>
    <row r="649" spans="9:16" x14ac:dyDescent="0.25">
      <c r="I649" s="225"/>
      <c r="J649" s="225"/>
      <c r="K649" s="225"/>
      <c r="L649" s="145" t="s">
        <v>145</v>
      </c>
      <c r="O649" s="229"/>
      <c r="P649" s="228"/>
    </row>
    <row r="650" spans="9:16" x14ac:dyDescent="0.25">
      <c r="I650" s="225"/>
      <c r="J650" s="225"/>
      <c r="K650" s="225"/>
      <c r="L650" s="145" t="s">
        <v>145</v>
      </c>
      <c r="O650" s="229"/>
      <c r="P650" s="228"/>
    </row>
    <row r="651" spans="9:16" x14ac:dyDescent="0.25">
      <c r="I651" s="225"/>
      <c r="J651" s="225"/>
      <c r="K651" s="225"/>
      <c r="L651" s="145" t="s">
        <v>145</v>
      </c>
      <c r="O651" s="229"/>
      <c r="P651" s="228"/>
    </row>
    <row r="652" spans="9:16" x14ac:dyDescent="0.25">
      <c r="I652" s="225"/>
      <c r="J652" s="225"/>
      <c r="K652" s="225"/>
      <c r="L652" s="145" t="s">
        <v>145</v>
      </c>
      <c r="O652" s="229"/>
      <c r="P652" s="228"/>
    </row>
    <row r="653" spans="9:16" x14ac:dyDescent="0.25">
      <c r="I653" s="225"/>
      <c r="J653" s="225"/>
      <c r="K653" s="225"/>
      <c r="L653" s="145" t="s">
        <v>145</v>
      </c>
      <c r="O653" s="229"/>
      <c r="P653" s="228"/>
    </row>
    <row r="654" spans="9:16" x14ac:dyDescent="0.25">
      <c r="I654" s="225"/>
      <c r="J654" s="225"/>
      <c r="K654" s="225"/>
      <c r="L654" s="145" t="s">
        <v>145</v>
      </c>
      <c r="O654" s="229"/>
      <c r="P654" s="228"/>
    </row>
    <row r="655" spans="9:16" x14ac:dyDescent="0.25">
      <c r="I655" s="225"/>
      <c r="J655" s="225"/>
      <c r="K655" s="225"/>
      <c r="L655" s="145" t="s">
        <v>145</v>
      </c>
      <c r="O655" s="229"/>
      <c r="P655" s="228"/>
    </row>
    <row r="656" spans="9:16" x14ac:dyDescent="0.25">
      <c r="I656" s="225"/>
      <c r="J656" s="225"/>
      <c r="K656" s="225"/>
      <c r="L656" s="145" t="s">
        <v>145</v>
      </c>
      <c r="O656" s="229"/>
      <c r="P656" s="228"/>
    </row>
    <row r="657" spans="9:16" x14ac:dyDescent="0.25">
      <c r="I657" s="225"/>
      <c r="J657" s="225"/>
      <c r="K657" s="225"/>
      <c r="L657" s="145" t="s">
        <v>145</v>
      </c>
      <c r="O657" s="229"/>
      <c r="P657" s="228"/>
    </row>
    <row r="658" spans="9:16" x14ac:dyDescent="0.25">
      <c r="I658" s="225"/>
      <c r="J658" s="225"/>
      <c r="K658" s="225"/>
      <c r="L658" s="145" t="s">
        <v>145</v>
      </c>
      <c r="O658" s="229"/>
      <c r="P658" s="228"/>
    </row>
    <row r="659" spans="9:16" x14ac:dyDescent="0.25">
      <c r="I659" s="225"/>
      <c r="J659" s="225"/>
      <c r="K659" s="225"/>
      <c r="L659" s="145" t="s">
        <v>145</v>
      </c>
      <c r="O659" s="229"/>
      <c r="P659" s="228"/>
    </row>
    <row r="660" spans="9:16" x14ac:dyDescent="0.25">
      <c r="I660" s="225"/>
      <c r="J660" s="225"/>
      <c r="K660" s="225"/>
      <c r="L660" s="145" t="s">
        <v>145</v>
      </c>
      <c r="O660" s="229"/>
      <c r="P660" s="228"/>
    </row>
    <row r="661" spans="9:16" x14ac:dyDescent="0.25">
      <c r="I661" s="225"/>
      <c r="J661" s="225"/>
      <c r="K661" s="225"/>
      <c r="L661" s="145" t="s">
        <v>145</v>
      </c>
      <c r="O661" s="229"/>
      <c r="P661" s="228"/>
    </row>
    <row r="662" spans="9:16" x14ac:dyDescent="0.25">
      <c r="I662" s="225"/>
      <c r="J662" s="225"/>
      <c r="K662" s="225"/>
      <c r="L662" s="145" t="s">
        <v>145</v>
      </c>
      <c r="O662" s="229"/>
      <c r="P662" s="228"/>
    </row>
    <row r="663" spans="9:16" x14ac:dyDescent="0.25">
      <c r="I663" s="225"/>
      <c r="J663" s="225"/>
      <c r="K663" s="225"/>
      <c r="L663" s="145" t="s">
        <v>145</v>
      </c>
      <c r="O663" s="229"/>
      <c r="P663" s="228"/>
    </row>
    <row r="664" spans="9:16" x14ac:dyDescent="0.25">
      <c r="I664" s="225"/>
      <c r="J664" s="225"/>
      <c r="K664" s="225"/>
      <c r="L664" s="145" t="s">
        <v>145</v>
      </c>
      <c r="O664" s="229"/>
      <c r="P664" s="228"/>
    </row>
    <row r="665" spans="9:16" x14ac:dyDescent="0.25">
      <c r="I665" s="225"/>
      <c r="J665" s="225"/>
      <c r="K665" s="225"/>
      <c r="L665" s="145" t="s">
        <v>145</v>
      </c>
      <c r="O665" s="229"/>
      <c r="P665" s="228"/>
    </row>
    <row r="666" spans="9:16" x14ac:dyDescent="0.25">
      <c r="I666" s="225"/>
      <c r="J666" s="225"/>
      <c r="K666" s="225"/>
      <c r="L666" s="145" t="s">
        <v>145</v>
      </c>
      <c r="O666" s="229"/>
      <c r="P666" s="228"/>
    </row>
    <row r="667" spans="9:16" x14ac:dyDescent="0.25">
      <c r="I667" s="225"/>
      <c r="J667" s="225"/>
      <c r="K667" s="225"/>
      <c r="L667" s="145" t="s">
        <v>145</v>
      </c>
      <c r="O667" s="229"/>
      <c r="P667" s="228"/>
    </row>
    <row r="668" spans="9:16" x14ac:dyDescent="0.25">
      <c r="I668" s="225"/>
      <c r="J668" s="225"/>
      <c r="K668" s="225"/>
      <c r="L668" s="145" t="s">
        <v>145</v>
      </c>
      <c r="O668" s="229"/>
      <c r="P668" s="228"/>
    </row>
    <row r="669" spans="9:16" x14ac:dyDescent="0.25">
      <c r="I669" s="225"/>
      <c r="J669" s="225"/>
      <c r="K669" s="225"/>
      <c r="L669" s="145" t="s">
        <v>145</v>
      </c>
      <c r="O669" s="229"/>
      <c r="P669" s="228"/>
    </row>
    <row r="670" spans="9:16" x14ac:dyDescent="0.25">
      <c r="I670" s="225"/>
      <c r="J670" s="225"/>
      <c r="K670" s="225"/>
      <c r="L670" s="145" t="s">
        <v>145</v>
      </c>
      <c r="O670" s="229"/>
      <c r="P670" s="228"/>
    </row>
    <row r="671" spans="9:16" x14ac:dyDescent="0.25">
      <c r="I671" s="225"/>
      <c r="J671" s="225"/>
      <c r="K671" s="225"/>
      <c r="L671" s="145" t="s">
        <v>145</v>
      </c>
      <c r="O671" s="229"/>
      <c r="P671" s="228"/>
    </row>
    <row r="672" spans="9:16" x14ac:dyDescent="0.25">
      <c r="I672" s="225"/>
      <c r="J672" s="225"/>
      <c r="K672" s="225"/>
      <c r="L672" s="145" t="s">
        <v>145</v>
      </c>
      <c r="O672" s="229"/>
      <c r="P672" s="228"/>
    </row>
    <row r="673" spans="9:16" x14ac:dyDescent="0.25">
      <c r="I673" s="225"/>
      <c r="J673" s="225"/>
      <c r="K673" s="225"/>
      <c r="L673" s="145" t="s">
        <v>145</v>
      </c>
      <c r="O673" s="229"/>
      <c r="P673" s="228"/>
    </row>
    <row r="674" spans="9:16" x14ac:dyDescent="0.25">
      <c r="I674" s="225"/>
      <c r="J674" s="225"/>
      <c r="K674" s="225"/>
      <c r="L674" s="145" t="s">
        <v>145</v>
      </c>
      <c r="O674" s="229"/>
      <c r="P674" s="228"/>
    </row>
    <row r="675" spans="9:16" x14ac:dyDescent="0.25">
      <c r="I675" s="225"/>
      <c r="J675" s="225"/>
      <c r="K675" s="225"/>
      <c r="L675" s="145" t="s">
        <v>145</v>
      </c>
      <c r="O675" s="229"/>
      <c r="P675" s="228"/>
    </row>
    <row r="676" spans="9:16" x14ac:dyDescent="0.25">
      <c r="I676" s="225"/>
      <c r="J676" s="225"/>
      <c r="K676" s="225"/>
      <c r="L676" s="145" t="s">
        <v>145</v>
      </c>
      <c r="O676" s="229"/>
      <c r="P676" s="228"/>
    </row>
    <row r="677" spans="9:16" x14ac:dyDescent="0.25">
      <c r="I677" s="225"/>
      <c r="J677" s="225"/>
      <c r="K677" s="225"/>
      <c r="L677" s="145" t="s">
        <v>145</v>
      </c>
      <c r="O677" s="229"/>
      <c r="P677" s="228"/>
    </row>
    <row r="678" spans="9:16" x14ac:dyDescent="0.25">
      <c r="I678" s="225"/>
      <c r="J678" s="225"/>
      <c r="K678" s="225"/>
      <c r="L678" s="145" t="s">
        <v>145</v>
      </c>
      <c r="O678" s="229"/>
      <c r="P678" s="228"/>
    </row>
    <row r="679" spans="9:16" x14ac:dyDescent="0.25">
      <c r="I679" s="225"/>
      <c r="J679" s="225"/>
      <c r="K679" s="225"/>
      <c r="L679" s="145" t="s">
        <v>145</v>
      </c>
      <c r="O679" s="229"/>
      <c r="P679" s="228"/>
    </row>
    <row r="680" spans="9:16" x14ac:dyDescent="0.25">
      <c r="I680" s="225"/>
      <c r="J680" s="225"/>
      <c r="K680" s="225"/>
      <c r="L680" s="145" t="s">
        <v>145</v>
      </c>
      <c r="O680" s="229"/>
      <c r="P680" s="228"/>
    </row>
    <row r="681" spans="9:16" x14ac:dyDescent="0.25">
      <c r="I681" s="225"/>
      <c r="J681" s="225"/>
      <c r="K681" s="225"/>
      <c r="L681" s="145" t="s">
        <v>145</v>
      </c>
      <c r="O681" s="229"/>
      <c r="P681" s="228"/>
    </row>
    <row r="682" spans="9:16" x14ac:dyDescent="0.25">
      <c r="I682" s="225"/>
      <c r="J682" s="225"/>
      <c r="K682" s="225"/>
      <c r="L682" s="145" t="s">
        <v>145</v>
      </c>
      <c r="O682" s="229"/>
      <c r="P682" s="228"/>
    </row>
    <row r="683" spans="9:16" x14ac:dyDescent="0.25">
      <c r="I683" s="225"/>
      <c r="J683" s="225"/>
      <c r="K683" s="225"/>
      <c r="L683" s="145" t="s">
        <v>145</v>
      </c>
      <c r="O683" s="229"/>
      <c r="P683" s="228"/>
    </row>
    <row r="684" spans="9:16" x14ac:dyDescent="0.25">
      <c r="I684" s="225"/>
      <c r="J684" s="225"/>
      <c r="K684" s="225"/>
      <c r="L684" s="145" t="s">
        <v>145</v>
      </c>
      <c r="O684" s="229"/>
      <c r="P684" s="228"/>
    </row>
    <row r="685" spans="9:16" x14ac:dyDescent="0.25">
      <c r="I685" s="225"/>
      <c r="J685" s="225"/>
      <c r="K685" s="225"/>
      <c r="L685" s="145" t="s">
        <v>145</v>
      </c>
      <c r="O685" s="229"/>
      <c r="P685" s="228"/>
    </row>
    <row r="686" spans="9:16" x14ac:dyDescent="0.25">
      <c r="I686" s="225"/>
      <c r="J686" s="225"/>
      <c r="K686" s="225"/>
      <c r="L686" s="145" t="s">
        <v>145</v>
      </c>
      <c r="O686" s="229"/>
      <c r="P686" s="228"/>
    </row>
    <row r="687" spans="9:16" x14ac:dyDescent="0.25">
      <c r="I687" s="225"/>
      <c r="J687" s="225"/>
      <c r="K687" s="225"/>
      <c r="L687" s="145" t="s">
        <v>145</v>
      </c>
      <c r="O687" s="229"/>
      <c r="P687" s="228"/>
    </row>
    <row r="688" spans="9:16" x14ac:dyDescent="0.25">
      <c r="I688" s="225"/>
      <c r="J688" s="225"/>
      <c r="K688" s="225"/>
      <c r="L688" s="145" t="s">
        <v>145</v>
      </c>
      <c r="O688" s="229"/>
      <c r="P688" s="228"/>
    </row>
    <row r="689" spans="9:16" x14ac:dyDescent="0.25">
      <c r="I689" s="225"/>
      <c r="J689" s="225"/>
      <c r="K689" s="225"/>
      <c r="L689" s="145" t="s">
        <v>145</v>
      </c>
      <c r="O689" s="229"/>
      <c r="P689" s="228"/>
    </row>
    <row r="690" spans="9:16" x14ac:dyDescent="0.25">
      <c r="I690" s="225"/>
      <c r="J690" s="225"/>
      <c r="K690" s="225"/>
      <c r="L690" s="145" t="s">
        <v>145</v>
      </c>
      <c r="O690" s="229"/>
      <c r="P690" s="228"/>
    </row>
    <row r="691" spans="9:16" x14ac:dyDescent="0.25">
      <c r="I691" s="225"/>
      <c r="J691" s="225"/>
      <c r="K691" s="225"/>
      <c r="L691" s="145" t="s">
        <v>145</v>
      </c>
      <c r="O691" s="229"/>
      <c r="P691" s="228"/>
    </row>
    <row r="692" spans="9:16" x14ac:dyDescent="0.25">
      <c r="I692" s="225"/>
      <c r="J692" s="225"/>
      <c r="K692" s="225"/>
      <c r="L692" s="145" t="s">
        <v>145</v>
      </c>
      <c r="O692" s="229"/>
      <c r="P692" s="228"/>
    </row>
    <row r="693" spans="9:16" x14ac:dyDescent="0.25">
      <c r="I693" s="225"/>
      <c r="J693" s="225"/>
      <c r="K693" s="225"/>
      <c r="L693" s="145" t="s">
        <v>145</v>
      </c>
      <c r="O693" s="229"/>
      <c r="P693" s="228"/>
    </row>
    <row r="694" spans="9:16" x14ac:dyDescent="0.25">
      <c r="I694" s="225"/>
      <c r="J694" s="225"/>
      <c r="K694" s="225"/>
      <c r="L694" s="145" t="s">
        <v>145</v>
      </c>
      <c r="O694" s="229"/>
      <c r="P694" s="228"/>
    </row>
    <row r="695" spans="9:16" x14ac:dyDescent="0.25">
      <c r="I695" s="225"/>
      <c r="J695" s="225"/>
      <c r="K695" s="225"/>
      <c r="L695" s="145" t="s">
        <v>145</v>
      </c>
      <c r="O695" s="229"/>
      <c r="P695" s="228"/>
    </row>
    <row r="696" spans="9:16" x14ac:dyDescent="0.25">
      <c r="I696" s="225"/>
      <c r="J696" s="225"/>
      <c r="K696" s="225"/>
      <c r="L696" s="145" t="s">
        <v>145</v>
      </c>
      <c r="O696" s="229"/>
      <c r="P696" s="228"/>
    </row>
    <row r="697" spans="9:16" x14ac:dyDescent="0.25">
      <c r="I697" s="225"/>
      <c r="J697" s="225"/>
      <c r="K697" s="225"/>
      <c r="L697" s="145" t="s">
        <v>145</v>
      </c>
      <c r="O697" s="229"/>
      <c r="P697" s="228"/>
    </row>
    <row r="698" spans="9:16" x14ac:dyDescent="0.25">
      <c r="I698" s="225"/>
      <c r="J698" s="225"/>
      <c r="K698" s="225"/>
      <c r="L698" s="145" t="s">
        <v>145</v>
      </c>
      <c r="O698" s="229"/>
      <c r="P698" s="228"/>
    </row>
    <row r="699" spans="9:16" x14ac:dyDescent="0.25">
      <c r="I699" s="225"/>
      <c r="J699" s="225"/>
      <c r="K699" s="225"/>
      <c r="L699" s="145" t="s">
        <v>145</v>
      </c>
      <c r="O699" s="229"/>
      <c r="P699" s="228"/>
    </row>
    <row r="700" spans="9:16" x14ac:dyDescent="0.25">
      <c r="I700" s="225"/>
      <c r="J700" s="225"/>
      <c r="K700" s="225"/>
      <c r="L700" s="145" t="s">
        <v>145</v>
      </c>
      <c r="O700" s="229"/>
      <c r="P700" s="228"/>
    </row>
    <row r="701" spans="9:16" x14ac:dyDescent="0.25">
      <c r="I701" s="225"/>
      <c r="J701" s="225"/>
      <c r="K701" s="225"/>
      <c r="L701" s="145" t="s">
        <v>145</v>
      </c>
      <c r="O701" s="229"/>
      <c r="P701" s="228"/>
    </row>
    <row r="702" spans="9:16" x14ac:dyDescent="0.25">
      <c r="I702" s="225"/>
      <c r="J702" s="225"/>
      <c r="K702" s="225"/>
      <c r="L702" s="145" t="s">
        <v>145</v>
      </c>
      <c r="O702" s="229"/>
      <c r="P702" s="228"/>
    </row>
    <row r="703" spans="9:16" x14ac:dyDescent="0.25">
      <c r="I703" s="225"/>
      <c r="J703" s="225"/>
      <c r="K703" s="225"/>
      <c r="L703" s="145" t="s">
        <v>145</v>
      </c>
      <c r="O703" s="229"/>
      <c r="P703" s="228"/>
    </row>
    <row r="704" spans="9:16" x14ac:dyDescent="0.25">
      <c r="L704" s="146" t="s">
        <v>145</v>
      </c>
      <c r="O704" s="229"/>
      <c r="P704" s="228"/>
    </row>
    <row r="705" spans="12:16" x14ac:dyDescent="0.25">
      <c r="L705" s="146" t="s">
        <v>145</v>
      </c>
      <c r="O705" s="229"/>
      <c r="P705" s="228"/>
    </row>
    <row r="706" spans="12:16" x14ac:dyDescent="0.25">
      <c r="L706" s="146" t="s">
        <v>145</v>
      </c>
      <c r="O706" s="229"/>
      <c r="P706" s="228"/>
    </row>
    <row r="707" spans="12:16" x14ac:dyDescent="0.25">
      <c r="L707" s="146" t="s">
        <v>145</v>
      </c>
      <c r="O707" s="229"/>
      <c r="P707" s="228"/>
    </row>
    <row r="708" spans="12:16" x14ac:dyDescent="0.25">
      <c r="L708" s="146" t="s">
        <v>145</v>
      </c>
      <c r="O708" s="229"/>
      <c r="P708" s="228"/>
    </row>
    <row r="709" spans="12:16" x14ac:dyDescent="0.25">
      <c r="L709" s="146" t="s">
        <v>145</v>
      </c>
      <c r="O709" s="229"/>
      <c r="P709" s="228"/>
    </row>
    <row r="710" spans="12:16" x14ac:dyDescent="0.25">
      <c r="L710" s="146" t="s">
        <v>145</v>
      </c>
      <c r="O710" s="229"/>
      <c r="P710" s="228"/>
    </row>
    <row r="711" spans="12:16" x14ac:dyDescent="0.25">
      <c r="L711" s="146" t="s">
        <v>145</v>
      </c>
      <c r="O711" s="229"/>
      <c r="P711" s="228"/>
    </row>
    <row r="712" spans="12:16" x14ac:dyDescent="0.25">
      <c r="L712" s="146" t="s">
        <v>145</v>
      </c>
      <c r="O712" s="229"/>
      <c r="P712" s="228"/>
    </row>
    <row r="713" spans="12:16" x14ac:dyDescent="0.25">
      <c r="L713" s="146" t="s">
        <v>145</v>
      </c>
      <c r="O713" s="229"/>
      <c r="P713" s="228"/>
    </row>
    <row r="714" spans="12:16" x14ac:dyDescent="0.25">
      <c r="L714" s="146" t="s">
        <v>145</v>
      </c>
      <c r="O714" s="229"/>
      <c r="P714" s="228"/>
    </row>
    <row r="715" spans="12:16" x14ac:dyDescent="0.25">
      <c r="L715" s="146" t="s">
        <v>145</v>
      </c>
      <c r="O715" s="229"/>
      <c r="P715" s="228"/>
    </row>
    <row r="716" spans="12:16" x14ac:dyDescent="0.25">
      <c r="L716" s="146" t="s">
        <v>145</v>
      </c>
      <c r="O716" s="229"/>
      <c r="P716" s="228"/>
    </row>
    <row r="717" spans="12:16" x14ac:dyDescent="0.25">
      <c r="L717" s="146" t="s">
        <v>145</v>
      </c>
      <c r="O717" s="229"/>
      <c r="P717" s="228"/>
    </row>
    <row r="718" spans="12:16" x14ac:dyDescent="0.25">
      <c r="L718" s="146" t="s">
        <v>145</v>
      </c>
      <c r="O718" s="229"/>
      <c r="P718" s="228"/>
    </row>
    <row r="719" spans="12:16" x14ac:dyDescent="0.25">
      <c r="L719" s="146" t="s">
        <v>145</v>
      </c>
      <c r="O719" s="229"/>
      <c r="P719" s="228"/>
    </row>
    <row r="720" spans="12:16" x14ac:dyDescent="0.25">
      <c r="L720" s="146" t="s">
        <v>145</v>
      </c>
      <c r="O720" s="229"/>
      <c r="P720" s="228"/>
    </row>
    <row r="721" spans="12:16" x14ac:dyDescent="0.25">
      <c r="L721" s="146" t="s">
        <v>145</v>
      </c>
      <c r="O721" s="229"/>
      <c r="P721" s="228"/>
    </row>
    <row r="722" spans="12:16" x14ac:dyDescent="0.25">
      <c r="L722" s="146" t="s">
        <v>145</v>
      </c>
      <c r="O722" s="229"/>
      <c r="P722" s="228"/>
    </row>
    <row r="723" spans="12:16" x14ac:dyDescent="0.25">
      <c r="L723" s="146" t="s">
        <v>145</v>
      </c>
      <c r="O723" s="229"/>
      <c r="P723" s="228"/>
    </row>
    <row r="724" spans="12:16" x14ac:dyDescent="0.25">
      <c r="L724" s="146" t="s">
        <v>145</v>
      </c>
      <c r="O724" s="229"/>
      <c r="P724" s="228"/>
    </row>
    <row r="725" spans="12:16" x14ac:dyDescent="0.25">
      <c r="L725" s="146" t="s">
        <v>145</v>
      </c>
      <c r="O725" s="229"/>
      <c r="P725" s="228"/>
    </row>
    <row r="726" spans="12:16" x14ac:dyDescent="0.25">
      <c r="L726" s="146" t="s">
        <v>145</v>
      </c>
      <c r="O726" s="229"/>
      <c r="P726" s="228"/>
    </row>
    <row r="727" spans="12:16" x14ac:dyDescent="0.25">
      <c r="L727" s="146" t="s">
        <v>145</v>
      </c>
      <c r="O727" s="229"/>
      <c r="P727" s="228"/>
    </row>
    <row r="728" spans="12:16" x14ac:dyDescent="0.25">
      <c r="L728" s="146" t="s">
        <v>145</v>
      </c>
      <c r="O728" s="229"/>
      <c r="P728" s="228"/>
    </row>
    <row r="729" spans="12:16" x14ac:dyDescent="0.25">
      <c r="L729" s="146" t="s">
        <v>145</v>
      </c>
      <c r="O729" s="229"/>
      <c r="P729" s="228"/>
    </row>
    <row r="730" spans="12:16" x14ac:dyDescent="0.25">
      <c r="L730" s="146" t="s">
        <v>145</v>
      </c>
      <c r="O730" s="229"/>
      <c r="P730" s="228"/>
    </row>
    <row r="731" spans="12:16" x14ac:dyDescent="0.25">
      <c r="L731" s="146" t="s">
        <v>145</v>
      </c>
      <c r="O731" s="229"/>
      <c r="P731" s="228"/>
    </row>
    <row r="732" spans="12:16" x14ac:dyDescent="0.25">
      <c r="L732" s="146" t="s">
        <v>145</v>
      </c>
      <c r="O732" s="229"/>
      <c r="P732" s="228"/>
    </row>
    <row r="733" spans="12:16" x14ac:dyDescent="0.25">
      <c r="L733" s="146" t="s">
        <v>145</v>
      </c>
      <c r="O733" s="229"/>
      <c r="P733" s="228"/>
    </row>
    <row r="734" spans="12:16" x14ac:dyDescent="0.25">
      <c r="L734" s="146" t="s">
        <v>145</v>
      </c>
      <c r="O734" s="229"/>
      <c r="P734" s="228"/>
    </row>
    <row r="735" spans="12:16" x14ac:dyDescent="0.25">
      <c r="L735" s="146" t="s">
        <v>145</v>
      </c>
      <c r="O735" s="229"/>
      <c r="P735" s="228"/>
    </row>
    <row r="736" spans="12:16" x14ac:dyDescent="0.25">
      <c r="L736" s="146" t="s">
        <v>145</v>
      </c>
      <c r="O736" s="229"/>
      <c r="P736" s="228"/>
    </row>
    <row r="737" spans="12:16" x14ac:dyDescent="0.25">
      <c r="L737" s="146" t="s">
        <v>145</v>
      </c>
      <c r="O737" s="229"/>
      <c r="P737" s="228"/>
    </row>
    <row r="738" spans="12:16" x14ac:dyDescent="0.25">
      <c r="L738" s="146" t="s">
        <v>145</v>
      </c>
      <c r="O738" s="229"/>
      <c r="P738" s="228"/>
    </row>
    <row r="739" spans="12:16" x14ac:dyDescent="0.25">
      <c r="L739" s="146" t="s">
        <v>145</v>
      </c>
      <c r="O739" s="229"/>
      <c r="P739" s="228"/>
    </row>
    <row r="740" spans="12:16" x14ac:dyDescent="0.25">
      <c r="L740" s="146" t="s">
        <v>145</v>
      </c>
      <c r="O740" s="229"/>
      <c r="P740" s="228"/>
    </row>
    <row r="741" spans="12:16" x14ac:dyDescent="0.25">
      <c r="L741" s="146" t="s">
        <v>145</v>
      </c>
      <c r="O741" s="229"/>
      <c r="P741" s="228"/>
    </row>
    <row r="742" spans="12:16" x14ac:dyDescent="0.25">
      <c r="L742" s="146" t="s">
        <v>145</v>
      </c>
      <c r="O742" s="229"/>
      <c r="P742" s="228"/>
    </row>
    <row r="743" spans="12:16" x14ac:dyDescent="0.25">
      <c r="L743" s="146" t="s">
        <v>145</v>
      </c>
      <c r="O743" s="229"/>
      <c r="P743" s="228"/>
    </row>
    <row r="744" spans="12:16" x14ac:dyDescent="0.25">
      <c r="L744" s="146" t="s">
        <v>145</v>
      </c>
      <c r="O744" s="229"/>
      <c r="P744" s="228"/>
    </row>
    <row r="745" spans="12:16" x14ac:dyDescent="0.25">
      <c r="L745" s="146" t="s">
        <v>145</v>
      </c>
      <c r="O745" s="229"/>
      <c r="P745" s="228"/>
    </row>
    <row r="746" spans="12:16" x14ac:dyDescent="0.25">
      <c r="L746" s="146" t="s">
        <v>145</v>
      </c>
      <c r="O746" s="229"/>
      <c r="P746" s="228"/>
    </row>
    <row r="747" spans="12:16" x14ac:dyDescent="0.25">
      <c r="L747" s="146" t="s">
        <v>145</v>
      </c>
      <c r="O747" s="229"/>
      <c r="P747" s="228"/>
    </row>
    <row r="748" spans="12:16" x14ac:dyDescent="0.25">
      <c r="L748" s="146" t="s">
        <v>145</v>
      </c>
      <c r="O748" s="229"/>
      <c r="P748" s="228"/>
    </row>
    <row r="749" spans="12:16" x14ac:dyDescent="0.25">
      <c r="L749" s="146" t="s">
        <v>145</v>
      </c>
      <c r="O749" s="229"/>
      <c r="P749" s="228"/>
    </row>
    <row r="750" spans="12:16" x14ac:dyDescent="0.25">
      <c r="L750" s="146" t="s">
        <v>145</v>
      </c>
      <c r="O750" s="229"/>
      <c r="P750" s="228"/>
    </row>
    <row r="751" spans="12:16" x14ac:dyDescent="0.25">
      <c r="L751" s="146" t="s">
        <v>145</v>
      </c>
      <c r="O751" s="229"/>
      <c r="P751" s="228"/>
    </row>
    <row r="752" spans="12:16" x14ac:dyDescent="0.25">
      <c r="L752" s="146" t="s">
        <v>145</v>
      </c>
      <c r="O752" s="229"/>
      <c r="P752" s="228"/>
    </row>
    <row r="753" spans="12:16" x14ac:dyDescent="0.25">
      <c r="L753" s="146" t="s">
        <v>145</v>
      </c>
      <c r="O753" s="229"/>
      <c r="P753" s="228"/>
    </row>
    <row r="754" spans="12:16" x14ac:dyDescent="0.25">
      <c r="L754" s="146" t="s">
        <v>145</v>
      </c>
      <c r="O754" s="229"/>
      <c r="P754" s="228"/>
    </row>
    <row r="755" spans="12:16" x14ac:dyDescent="0.25">
      <c r="L755" s="146" t="s">
        <v>145</v>
      </c>
      <c r="O755" s="229"/>
      <c r="P755" s="228"/>
    </row>
    <row r="756" spans="12:16" x14ac:dyDescent="0.25">
      <c r="L756" s="146" t="s">
        <v>145</v>
      </c>
      <c r="O756" s="229"/>
      <c r="P756" s="228"/>
    </row>
    <row r="757" spans="12:16" x14ac:dyDescent="0.25">
      <c r="L757" s="146" t="s">
        <v>145</v>
      </c>
      <c r="O757" s="229"/>
      <c r="P757" s="228"/>
    </row>
    <row r="758" spans="12:16" x14ac:dyDescent="0.25">
      <c r="L758" s="146" t="s">
        <v>145</v>
      </c>
      <c r="O758" s="229"/>
      <c r="P758" s="228"/>
    </row>
    <row r="759" spans="12:16" x14ac:dyDescent="0.25">
      <c r="L759" s="146" t="s">
        <v>145</v>
      </c>
      <c r="O759" s="229"/>
      <c r="P759" s="228"/>
    </row>
    <row r="760" spans="12:16" x14ac:dyDescent="0.25">
      <c r="L760" s="146" t="s">
        <v>145</v>
      </c>
      <c r="O760" s="229"/>
      <c r="P760" s="228"/>
    </row>
    <row r="761" spans="12:16" x14ac:dyDescent="0.25">
      <c r="L761" s="146" t="s">
        <v>145</v>
      </c>
      <c r="O761" s="229"/>
      <c r="P761" s="228"/>
    </row>
    <row r="762" spans="12:16" x14ac:dyDescent="0.25">
      <c r="L762" s="146" t="s">
        <v>145</v>
      </c>
      <c r="O762" s="229"/>
      <c r="P762" s="228"/>
    </row>
    <row r="763" spans="12:16" x14ac:dyDescent="0.25">
      <c r="L763" s="146" t="s">
        <v>145</v>
      </c>
      <c r="O763" s="229"/>
      <c r="P763" s="228"/>
    </row>
    <row r="764" spans="12:16" x14ac:dyDescent="0.25">
      <c r="L764" s="146" t="s">
        <v>145</v>
      </c>
      <c r="O764" s="229"/>
      <c r="P764" s="228"/>
    </row>
    <row r="765" spans="12:16" x14ac:dyDescent="0.25">
      <c r="L765" s="146" t="s">
        <v>145</v>
      </c>
      <c r="O765" s="229"/>
      <c r="P765" s="228"/>
    </row>
    <row r="766" spans="12:16" x14ac:dyDescent="0.25">
      <c r="L766" s="146" t="s">
        <v>145</v>
      </c>
      <c r="O766" s="229"/>
      <c r="P766" s="228"/>
    </row>
    <row r="767" spans="12:16" x14ac:dyDescent="0.25">
      <c r="L767" s="146" t="s">
        <v>145</v>
      </c>
      <c r="O767" s="229"/>
      <c r="P767" s="228"/>
    </row>
    <row r="768" spans="12:16" x14ac:dyDescent="0.25">
      <c r="L768" s="146" t="s">
        <v>145</v>
      </c>
      <c r="O768" s="229"/>
      <c r="P768" s="228"/>
    </row>
    <row r="769" spans="12:16" x14ac:dyDescent="0.25">
      <c r="L769" s="146" t="s">
        <v>145</v>
      </c>
      <c r="O769" s="229"/>
      <c r="P769" s="228"/>
    </row>
    <row r="770" spans="12:16" x14ac:dyDescent="0.25">
      <c r="L770" s="146" t="s">
        <v>145</v>
      </c>
      <c r="O770" s="229"/>
      <c r="P770" s="228"/>
    </row>
    <row r="771" spans="12:16" x14ac:dyDescent="0.25">
      <c r="L771" s="146" t="s">
        <v>145</v>
      </c>
      <c r="O771" s="229"/>
      <c r="P771" s="228"/>
    </row>
    <row r="772" spans="12:16" x14ac:dyDescent="0.25">
      <c r="L772" s="146" t="s">
        <v>145</v>
      </c>
      <c r="O772" s="229"/>
      <c r="P772" s="228"/>
    </row>
    <row r="773" spans="12:16" x14ac:dyDescent="0.25">
      <c r="L773" s="146" t="s">
        <v>145</v>
      </c>
      <c r="O773" s="229"/>
      <c r="P773" s="228"/>
    </row>
    <row r="774" spans="12:16" x14ac:dyDescent="0.25">
      <c r="L774" s="146" t="s">
        <v>145</v>
      </c>
      <c r="O774" s="229"/>
      <c r="P774" s="228"/>
    </row>
    <row r="775" spans="12:16" x14ac:dyDescent="0.25">
      <c r="L775" s="146" t="s">
        <v>145</v>
      </c>
      <c r="O775" s="229"/>
      <c r="P775" s="228"/>
    </row>
    <row r="776" spans="12:16" x14ac:dyDescent="0.25">
      <c r="L776" s="146" t="s">
        <v>145</v>
      </c>
      <c r="O776" s="229"/>
      <c r="P776" s="228"/>
    </row>
    <row r="777" spans="12:16" x14ac:dyDescent="0.25">
      <c r="L777" s="146" t="s">
        <v>145</v>
      </c>
      <c r="O777" s="229"/>
      <c r="P777" s="228"/>
    </row>
    <row r="778" spans="12:16" x14ac:dyDescent="0.25">
      <c r="L778" s="146" t="s">
        <v>145</v>
      </c>
      <c r="O778" s="229"/>
      <c r="P778" s="228"/>
    </row>
    <row r="779" spans="12:16" x14ac:dyDescent="0.25">
      <c r="L779" s="146" t="s">
        <v>145</v>
      </c>
      <c r="O779" s="229"/>
      <c r="P779" s="228"/>
    </row>
    <row r="780" spans="12:16" x14ac:dyDescent="0.25">
      <c r="L780" s="146" t="s">
        <v>145</v>
      </c>
      <c r="O780" s="229"/>
      <c r="P780" s="228"/>
    </row>
    <row r="781" spans="12:16" x14ac:dyDescent="0.25">
      <c r="L781" s="146" t="s">
        <v>145</v>
      </c>
      <c r="O781" s="229"/>
      <c r="P781" s="228"/>
    </row>
    <row r="782" spans="12:16" x14ac:dyDescent="0.25">
      <c r="L782" s="146" t="s">
        <v>145</v>
      </c>
      <c r="O782" s="229"/>
      <c r="P782" s="228"/>
    </row>
    <row r="783" spans="12:16" x14ac:dyDescent="0.25">
      <c r="L783" s="146" t="s">
        <v>145</v>
      </c>
      <c r="O783" s="229"/>
      <c r="P783" s="228"/>
    </row>
    <row r="784" spans="12:16" x14ac:dyDescent="0.25">
      <c r="L784" s="146" t="s">
        <v>145</v>
      </c>
      <c r="O784" s="229"/>
      <c r="P784" s="228"/>
    </row>
    <row r="785" spans="12:16" x14ac:dyDescent="0.25">
      <c r="L785" s="146" t="s">
        <v>145</v>
      </c>
      <c r="O785" s="229"/>
      <c r="P785" s="228"/>
    </row>
    <row r="786" spans="12:16" x14ac:dyDescent="0.25">
      <c r="L786" s="146" t="s">
        <v>145</v>
      </c>
      <c r="O786" s="229"/>
      <c r="P786" s="228"/>
    </row>
    <row r="787" spans="12:16" x14ac:dyDescent="0.25">
      <c r="L787" s="146" t="s">
        <v>145</v>
      </c>
      <c r="O787" s="229"/>
      <c r="P787" s="228"/>
    </row>
    <row r="788" spans="12:16" x14ac:dyDescent="0.25">
      <c r="L788" s="146" t="s">
        <v>145</v>
      </c>
      <c r="O788" s="229"/>
      <c r="P788" s="228"/>
    </row>
    <row r="789" spans="12:16" x14ac:dyDescent="0.25">
      <c r="L789" s="146" t="s">
        <v>145</v>
      </c>
      <c r="O789" s="229"/>
      <c r="P789" s="228"/>
    </row>
    <row r="790" spans="12:16" x14ac:dyDescent="0.25">
      <c r="L790" s="146" t="s">
        <v>145</v>
      </c>
      <c r="O790" s="229"/>
      <c r="P790" s="228"/>
    </row>
    <row r="791" spans="12:16" x14ac:dyDescent="0.25">
      <c r="L791" s="146" t="s">
        <v>145</v>
      </c>
      <c r="O791" s="229"/>
      <c r="P791" s="228"/>
    </row>
    <row r="792" spans="12:16" x14ac:dyDescent="0.25">
      <c r="L792" s="146" t="s">
        <v>145</v>
      </c>
      <c r="O792" s="229"/>
      <c r="P792" s="228"/>
    </row>
    <row r="793" spans="12:16" x14ac:dyDescent="0.25">
      <c r="L793" s="146" t="s">
        <v>145</v>
      </c>
      <c r="O793" s="229"/>
      <c r="P793" s="228"/>
    </row>
    <row r="794" spans="12:16" x14ac:dyDescent="0.25">
      <c r="L794" s="146" t="s">
        <v>145</v>
      </c>
      <c r="O794" s="229"/>
      <c r="P794" s="228"/>
    </row>
    <row r="795" spans="12:16" x14ac:dyDescent="0.25">
      <c r="L795" s="146" t="s">
        <v>145</v>
      </c>
      <c r="O795" s="229"/>
      <c r="P795" s="228"/>
    </row>
    <row r="796" spans="12:16" x14ac:dyDescent="0.25">
      <c r="L796" s="146" t="s">
        <v>145</v>
      </c>
      <c r="O796" s="229"/>
      <c r="P796" s="228"/>
    </row>
    <row r="797" spans="12:16" x14ac:dyDescent="0.25">
      <c r="L797" s="146" t="s">
        <v>145</v>
      </c>
      <c r="O797" s="229"/>
      <c r="P797" s="228"/>
    </row>
    <row r="798" spans="12:16" x14ac:dyDescent="0.25">
      <c r="L798" s="146" t="s">
        <v>145</v>
      </c>
      <c r="O798" s="229"/>
      <c r="P798" s="228"/>
    </row>
    <row r="799" spans="12:16" x14ac:dyDescent="0.25">
      <c r="L799" s="146" t="s">
        <v>145</v>
      </c>
      <c r="O799" s="229"/>
      <c r="P799" s="228"/>
    </row>
    <row r="800" spans="12:16" x14ac:dyDescent="0.25">
      <c r="L800" s="146" t="s">
        <v>145</v>
      </c>
      <c r="O800" s="229"/>
      <c r="P800" s="228"/>
    </row>
    <row r="801" spans="12:16" x14ac:dyDescent="0.25">
      <c r="L801" s="146" t="s">
        <v>145</v>
      </c>
      <c r="O801" s="229"/>
      <c r="P801" s="228"/>
    </row>
    <row r="802" spans="12:16" x14ac:dyDescent="0.25">
      <c r="L802" s="146" t="s">
        <v>145</v>
      </c>
      <c r="O802" s="229"/>
      <c r="P802" s="228"/>
    </row>
    <row r="803" spans="12:16" x14ac:dyDescent="0.25">
      <c r="L803" s="146" t="s">
        <v>145</v>
      </c>
      <c r="O803" s="229"/>
      <c r="P803" s="228"/>
    </row>
    <row r="804" spans="12:16" x14ac:dyDescent="0.25">
      <c r="L804" s="146" t="s">
        <v>145</v>
      </c>
      <c r="O804" s="229"/>
      <c r="P804" s="228"/>
    </row>
    <row r="805" spans="12:16" x14ac:dyDescent="0.25">
      <c r="L805" s="146" t="s">
        <v>145</v>
      </c>
      <c r="O805" s="229"/>
      <c r="P805" s="228"/>
    </row>
    <row r="806" spans="12:16" x14ac:dyDescent="0.25">
      <c r="L806" s="146" t="s">
        <v>145</v>
      </c>
      <c r="O806" s="229"/>
      <c r="P806" s="228"/>
    </row>
    <row r="807" spans="12:16" x14ac:dyDescent="0.25">
      <c r="L807" s="146" t="s">
        <v>145</v>
      </c>
      <c r="O807" s="229"/>
      <c r="P807" s="228"/>
    </row>
    <row r="808" spans="12:16" x14ac:dyDescent="0.25">
      <c r="L808" s="146" t="s">
        <v>145</v>
      </c>
      <c r="O808" s="229"/>
      <c r="P808" s="228"/>
    </row>
    <row r="809" spans="12:16" x14ac:dyDescent="0.25">
      <c r="L809" s="146" t="s">
        <v>145</v>
      </c>
      <c r="O809" s="229"/>
      <c r="P809" s="228"/>
    </row>
    <row r="810" spans="12:16" x14ac:dyDescent="0.25">
      <c r="L810" s="146" t="s">
        <v>145</v>
      </c>
      <c r="O810" s="229"/>
      <c r="P810" s="228"/>
    </row>
    <row r="811" spans="12:16" x14ac:dyDescent="0.25">
      <c r="L811" s="146" t="s">
        <v>145</v>
      </c>
      <c r="O811" s="229"/>
      <c r="P811" s="228"/>
    </row>
    <row r="812" spans="12:16" x14ac:dyDescent="0.25">
      <c r="L812" s="146" t="s">
        <v>145</v>
      </c>
      <c r="O812" s="229"/>
      <c r="P812" s="228"/>
    </row>
    <row r="813" spans="12:16" x14ac:dyDescent="0.25">
      <c r="L813" s="146" t="s">
        <v>145</v>
      </c>
      <c r="O813" s="229"/>
      <c r="P813" s="228"/>
    </row>
    <row r="814" spans="12:16" x14ac:dyDescent="0.25">
      <c r="L814" s="146" t="s">
        <v>145</v>
      </c>
      <c r="O814" s="229"/>
      <c r="P814" s="228"/>
    </row>
    <row r="815" spans="12:16" x14ac:dyDescent="0.25">
      <c r="L815" s="146" t="s">
        <v>145</v>
      </c>
      <c r="O815" s="229"/>
      <c r="P815" s="228"/>
    </row>
    <row r="816" spans="12:16" x14ac:dyDescent="0.25">
      <c r="L816" s="146" t="s">
        <v>145</v>
      </c>
      <c r="O816" s="229"/>
      <c r="P816" s="228"/>
    </row>
    <row r="817" spans="12:16" x14ac:dyDescent="0.25">
      <c r="L817" s="146" t="s">
        <v>145</v>
      </c>
      <c r="O817" s="229"/>
      <c r="P817" s="228"/>
    </row>
    <row r="818" spans="12:16" x14ac:dyDescent="0.25">
      <c r="L818" s="146" t="s">
        <v>145</v>
      </c>
      <c r="O818" s="229"/>
      <c r="P818" s="228"/>
    </row>
    <row r="819" spans="12:16" x14ac:dyDescent="0.25">
      <c r="L819" s="146" t="s">
        <v>145</v>
      </c>
      <c r="O819" s="229"/>
      <c r="P819" s="228"/>
    </row>
    <row r="820" spans="12:16" x14ac:dyDescent="0.25">
      <c r="L820" s="146" t="s">
        <v>145</v>
      </c>
      <c r="O820" s="229"/>
      <c r="P820" s="228"/>
    </row>
    <row r="821" spans="12:16" x14ac:dyDescent="0.25">
      <c r="L821" s="146" t="s">
        <v>145</v>
      </c>
      <c r="O821" s="229"/>
      <c r="P821" s="228"/>
    </row>
    <row r="822" spans="12:16" x14ac:dyDescent="0.25">
      <c r="L822" s="146" t="s">
        <v>145</v>
      </c>
      <c r="O822" s="229"/>
      <c r="P822" s="228"/>
    </row>
    <row r="823" spans="12:16" x14ac:dyDescent="0.25">
      <c r="L823" s="146" t="s">
        <v>145</v>
      </c>
      <c r="O823" s="229"/>
      <c r="P823" s="228"/>
    </row>
    <row r="824" spans="12:16" x14ac:dyDescent="0.25">
      <c r="L824" s="146" t="s">
        <v>145</v>
      </c>
      <c r="O824" s="229"/>
      <c r="P824" s="228"/>
    </row>
    <row r="825" spans="12:16" x14ac:dyDescent="0.25">
      <c r="L825" s="146" t="s">
        <v>145</v>
      </c>
      <c r="O825" s="229"/>
      <c r="P825" s="228"/>
    </row>
    <row r="826" spans="12:16" x14ac:dyDescent="0.25">
      <c r="L826" s="146" t="s">
        <v>145</v>
      </c>
      <c r="O826" s="229"/>
      <c r="P826" s="228"/>
    </row>
    <row r="827" spans="12:16" x14ac:dyDescent="0.25">
      <c r="L827" s="146" t="s">
        <v>145</v>
      </c>
      <c r="O827" s="229"/>
      <c r="P827" s="228"/>
    </row>
    <row r="828" spans="12:16" x14ac:dyDescent="0.25">
      <c r="L828" s="146" t="s">
        <v>145</v>
      </c>
      <c r="O828" s="229"/>
      <c r="P828" s="228"/>
    </row>
    <row r="829" spans="12:16" x14ac:dyDescent="0.25">
      <c r="L829" s="146" t="s">
        <v>145</v>
      </c>
      <c r="O829" s="229"/>
      <c r="P829" s="228"/>
    </row>
    <row r="830" spans="12:16" x14ac:dyDescent="0.25">
      <c r="L830" s="146" t="s">
        <v>145</v>
      </c>
      <c r="O830" s="229"/>
      <c r="P830" s="228"/>
    </row>
    <row r="831" spans="12:16" x14ac:dyDescent="0.25">
      <c r="L831" s="146" t="s">
        <v>145</v>
      </c>
      <c r="O831" s="229"/>
      <c r="P831" s="228"/>
    </row>
    <row r="832" spans="12:16" x14ac:dyDescent="0.25">
      <c r="L832" s="146" t="s">
        <v>145</v>
      </c>
      <c r="O832" s="229"/>
      <c r="P832" s="228"/>
    </row>
    <row r="833" spans="12:16" x14ac:dyDescent="0.25">
      <c r="L833" s="146" t="s">
        <v>145</v>
      </c>
      <c r="O833" s="229"/>
      <c r="P833" s="228"/>
    </row>
    <row r="834" spans="12:16" x14ac:dyDescent="0.25">
      <c r="L834" s="146" t="s">
        <v>145</v>
      </c>
      <c r="O834" s="229"/>
      <c r="P834" s="228"/>
    </row>
    <row r="835" spans="12:16" x14ac:dyDescent="0.25">
      <c r="L835" s="146" t="s">
        <v>145</v>
      </c>
      <c r="O835" s="229"/>
      <c r="P835" s="228"/>
    </row>
    <row r="836" spans="12:16" x14ac:dyDescent="0.25">
      <c r="L836" s="146" t="s">
        <v>145</v>
      </c>
      <c r="O836" s="229"/>
      <c r="P836" s="228"/>
    </row>
    <row r="837" spans="12:16" x14ac:dyDescent="0.25">
      <c r="L837" s="146" t="s">
        <v>145</v>
      </c>
      <c r="O837" s="229"/>
      <c r="P837" s="228"/>
    </row>
    <row r="838" spans="12:16" x14ac:dyDescent="0.25">
      <c r="L838" s="146" t="s">
        <v>145</v>
      </c>
      <c r="O838" s="229"/>
      <c r="P838" s="228"/>
    </row>
    <row r="839" spans="12:16" x14ac:dyDescent="0.25">
      <c r="L839" s="146" t="s">
        <v>145</v>
      </c>
      <c r="O839" s="229"/>
      <c r="P839" s="228"/>
    </row>
    <row r="840" spans="12:16" x14ac:dyDescent="0.25">
      <c r="L840" s="146" t="s">
        <v>145</v>
      </c>
      <c r="O840" s="229"/>
      <c r="P840" s="228"/>
    </row>
    <row r="841" spans="12:16" x14ac:dyDescent="0.25">
      <c r="L841" s="146" t="s">
        <v>145</v>
      </c>
      <c r="O841" s="229"/>
      <c r="P841" s="228"/>
    </row>
    <row r="842" spans="12:16" x14ac:dyDescent="0.25">
      <c r="L842" s="146" t="s">
        <v>145</v>
      </c>
      <c r="O842" s="229"/>
      <c r="P842" s="228"/>
    </row>
    <row r="843" spans="12:16" x14ac:dyDescent="0.25">
      <c r="L843" s="146" t="s">
        <v>145</v>
      </c>
      <c r="O843" s="229"/>
      <c r="P843" s="228"/>
    </row>
    <row r="844" spans="12:16" x14ac:dyDescent="0.25">
      <c r="L844" s="146" t="s">
        <v>145</v>
      </c>
      <c r="O844" s="229"/>
      <c r="P844" s="228"/>
    </row>
    <row r="845" spans="12:16" x14ac:dyDescent="0.25">
      <c r="L845" s="146" t="s">
        <v>145</v>
      </c>
      <c r="O845" s="229"/>
      <c r="P845" s="228"/>
    </row>
    <row r="846" spans="12:16" x14ac:dyDescent="0.25">
      <c r="L846" s="146" t="s">
        <v>145</v>
      </c>
      <c r="O846" s="229"/>
      <c r="P846" s="228"/>
    </row>
    <row r="847" spans="12:16" x14ac:dyDescent="0.25">
      <c r="L847" s="146" t="s">
        <v>145</v>
      </c>
      <c r="O847" s="229"/>
      <c r="P847" s="228"/>
    </row>
    <row r="848" spans="12:16" x14ac:dyDescent="0.25">
      <c r="L848" s="146" t="s">
        <v>145</v>
      </c>
      <c r="O848" s="229"/>
      <c r="P848" s="228"/>
    </row>
    <row r="849" spans="12:16" x14ac:dyDescent="0.25">
      <c r="L849" s="146" t="s">
        <v>145</v>
      </c>
      <c r="O849" s="229"/>
      <c r="P849" s="228"/>
    </row>
    <row r="850" spans="12:16" x14ac:dyDescent="0.25">
      <c r="L850" s="146" t="s">
        <v>145</v>
      </c>
      <c r="O850" s="229"/>
      <c r="P850" s="228"/>
    </row>
    <row r="851" spans="12:16" x14ac:dyDescent="0.25">
      <c r="L851" s="146" t="s">
        <v>145</v>
      </c>
      <c r="O851" s="229"/>
      <c r="P851" s="228"/>
    </row>
    <row r="852" spans="12:16" x14ac:dyDescent="0.25">
      <c r="L852" s="146" t="s">
        <v>145</v>
      </c>
      <c r="O852" s="229"/>
      <c r="P852" s="228"/>
    </row>
    <row r="853" spans="12:16" x14ac:dyDescent="0.25">
      <c r="L853" s="146" t="s">
        <v>145</v>
      </c>
      <c r="O853" s="229"/>
      <c r="P853" s="228"/>
    </row>
    <row r="854" spans="12:16" x14ac:dyDescent="0.25">
      <c r="L854" s="146" t="s">
        <v>145</v>
      </c>
      <c r="O854" s="229"/>
      <c r="P854" s="228"/>
    </row>
    <row r="855" spans="12:16" x14ac:dyDescent="0.25">
      <c r="L855" s="146" t="s">
        <v>145</v>
      </c>
      <c r="O855" s="229"/>
      <c r="P855" s="228"/>
    </row>
    <row r="856" spans="12:16" x14ac:dyDescent="0.25">
      <c r="L856" s="146" t="s">
        <v>145</v>
      </c>
      <c r="O856" s="229"/>
      <c r="P856" s="228"/>
    </row>
    <row r="857" spans="12:16" x14ac:dyDescent="0.25">
      <c r="L857" s="146" t="s">
        <v>145</v>
      </c>
      <c r="O857" s="229"/>
      <c r="P857" s="228"/>
    </row>
    <row r="858" spans="12:16" x14ac:dyDescent="0.25">
      <c r="L858" s="146" t="s">
        <v>145</v>
      </c>
      <c r="O858" s="229"/>
      <c r="P858" s="228"/>
    </row>
    <row r="859" spans="12:16" x14ac:dyDescent="0.25">
      <c r="L859" s="146" t="s">
        <v>145</v>
      </c>
      <c r="O859" s="229"/>
      <c r="P859" s="228"/>
    </row>
    <row r="860" spans="12:16" x14ac:dyDescent="0.25">
      <c r="L860" s="146" t="s">
        <v>145</v>
      </c>
      <c r="O860" s="229"/>
      <c r="P860" s="228"/>
    </row>
    <row r="861" spans="12:16" x14ac:dyDescent="0.25">
      <c r="L861" s="146" t="s">
        <v>145</v>
      </c>
      <c r="O861" s="229"/>
      <c r="P861" s="228"/>
    </row>
    <row r="862" spans="12:16" x14ac:dyDescent="0.25">
      <c r="L862" s="146" t="s">
        <v>145</v>
      </c>
      <c r="O862" s="229"/>
      <c r="P862" s="228"/>
    </row>
    <row r="863" spans="12:16" x14ac:dyDescent="0.25">
      <c r="L863" s="146" t="s">
        <v>145</v>
      </c>
      <c r="O863" s="229"/>
      <c r="P863" s="228"/>
    </row>
    <row r="864" spans="12:16" x14ac:dyDescent="0.25">
      <c r="L864" s="146" t="s">
        <v>145</v>
      </c>
      <c r="O864" s="229"/>
      <c r="P864" s="228"/>
    </row>
    <row r="865" spans="12:16" x14ac:dyDescent="0.25">
      <c r="L865" s="146" t="s">
        <v>145</v>
      </c>
      <c r="O865" s="229"/>
      <c r="P865" s="228"/>
    </row>
    <row r="866" spans="12:16" x14ac:dyDescent="0.25">
      <c r="L866" s="146" t="s">
        <v>145</v>
      </c>
      <c r="O866" s="229"/>
      <c r="P866" s="228"/>
    </row>
    <row r="867" spans="12:16" x14ac:dyDescent="0.25">
      <c r="L867" s="146" t="s">
        <v>145</v>
      </c>
      <c r="O867" s="229"/>
      <c r="P867" s="228"/>
    </row>
    <row r="868" spans="12:16" x14ac:dyDescent="0.25">
      <c r="L868" s="146" t="s">
        <v>145</v>
      </c>
      <c r="O868" s="229"/>
      <c r="P868" s="228"/>
    </row>
    <row r="869" spans="12:16" x14ac:dyDescent="0.25">
      <c r="L869" s="146" t="s">
        <v>145</v>
      </c>
      <c r="O869" s="229"/>
      <c r="P869" s="228"/>
    </row>
    <row r="870" spans="12:16" x14ac:dyDescent="0.25">
      <c r="L870" s="146" t="s">
        <v>145</v>
      </c>
      <c r="O870" s="229"/>
      <c r="P870" s="228"/>
    </row>
    <row r="871" spans="12:16" x14ac:dyDescent="0.25">
      <c r="L871" s="146" t="s">
        <v>145</v>
      </c>
      <c r="O871" s="229"/>
      <c r="P871" s="228"/>
    </row>
    <row r="872" spans="12:16" x14ac:dyDescent="0.25">
      <c r="L872" s="146" t="s">
        <v>145</v>
      </c>
      <c r="O872" s="229"/>
      <c r="P872" s="228"/>
    </row>
    <row r="873" spans="12:16" x14ac:dyDescent="0.25">
      <c r="L873" s="146" t="s">
        <v>145</v>
      </c>
      <c r="O873" s="229"/>
      <c r="P873" s="228"/>
    </row>
    <row r="874" spans="12:16" x14ac:dyDescent="0.25">
      <c r="L874" s="146" t="s">
        <v>145</v>
      </c>
      <c r="O874" s="229"/>
      <c r="P874" s="228"/>
    </row>
    <row r="875" spans="12:16" x14ac:dyDescent="0.25">
      <c r="L875" s="146" t="s">
        <v>145</v>
      </c>
      <c r="O875" s="229"/>
      <c r="P875" s="228"/>
    </row>
    <row r="876" spans="12:16" x14ac:dyDescent="0.25">
      <c r="L876" s="146" t="s">
        <v>145</v>
      </c>
      <c r="O876" s="229"/>
      <c r="P876" s="228"/>
    </row>
    <row r="877" spans="12:16" x14ac:dyDescent="0.25">
      <c r="L877" s="146" t="s">
        <v>145</v>
      </c>
      <c r="O877" s="229"/>
      <c r="P877" s="228"/>
    </row>
    <row r="878" spans="12:16" x14ac:dyDescent="0.25">
      <c r="L878" s="146" t="s">
        <v>145</v>
      </c>
      <c r="O878" s="229"/>
      <c r="P878" s="228"/>
    </row>
    <row r="879" spans="12:16" x14ac:dyDescent="0.25">
      <c r="L879" s="146" t="s">
        <v>145</v>
      </c>
      <c r="O879" s="229"/>
      <c r="P879" s="228"/>
    </row>
    <row r="880" spans="12:16" x14ac:dyDescent="0.25">
      <c r="L880" s="146" t="s">
        <v>145</v>
      </c>
      <c r="O880" s="229"/>
      <c r="P880" s="228"/>
    </row>
    <row r="881" spans="12:16" x14ac:dyDescent="0.25">
      <c r="L881" s="146" t="s">
        <v>145</v>
      </c>
      <c r="O881" s="229"/>
      <c r="P881" s="228"/>
    </row>
    <row r="882" spans="12:16" x14ac:dyDescent="0.25">
      <c r="L882" s="146" t="s">
        <v>145</v>
      </c>
      <c r="O882" s="229"/>
      <c r="P882" s="228"/>
    </row>
    <row r="883" spans="12:16" x14ac:dyDescent="0.25">
      <c r="L883" s="146" t="s">
        <v>145</v>
      </c>
      <c r="O883" s="229"/>
      <c r="P883" s="228"/>
    </row>
    <row r="884" spans="12:16" x14ac:dyDescent="0.25">
      <c r="L884" s="146" t="s">
        <v>145</v>
      </c>
      <c r="O884" s="229"/>
      <c r="P884" s="228"/>
    </row>
    <row r="885" spans="12:16" x14ac:dyDescent="0.25">
      <c r="L885" s="146" t="s">
        <v>145</v>
      </c>
      <c r="O885" s="229"/>
      <c r="P885" s="228"/>
    </row>
    <row r="886" spans="12:16" x14ac:dyDescent="0.25">
      <c r="L886" s="146" t="s">
        <v>145</v>
      </c>
      <c r="O886" s="229"/>
      <c r="P886" s="228"/>
    </row>
    <row r="887" spans="12:16" x14ac:dyDescent="0.25">
      <c r="L887" s="146" t="s">
        <v>145</v>
      </c>
      <c r="O887" s="229"/>
      <c r="P887" s="228"/>
    </row>
    <row r="888" spans="12:16" x14ac:dyDescent="0.25">
      <c r="L888" s="146" t="s">
        <v>145</v>
      </c>
      <c r="O888" s="229"/>
      <c r="P888" s="228"/>
    </row>
    <row r="889" spans="12:16" x14ac:dyDescent="0.25">
      <c r="L889" s="146" t="s">
        <v>145</v>
      </c>
      <c r="O889" s="229"/>
      <c r="P889" s="228"/>
    </row>
    <row r="890" spans="12:16" x14ac:dyDescent="0.25">
      <c r="L890" s="146" t="s">
        <v>145</v>
      </c>
      <c r="O890" s="229"/>
      <c r="P890" s="228"/>
    </row>
    <row r="891" spans="12:16" x14ac:dyDescent="0.25">
      <c r="L891" s="146" t="s">
        <v>145</v>
      </c>
      <c r="O891" s="229"/>
      <c r="P891" s="228"/>
    </row>
    <row r="892" spans="12:16" x14ac:dyDescent="0.25">
      <c r="L892" s="146" t="s">
        <v>145</v>
      </c>
      <c r="O892" s="229"/>
      <c r="P892" s="228"/>
    </row>
    <row r="893" spans="12:16" x14ac:dyDescent="0.25">
      <c r="L893" s="146" t="s">
        <v>145</v>
      </c>
      <c r="O893" s="229"/>
      <c r="P893" s="228"/>
    </row>
    <row r="894" spans="12:16" x14ac:dyDescent="0.25">
      <c r="L894" s="146" t="s">
        <v>145</v>
      </c>
      <c r="O894" s="229"/>
      <c r="P894" s="228"/>
    </row>
    <row r="895" spans="12:16" x14ac:dyDescent="0.25">
      <c r="L895" s="146" t="s">
        <v>145</v>
      </c>
      <c r="O895" s="229"/>
      <c r="P895" s="228"/>
    </row>
    <row r="896" spans="12:16" x14ac:dyDescent="0.25">
      <c r="L896" s="146" t="s">
        <v>145</v>
      </c>
      <c r="O896" s="229"/>
      <c r="P896" s="228"/>
    </row>
    <row r="897" spans="12:16" x14ac:dyDescent="0.25">
      <c r="L897" s="146" t="s">
        <v>145</v>
      </c>
      <c r="O897" s="229"/>
      <c r="P897" s="228"/>
    </row>
    <row r="898" spans="12:16" x14ac:dyDescent="0.25">
      <c r="L898" s="146" t="s">
        <v>145</v>
      </c>
      <c r="O898" s="229"/>
      <c r="P898" s="228"/>
    </row>
    <row r="899" spans="12:16" x14ac:dyDescent="0.25">
      <c r="L899" s="146" t="s">
        <v>145</v>
      </c>
      <c r="O899" s="229"/>
      <c r="P899" s="228"/>
    </row>
    <row r="900" spans="12:16" x14ac:dyDescent="0.25">
      <c r="L900" s="146" t="s">
        <v>145</v>
      </c>
      <c r="O900" s="229"/>
      <c r="P900" s="228"/>
    </row>
    <row r="901" spans="12:16" x14ac:dyDescent="0.25">
      <c r="L901" s="146" t="s">
        <v>145</v>
      </c>
      <c r="O901" s="229"/>
      <c r="P901" s="228"/>
    </row>
    <row r="902" spans="12:16" x14ac:dyDescent="0.25">
      <c r="L902" s="146" t="s">
        <v>145</v>
      </c>
      <c r="O902" s="229"/>
      <c r="P902" s="228"/>
    </row>
    <row r="903" spans="12:16" x14ac:dyDescent="0.25">
      <c r="L903" s="146" t="s">
        <v>145</v>
      </c>
      <c r="O903" s="229"/>
      <c r="P903" s="228"/>
    </row>
    <row r="904" spans="12:16" x14ac:dyDescent="0.25">
      <c r="L904" s="146" t="s">
        <v>145</v>
      </c>
      <c r="O904" s="229"/>
      <c r="P904" s="228"/>
    </row>
    <row r="905" spans="12:16" x14ac:dyDescent="0.25">
      <c r="L905" s="146" t="s">
        <v>145</v>
      </c>
      <c r="O905" s="229"/>
      <c r="P905" s="228"/>
    </row>
    <row r="906" spans="12:16" x14ac:dyDescent="0.25">
      <c r="O906" s="229"/>
      <c r="P906" s="228"/>
    </row>
    <row r="907" spans="12:16" x14ac:dyDescent="0.25">
      <c r="O907" s="229"/>
      <c r="P907" s="228"/>
    </row>
    <row r="908" spans="12:16" x14ac:dyDescent="0.25">
      <c r="O908" s="229"/>
      <c r="P908" s="228"/>
    </row>
    <row r="909" spans="12:16" x14ac:dyDescent="0.25">
      <c r="O909" s="229"/>
      <c r="P909" s="228"/>
    </row>
    <row r="910" spans="12:16" x14ac:dyDescent="0.25">
      <c r="O910" s="229"/>
      <c r="P910" s="228"/>
    </row>
    <row r="911" spans="12:16" x14ac:dyDescent="0.25">
      <c r="O911" s="229"/>
      <c r="P911" s="228"/>
    </row>
    <row r="912" spans="12:16" x14ac:dyDescent="0.25">
      <c r="O912" s="229"/>
      <c r="P912" s="228"/>
    </row>
    <row r="913" spans="15:16" x14ac:dyDescent="0.25">
      <c r="O913" s="229"/>
      <c r="P913" s="228"/>
    </row>
    <row r="914" spans="15:16" x14ac:dyDescent="0.25">
      <c r="O914" s="229"/>
      <c r="P914" s="228"/>
    </row>
    <row r="915" spans="15:16" x14ac:dyDescent="0.25">
      <c r="O915" s="229"/>
      <c r="P915" s="228"/>
    </row>
    <row r="916" spans="15:16" x14ac:dyDescent="0.25">
      <c r="O916" s="229"/>
      <c r="P916" s="228"/>
    </row>
    <row r="917" spans="15:16" x14ac:dyDescent="0.25">
      <c r="O917" s="229"/>
      <c r="P917" s="228"/>
    </row>
    <row r="918" spans="15:16" x14ac:dyDescent="0.25">
      <c r="O918" s="229"/>
      <c r="P918" s="228"/>
    </row>
    <row r="919" spans="15:16" x14ac:dyDescent="0.25">
      <c r="O919" s="229"/>
      <c r="P919" s="228"/>
    </row>
    <row r="920" spans="15:16" x14ac:dyDescent="0.25">
      <c r="O920" s="229"/>
      <c r="P920" s="228"/>
    </row>
    <row r="921" spans="15:16" x14ac:dyDescent="0.25">
      <c r="O921" s="229"/>
      <c r="P921" s="228"/>
    </row>
    <row r="922" spans="15:16" x14ac:dyDescent="0.25">
      <c r="O922" s="229"/>
      <c r="P922" s="228"/>
    </row>
    <row r="923" spans="15:16" x14ac:dyDescent="0.25">
      <c r="O923" s="229"/>
      <c r="P923" s="228"/>
    </row>
    <row r="924" spans="15:16" x14ac:dyDescent="0.25">
      <c r="O924" s="229"/>
      <c r="P924" s="228"/>
    </row>
    <row r="925" spans="15:16" x14ac:dyDescent="0.25">
      <c r="O925" s="229"/>
      <c r="P925" s="228"/>
    </row>
    <row r="926" spans="15:16" x14ac:dyDescent="0.25">
      <c r="O926" s="229"/>
      <c r="P926" s="228"/>
    </row>
    <row r="927" spans="15:16" x14ac:dyDescent="0.25">
      <c r="O927" s="229"/>
      <c r="P927" s="228"/>
    </row>
    <row r="928" spans="15:16" x14ac:dyDescent="0.25">
      <c r="O928" s="229"/>
      <c r="P928" s="228"/>
    </row>
    <row r="929" spans="15:16" x14ac:dyDescent="0.25">
      <c r="O929" s="229"/>
      <c r="P929" s="228"/>
    </row>
    <row r="930" spans="15:16" x14ac:dyDescent="0.25">
      <c r="O930" s="229"/>
      <c r="P930" s="228"/>
    </row>
    <row r="931" spans="15:16" x14ac:dyDescent="0.25">
      <c r="O931" s="229"/>
      <c r="P931" s="228"/>
    </row>
    <row r="932" spans="15:16" x14ac:dyDescent="0.25">
      <c r="O932" s="229"/>
      <c r="P932" s="228"/>
    </row>
    <row r="933" spans="15:16" x14ac:dyDescent="0.25">
      <c r="O933" s="229"/>
      <c r="P933" s="228"/>
    </row>
    <row r="934" spans="15:16" x14ac:dyDescent="0.25">
      <c r="O934" s="229"/>
      <c r="P934" s="228"/>
    </row>
    <row r="935" spans="15:16" x14ac:dyDescent="0.25">
      <c r="O935" s="229"/>
      <c r="P935" s="228"/>
    </row>
    <row r="936" spans="15:16" x14ac:dyDescent="0.25">
      <c r="O936" s="229"/>
      <c r="P936" s="228"/>
    </row>
    <row r="937" spans="15:16" x14ac:dyDescent="0.25">
      <c r="O937" s="229"/>
      <c r="P937" s="228"/>
    </row>
    <row r="938" spans="15:16" x14ac:dyDescent="0.25">
      <c r="O938" s="229"/>
      <c r="P938" s="228"/>
    </row>
    <row r="939" spans="15:16" x14ac:dyDescent="0.25">
      <c r="O939" s="229"/>
      <c r="P939" s="228"/>
    </row>
    <row r="940" spans="15:16" x14ac:dyDescent="0.25">
      <c r="O940" s="229"/>
      <c r="P940" s="228"/>
    </row>
    <row r="941" spans="15:16" x14ac:dyDescent="0.25">
      <c r="O941" s="229"/>
      <c r="P941" s="228"/>
    </row>
    <row r="942" spans="15:16" x14ac:dyDescent="0.25">
      <c r="O942" s="229"/>
      <c r="P942" s="228"/>
    </row>
    <row r="943" spans="15:16" x14ac:dyDescent="0.25">
      <c r="O943" s="229"/>
      <c r="P943" s="228"/>
    </row>
    <row r="944" spans="15:16" x14ac:dyDescent="0.25">
      <c r="O944" s="229"/>
      <c r="P944" s="228"/>
    </row>
    <row r="945" spans="15:16" x14ac:dyDescent="0.25">
      <c r="O945" s="229"/>
      <c r="P945" s="228"/>
    </row>
    <row r="946" spans="15:16" x14ac:dyDescent="0.25">
      <c r="O946" s="229"/>
      <c r="P946" s="228"/>
    </row>
    <row r="947" spans="15:16" x14ac:dyDescent="0.25">
      <c r="O947" s="229"/>
      <c r="P947" s="228"/>
    </row>
    <row r="948" spans="15:16" x14ac:dyDescent="0.25">
      <c r="O948" s="229"/>
      <c r="P948" s="228"/>
    </row>
    <row r="949" spans="15:16" x14ac:dyDescent="0.25">
      <c r="O949" s="229"/>
      <c r="P949" s="228"/>
    </row>
    <row r="950" spans="15:16" x14ac:dyDescent="0.25">
      <c r="O950" s="229"/>
      <c r="P950" s="228"/>
    </row>
    <row r="951" spans="15:16" x14ac:dyDescent="0.25">
      <c r="O951" s="229"/>
      <c r="P951" s="228"/>
    </row>
    <row r="952" spans="15:16" x14ac:dyDescent="0.25">
      <c r="O952" s="229"/>
      <c r="P952" s="228"/>
    </row>
    <row r="953" spans="15:16" x14ac:dyDescent="0.25">
      <c r="O953" s="229"/>
      <c r="P953" s="228"/>
    </row>
    <row r="954" spans="15:16" x14ac:dyDescent="0.25">
      <c r="O954" s="229"/>
      <c r="P954" s="228"/>
    </row>
    <row r="955" spans="15:16" x14ac:dyDescent="0.25">
      <c r="O955" s="229"/>
      <c r="P955" s="228"/>
    </row>
    <row r="956" spans="15:16" x14ac:dyDescent="0.25">
      <c r="O956" s="229"/>
      <c r="P956" s="228"/>
    </row>
    <row r="957" spans="15:16" x14ac:dyDescent="0.25">
      <c r="O957" s="229"/>
      <c r="P957" s="228"/>
    </row>
    <row r="958" spans="15:16" x14ac:dyDescent="0.25">
      <c r="O958" s="229"/>
      <c r="P958" s="228"/>
    </row>
    <row r="959" spans="15:16" x14ac:dyDescent="0.25">
      <c r="O959" s="229"/>
      <c r="P959" s="228"/>
    </row>
    <row r="960" spans="15:16" x14ac:dyDescent="0.25">
      <c r="O960" s="229"/>
      <c r="P960" s="228"/>
    </row>
    <row r="961" spans="15:16" x14ac:dyDescent="0.25">
      <c r="O961" s="229"/>
      <c r="P961" s="228"/>
    </row>
    <row r="962" spans="15:16" x14ac:dyDescent="0.25">
      <c r="O962" s="229"/>
      <c r="P962" s="228"/>
    </row>
    <row r="963" spans="15:16" x14ac:dyDescent="0.25">
      <c r="O963" s="229"/>
      <c r="P963" s="228"/>
    </row>
    <row r="964" spans="15:16" x14ac:dyDescent="0.25">
      <c r="O964" s="229"/>
      <c r="P964" s="228"/>
    </row>
    <row r="965" spans="15:16" x14ac:dyDescent="0.25">
      <c r="O965" s="229"/>
      <c r="P965" s="228"/>
    </row>
    <row r="966" spans="15:16" x14ac:dyDescent="0.25">
      <c r="O966" s="229"/>
      <c r="P966" s="228"/>
    </row>
    <row r="967" spans="15:16" x14ac:dyDescent="0.25">
      <c r="O967" s="229"/>
      <c r="P967" s="228"/>
    </row>
    <row r="968" spans="15:16" x14ac:dyDescent="0.25">
      <c r="O968" s="229"/>
      <c r="P968" s="228"/>
    </row>
    <row r="969" spans="15:16" x14ac:dyDescent="0.25">
      <c r="O969" s="229"/>
      <c r="P969" s="228"/>
    </row>
    <row r="970" spans="15:16" x14ac:dyDescent="0.25">
      <c r="O970" s="229"/>
      <c r="P970" s="228"/>
    </row>
    <row r="971" spans="15:16" x14ac:dyDescent="0.25">
      <c r="O971" s="229"/>
      <c r="P971" s="228"/>
    </row>
    <row r="972" spans="15:16" x14ac:dyDescent="0.25">
      <c r="O972" s="229"/>
      <c r="P972" s="228"/>
    </row>
    <row r="973" spans="15:16" x14ac:dyDescent="0.25">
      <c r="O973" s="229"/>
      <c r="P973" s="228"/>
    </row>
    <row r="974" spans="15:16" x14ac:dyDescent="0.25">
      <c r="O974" s="229"/>
      <c r="P974" s="228"/>
    </row>
    <row r="975" spans="15:16" x14ac:dyDescent="0.25">
      <c r="O975" s="229"/>
      <c r="P975" s="228"/>
    </row>
    <row r="976" spans="15:16" x14ac:dyDescent="0.25">
      <c r="O976" s="229"/>
      <c r="P976" s="228"/>
    </row>
    <row r="977" spans="15:16" x14ac:dyDescent="0.25">
      <c r="O977" s="229"/>
      <c r="P977" s="228"/>
    </row>
    <row r="978" spans="15:16" x14ac:dyDescent="0.25">
      <c r="O978" s="229"/>
      <c r="P978" s="228"/>
    </row>
    <row r="979" spans="15:16" x14ac:dyDescent="0.25">
      <c r="O979" s="229"/>
      <c r="P979" s="228"/>
    </row>
    <row r="980" spans="15:16" x14ac:dyDescent="0.25">
      <c r="O980" s="229"/>
      <c r="P980" s="228"/>
    </row>
    <row r="981" spans="15:16" x14ac:dyDescent="0.25">
      <c r="O981" s="229"/>
      <c r="P981" s="228"/>
    </row>
    <row r="982" spans="15:16" x14ac:dyDescent="0.25">
      <c r="O982" s="229"/>
      <c r="P982" s="228"/>
    </row>
    <row r="983" spans="15:16" x14ac:dyDescent="0.25">
      <c r="O983" s="229"/>
      <c r="P983" s="228"/>
    </row>
    <row r="984" spans="15:16" x14ac:dyDescent="0.25">
      <c r="O984" s="229"/>
      <c r="P984" s="228"/>
    </row>
    <row r="985" spans="15:16" x14ac:dyDescent="0.25">
      <c r="O985" s="229"/>
      <c r="P985" s="228"/>
    </row>
    <row r="986" spans="15:16" x14ac:dyDescent="0.25">
      <c r="O986" s="229"/>
      <c r="P986" s="228"/>
    </row>
    <row r="987" spans="15:16" x14ac:dyDescent="0.25">
      <c r="O987" s="229"/>
      <c r="P987" s="228"/>
    </row>
    <row r="988" spans="15:16" x14ac:dyDescent="0.25">
      <c r="O988" s="229"/>
      <c r="P988" s="228"/>
    </row>
    <row r="989" spans="15:16" x14ac:dyDescent="0.25">
      <c r="O989" s="229"/>
      <c r="P989" s="228"/>
    </row>
    <row r="990" spans="15:16" x14ac:dyDescent="0.25">
      <c r="O990" s="229"/>
      <c r="P990" s="228"/>
    </row>
    <row r="991" spans="15:16" x14ac:dyDescent="0.25">
      <c r="O991" s="229"/>
      <c r="P991" s="228"/>
    </row>
    <row r="992" spans="15:16" x14ac:dyDescent="0.25">
      <c r="O992" s="229"/>
      <c r="P992" s="228"/>
    </row>
    <row r="993" spans="15:16" x14ac:dyDescent="0.25">
      <c r="O993" s="229"/>
      <c r="P993" s="228"/>
    </row>
    <row r="994" spans="15:16" x14ac:dyDescent="0.25">
      <c r="O994" s="229"/>
      <c r="P994" s="228"/>
    </row>
    <row r="995" spans="15:16" x14ac:dyDescent="0.25">
      <c r="O995" s="229"/>
      <c r="P995" s="228"/>
    </row>
    <row r="996" spans="15:16" x14ac:dyDescent="0.25">
      <c r="O996" s="229"/>
      <c r="P996" s="228"/>
    </row>
    <row r="997" spans="15:16" x14ac:dyDescent="0.25">
      <c r="O997" s="229"/>
      <c r="P997" s="228"/>
    </row>
    <row r="998" spans="15:16" x14ac:dyDescent="0.25">
      <c r="O998" s="229"/>
      <c r="P998" s="228"/>
    </row>
    <row r="999" spans="15:16" x14ac:dyDescent="0.25">
      <c r="O999" s="229"/>
      <c r="P999" s="228"/>
    </row>
    <row r="1000" spans="15:16" x14ac:dyDescent="0.25">
      <c r="O1000" s="229"/>
      <c r="P1000" s="228"/>
    </row>
    <row r="1001" spans="15:16" x14ac:dyDescent="0.25">
      <c r="O1001" s="229"/>
      <c r="P1001" s="228"/>
    </row>
    <row r="1002" spans="15:16" x14ac:dyDescent="0.25">
      <c r="O1002" s="229"/>
      <c r="P1002" s="228"/>
    </row>
    <row r="1003" spans="15:16" x14ac:dyDescent="0.25">
      <c r="O1003" s="229"/>
      <c r="P1003" s="228"/>
    </row>
    <row r="1004" spans="15:16" x14ac:dyDescent="0.25">
      <c r="O1004" s="229"/>
      <c r="P1004" s="228"/>
    </row>
    <row r="1005" spans="15:16" x14ac:dyDescent="0.25">
      <c r="O1005" s="229"/>
      <c r="P1005" s="228"/>
    </row>
    <row r="1006" spans="15:16" x14ac:dyDescent="0.25">
      <c r="O1006" s="229"/>
      <c r="P1006" s="228"/>
    </row>
    <row r="1007" spans="15:16" x14ac:dyDescent="0.25">
      <c r="O1007" s="229"/>
      <c r="P1007" s="228"/>
    </row>
    <row r="1008" spans="15:16" x14ac:dyDescent="0.25">
      <c r="O1008" s="229"/>
      <c r="P1008" s="228"/>
    </row>
    <row r="1009" spans="15:16" x14ac:dyDescent="0.25">
      <c r="O1009" s="229"/>
      <c r="P1009" s="228"/>
    </row>
    <row r="1010" spans="15:16" x14ac:dyDescent="0.25">
      <c r="O1010" s="229"/>
      <c r="P1010" s="228"/>
    </row>
    <row r="1011" spans="15:16" x14ac:dyDescent="0.25">
      <c r="O1011" s="229"/>
      <c r="P1011" s="228"/>
    </row>
    <row r="1012" spans="15:16" x14ac:dyDescent="0.25">
      <c r="O1012" s="229"/>
      <c r="P1012" s="228"/>
    </row>
    <row r="1013" spans="15:16" x14ac:dyDescent="0.25">
      <c r="O1013" s="229"/>
      <c r="P1013" s="228"/>
    </row>
    <row r="1014" spans="15:16" x14ac:dyDescent="0.25">
      <c r="O1014" s="229"/>
      <c r="P1014" s="228"/>
    </row>
    <row r="1015" spans="15:16" x14ac:dyDescent="0.25">
      <c r="O1015" s="229"/>
      <c r="P1015" s="228"/>
    </row>
    <row r="1016" spans="15:16" x14ac:dyDescent="0.25">
      <c r="O1016" s="229"/>
      <c r="P1016" s="228"/>
    </row>
    <row r="1017" spans="15:16" x14ac:dyDescent="0.25">
      <c r="O1017" s="229"/>
      <c r="P1017" s="228"/>
    </row>
    <row r="1018" spans="15:16" x14ac:dyDescent="0.25">
      <c r="O1018" s="229"/>
      <c r="P1018" s="228"/>
    </row>
    <row r="1019" spans="15:16" x14ac:dyDescent="0.25">
      <c r="O1019" s="229"/>
      <c r="P1019" s="228"/>
    </row>
    <row r="1020" spans="15:16" x14ac:dyDescent="0.25">
      <c r="O1020" s="229"/>
      <c r="P1020" s="228"/>
    </row>
    <row r="1021" spans="15:16" x14ac:dyDescent="0.25">
      <c r="O1021" s="229"/>
      <c r="P1021" s="228"/>
    </row>
    <row r="1022" spans="15:16" x14ac:dyDescent="0.25">
      <c r="O1022" s="229"/>
      <c r="P1022" s="228"/>
    </row>
    <row r="1023" spans="15:16" x14ac:dyDescent="0.25">
      <c r="O1023" s="229"/>
      <c r="P1023" s="228"/>
    </row>
    <row r="1024" spans="15:16" x14ac:dyDescent="0.25">
      <c r="O1024" s="229"/>
      <c r="P1024" s="228"/>
    </row>
    <row r="1025" spans="15:16" x14ac:dyDescent="0.25">
      <c r="O1025" s="229"/>
      <c r="P1025" s="228"/>
    </row>
    <row r="1026" spans="15:16" x14ac:dyDescent="0.25">
      <c r="O1026" s="229"/>
      <c r="P1026" s="228"/>
    </row>
    <row r="1027" spans="15:16" x14ac:dyDescent="0.25">
      <c r="O1027" s="229"/>
      <c r="P1027" s="228"/>
    </row>
    <row r="1028" spans="15:16" x14ac:dyDescent="0.25">
      <c r="O1028" s="229"/>
      <c r="P1028" s="228"/>
    </row>
    <row r="1029" spans="15:16" x14ac:dyDescent="0.25">
      <c r="O1029" s="229"/>
      <c r="P1029" s="228"/>
    </row>
    <row r="1030" spans="15:16" x14ac:dyDescent="0.25">
      <c r="O1030" s="229"/>
      <c r="P1030" s="228"/>
    </row>
    <row r="1031" spans="15:16" x14ac:dyDescent="0.25">
      <c r="O1031" s="229"/>
      <c r="P1031" s="228"/>
    </row>
    <row r="1032" spans="15:16" x14ac:dyDescent="0.25">
      <c r="O1032" s="229"/>
      <c r="P1032" s="228"/>
    </row>
    <row r="1033" spans="15:16" x14ac:dyDescent="0.25">
      <c r="O1033" s="229"/>
      <c r="P1033" s="228"/>
    </row>
    <row r="1034" spans="15:16" x14ac:dyDescent="0.25">
      <c r="O1034" s="229"/>
      <c r="P1034" s="228"/>
    </row>
    <row r="1035" spans="15:16" x14ac:dyDescent="0.25">
      <c r="O1035" s="229"/>
      <c r="P1035" s="228"/>
    </row>
    <row r="1036" spans="15:16" x14ac:dyDescent="0.25">
      <c r="O1036" s="229"/>
      <c r="P1036" s="228"/>
    </row>
    <row r="1037" spans="15:16" x14ac:dyDescent="0.25">
      <c r="O1037" s="229"/>
      <c r="P1037" s="228"/>
    </row>
    <row r="1038" spans="15:16" x14ac:dyDescent="0.25">
      <c r="O1038" s="229"/>
      <c r="P1038" s="228"/>
    </row>
    <row r="1039" spans="15:16" x14ac:dyDescent="0.25">
      <c r="O1039" s="229"/>
      <c r="P1039" s="228"/>
    </row>
    <row r="1040" spans="15:16" x14ac:dyDescent="0.25">
      <c r="O1040" s="229"/>
      <c r="P1040" s="228"/>
    </row>
    <row r="1041" spans="15:16" x14ac:dyDescent="0.25">
      <c r="O1041" s="229"/>
      <c r="P1041" s="228"/>
    </row>
    <row r="1042" spans="15:16" x14ac:dyDescent="0.25">
      <c r="O1042" s="229"/>
      <c r="P1042" s="228"/>
    </row>
    <row r="1043" spans="15:16" x14ac:dyDescent="0.25">
      <c r="O1043" s="229"/>
      <c r="P1043" s="228"/>
    </row>
    <row r="1044" spans="15:16" x14ac:dyDescent="0.25">
      <c r="O1044" s="229"/>
      <c r="P1044" s="228"/>
    </row>
    <row r="1045" spans="15:16" x14ac:dyDescent="0.25">
      <c r="O1045" s="229"/>
      <c r="P1045" s="228"/>
    </row>
    <row r="1046" spans="15:16" x14ac:dyDescent="0.25">
      <c r="O1046" s="229"/>
      <c r="P1046" s="228"/>
    </row>
    <row r="1047" spans="15:16" x14ac:dyDescent="0.25">
      <c r="O1047" s="229"/>
      <c r="P1047" s="228"/>
    </row>
    <row r="1048" spans="15:16" x14ac:dyDescent="0.25">
      <c r="O1048" s="229"/>
      <c r="P1048" s="228"/>
    </row>
    <row r="1049" spans="15:16" x14ac:dyDescent="0.25">
      <c r="O1049" s="229"/>
      <c r="P1049" s="228"/>
    </row>
    <row r="1050" spans="15:16" x14ac:dyDescent="0.25">
      <c r="O1050" s="229"/>
      <c r="P1050" s="228"/>
    </row>
    <row r="1051" spans="15:16" x14ac:dyDescent="0.25">
      <c r="O1051" s="229"/>
      <c r="P1051" s="228"/>
    </row>
    <row r="1052" spans="15:16" x14ac:dyDescent="0.25">
      <c r="O1052" s="229"/>
      <c r="P1052" s="228"/>
    </row>
    <row r="1053" spans="15:16" x14ac:dyDescent="0.25">
      <c r="O1053" s="229"/>
      <c r="P1053" s="228"/>
    </row>
    <row r="1054" spans="15:16" x14ac:dyDescent="0.25">
      <c r="O1054" s="229"/>
      <c r="P1054" s="228"/>
    </row>
    <row r="1055" spans="15:16" x14ac:dyDescent="0.25">
      <c r="O1055" s="229"/>
      <c r="P1055" s="228"/>
    </row>
    <row r="1056" spans="15:16" x14ac:dyDescent="0.25">
      <c r="O1056" s="229"/>
      <c r="P1056" s="228"/>
    </row>
    <row r="1057" spans="15:16" x14ac:dyDescent="0.25">
      <c r="O1057" s="229"/>
      <c r="P1057" s="228"/>
    </row>
    <row r="1058" spans="15:16" x14ac:dyDescent="0.25">
      <c r="O1058" s="229"/>
      <c r="P1058" s="228"/>
    </row>
    <row r="1059" spans="15:16" x14ac:dyDescent="0.25">
      <c r="O1059" s="229"/>
      <c r="P1059" s="228"/>
    </row>
    <row r="1060" spans="15:16" x14ac:dyDescent="0.25">
      <c r="O1060" s="229"/>
      <c r="P1060" s="228"/>
    </row>
    <row r="1061" spans="15:16" x14ac:dyDescent="0.25">
      <c r="O1061" s="229"/>
      <c r="P1061" s="228"/>
    </row>
    <row r="1062" spans="15:16" x14ac:dyDescent="0.25">
      <c r="O1062" s="229"/>
      <c r="P1062" s="228"/>
    </row>
    <row r="1063" spans="15:16" x14ac:dyDescent="0.25">
      <c r="O1063" s="229"/>
      <c r="P1063" s="228"/>
    </row>
    <row r="1064" spans="15:16" x14ac:dyDescent="0.25">
      <c r="O1064" s="229"/>
      <c r="P1064" s="228"/>
    </row>
    <row r="1065" spans="15:16" x14ac:dyDescent="0.25">
      <c r="O1065" s="229"/>
      <c r="P1065" s="228"/>
    </row>
    <row r="1066" spans="15:16" x14ac:dyDescent="0.25">
      <c r="O1066" s="229"/>
      <c r="P1066" s="228"/>
    </row>
    <row r="1067" spans="15:16" x14ac:dyDescent="0.25">
      <c r="O1067" s="229"/>
      <c r="P1067" s="228"/>
    </row>
    <row r="1068" spans="15:16" x14ac:dyDescent="0.25">
      <c r="O1068" s="229"/>
      <c r="P1068" s="228"/>
    </row>
    <row r="1069" spans="15:16" x14ac:dyDescent="0.25">
      <c r="O1069" s="229"/>
      <c r="P1069" s="228"/>
    </row>
    <row r="1070" spans="15:16" x14ac:dyDescent="0.25">
      <c r="O1070" s="229"/>
      <c r="P1070" s="228"/>
    </row>
    <row r="1071" spans="15:16" x14ac:dyDescent="0.25">
      <c r="O1071" s="229"/>
      <c r="P1071" s="228"/>
    </row>
    <row r="1072" spans="15:16" x14ac:dyDescent="0.25">
      <c r="O1072" s="229"/>
      <c r="P1072" s="228"/>
    </row>
    <row r="1073" spans="15:16" x14ac:dyDescent="0.25">
      <c r="O1073" s="229"/>
      <c r="P1073" s="228"/>
    </row>
    <row r="1074" spans="15:16" x14ac:dyDescent="0.25">
      <c r="O1074" s="229"/>
      <c r="P1074" s="228"/>
    </row>
    <row r="1075" spans="15:16" x14ac:dyDescent="0.25">
      <c r="O1075" s="229"/>
      <c r="P1075" s="228"/>
    </row>
    <row r="1076" spans="15:16" x14ac:dyDescent="0.25">
      <c r="O1076" s="229"/>
      <c r="P1076" s="228"/>
    </row>
    <row r="1077" spans="15:16" x14ac:dyDescent="0.25">
      <c r="O1077" s="229"/>
      <c r="P1077" s="228"/>
    </row>
    <row r="1078" spans="15:16" x14ac:dyDescent="0.25">
      <c r="O1078" s="229"/>
      <c r="P1078" s="228"/>
    </row>
    <row r="1079" spans="15:16" x14ac:dyDescent="0.25">
      <c r="O1079" s="229"/>
      <c r="P1079" s="228"/>
    </row>
    <row r="1080" spans="15:16" x14ac:dyDescent="0.25">
      <c r="O1080" s="229"/>
      <c r="P1080" s="228"/>
    </row>
    <row r="1081" spans="15:16" x14ac:dyDescent="0.25">
      <c r="O1081" s="229"/>
      <c r="P1081" s="228"/>
    </row>
    <row r="1082" spans="15:16" x14ac:dyDescent="0.25">
      <c r="O1082" s="229"/>
      <c r="P1082" s="228"/>
    </row>
    <row r="1083" spans="15:16" x14ac:dyDescent="0.25">
      <c r="O1083" s="229"/>
      <c r="P1083" s="228"/>
    </row>
    <row r="1084" spans="15:16" x14ac:dyDescent="0.25">
      <c r="O1084" s="229"/>
      <c r="P1084" s="228"/>
    </row>
    <row r="1085" spans="15:16" x14ac:dyDescent="0.25">
      <c r="O1085" s="229"/>
      <c r="P1085" s="228"/>
    </row>
    <row r="1086" spans="15:16" x14ac:dyDescent="0.25">
      <c r="O1086" s="229"/>
      <c r="P1086" s="228"/>
    </row>
    <row r="1087" spans="15:16" x14ac:dyDescent="0.25">
      <c r="O1087" s="229"/>
      <c r="P1087" s="228"/>
    </row>
    <row r="1088" spans="15:16" x14ac:dyDescent="0.25">
      <c r="O1088" s="229"/>
      <c r="P1088" s="228"/>
    </row>
    <row r="1089" spans="15:16" x14ac:dyDescent="0.25">
      <c r="O1089" s="229"/>
      <c r="P1089" s="228"/>
    </row>
    <row r="1090" spans="15:16" x14ac:dyDescent="0.25">
      <c r="O1090" s="229"/>
      <c r="P1090" s="228"/>
    </row>
    <row r="1091" spans="15:16" x14ac:dyDescent="0.25">
      <c r="O1091" s="229"/>
      <c r="P1091" s="228"/>
    </row>
    <row r="1092" spans="15:16" x14ac:dyDescent="0.25">
      <c r="O1092" s="229"/>
      <c r="P1092" s="228"/>
    </row>
    <row r="1093" spans="15:16" x14ac:dyDescent="0.25">
      <c r="O1093" s="229"/>
      <c r="P1093" s="228"/>
    </row>
    <row r="1094" spans="15:16" x14ac:dyDescent="0.25">
      <c r="O1094" s="229"/>
      <c r="P1094" s="228"/>
    </row>
    <row r="1095" spans="15:16" x14ac:dyDescent="0.25">
      <c r="O1095" s="229"/>
      <c r="P1095" s="228"/>
    </row>
    <row r="1096" spans="15:16" x14ac:dyDescent="0.25">
      <c r="O1096" s="229"/>
      <c r="P1096" s="228"/>
    </row>
    <row r="1097" spans="15:16" x14ac:dyDescent="0.25">
      <c r="O1097" s="229"/>
      <c r="P1097" s="228"/>
    </row>
    <row r="1098" spans="15:16" x14ac:dyDescent="0.25">
      <c r="O1098" s="229"/>
      <c r="P1098" s="228"/>
    </row>
    <row r="1099" spans="15:16" x14ac:dyDescent="0.25">
      <c r="O1099" s="229"/>
      <c r="P1099" s="228"/>
    </row>
    <row r="1100" spans="15:16" x14ac:dyDescent="0.25">
      <c r="O1100" s="229"/>
      <c r="P1100" s="228"/>
    </row>
    <row r="1101" spans="15:16" x14ac:dyDescent="0.25">
      <c r="O1101" s="229"/>
      <c r="P1101" s="228"/>
    </row>
    <row r="1102" spans="15:16" x14ac:dyDescent="0.25">
      <c r="O1102" s="229"/>
      <c r="P1102" s="228"/>
    </row>
    <row r="1103" spans="15:16" x14ac:dyDescent="0.25">
      <c r="O1103" s="229"/>
      <c r="P1103" s="228"/>
    </row>
    <row r="1104" spans="15:16" x14ac:dyDescent="0.25">
      <c r="O1104" s="229"/>
      <c r="P1104" s="228"/>
    </row>
    <row r="1105" spans="15:16" x14ac:dyDescent="0.25">
      <c r="O1105" s="229"/>
      <c r="P1105" s="228"/>
    </row>
    <row r="1106" spans="15:16" x14ac:dyDescent="0.25">
      <c r="O1106" s="229"/>
      <c r="P1106" s="228"/>
    </row>
    <row r="1107" spans="15:16" x14ac:dyDescent="0.25">
      <c r="O1107" s="229"/>
      <c r="P1107" s="228"/>
    </row>
    <row r="1108" spans="15:16" x14ac:dyDescent="0.25">
      <c r="O1108" s="229"/>
      <c r="P1108" s="228"/>
    </row>
    <row r="1109" spans="15:16" x14ac:dyDescent="0.25">
      <c r="O1109" s="229"/>
      <c r="P1109" s="228"/>
    </row>
    <row r="1110" spans="15:16" x14ac:dyDescent="0.25">
      <c r="O1110" s="229"/>
      <c r="P1110" s="228"/>
    </row>
    <row r="1111" spans="15:16" x14ac:dyDescent="0.25">
      <c r="O1111" s="229"/>
      <c r="P1111" s="228"/>
    </row>
    <row r="1112" spans="15:16" x14ac:dyDescent="0.25">
      <c r="O1112" s="229"/>
      <c r="P1112" s="228"/>
    </row>
    <row r="1113" spans="15:16" x14ac:dyDescent="0.25">
      <c r="O1113" s="229"/>
      <c r="P1113" s="228"/>
    </row>
    <row r="1114" spans="15:16" x14ac:dyDescent="0.25">
      <c r="O1114" s="229"/>
      <c r="P1114" s="228"/>
    </row>
    <row r="1115" spans="15:16" x14ac:dyDescent="0.25">
      <c r="O1115" s="229"/>
      <c r="P1115" s="228"/>
    </row>
    <row r="1116" spans="15:16" x14ac:dyDescent="0.25">
      <c r="O1116" s="229"/>
      <c r="P1116" s="228"/>
    </row>
    <row r="1117" spans="15:16" x14ac:dyDescent="0.25">
      <c r="O1117" s="229"/>
      <c r="P1117" s="228"/>
    </row>
    <row r="1118" spans="15:16" x14ac:dyDescent="0.25">
      <c r="O1118" s="229"/>
      <c r="P1118" s="228"/>
    </row>
    <row r="1119" spans="15:16" x14ac:dyDescent="0.25">
      <c r="O1119" s="229"/>
      <c r="P1119" s="228"/>
    </row>
    <row r="1120" spans="15:16" x14ac:dyDescent="0.25">
      <c r="O1120" s="229"/>
      <c r="P1120" s="228"/>
    </row>
    <row r="1121" spans="15:16" x14ac:dyDescent="0.25">
      <c r="O1121" s="229"/>
      <c r="P1121" s="228"/>
    </row>
    <row r="1122" spans="15:16" x14ac:dyDescent="0.25">
      <c r="O1122" s="229"/>
      <c r="P1122" s="228"/>
    </row>
    <row r="1123" spans="15:16" x14ac:dyDescent="0.25">
      <c r="O1123" s="229"/>
      <c r="P1123" s="228"/>
    </row>
    <row r="1124" spans="15:16" x14ac:dyDescent="0.25">
      <c r="O1124" s="229"/>
      <c r="P1124" s="228"/>
    </row>
    <row r="1125" spans="15:16" x14ac:dyDescent="0.25">
      <c r="O1125" s="229"/>
      <c r="P1125" s="228"/>
    </row>
    <row r="1126" spans="15:16" x14ac:dyDescent="0.25">
      <c r="O1126" s="229"/>
      <c r="P1126" s="228"/>
    </row>
    <row r="1127" spans="15:16" x14ac:dyDescent="0.25">
      <c r="O1127" s="229"/>
      <c r="P1127" s="228"/>
    </row>
    <row r="1128" spans="15:16" x14ac:dyDescent="0.25">
      <c r="O1128" s="229"/>
      <c r="P1128" s="228"/>
    </row>
    <row r="1129" spans="15:16" x14ac:dyDescent="0.25">
      <c r="O1129" s="229"/>
      <c r="P1129" s="228"/>
    </row>
    <row r="1130" spans="15:16" x14ac:dyDescent="0.25">
      <c r="O1130" s="229"/>
      <c r="P1130" s="228"/>
    </row>
    <row r="1131" spans="15:16" x14ac:dyDescent="0.25">
      <c r="O1131" s="229"/>
      <c r="P1131" s="228"/>
    </row>
    <row r="1132" spans="15:16" x14ac:dyDescent="0.25">
      <c r="O1132" s="229"/>
      <c r="P1132" s="228"/>
    </row>
    <row r="1133" spans="15:16" x14ac:dyDescent="0.25">
      <c r="O1133" s="229"/>
      <c r="P1133" s="228"/>
    </row>
    <row r="1134" spans="15:16" x14ac:dyDescent="0.25">
      <c r="O1134" s="229"/>
      <c r="P1134" s="228"/>
    </row>
    <row r="1135" spans="15:16" x14ac:dyDescent="0.25">
      <c r="O1135" s="229"/>
      <c r="P1135" s="228"/>
    </row>
    <row r="1136" spans="15:16" x14ac:dyDescent="0.25">
      <c r="O1136" s="229"/>
      <c r="P1136" s="228"/>
    </row>
    <row r="1137" spans="15:16" x14ac:dyDescent="0.25">
      <c r="O1137" s="229"/>
      <c r="P1137" s="228"/>
    </row>
    <row r="1138" spans="15:16" x14ac:dyDescent="0.25">
      <c r="O1138" s="229"/>
      <c r="P1138" s="228"/>
    </row>
    <row r="1139" spans="15:16" x14ac:dyDescent="0.25">
      <c r="O1139" s="229"/>
      <c r="P1139" s="228"/>
    </row>
    <row r="1140" spans="15:16" x14ac:dyDescent="0.25">
      <c r="O1140" s="229"/>
      <c r="P1140" s="228"/>
    </row>
    <row r="1141" spans="15:16" x14ac:dyDescent="0.25">
      <c r="O1141" s="229"/>
      <c r="P1141" s="228"/>
    </row>
    <row r="1142" spans="15:16" x14ac:dyDescent="0.25">
      <c r="O1142" s="229"/>
      <c r="P1142" s="228"/>
    </row>
    <row r="1143" spans="15:16" x14ac:dyDescent="0.25">
      <c r="O1143" s="229"/>
      <c r="P1143" s="228"/>
    </row>
    <row r="1144" spans="15:16" x14ac:dyDescent="0.25">
      <c r="O1144" s="229"/>
      <c r="P1144" s="228"/>
    </row>
    <row r="1145" spans="15:16" x14ac:dyDescent="0.25">
      <c r="O1145" s="229"/>
      <c r="P1145" s="228"/>
    </row>
    <row r="1146" spans="15:16" x14ac:dyDescent="0.25">
      <c r="O1146" s="229"/>
      <c r="P1146" s="228"/>
    </row>
    <row r="1147" spans="15:16" x14ac:dyDescent="0.25">
      <c r="O1147" s="229"/>
      <c r="P1147" s="228"/>
    </row>
    <row r="1148" spans="15:16" x14ac:dyDescent="0.25">
      <c r="O1148" s="229"/>
      <c r="P1148" s="228"/>
    </row>
    <row r="1149" spans="15:16" x14ac:dyDescent="0.25">
      <c r="O1149" s="229"/>
      <c r="P1149" s="228"/>
    </row>
    <row r="1150" spans="15:16" x14ac:dyDescent="0.25">
      <c r="O1150" s="229"/>
      <c r="P1150" s="228"/>
    </row>
    <row r="1151" spans="15:16" x14ac:dyDescent="0.25">
      <c r="O1151" s="229"/>
      <c r="P1151" s="228"/>
    </row>
    <row r="1152" spans="15:16" x14ac:dyDescent="0.25">
      <c r="O1152" s="229"/>
      <c r="P1152" s="228"/>
    </row>
    <row r="1153" spans="15:16" x14ac:dyDescent="0.25">
      <c r="O1153" s="229"/>
      <c r="P1153" s="228"/>
    </row>
    <row r="1154" spans="15:16" x14ac:dyDescent="0.25">
      <c r="O1154" s="229"/>
      <c r="P1154" s="228"/>
    </row>
    <row r="1155" spans="15:16" x14ac:dyDescent="0.25">
      <c r="O1155" s="229"/>
      <c r="P1155" s="228"/>
    </row>
    <row r="1156" spans="15:16" x14ac:dyDescent="0.25">
      <c r="O1156" s="229"/>
      <c r="P1156" s="228"/>
    </row>
    <row r="1157" spans="15:16" x14ac:dyDescent="0.25">
      <c r="O1157" s="229"/>
      <c r="P1157" s="228"/>
    </row>
    <row r="1158" spans="15:16" x14ac:dyDescent="0.25">
      <c r="O1158" s="229"/>
      <c r="P1158" s="228"/>
    </row>
    <row r="1159" spans="15:16" x14ac:dyDescent="0.25">
      <c r="O1159" s="229"/>
      <c r="P1159" s="228"/>
    </row>
    <row r="1160" spans="15:16" x14ac:dyDescent="0.25">
      <c r="O1160" s="229"/>
      <c r="P1160" s="228"/>
    </row>
    <row r="1161" spans="15:16" x14ac:dyDescent="0.25">
      <c r="O1161" s="229"/>
      <c r="P1161" s="228"/>
    </row>
    <row r="1162" spans="15:16" x14ac:dyDescent="0.25">
      <c r="O1162" s="229"/>
      <c r="P1162" s="228"/>
    </row>
    <row r="1163" spans="15:16" x14ac:dyDescent="0.25">
      <c r="O1163" s="229"/>
      <c r="P1163" s="228"/>
    </row>
    <row r="1164" spans="15:16" x14ac:dyDescent="0.25">
      <c r="O1164" s="229"/>
      <c r="P1164" s="228"/>
    </row>
    <row r="1165" spans="15:16" x14ac:dyDescent="0.25">
      <c r="O1165" s="229"/>
      <c r="P1165" s="228"/>
    </row>
    <row r="1166" spans="15:16" x14ac:dyDescent="0.25">
      <c r="O1166" s="229"/>
      <c r="P1166" s="228"/>
    </row>
    <row r="1167" spans="15:16" x14ac:dyDescent="0.25">
      <c r="O1167" s="229"/>
      <c r="P1167" s="228"/>
    </row>
    <row r="1168" spans="15:16" x14ac:dyDescent="0.25">
      <c r="O1168" s="229"/>
      <c r="P1168" s="228"/>
    </row>
    <row r="1169" spans="15:16" x14ac:dyDescent="0.25">
      <c r="O1169" s="229"/>
      <c r="P1169" s="228"/>
    </row>
    <row r="1170" spans="15:16" x14ac:dyDescent="0.25">
      <c r="O1170" s="229"/>
      <c r="P1170" s="228"/>
    </row>
    <row r="1171" spans="15:16" x14ac:dyDescent="0.25">
      <c r="O1171" s="229"/>
      <c r="P1171" s="228"/>
    </row>
    <row r="1172" spans="15:16" x14ac:dyDescent="0.25">
      <c r="O1172" s="229"/>
      <c r="P1172" s="228"/>
    </row>
    <row r="1173" spans="15:16" x14ac:dyDescent="0.25">
      <c r="O1173" s="229"/>
      <c r="P1173" s="228"/>
    </row>
    <row r="1174" spans="15:16" x14ac:dyDescent="0.25">
      <c r="O1174" s="229"/>
      <c r="P1174" s="228"/>
    </row>
    <row r="1175" spans="15:16" x14ac:dyDescent="0.25">
      <c r="O1175" s="229"/>
      <c r="P1175" s="228"/>
    </row>
    <row r="1176" spans="15:16" x14ac:dyDescent="0.25">
      <c r="O1176" s="229"/>
      <c r="P1176" s="228"/>
    </row>
    <row r="1177" spans="15:16" x14ac:dyDescent="0.25">
      <c r="O1177" s="229"/>
      <c r="P1177" s="228"/>
    </row>
    <row r="1178" spans="15:16" x14ac:dyDescent="0.25">
      <c r="O1178" s="229"/>
      <c r="P1178" s="228"/>
    </row>
    <row r="1179" spans="15:16" x14ac:dyDescent="0.25">
      <c r="O1179" s="229"/>
      <c r="P1179" s="228"/>
    </row>
    <row r="1180" spans="15:16" x14ac:dyDescent="0.25">
      <c r="O1180" s="229"/>
      <c r="P1180" s="228"/>
    </row>
    <row r="1181" spans="15:16" x14ac:dyDescent="0.25">
      <c r="O1181" s="229"/>
      <c r="P1181" s="228"/>
    </row>
    <row r="1182" spans="15:16" x14ac:dyDescent="0.25">
      <c r="O1182" s="229"/>
      <c r="P1182" s="228"/>
    </row>
    <row r="1183" spans="15:16" x14ac:dyDescent="0.25">
      <c r="O1183" s="229"/>
      <c r="P1183" s="228"/>
    </row>
    <row r="1184" spans="15:16" x14ac:dyDescent="0.25">
      <c r="O1184" s="229"/>
      <c r="P1184" s="228"/>
    </row>
    <row r="1185" spans="15:16" x14ac:dyDescent="0.25">
      <c r="O1185" s="229"/>
      <c r="P1185" s="228"/>
    </row>
    <row r="1186" spans="15:16" x14ac:dyDescent="0.25">
      <c r="O1186" s="229"/>
      <c r="P1186" s="228"/>
    </row>
    <row r="1187" spans="15:16" x14ac:dyDescent="0.25">
      <c r="O1187" s="229"/>
      <c r="P1187" s="228"/>
    </row>
    <row r="1188" spans="15:16" x14ac:dyDescent="0.25">
      <c r="O1188" s="229"/>
      <c r="P1188" s="228"/>
    </row>
    <row r="1189" spans="15:16" x14ac:dyDescent="0.25">
      <c r="O1189" s="229"/>
      <c r="P1189" s="228"/>
    </row>
    <row r="1190" spans="15:16" x14ac:dyDescent="0.25">
      <c r="O1190" s="229"/>
      <c r="P1190" s="228"/>
    </row>
    <row r="1191" spans="15:16" x14ac:dyDescent="0.25">
      <c r="O1191" s="229"/>
      <c r="P1191" s="228"/>
    </row>
    <row r="1192" spans="15:16" x14ac:dyDescent="0.25">
      <c r="O1192" s="229"/>
      <c r="P1192" s="228"/>
    </row>
    <row r="1193" spans="15:16" x14ac:dyDescent="0.25">
      <c r="O1193" s="229"/>
      <c r="P1193" s="228"/>
    </row>
    <row r="1194" spans="15:16" x14ac:dyDescent="0.25">
      <c r="O1194" s="229"/>
      <c r="P1194" s="228"/>
    </row>
    <row r="1195" spans="15:16" x14ac:dyDescent="0.25">
      <c r="O1195" s="229"/>
      <c r="P1195" s="228"/>
    </row>
    <row r="1196" spans="15:16" x14ac:dyDescent="0.25">
      <c r="O1196" s="229"/>
      <c r="P1196" s="228"/>
    </row>
    <row r="1197" spans="15:16" x14ac:dyDescent="0.25">
      <c r="O1197" s="229"/>
      <c r="P1197" s="228"/>
    </row>
    <row r="1198" spans="15:16" x14ac:dyDescent="0.25">
      <c r="O1198" s="229"/>
      <c r="P1198" s="228"/>
    </row>
    <row r="1199" spans="15:16" x14ac:dyDescent="0.25">
      <c r="O1199" s="229"/>
      <c r="P1199" s="228"/>
    </row>
    <row r="1200" spans="15:16" x14ac:dyDescent="0.25">
      <c r="O1200" s="229"/>
      <c r="P1200" s="228"/>
    </row>
    <row r="1201" spans="15:16" x14ac:dyDescent="0.25">
      <c r="O1201" s="229"/>
      <c r="P1201" s="228"/>
    </row>
    <row r="1202" spans="15:16" x14ac:dyDescent="0.25">
      <c r="O1202" s="229"/>
      <c r="P1202" s="228"/>
    </row>
    <row r="1203" spans="15:16" x14ac:dyDescent="0.25">
      <c r="O1203" s="229"/>
      <c r="P1203" s="228"/>
    </row>
    <row r="1204" spans="15:16" x14ac:dyDescent="0.25">
      <c r="O1204" s="229"/>
      <c r="P1204" s="228"/>
    </row>
    <row r="1205" spans="15:16" x14ac:dyDescent="0.25">
      <c r="O1205" s="229"/>
      <c r="P1205" s="228"/>
    </row>
    <row r="1206" spans="15:16" x14ac:dyDescent="0.25">
      <c r="O1206" s="229"/>
      <c r="P1206" s="228"/>
    </row>
    <row r="1207" spans="15:16" x14ac:dyDescent="0.25">
      <c r="O1207" s="229"/>
      <c r="P1207" s="228"/>
    </row>
    <row r="1208" spans="15:16" x14ac:dyDescent="0.25">
      <c r="O1208" s="229"/>
      <c r="P1208" s="228"/>
    </row>
    <row r="1209" spans="15:16" x14ac:dyDescent="0.25">
      <c r="O1209" s="229"/>
      <c r="P1209" s="228"/>
    </row>
    <row r="1210" spans="15:16" x14ac:dyDescent="0.25">
      <c r="O1210" s="229"/>
      <c r="P1210" s="228"/>
    </row>
    <row r="1211" spans="15:16" x14ac:dyDescent="0.25">
      <c r="O1211" s="229"/>
      <c r="P1211" s="228"/>
    </row>
    <row r="1212" spans="15:16" x14ac:dyDescent="0.25">
      <c r="O1212" s="229"/>
      <c r="P1212" s="228"/>
    </row>
    <row r="1213" spans="15:16" x14ac:dyDescent="0.25">
      <c r="O1213" s="229"/>
      <c r="P1213" s="228"/>
    </row>
    <row r="1214" spans="15:16" x14ac:dyDescent="0.25">
      <c r="O1214" s="229"/>
      <c r="P1214" s="228"/>
    </row>
    <row r="1215" spans="15:16" x14ac:dyDescent="0.25">
      <c r="O1215" s="229"/>
      <c r="P1215" s="228"/>
    </row>
    <row r="1216" spans="15:16" x14ac:dyDescent="0.25">
      <c r="O1216" s="229"/>
      <c r="P1216" s="228"/>
    </row>
    <row r="1217" spans="15:16" x14ac:dyDescent="0.25">
      <c r="O1217" s="229"/>
      <c r="P1217" s="228"/>
    </row>
    <row r="1218" spans="15:16" x14ac:dyDescent="0.25">
      <c r="O1218" s="229"/>
      <c r="P1218" s="228"/>
    </row>
    <row r="1219" spans="15:16" x14ac:dyDescent="0.25">
      <c r="O1219" s="229"/>
      <c r="P1219" s="228"/>
    </row>
    <row r="1220" spans="15:16" x14ac:dyDescent="0.25">
      <c r="O1220" s="229"/>
      <c r="P1220" s="228"/>
    </row>
    <row r="1221" spans="15:16" x14ac:dyDescent="0.25">
      <c r="O1221" s="229"/>
      <c r="P1221" s="228"/>
    </row>
    <row r="1222" spans="15:16" x14ac:dyDescent="0.25">
      <c r="O1222" s="229"/>
      <c r="P1222" s="228"/>
    </row>
    <row r="1223" spans="15:16" x14ac:dyDescent="0.25">
      <c r="O1223" s="229"/>
      <c r="P1223" s="228"/>
    </row>
    <row r="1224" spans="15:16" x14ac:dyDescent="0.25">
      <c r="O1224" s="229"/>
      <c r="P1224" s="228"/>
    </row>
    <row r="1225" spans="15:16" x14ac:dyDescent="0.25">
      <c r="O1225" s="229"/>
      <c r="P1225" s="228"/>
    </row>
    <row r="1226" spans="15:16" x14ac:dyDescent="0.25">
      <c r="O1226" s="229"/>
      <c r="P1226" s="228"/>
    </row>
    <row r="1227" spans="15:16" x14ac:dyDescent="0.25">
      <c r="O1227" s="229"/>
      <c r="P1227" s="228"/>
    </row>
    <row r="1228" spans="15:16" x14ac:dyDescent="0.25">
      <c r="O1228" s="229"/>
      <c r="P1228" s="228"/>
    </row>
    <row r="1229" spans="15:16" x14ac:dyDescent="0.25">
      <c r="O1229" s="229"/>
      <c r="P1229" s="228"/>
    </row>
    <row r="1230" spans="15:16" x14ac:dyDescent="0.25">
      <c r="O1230" s="229"/>
      <c r="P1230" s="228"/>
    </row>
    <row r="1231" spans="15:16" x14ac:dyDescent="0.25">
      <c r="O1231" s="229"/>
      <c r="P1231" s="228"/>
    </row>
    <row r="1232" spans="15:16" x14ac:dyDescent="0.25">
      <c r="O1232" s="229"/>
      <c r="P1232" s="228"/>
    </row>
    <row r="1233" spans="15:16" x14ac:dyDescent="0.25">
      <c r="O1233" s="229"/>
      <c r="P1233" s="228"/>
    </row>
    <row r="1234" spans="15:16" x14ac:dyDescent="0.25">
      <c r="O1234" s="229"/>
      <c r="P1234" s="228"/>
    </row>
    <row r="1235" spans="15:16" x14ac:dyDescent="0.25">
      <c r="O1235" s="229"/>
      <c r="P1235" s="228"/>
    </row>
    <row r="1236" spans="15:16" x14ac:dyDescent="0.25">
      <c r="O1236" s="229"/>
      <c r="P1236" s="228"/>
    </row>
    <row r="1237" spans="15:16" x14ac:dyDescent="0.25">
      <c r="O1237" s="229"/>
      <c r="P1237" s="228"/>
    </row>
    <row r="1238" spans="15:16" x14ac:dyDescent="0.25">
      <c r="O1238" s="229"/>
      <c r="P1238" s="228"/>
    </row>
    <row r="1239" spans="15:16" x14ac:dyDescent="0.25">
      <c r="O1239" s="229"/>
      <c r="P1239" s="228"/>
    </row>
    <row r="1240" spans="15:16" x14ac:dyDescent="0.25">
      <c r="O1240" s="229"/>
      <c r="P1240" s="228"/>
    </row>
    <row r="1241" spans="15:16" x14ac:dyDescent="0.25">
      <c r="O1241" s="229"/>
      <c r="P1241" s="228"/>
    </row>
    <row r="1242" spans="15:16" x14ac:dyDescent="0.25">
      <c r="O1242" s="229"/>
      <c r="P1242" s="228"/>
    </row>
    <row r="1243" spans="15:16" x14ac:dyDescent="0.25">
      <c r="O1243" s="229"/>
      <c r="P1243" s="228"/>
    </row>
    <row r="1244" spans="15:16" x14ac:dyDescent="0.25">
      <c r="O1244" s="229"/>
      <c r="P1244" s="228"/>
    </row>
    <row r="1245" spans="15:16" x14ac:dyDescent="0.25">
      <c r="O1245" s="229"/>
      <c r="P1245" s="228"/>
    </row>
    <row r="1246" spans="15:16" x14ac:dyDescent="0.25">
      <c r="O1246" s="229"/>
      <c r="P1246" s="228"/>
    </row>
    <row r="1247" spans="15:16" x14ac:dyDescent="0.25">
      <c r="O1247" s="229"/>
      <c r="P1247" s="228"/>
    </row>
    <row r="1248" spans="15:16" x14ac:dyDescent="0.25">
      <c r="O1248" s="229"/>
      <c r="P1248" s="228"/>
    </row>
    <row r="1249" spans="15:16" x14ac:dyDescent="0.25">
      <c r="O1249" s="229"/>
      <c r="P1249" s="228"/>
    </row>
    <row r="1250" spans="15:16" x14ac:dyDescent="0.25">
      <c r="O1250" s="229"/>
      <c r="P1250" s="228"/>
    </row>
    <row r="1251" spans="15:16" x14ac:dyDescent="0.25">
      <c r="O1251" s="229"/>
      <c r="P1251" s="228"/>
    </row>
    <row r="1252" spans="15:16" x14ac:dyDescent="0.25">
      <c r="O1252" s="229"/>
      <c r="P1252" s="228"/>
    </row>
    <row r="1253" spans="15:16" x14ac:dyDescent="0.25">
      <c r="O1253" s="229"/>
      <c r="P1253" s="228"/>
    </row>
    <row r="1254" spans="15:16" x14ac:dyDescent="0.25">
      <c r="O1254" s="229"/>
      <c r="P1254" s="228"/>
    </row>
    <row r="1255" spans="15:16" x14ac:dyDescent="0.25">
      <c r="O1255" s="229"/>
      <c r="P1255" s="228"/>
    </row>
    <row r="1256" spans="15:16" x14ac:dyDescent="0.25">
      <c r="O1256" s="229"/>
      <c r="P1256" s="228"/>
    </row>
    <row r="1257" spans="15:16" x14ac:dyDescent="0.25">
      <c r="O1257" s="229"/>
      <c r="P1257" s="228"/>
    </row>
    <row r="1258" spans="15:16" x14ac:dyDescent="0.25">
      <c r="O1258" s="229"/>
      <c r="P1258" s="228"/>
    </row>
    <row r="1259" spans="15:16" x14ac:dyDescent="0.25">
      <c r="O1259" s="229"/>
      <c r="P1259" s="228"/>
    </row>
    <row r="1260" spans="15:16" x14ac:dyDescent="0.25">
      <c r="O1260" s="229"/>
      <c r="P1260" s="228"/>
    </row>
    <row r="1261" spans="15:16" x14ac:dyDescent="0.25">
      <c r="O1261" s="229"/>
      <c r="P1261" s="228"/>
    </row>
    <row r="1262" spans="15:16" x14ac:dyDescent="0.25">
      <c r="O1262" s="229"/>
      <c r="P1262" s="228"/>
    </row>
    <row r="1263" spans="15:16" x14ac:dyDescent="0.25">
      <c r="O1263" s="229"/>
      <c r="P1263" s="228"/>
    </row>
    <row r="1264" spans="15:16" x14ac:dyDescent="0.25">
      <c r="O1264" s="229"/>
      <c r="P1264" s="228"/>
    </row>
    <row r="1265" spans="15:16" x14ac:dyDescent="0.25">
      <c r="O1265" s="229"/>
      <c r="P1265" s="228"/>
    </row>
    <row r="1266" spans="15:16" x14ac:dyDescent="0.25">
      <c r="O1266" s="229"/>
      <c r="P1266" s="228"/>
    </row>
    <row r="1267" spans="15:16" x14ac:dyDescent="0.25">
      <c r="O1267" s="229"/>
      <c r="P1267" s="228"/>
    </row>
    <row r="1268" spans="15:16" x14ac:dyDescent="0.25">
      <c r="O1268" s="229"/>
      <c r="P1268" s="228"/>
    </row>
    <row r="1269" spans="15:16" x14ac:dyDescent="0.25">
      <c r="O1269" s="229"/>
      <c r="P1269" s="228"/>
    </row>
    <row r="1270" spans="15:16" x14ac:dyDescent="0.25">
      <c r="O1270" s="229"/>
      <c r="P1270" s="228"/>
    </row>
    <row r="1271" spans="15:16" x14ac:dyDescent="0.25">
      <c r="O1271" s="229"/>
      <c r="P1271" s="228"/>
    </row>
    <row r="1272" spans="15:16" x14ac:dyDescent="0.25">
      <c r="O1272" s="229"/>
      <c r="P1272" s="228"/>
    </row>
    <row r="1273" spans="15:16" x14ac:dyDescent="0.25">
      <c r="O1273" s="229"/>
      <c r="P1273" s="228"/>
    </row>
    <row r="1274" spans="15:16" x14ac:dyDescent="0.25">
      <c r="O1274" s="229"/>
      <c r="P1274" s="228"/>
    </row>
    <row r="1275" spans="15:16" x14ac:dyDescent="0.25">
      <c r="O1275" s="229"/>
      <c r="P1275" s="228"/>
    </row>
    <row r="1276" spans="15:16" x14ac:dyDescent="0.25">
      <c r="O1276" s="229"/>
      <c r="P1276" s="228"/>
    </row>
    <row r="1277" spans="15:16" x14ac:dyDescent="0.25">
      <c r="O1277" s="229"/>
      <c r="P1277" s="228"/>
    </row>
    <row r="1278" spans="15:16" x14ac:dyDescent="0.25">
      <c r="O1278" s="229"/>
      <c r="P1278" s="228"/>
    </row>
    <row r="1279" spans="15:16" x14ac:dyDescent="0.25">
      <c r="O1279" s="229"/>
      <c r="P1279" s="228"/>
    </row>
    <row r="1280" spans="15:16" x14ac:dyDescent="0.25">
      <c r="O1280" s="229"/>
      <c r="P1280" s="228"/>
    </row>
    <row r="1281" spans="15:16" x14ac:dyDescent="0.25">
      <c r="O1281" s="229"/>
      <c r="P1281" s="228"/>
    </row>
    <row r="1282" spans="15:16" x14ac:dyDescent="0.25">
      <c r="O1282" s="229"/>
      <c r="P1282" s="228"/>
    </row>
    <row r="1283" spans="15:16" x14ac:dyDescent="0.25">
      <c r="O1283" s="229"/>
      <c r="P1283" s="228"/>
    </row>
    <row r="1284" spans="15:16" x14ac:dyDescent="0.25">
      <c r="O1284" s="229"/>
      <c r="P1284" s="228"/>
    </row>
    <row r="1285" spans="15:16" x14ac:dyDescent="0.25">
      <c r="O1285" s="229"/>
      <c r="P1285" s="228"/>
    </row>
    <row r="1286" spans="15:16" x14ac:dyDescent="0.25">
      <c r="O1286" s="229"/>
      <c r="P1286" s="228"/>
    </row>
    <row r="1287" spans="15:16" x14ac:dyDescent="0.25">
      <c r="O1287" s="229"/>
      <c r="P1287" s="228"/>
    </row>
    <row r="1288" spans="15:16" x14ac:dyDescent="0.25">
      <c r="O1288" s="229"/>
      <c r="P1288" s="228"/>
    </row>
    <row r="1289" spans="15:16" x14ac:dyDescent="0.25">
      <c r="O1289" s="229"/>
      <c r="P1289" s="228"/>
    </row>
    <row r="1290" spans="15:16" x14ac:dyDescent="0.25">
      <c r="O1290" s="229"/>
      <c r="P1290" s="228"/>
    </row>
    <row r="1291" spans="15:16" x14ac:dyDescent="0.25">
      <c r="O1291" s="229"/>
      <c r="P1291" s="228"/>
    </row>
    <row r="1292" spans="15:16" x14ac:dyDescent="0.25">
      <c r="O1292" s="229"/>
      <c r="P1292" s="228"/>
    </row>
    <row r="1293" spans="15:16" x14ac:dyDescent="0.25">
      <c r="O1293" s="229"/>
      <c r="P1293" s="228"/>
    </row>
    <row r="1294" spans="15:16" x14ac:dyDescent="0.25">
      <c r="O1294" s="229"/>
      <c r="P1294" s="228"/>
    </row>
    <row r="1295" spans="15:16" x14ac:dyDescent="0.25">
      <c r="O1295" s="229"/>
      <c r="P1295" s="228"/>
    </row>
    <row r="1296" spans="15:16" x14ac:dyDescent="0.25">
      <c r="O1296" s="229"/>
      <c r="P1296" s="228"/>
    </row>
    <row r="1297" spans="15:16" x14ac:dyDescent="0.25">
      <c r="O1297" s="229"/>
      <c r="P1297" s="228"/>
    </row>
    <row r="1298" spans="15:16" x14ac:dyDescent="0.25">
      <c r="O1298" s="229"/>
      <c r="P1298" s="228"/>
    </row>
    <row r="1299" spans="15:16" x14ac:dyDescent="0.25">
      <c r="O1299" s="229"/>
      <c r="P1299" s="228"/>
    </row>
    <row r="1300" spans="15:16" x14ac:dyDescent="0.25">
      <c r="O1300" s="229"/>
      <c r="P1300" s="228"/>
    </row>
    <row r="1301" spans="15:16" x14ac:dyDescent="0.25">
      <c r="O1301" s="229"/>
      <c r="P1301" s="228"/>
    </row>
    <row r="1302" spans="15:16" x14ac:dyDescent="0.25">
      <c r="O1302" s="229"/>
      <c r="P1302" s="228"/>
    </row>
    <row r="1303" spans="15:16" x14ac:dyDescent="0.25">
      <c r="O1303" s="229"/>
      <c r="P1303" s="228"/>
    </row>
    <row r="1304" spans="15:16" x14ac:dyDescent="0.25">
      <c r="O1304" s="229"/>
      <c r="P1304" s="228"/>
    </row>
    <row r="1305" spans="15:16" x14ac:dyDescent="0.25">
      <c r="O1305" s="229"/>
      <c r="P1305" s="228"/>
    </row>
    <row r="1306" spans="15:16" x14ac:dyDescent="0.25">
      <c r="O1306" s="229"/>
      <c r="P1306" s="228"/>
    </row>
    <row r="1307" spans="15:16" x14ac:dyDescent="0.25">
      <c r="O1307" s="229"/>
      <c r="P1307" s="228"/>
    </row>
    <row r="1308" spans="15:16" x14ac:dyDescent="0.25">
      <c r="O1308" s="229"/>
      <c r="P1308" s="228"/>
    </row>
    <row r="1309" spans="15:16" x14ac:dyDescent="0.25">
      <c r="O1309" s="229"/>
      <c r="P1309" s="228"/>
    </row>
    <row r="1310" spans="15:16" x14ac:dyDescent="0.25">
      <c r="O1310" s="229"/>
      <c r="P1310" s="228"/>
    </row>
    <row r="1311" spans="15:16" x14ac:dyDescent="0.25">
      <c r="O1311" s="229"/>
      <c r="P1311" s="228"/>
    </row>
    <row r="1312" spans="15:16" x14ac:dyDescent="0.25">
      <c r="O1312" s="229"/>
      <c r="P1312" s="228"/>
    </row>
    <row r="1313" spans="15:16" x14ac:dyDescent="0.25">
      <c r="O1313" s="229"/>
      <c r="P1313" s="228"/>
    </row>
    <row r="1314" spans="15:16" x14ac:dyDescent="0.25">
      <c r="O1314" s="229"/>
      <c r="P1314" s="228"/>
    </row>
    <row r="1315" spans="15:16" x14ac:dyDescent="0.25">
      <c r="O1315" s="229"/>
      <c r="P1315" s="228"/>
    </row>
    <row r="1316" spans="15:16" x14ac:dyDescent="0.25">
      <c r="O1316" s="229"/>
      <c r="P1316" s="228"/>
    </row>
    <row r="1317" spans="15:16" x14ac:dyDescent="0.25">
      <c r="O1317" s="229"/>
      <c r="P1317" s="228"/>
    </row>
    <row r="1318" spans="15:16" x14ac:dyDescent="0.25">
      <c r="O1318" s="229"/>
      <c r="P1318" s="228"/>
    </row>
    <row r="1319" spans="15:16" x14ac:dyDescent="0.25">
      <c r="O1319" s="229"/>
      <c r="P1319" s="228"/>
    </row>
    <row r="1320" spans="15:16" x14ac:dyDescent="0.25">
      <c r="O1320" s="229"/>
      <c r="P1320" s="228"/>
    </row>
    <row r="1321" spans="15:16" x14ac:dyDescent="0.25">
      <c r="O1321" s="229"/>
      <c r="P1321" s="228"/>
    </row>
    <row r="1322" spans="15:16" x14ac:dyDescent="0.25">
      <c r="O1322" s="229"/>
      <c r="P1322" s="228"/>
    </row>
    <row r="1323" spans="15:16" x14ac:dyDescent="0.25">
      <c r="O1323" s="229"/>
      <c r="P1323" s="228"/>
    </row>
    <row r="1324" spans="15:16" x14ac:dyDescent="0.25">
      <c r="O1324" s="229"/>
      <c r="P1324" s="228"/>
    </row>
    <row r="1325" spans="15:16" x14ac:dyDescent="0.25">
      <c r="O1325" s="229"/>
      <c r="P1325" s="228"/>
    </row>
    <row r="1326" spans="15:16" x14ac:dyDescent="0.25">
      <c r="O1326" s="229"/>
      <c r="P1326" s="228"/>
    </row>
    <row r="1327" spans="15:16" x14ac:dyDescent="0.25">
      <c r="O1327" s="229"/>
      <c r="P1327" s="228"/>
    </row>
    <row r="1328" spans="15:16" x14ac:dyDescent="0.25">
      <c r="O1328" s="229"/>
      <c r="P1328" s="228"/>
    </row>
    <row r="1329" spans="15:16" x14ac:dyDescent="0.25">
      <c r="O1329" s="229"/>
      <c r="P1329" s="228"/>
    </row>
    <row r="1330" spans="15:16" x14ac:dyDescent="0.25">
      <c r="O1330" s="229"/>
      <c r="P1330" s="228"/>
    </row>
    <row r="1331" spans="15:16" x14ac:dyDescent="0.25">
      <c r="O1331" s="229"/>
      <c r="P1331" s="228"/>
    </row>
    <row r="1332" spans="15:16" x14ac:dyDescent="0.25">
      <c r="O1332" s="229"/>
      <c r="P1332" s="228"/>
    </row>
    <row r="1333" spans="15:16" x14ac:dyDescent="0.25">
      <c r="O1333" s="229"/>
      <c r="P1333" s="228"/>
    </row>
    <row r="1334" spans="15:16" x14ac:dyDescent="0.25">
      <c r="O1334" s="229"/>
      <c r="P1334" s="228"/>
    </row>
    <row r="1335" spans="15:16" x14ac:dyDescent="0.25">
      <c r="O1335" s="229"/>
      <c r="P1335" s="228"/>
    </row>
    <row r="1336" spans="15:16" x14ac:dyDescent="0.25">
      <c r="O1336" s="229"/>
      <c r="P1336" s="228"/>
    </row>
    <row r="1337" spans="15:16" x14ac:dyDescent="0.25">
      <c r="O1337" s="229"/>
      <c r="P1337" s="228"/>
    </row>
    <row r="1338" spans="15:16" x14ac:dyDescent="0.25">
      <c r="O1338" s="229"/>
      <c r="P1338" s="228"/>
    </row>
    <row r="1339" spans="15:16" x14ac:dyDescent="0.25">
      <c r="O1339" s="229"/>
      <c r="P1339" s="228"/>
    </row>
    <row r="1340" spans="15:16" x14ac:dyDescent="0.25">
      <c r="O1340" s="229"/>
      <c r="P1340" s="228"/>
    </row>
    <row r="1341" spans="15:16" x14ac:dyDescent="0.25">
      <c r="O1341" s="229"/>
      <c r="P1341" s="228"/>
    </row>
    <row r="1342" spans="15:16" x14ac:dyDescent="0.25">
      <c r="O1342" s="229"/>
      <c r="P1342" s="228"/>
    </row>
    <row r="1343" spans="15:16" x14ac:dyDescent="0.25">
      <c r="O1343" s="229"/>
      <c r="P1343" s="228"/>
    </row>
    <row r="1344" spans="15:16" x14ac:dyDescent="0.25">
      <c r="O1344" s="229"/>
      <c r="P1344" s="228"/>
    </row>
    <row r="1345" spans="15:16" x14ac:dyDescent="0.25">
      <c r="O1345" s="229"/>
      <c r="P1345" s="228"/>
    </row>
    <row r="1346" spans="15:16" x14ac:dyDescent="0.25">
      <c r="O1346" s="229"/>
      <c r="P1346" s="228"/>
    </row>
    <row r="1347" spans="15:16" x14ac:dyDescent="0.25">
      <c r="O1347" s="229"/>
      <c r="P1347" s="228"/>
    </row>
    <row r="1348" spans="15:16" x14ac:dyDescent="0.25">
      <c r="O1348" s="229"/>
      <c r="P1348" s="228"/>
    </row>
    <row r="1349" spans="15:16" x14ac:dyDescent="0.25">
      <c r="O1349" s="229"/>
      <c r="P1349" s="228"/>
    </row>
    <row r="1350" spans="15:16" x14ac:dyDescent="0.25">
      <c r="O1350" s="229"/>
      <c r="P1350" s="228"/>
    </row>
    <row r="1351" spans="15:16" x14ac:dyDescent="0.25">
      <c r="O1351" s="229"/>
      <c r="P1351" s="228"/>
    </row>
    <row r="1352" spans="15:16" x14ac:dyDescent="0.25">
      <c r="O1352" s="229"/>
      <c r="P1352" s="228"/>
    </row>
    <row r="1353" spans="15:16" x14ac:dyDescent="0.25">
      <c r="O1353" s="229"/>
      <c r="P1353" s="228"/>
    </row>
    <row r="1354" spans="15:16" x14ac:dyDescent="0.25">
      <c r="O1354" s="229"/>
      <c r="P1354" s="228"/>
    </row>
    <row r="1355" spans="15:16" x14ac:dyDescent="0.25">
      <c r="O1355" s="229"/>
      <c r="P1355" s="228"/>
    </row>
    <row r="1356" spans="15:16" x14ac:dyDescent="0.25">
      <c r="O1356" s="229"/>
      <c r="P1356" s="228"/>
    </row>
    <row r="1357" spans="15:16" x14ac:dyDescent="0.25">
      <c r="O1357" s="229"/>
      <c r="P1357" s="228"/>
    </row>
    <row r="1358" spans="15:16" x14ac:dyDescent="0.25">
      <c r="O1358" s="229"/>
      <c r="P1358" s="228"/>
    </row>
    <row r="1359" spans="15:16" x14ac:dyDescent="0.25">
      <c r="O1359" s="229"/>
      <c r="P1359" s="228"/>
    </row>
    <row r="1360" spans="15:16" x14ac:dyDescent="0.25">
      <c r="O1360" s="229"/>
      <c r="P1360" s="228"/>
    </row>
    <row r="1361" spans="15:16" x14ac:dyDescent="0.25">
      <c r="O1361" s="229"/>
      <c r="P1361" s="228"/>
    </row>
    <row r="1362" spans="15:16" x14ac:dyDescent="0.25">
      <c r="O1362" s="229"/>
      <c r="P1362" s="228"/>
    </row>
    <row r="1363" spans="15:16" x14ac:dyDescent="0.25">
      <c r="O1363" s="229"/>
      <c r="P1363" s="228"/>
    </row>
    <row r="1364" spans="15:16" x14ac:dyDescent="0.25">
      <c r="O1364" s="229"/>
      <c r="P1364" s="228"/>
    </row>
    <row r="1365" spans="15:16" x14ac:dyDescent="0.25">
      <c r="O1365" s="229"/>
      <c r="P1365" s="228"/>
    </row>
    <row r="1366" spans="15:16" x14ac:dyDescent="0.25">
      <c r="O1366" s="229"/>
      <c r="P1366" s="228"/>
    </row>
    <row r="1367" spans="15:16" x14ac:dyDescent="0.25">
      <c r="O1367" s="229"/>
      <c r="P1367" s="228"/>
    </row>
    <row r="1368" spans="15:16" x14ac:dyDescent="0.25">
      <c r="O1368" s="229"/>
      <c r="P1368" s="228"/>
    </row>
    <row r="1369" spans="15:16" x14ac:dyDescent="0.25">
      <c r="O1369" s="229"/>
      <c r="P1369" s="228"/>
    </row>
    <row r="1370" spans="15:16" x14ac:dyDescent="0.25">
      <c r="O1370" s="229"/>
      <c r="P1370" s="228"/>
    </row>
    <row r="1371" spans="15:16" x14ac:dyDescent="0.25">
      <c r="O1371" s="229"/>
      <c r="P1371" s="228"/>
    </row>
    <row r="1372" spans="15:16" x14ac:dyDescent="0.25">
      <c r="O1372" s="229"/>
      <c r="P1372" s="228"/>
    </row>
    <row r="1373" spans="15:16" x14ac:dyDescent="0.25">
      <c r="O1373" s="229"/>
      <c r="P1373" s="228"/>
    </row>
    <row r="1374" spans="15:16" x14ac:dyDescent="0.25">
      <c r="O1374" s="229"/>
      <c r="P1374" s="228"/>
    </row>
    <row r="1375" spans="15:16" x14ac:dyDescent="0.25">
      <c r="O1375" s="229"/>
      <c r="P1375" s="228"/>
    </row>
    <row r="1376" spans="15:16" x14ac:dyDescent="0.25">
      <c r="O1376" s="229"/>
      <c r="P1376" s="228"/>
    </row>
    <row r="1377" spans="15:16" x14ac:dyDescent="0.25">
      <c r="O1377" s="229"/>
      <c r="P1377" s="228"/>
    </row>
    <row r="1378" spans="15:16" x14ac:dyDescent="0.25">
      <c r="O1378" s="229"/>
      <c r="P1378" s="228"/>
    </row>
    <row r="1379" spans="15:16" x14ac:dyDescent="0.25">
      <c r="O1379" s="229"/>
      <c r="P1379" s="228"/>
    </row>
    <row r="1380" spans="15:16" x14ac:dyDescent="0.25">
      <c r="O1380" s="229"/>
      <c r="P1380" s="228"/>
    </row>
    <row r="1381" spans="15:16" x14ac:dyDescent="0.25">
      <c r="O1381" s="229"/>
      <c r="P1381" s="228"/>
    </row>
    <row r="1382" spans="15:16" x14ac:dyDescent="0.25">
      <c r="O1382" s="229"/>
      <c r="P1382" s="228"/>
    </row>
    <row r="1383" spans="15:16" x14ac:dyDescent="0.25">
      <c r="O1383" s="229"/>
      <c r="P1383" s="228"/>
    </row>
    <row r="1384" spans="15:16" x14ac:dyDescent="0.25">
      <c r="O1384" s="229"/>
      <c r="P1384" s="228"/>
    </row>
    <row r="1385" spans="15:16" x14ac:dyDescent="0.25">
      <c r="O1385" s="229"/>
      <c r="P1385" s="228"/>
    </row>
    <row r="1386" spans="15:16" x14ac:dyDescent="0.25">
      <c r="O1386" s="229"/>
      <c r="P1386" s="228"/>
    </row>
    <row r="1387" spans="15:16" x14ac:dyDescent="0.25">
      <c r="O1387" s="229"/>
      <c r="P1387" s="228"/>
    </row>
    <row r="1388" spans="15:16" x14ac:dyDescent="0.25">
      <c r="O1388" s="229"/>
      <c r="P1388" s="228"/>
    </row>
    <row r="1389" spans="15:16" x14ac:dyDescent="0.25">
      <c r="O1389" s="229"/>
      <c r="P1389" s="228"/>
    </row>
    <row r="1390" spans="15:16" x14ac:dyDescent="0.25">
      <c r="O1390" s="229"/>
      <c r="P1390" s="228"/>
    </row>
    <row r="1391" spans="15:16" x14ac:dyDescent="0.25">
      <c r="O1391" s="229"/>
      <c r="P1391" s="228"/>
    </row>
    <row r="1392" spans="15:16" x14ac:dyDescent="0.25">
      <c r="O1392" s="229"/>
      <c r="P1392" s="228"/>
    </row>
    <row r="1393" spans="15:16" x14ac:dyDescent="0.25">
      <c r="O1393" s="229"/>
      <c r="P1393" s="228"/>
    </row>
    <row r="1394" spans="15:16" x14ac:dyDescent="0.25">
      <c r="O1394" s="229"/>
      <c r="P1394" s="228"/>
    </row>
    <row r="1395" spans="15:16" x14ac:dyDescent="0.25">
      <c r="O1395" s="229"/>
      <c r="P1395" s="228"/>
    </row>
    <row r="1396" spans="15:16" x14ac:dyDescent="0.25">
      <c r="O1396" s="229"/>
      <c r="P1396" s="228"/>
    </row>
    <row r="1397" spans="15:16" x14ac:dyDescent="0.25">
      <c r="O1397" s="229"/>
      <c r="P1397" s="228"/>
    </row>
    <row r="1398" spans="15:16" x14ac:dyDescent="0.25">
      <c r="O1398" s="229"/>
      <c r="P1398" s="228"/>
    </row>
    <row r="1399" spans="15:16" x14ac:dyDescent="0.25">
      <c r="O1399" s="229"/>
      <c r="P1399" s="228"/>
    </row>
    <row r="1400" spans="15:16" x14ac:dyDescent="0.25">
      <c r="O1400" s="229"/>
      <c r="P1400" s="228"/>
    </row>
    <row r="1401" spans="15:16" x14ac:dyDescent="0.25">
      <c r="O1401" s="229"/>
      <c r="P1401" s="228"/>
    </row>
    <row r="1402" spans="15:16" x14ac:dyDescent="0.25">
      <c r="O1402" s="229"/>
      <c r="P1402" s="228"/>
    </row>
    <row r="1403" spans="15:16" x14ac:dyDescent="0.25">
      <c r="O1403" s="229"/>
      <c r="P1403" s="228"/>
    </row>
    <row r="1404" spans="15:16" x14ac:dyDescent="0.25">
      <c r="O1404" s="229"/>
      <c r="P1404" s="228"/>
    </row>
    <row r="1405" spans="15:16" x14ac:dyDescent="0.25">
      <c r="O1405" s="229"/>
      <c r="P1405" s="228"/>
    </row>
    <row r="1406" spans="15:16" x14ac:dyDescent="0.25">
      <c r="O1406" s="229"/>
      <c r="P1406" s="228"/>
    </row>
    <row r="1407" spans="15:16" x14ac:dyDescent="0.25">
      <c r="O1407" s="229"/>
      <c r="P1407" s="228"/>
    </row>
    <row r="1408" spans="15:16" x14ac:dyDescent="0.25">
      <c r="O1408" s="229"/>
      <c r="P1408" s="228"/>
    </row>
    <row r="1409" spans="15:16" x14ac:dyDescent="0.25">
      <c r="O1409" s="229"/>
      <c r="P1409" s="228"/>
    </row>
    <row r="1410" spans="15:16" x14ac:dyDescent="0.25">
      <c r="O1410" s="229"/>
      <c r="P1410" s="228"/>
    </row>
    <row r="1411" spans="15:16" x14ac:dyDescent="0.25">
      <c r="O1411" s="229"/>
      <c r="P1411" s="228"/>
    </row>
    <row r="1412" spans="15:16" x14ac:dyDescent="0.25">
      <c r="O1412" s="229"/>
      <c r="P1412" s="228"/>
    </row>
    <row r="1413" spans="15:16" x14ac:dyDescent="0.25">
      <c r="O1413" s="229"/>
      <c r="P1413" s="228"/>
    </row>
    <row r="1414" spans="15:16" x14ac:dyDescent="0.25">
      <c r="O1414" s="229"/>
      <c r="P1414" s="228"/>
    </row>
    <row r="1415" spans="15:16" x14ac:dyDescent="0.25">
      <c r="O1415" s="229"/>
      <c r="P1415" s="228"/>
    </row>
    <row r="1416" spans="15:16" x14ac:dyDescent="0.25">
      <c r="O1416" s="229"/>
      <c r="P1416" s="228"/>
    </row>
    <row r="1417" spans="15:16" x14ac:dyDescent="0.25">
      <c r="O1417" s="229"/>
      <c r="P1417" s="228"/>
    </row>
    <row r="1418" spans="15:16" x14ac:dyDescent="0.25">
      <c r="O1418" s="229"/>
      <c r="P1418" s="228"/>
    </row>
    <row r="1419" spans="15:16" x14ac:dyDescent="0.25">
      <c r="O1419" s="229"/>
      <c r="P1419" s="228"/>
    </row>
    <row r="1420" spans="15:16" x14ac:dyDescent="0.25">
      <c r="O1420" s="229"/>
      <c r="P1420" s="228"/>
    </row>
    <row r="1421" spans="15:16" x14ac:dyDescent="0.25">
      <c r="O1421" s="229"/>
      <c r="P1421" s="228"/>
    </row>
    <row r="1422" spans="15:16" x14ac:dyDescent="0.25">
      <c r="O1422" s="229"/>
      <c r="P1422" s="228"/>
    </row>
    <row r="1423" spans="15:16" x14ac:dyDescent="0.25">
      <c r="O1423" s="229"/>
      <c r="P1423" s="228"/>
    </row>
    <row r="1424" spans="15:16" x14ac:dyDescent="0.25">
      <c r="O1424" s="229"/>
      <c r="P1424" s="228"/>
    </row>
    <row r="1425" spans="15:16" x14ac:dyDescent="0.25">
      <c r="O1425" s="229"/>
      <c r="P1425" s="228"/>
    </row>
    <row r="1426" spans="15:16" x14ac:dyDescent="0.25">
      <c r="O1426" s="229"/>
      <c r="P1426" s="228"/>
    </row>
    <row r="1427" spans="15:16" x14ac:dyDescent="0.25">
      <c r="O1427" s="229"/>
      <c r="P1427" s="228"/>
    </row>
    <row r="1428" spans="15:16" x14ac:dyDescent="0.25">
      <c r="O1428" s="229"/>
      <c r="P1428" s="228"/>
    </row>
    <row r="1429" spans="15:16" x14ac:dyDescent="0.25">
      <c r="O1429" s="229"/>
      <c r="P1429" s="228"/>
    </row>
    <row r="1430" spans="15:16" x14ac:dyDescent="0.25">
      <c r="O1430" s="229"/>
      <c r="P1430" s="228"/>
    </row>
    <row r="1431" spans="15:16" x14ac:dyDescent="0.25">
      <c r="O1431" s="229"/>
      <c r="P1431" s="228"/>
    </row>
    <row r="1432" spans="15:16" x14ac:dyDescent="0.25">
      <c r="O1432" s="229"/>
      <c r="P1432" s="228"/>
    </row>
    <row r="1433" spans="15:16" x14ac:dyDescent="0.25">
      <c r="O1433" s="229"/>
      <c r="P1433" s="228"/>
    </row>
    <row r="1434" spans="15:16" x14ac:dyDescent="0.25">
      <c r="O1434" s="229"/>
      <c r="P1434" s="228"/>
    </row>
    <row r="1435" spans="15:16" x14ac:dyDescent="0.25">
      <c r="O1435" s="229"/>
      <c r="P1435" s="228"/>
    </row>
    <row r="1436" spans="15:16" x14ac:dyDescent="0.25">
      <c r="O1436" s="229"/>
      <c r="P1436" s="228"/>
    </row>
    <row r="1437" spans="15:16" x14ac:dyDescent="0.25">
      <c r="O1437" s="229"/>
      <c r="P1437" s="228"/>
    </row>
    <row r="1438" spans="15:16" x14ac:dyDescent="0.25">
      <c r="O1438" s="229"/>
      <c r="P1438" s="228"/>
    </row>
    <row r="1439" spans="15:16" x14ac:dyDescent="0.25">
      <c r="O1439" s="229"/>
      <c r="P1439" s="228"/>
    </row>
    <row r="1440" spans="15:16" x14ac:dyDescent="0.25">
      <c r="O1440" s="229"/>
      <c r="P1440" s="228"/>
    </row>
    <row r="1441" spans="15:16" x14ac:dyDescent="0.25">
      <c r="O1441" s="229"/>
      <c r="P1441" s="228"/>
    </row>
    <row r="1442" spans="15:16" x14ac:dyDescent="0.25">
      <c r="O1442" s="229"/>
      <c r="P1442" s="228"/>
    </row>
    <row r="1443" spans="15:16" x14ac:dyDescent="0.25">
      <c r="O1443" s="229"/>
      <c r="P1443" s="228"/>
    </row>
    <row r="1444" spans="15:16" x14ac:dyDescent="0.25">
      <c r="O1444" s="229"/>
      <c r="P1444" s="228"/>
    </row>
    <row r="1445" spans="15:16" x14ac:dyDescent="0.25">
      <c r="O1445" s="229"/>
      <c r="P1445" s="228"/>
    </row>
    <row r="1446" spans="15:16" x14ac:dyDescent="0.25">
      <c r="O1446" s="229"/>
      <c r="P1446" s="228"/>
    </row>
    <row r="1447" spans="15:16" x14ac:dyDescent="0.25">
      <c r="O1447" s="229"/>
      <c r="P1447" s="228"/>
    </row>
    <row r="1448" spans="15:16" x14ac:dyDescent="0.25">
      <c r="O1448" s="229"/>
      <c r="P1448" s="228"/>
    </row>
    <row r="1449" spans="15:16" x14ac:dyDescent="0.25">
      <c r="O1449" s="229"/>
      <c r="P1449" s="228"/>
    </row>
    <row r="1450" spans="15:16" x14ac:dyDescent="0.25">
      <c r="O1450" s="229"/>
      <c r="P1450" s="228"/>
    </row>
    <row r="1451" spans="15:16" x14ac:dyDescent="0.25">
      <c r="O1451" s="229"/>
      <c r="P1451" s="228"/>
    </row>
    <row r="1452" spans="15:16" x14ac:dyDescent="0.25">
      <c r="O1452" s="229"/>
      <c r="P1452" s="228"/>
    </row>
    <row r="1453" spans="15:16" x14ac:dyDescent="0.25">
      <c r="O1453" s="229"/>
      <c r="P1453" s="228"/>
    </row>
    <row r="1454" spans="15:16" x14ac:dyDescent="0.25">
      <c r="O1454" s="229"/>
      <c r="P1454" s="228"/>
    </row>
    <row r="1455" spans="15:16" x14ac:dyDescent="0.25">
      <c r="O1455" s="229"/>
      <c r="P1455" s="228"/>
    </row>
    <row r="1456" spans="15:16" x14ac:dyDescent="0.25">
      <c r="O1456" s="229"/>
      <c r="P1456" s="228"/>
    </row>
    <row r="1457" spans="15:16" x14ac:dyDescent="0.25">
      <c r="O1457" s="229"/>
      <c r="P1457" s="228"/>
    </row>
    <row r="1458" spans="15:16" x14ac:dyDescent="0.25">
      <c r="O1458" s="229"/>
      <c r="P1458" s="228"/>
    </row>
    <row r="1459" spans="15:16" x14ac:dyDescent="0.25">
      <c r="O1459" s="229"/>
      <c r="P1459" s="228"/>
    </row>
    <row r="1460" spans="15:16" x14ac:dyDescent="0.25">
      <c r="O1460" s="229"/>
      <c r="P1460" s="228"/>
    </row>
    <row r="1461" spans="15:16" x14ac:dyDescent="0.25">
      <c r="O1461" s="229"/>
      <c r="P1461" s="228"/>
    </row>
    <row r="1462" spans="15:16" x14ac:dyDescent="0.25">
      <c r="O1462" s="229"/>
      <c r="P1462" s="228"/>
    </row>
    <row r="1463" spans="15:16" x14ac:dyDescent="0.25">
      <c r="O1463" s="229"/>
      <c r="P1463" s="228"/>
    </row>
    <row r="1464" spans="15:16" x14ac:dyDescent="0.25">
      <c r="O1464" s="229"/>
      <c r="P1464" s="228"/>
    </row>
    <row r="1465" spans="15:16" x14ac:dyDescent="0.25">
      <c r="O1465" s="229"/>
      <c r="P1465" s="228"/>
    </row>
    <row r="1466" spans="15:16" x14ac:dyDescent="0.25">
      <c r="O1466" s="229"/>
      <c r="P1466" s="228"/>
    </row>
    <row r="1467" spans="15:16" x14ac:dyDescent="0.25">
      <c r="O1467" s="229"/>
      <c r="P1467" s="228"/>
    </row>
    <row r="1468" spans="15:16" x14ac:dyDescent="0.25">
      <c r="O1468" s="229"/>
      <c r="P1468" s="228"/>
    </row>
    <row r="1469" spans="15:16" x14ac:dyDescent="0.25">
      <c r="O1469" s="229"/>
      <c r="P1469" s="228"/>
    </row>
    <row r="1470" spans="15:16" x14ac:dyDescent="0.25">
      <c r="O1470" s="229"/>
      <c r="P1470" s="228"/>
    </row>
    <row r="1471" spans="15:16" x14ac:dyDescent="0.25">
      <c r="O1471" s="229"/>
      <c r="P1471" s="228"/>
    </row>
    <row r="1472" spans="15:16" x14ac:dyDescent="0.25">
      <c r="O1472" s="229"/>
      <c r="P1472" s="228"/>
    </row>
    <row r="1473" spans="15:16" x14ac:dyDescent="0.25">
      <c r="O1473" s="229"/>
      <c r="P1473" s="228"/>
    </row>
    <row r="1474" spans="15:16" x14ac:dyDescent="0.25">
      <c r="O1474" s="229"/>
      <c r="P1474" s="228"/>
    </row>
    <row r="1475" spans="15:16" x14ac:dyDescent="0.25">
      <c r="O1475" s="229"/>
      <c r="P1475" s="228"/>
    </row>
    <row r="1476" spans="15:16" x14ac:dyDescent="0.25">
      <c r="O1476" s="229"/>
      <c r="P1476" s="228"/>
    </row>
    <row r="1477" spans="15:16" x14ac:dyDescent="0.25">
      <c r="O1477" s="229"/>
      <c r="P1477" s="228"/>
    </row>
    <row r="1478" spans="15:16" x14ac:dyDescent="0.25">
      <c r="O1478" s="229"/>
      <c r="P1478" s="228"/>
    </row>
    <row r="1479" spans="15:16" x14ac:dyDescent="0.25">
      <c r="O1479" s="229"/>
      <c r="P1479" s="228"/>
    </row>
    <row r="1480" spans="15:16" x14ac:dyDescent="0.25">
      <c r="O1480" s="229"/>
      <c r="P1480" s="228"/>
    </row>
    <row r="1481" spans="15:16" x14ac:dyDescent="0.25">
      <c r="O1481" s="229"/>
      <c r="P1481" s="228"/>
    </row>
    <row r="1482" spans="15:16" x14ac:dyDescent="0.25">
      <c r="O1482" s="229"/>
      <c r="P1482" s="228"/>
    </row>
    <row r="1483" spans="15:16" x14ac:dyDescent="0.25">
      <c r="O1483" s="229"/>
      <c r="P1483" s="228"/>
    </row>
    <row r="1484" spans="15:16" x14ac:dyDescent="0.25">
      <c r="O1484" s="229"/>
      <c r="P1484" s="228"/>
    </row>
    <row r="1485" spans="15:16" x14ac:dyDescent="0.25">
      <c r="O1485" s="229"/>
      <c r="P1485" s="228"/>
    </row>
    <row r="1486" spans="15:16" x14ac:dyDescent="0.25">
      <c r="O1486" s="229"/>
      <c r="P1486" s="228"/>
    </row>
    <row r="1487" spans="15:16" x14ac:dyDescent="0.25">
      <c r="O1487" s="229"/>
      <c r="P1487" s="228"/>
    </row>
    <row r="1488" spans="15:16" x14ac:dyDescent="0.25">
      <c r="O1488" s="229"/>
      <c r="P1488" s="228"/>
    </row>
    <row r="1489" spans="15:16" x14ac:dyDescent="0.25">
      <c r="O1489" s="229"/>
      <c r="P1489" s="228"/>
    </row>
    <row r="1490" spans="15:16" x14ac:dyDescent="0.25">
      <c r="O1490" s="229"/>
      <c r="P1490" s="228"/>
    </row>
    <row r="1491" spans="15:16" x14ac:dyDescent="0.25">
      <c r="O1491" s="229"/>
      <c r="P1491" s="228"/>
    </row>
    <row r="1492" spans="15:16" x14ac:dyDescent="0.25">
      <c r="O1492" s="229"/>
      <c r="P1492" s="228"/>
    </row>
    <row r="1493" spans="15:16" x14ac:dyDescent="0.25">
      <c r="O1493" s="229"/>
      <c r="P1493" s="228"/>
    </row>
    <row r="1494" spans="15:16" x14ac:dyDescent="0.25">
      <c r="O1494" s="229"/>
      <c r="P1494" s="228"/>
    </row>
    <row r="1495" spans="15:16" x14ac:dyDescent="0.25">
      <c r="O1495" s="229"/>
      <c r="P1495" s="228"/>
    </row>
    <row r="1496" spans="15:16" x14ac:dyDescent="0.25">
      <c r="O1496" s="229"/>
      <c r="P1496" s="228"/>
    </row>
    <row r="1497" spans="15:16" x14ac:dyDescent="0.25">
      <c r="O1497" s="229"/>
      <c r="P1497" s="228"/>
    </row>
    <row r="1498" spans="15:16" x14ac:dyDescent="0.25">
      <c r="O1498" s="229"/>
      <c r="P1498" s="228"/>
    </row>
    <row r="1499" spans="15:16" x14ac:dyDescent="0.25">
      <c r="O1499" s="229"/>
      <c r="P1499" s="228"/>
    </row>
    <row r="1500" spans="15:16" x14ac:dyDescent="0.25">
      <c r="O1500" s="229"/>
      <c r="P1500" s="228"/>
    </row>
    <row r="1501" spans="15:16" x14ac:dyDescent="0.25">
      <c r="O1501" s="229"/>
      <c r="P1501" s="228"/>
    </row>
    <row r="1502" spans="15:16" x14ac:dyDescent="0.25">
      <c r="O1502" s="229"/>
      <c r="P1502" s="228"/>
    </row>
    <row r="1503" spans="15:16" x14ac:dyDescent="0.25">
      <c r="O1503" s="229"/>
      <c r="P1503" s="228"/>
    </row>
    <row r="1504" spans="15:16" x14ac:dyDescent="0.25">
      <c r="O1504" s="229"/>
      <c r="P1504" s="228"/>
    </row>
    <row r="1505" spans="15:16" x14ac:dyDescent="0.25">
      <c r="O1505" s="229"/>
      <c r="P1505" s="228"/>
    </row>
    <row r="1506" spans="15:16" x14ac:dyDescent="0.25">
      <c r="O1506" s="229"/>
      <c r="P1506" s="228"/>
    </row>
    <row r="1507" spans="15:16" x14ac:dyDescent="0.25">
      <c r="O1507" s="229"/>
      <c r="P1507" s="228"/>
    </row>
    <row r="1508" spans="15:16" x14ac:dyDescent="0.25">
      <c r="O1508" s="229"/>
      <c r="P1508" s="228"/>
    </row>
    <row r="1509" spans="15:16" x14ac:dyDescent="0.25">
      <c r="O1509" s="229"/>
      <c r="P1509" s="228"/>
    </row>
    <row r="1510" spans="15:16" x14ac:dyDescent="0.25">
      <c r="O1510" s="229"/>
      <c r="P1510" s="228"/>
    </row>
    <row r="1511" spans="15:16" x14ac:dyDescent="0.25">
      <c r="O1511" s="229"/>
      <c r="P1511" s="228"/>
    </row>
    <row r="1512" spans="15:16" x14ac:dyDescent="0.25">
      <c r="O1512" s="229"/>
      <c r="P1512" s="228"/>
    </row>
    <row r="1513" spans="15:16" x14ac:dyDescent="0.25">
      <c r="O1513" s="229"/>
      <c r="P1513" s="228"/>
    </row>
    <row r="1514" spans="15:16" x14ac:dyDescent="0.25">
      <c r="O1514" s="229"/>
      <c r="P1514" s="228"/>
    </row>
    <row r="1515" spans="15:16" x14ac:dyDescent="0.25">
      <c r="O1515" s="229"/>
      <c r="P1515" s="228"/>
    </row>
    <row r="1516" spans="15:16" x14ac:dyDescent="0.25">
      <c r="O1516" s="229"/>
      <c r="P1516" s="228"/>
    </row>
    <row r="1517" spans="15:16" x14ac:dyDescent="0.25">
      <c r="O1517" s="229"/>
      <c r="P1517" s="228"/>
    </row>
    <row r="1518" spans="15:16" x14ac:dyDescent="0.25">
      <c r="O1518" s="229"/>
      <c r="P1518" s="228"/>
    </row>
    <row r="1519" spans="15:16" x14ac:dyDescent="0.25">
      <c r="O1519" s="229"/>
      <c r="P1519" s="228"/>
    </row>
    <row r="1520" spans="15:16" x14ac:dyDescent="0.25">
      <c r="O1520" s="229"/>
      <c r="P1520" s="228"/>
    </row>
    <row r="1521" spans="15:16" x14ac:dyDescent="0.25">
      <c r="O1521" s="229"/>
      <c r="P1521" s="228"/>
    </row>
    <row r="1522" spans="15:16" x14ac:dyDescent="0.25">
      <c r="O1522" s="229"/>
      <c r="P1522" s="228"/>
    </row>
    <row r="1523" spans="15:16" x14ac:dyDescent="0.25">
      <c r="O1523" s="229"/>
      <c r="P1523" s="228"/>
    </row>
    <row r="1524" spans="15:16" x14ac:dyDescent="0.25">
      <c r="O1524" s="229"/>
      <c r="P1524" s="228"/>
    </row>
    <row r="1525" spans="15:16" x14ac:dyDescent="0.25">
      <c r="O1525" s="229"/>
      <c r="P1525" s="228"/>
    </row>
    <row r="1526" spans="15:16" x14ac:dyDescent="0.25">
      <c r="O1526" s="229"/>
      <c r="P1526" s="228"/>
    </row>
    <row r="1527" spans="15:16" x14ac:dyDescent="0.25">
      <c r="O1527" s="229"/>
      <c r="P1527" s="228"/>
    </row>
    <row r="1528" spans="15:16" x14ac:dyDescent="0.25">
      <c r="O1528" s="229"/>
      <c r="P1528" s="228"/>
    </row>
    <row r="1529" spans="15:16" x14ac:dyDescent="0.25">
      <c r="O1529" s="229"/>
      <c r="P1529" s="228"/>
    </row>
    <row r="1530" spans="15:16" x14ac:dyDescent="0.25">
      <c r="O1530" s="229"/>
      <c r="P1530" s="228"/>
    </row>
    <row r="1531" spans="15:16" x14ac:dyDescent="0.25">
      <c r="O1531" s="229"/>
      <c r="P1531" s="228"/>
    </row>
    <row r="1532" spans="15:16" x14ac:dyDescent="0.25">
      <c r="O1532" s="229"/>
      <c r="P1532" s="228"/>
    </row>
    <row r="1533" spans="15:16" x14ac:dyDescent="0.25">
      <c r="O1533" s="229"/>
      <c r="P1533" s="228"/>
    </row>
    <row r="1534" spans="15:16" x14ac:dyDescent="0.25">
      <c r="O1534" s="229"/>
      <c r="P1534" s="228"/>
    </row>
    <row r="1535" spans="15:16" x14ac:dyDescent="0.25">
      <c r="O1535" s="229"/>
      <c r="P1535" s="228"/>
    </row>
    <row r="1536" spans="15:16" x14ac:dyDescent="0.25">
      <c r="O1536" s="229"/>
      <c r="P1536" s="228"/>
    </row>
    <row r="1537" spans="15:16" x14ac:dyDescent="0.25">
      <c r="O1537" s="229"/>
      <c r="P1537" s="228"/>
    </row>
    <row r="1538" spans="15:16" x14ac:dyDescent="0.25">
      <c r="O1538" s="229"/>
      <c r="P1538" s="228"/>
    </row>
    <row r="1539" spans="15:16" x14ac:dyDescent="0.25">
      <c r="O1539" s="229"/>
      <c r="P1539" s="228"/>
    </row>
    <row r="1540" spans="15:16" x14ac:dyDescent="0.25">
      <c r="O1540" s="229"/>
      <c r="P1540" s="228"/>
    </row>
    <row r="1541" spans="15:16" x14ac:dyDescent="0.25">
      <c r="O1541" s="229"/>
      <c r="P1541" s="228"/>
    </row>
    <row r="1542" spans="15:16" x14ac:dyDescent="0.25">
      <c r="O1542" s="229"/>
      <c r="P1542" s="228"/>
    </row>
    <row r="1543" spans="15:16" x14ac:dyDescent="0.25">
      <c r="O1543" s="229"/>
      <c r="P1543" s="228"/>
    </row>
    <row r="1544" spans="15:16" x14ac:dyDescent="0.25">
      <c r="O1544" s="229"/>
      <c r="P1544" s="228"/>
    </row>
    <row r="1545" spans="15:16" x14ac:dyDescent="0.25">
      <c r="O1545" s="229"/>
      <c r="P1545" s="228"/>
    </row>
    <row r="1546" spans="15:16" x14ac:dyDescent="0.25">
      <c r="O1546" s="229"/>
      <c r="P1546" s="228"/>
    </row>
    <row r="1547" spans="15:16" x14ac:dyDescent="0.25">
      <c r="O1547" s="229"/>
      <c r="P1547" s="228"/>
    </row>
    <row r="1548" spans="15:16" x14ac:dyDescent="0.25">
      <c r="O1548" s="229"/>
      <c r="P1548" s="228"/>
    </row>
    <row r="1549" spans="15:16" x14ac:dyDescent="0.25">
      <c r="O1549" s="229"/>
      <c r="P1549" s="228"/>
    </row>
    <row r="1550" spans="15:16" x14ac:dyDescent="0.25">
      <c r="O1550" s="229"/>
      <c r="P1550" s="228"/>
    </row>
    <row r="1551" spans="15:16" x14ac:dyDescent="0.25">
      <c r="O1551" s="229"/>
      <c r="P1551" s="228"/>
    </row>
    <row r="1552" spans="15:16" x14ac:dyDescent="0.25">
      <c r="O1552" s="229"/>
      <c r="P1552" s="228"/>
    </row>
    <row r="1553" spans="15:16" x14ac:dyDescent="0.25">
      <c r="O1553" s="229"/>
      <c r="P1553" s="228"/>
    </row>
    <row r="1554" spans="15:16" x14ac:dyDescent="0.25">
      <c r="O1554" s="229"/>
      <c r="P1554" s="228"/>
    </row>
    <row r="1555" spans="15:16" x14ac:dyDescent="0.25">
      <c r="O1555" s="229"/>
      <c r="P1555" s="228"/>
    </row>
    <row r="1556" spans="15:16" x14ac:dyDescent="0.25">
      <c r="O1556" s="229"/>
      <c r="P1556" s="228"/>
    </row>
    <row r="1557" spans="15:16" x14ac:dyDescent="0.25">
      <c r="O1557" s="229"/>
      <c r="P1557" s="228"/>
    </row>
    <row r="1558" spans="15:16" x14ac:dyDescent="0.25">
      <c r="O1558" s="229"/>
      <c r="P1558" s="228"/>
    </row>
    <row r="1559" spans="15:16" x14ac:dyDescent="0.25">
      <c r="O1559" s="229"/>
      <c r="P1559" s="228"/>
    </row>
    <row r="1560" spans="15:16" x14ac:dyDescent="0.25">
      <c r="O1560" s="229"/>
      <c r="P1560" s="228"/>
    </row>
    <row r="1561" spans="15:16" x14ac:dyDescent="0.25">
      <c r="O1561" s="229"/>
      <c r="P1561" s="228"/>
    </row>
    <row r="1562" spans="15:16" x14ac:dyDescent="0.25">
      <c r="O1562" s="229"/>
      <c r="P1562" s="228"/>
    </row>
    <row r="1563" spans="15:16" x14ac:dyDescent="0.25">
      <c r="O1563" s="229"/>
      <c r="P1563" s="228"/>
    </row>
    <row r="1564" spans="15:16" x14ac:dyDescent="0.25">
      <c r="O1564" s="229"/>
      <c r="P1564" s="228"/>
    </row>
    <row r="1565" spans="15:16" x14ac:dyDescent="0.25">
      <c r="O1565" s="229"/>
      <c r="P1565" s="228"/>
    </row>
    <row r="1566" spans="15:16" x14ac:dyDescent="0.25">
      <c r="O1566" s="229"/>
      <c r="P1566" s="228"/>
    </row>
    <row r="1567" spans="15:16" x14ac:dyDescent="0.25">
      <c r="O1567" s="229"/>
      <c r="P1567" s="228"/>
    </row>
    <row r="1568" spans="15:16" x14ac:dyDescent="0.25">
      <c r="O1568" s="229"/>
      <c r="P1568" s="228"/>
    </row>
    <row r="1569" spans="15:16" x14ac:dyDescent="0.25">
      <c r="O1569" s="229"/>
      <c r="P1569" s="228"/>
    </row>
    <row r="1570" spans="15:16" x14ac:dyDescent="0.25">
      <c r="O1570" s="229"/>
      <c r="P1570" s="228"/>
    </row>
    <row r="1571" spans="15:16" x14ac:dyDescent="0.25">
      <c r="O1571" s="229"/>
      <c r="P1571" s="228"/>
    </row>
    <row r="1572" spans="15:16" x14ac:dyDescent="0.25">
      <c r="O1572" s="229"/>
      <c r="P1572" s="228"/>
    </row>
    <row r="1573" spans="15:16" x14ac:dyDescent="0.25">
      <c r="O1573" s="229"/>
      <c r="P1573" s="228"/>
    </row>
    <row r="1574" spans="15:16" x14ac:dyDescent="0.25">
      <c r="O1574" s="229"/>
      <c r="P1574" s="228"/>
    </row>
    <row r="1575" spans="15:16" x14ac:dyDescent="0.25">
      <c r="O1575" s="229"/>
      <c r="P1575" s="228"/>
    </row>
    <row r="1576" spans="15:16" x14ac:dyDescent="0.25">
      <c r="O1576" s="229"/>
      <c r="P1576" s="228"/>
    </row>
    <row r="1577" spans="15:16" x14ac:dyDescent="0.25">
      <c r="O1577" s="229"/>
      <c r="P1577" s="228"/>
    </row>
    <row r="1578" spans="15:16" x14ac:dyDescent="0.25">
      <c r="O1578" s="229"/>
      <c r="P1578" s="228"/>
    </row>
    <row r="1579" spans="15:16" x14ac:dyDescent="0.25">
      <c r="O1579" s="229"/>
      <c r="P1579" s="228"/>
    </row>
    <row r="1580" spans="15:16" x14ac:dyDescent="0.25">
      <c r="O1580" s="229"/>
      <c r="P1580" s="228"/>
    </row>
    <row r="1581" spans="15:16" x14ac:dyDescent="0.25">
      <c r="O1581" s="229"/>
      <c r="P1581" s="228"/>
    </row>
    <row r="1582" spans="15:16" x14ac:dyDescent="0.25">
      <c r="O1582" s="229"/>
      <c r="P1582" s="228"/>
    </row>
    <row r="1583" spans="15:16" x14ac:dyDescent="0.25">
      <c r="O1583" s="229"/>
      <c r="P1583" s="228"/>
    </row>
    <row r="1584" spans="15:16" x14ac:dyDescent="0.25">
      <c r="O1584" s="229"/>
      <c r="P1584" s="228"/>
    </row>
    <row r="1585" spans="15:16" x14ac:dyDescent="0.25">
      <c r="O1585" s="229"/>
      <c r="P1585" s="228"/>
    </row>
    <row r="1586" spans="15:16" x14ac:dyDescent="0.25">
      <c r="O1586" s="229"/>
      <c r="P1586" s="228"/>
    </row>
    <row r="1587" spans="15:16" x14ac:dyDescent="0.25">
      <c r="O1587" s="229"/>
      <c r="P1587" s="228"/>
    </row>
    <row r="1588" spans="15:16" x14ac:dyDescent="0.25">
      <c r="O1588" s="229"/>
      <c r="P1588" s="228"/>
    </row>
    <row r="1589" spans="15:16" x14ac:dyDescent="0.25">
      <c r="O1589" s="229"/>
      <c r="P1589" s="228"/>
    </row>
    <row r="1590" spans="15:16" x14ac:dyDescent="0.25">
      <c r="O1590" s="229"/>
      <c r="P1590" s="228"/>
    </row>
    <row r="1591" spans="15:16" x14ac:dyDescent="0.25">
      <c r="O1591" s="229"/>
      <c r="P1591" s="228"/>
    </row>
    <row r="1592" spans="15:16" x14ac:dyDescent="0.25">
      <c r="O1592" s="229"/>
      <c r="P1592" s="228"/>
    </row>
    <row r="1593" spans="15:16" x14ac:dyDescent="0.25">
      <c r="O1593" s="229"/>
      <c r="P1593" s="228"/>
    </row>
    <row r="1594" spans="15:16" x14ac:dyDescent="0.25">
      <c r="O1594" s="229"/>
      <c r="P1594" s="228"/>
    </row>
    <row r="1595" spans="15:16" x14ac:dyDescent="0.25">
      <c r="O1595" s="229"/>
      <c r="P1595" s="228"/>
    </row>
    <row r="1596" spans="15:16" x14ac:dyDescent="0.25">
      <c r="O1596" s="229"/>
      <c r="P1596" s="228"/>
    </row>
    <row r="1597" spans="15:16" x14ac:dyDescent="0.25">
      <c r="O1597" s="229"/>
      <c r="P1597" s="228"/>
    </row>
    <row r="1598" spans="15:16" x14ac:dyDescent="0.25">
      <c r="O1598" s="229"/>
      <c r="P1598" s="228"/>
    </row>
    <row r="1599" spans="15:16" x14ac:dyDescent="0.25">
      <c r="O1599" s="229"/>
      <c r="P1599" s="228"/>
    </row>
    <row r="1600" spans="15:16" x14ac:dyDescent="0.25">
      <c r="O1600" s="229"/>
      <c r="P1600" s="228"/>
    </row>
    <row r="1601" spans="15:16" x14ac:dyDescent="0.25">
      <c r="O1601" s="229"/>
      <c r="P1601" s="228"/>
    </row>
    <row r="1602" spans="15:16" x14ac:dyDescent="0.25">
      <c r="O1602" s="229"/>
      <c r="P1602" s="228"/>
    </row>
    <row r="1603" spans="15:16" x14ac:dyDescent="0.25">
      <c r="O1603" s="229"/>
      <c r="P1603" s="228"/>
    </row>
    <row r="1604" spans="15:16" x14ac:dyDescent="0.25">
      <c r="O1604" s="229"/>
      <c r="P1604" s="228"/>
    </row>
    <row r="1605" spans="15:16" x14ac:dyDescent="0.25">
      <c r="O1605" s="229"/>
      <c r="P1605" s="228"/>
    </row>
    <row r="1606" spans="15:16" x14ac:dyDescent="0.25">
      <c r="O1606" s="229"/>
      <c r="P1606" s="228"/>
    </row>
    <row r="1607" spans="15:16" x14ac:dyDescent="0.25">
      <c r="O1607" s="229"/>
      <c r="P1607" s="228"/>
    </row>
    <row r="1608" spans="15:16" x14ac:dyDescent="0.25">
      <c r="O1608" s="229"/>
      <c r="P1608" s="228"/>
    </row>
    <row r="1609" spans="15:16" x14ac:dyDescent="0.25">
      <c r="O1609" s="229"/>
      <c r="P1609" s="228"/>
    </row>
    <row r="1610" spans="15:16" x14ac:dyDescent="0.25">
      <c r="O1610" s="229"/>
      <c r="P1610" s="228"/>
    </row>
    <row r="1611" spans="15:16" x14ac:dyDescent="0.25">
      <c r="O1611" s="229"/>
      <c r="P1611" s="228"/>
    </row>
    <row r="1612" spans="15:16" x14ac:dyDescent="0.25">
      <c r="O1612" s="229"/>
      <c r="P1612" s="228"/>
    </row>
    <row r="1613" spans="15:16" x14ac:dyDescent="0.25">
      <c r="O1613" s="229"/>
      <c r="P1613" s="228"/>
    </row>
    <row r="1614" spans="15:16" x14ac:dyDescent="0.25">
      <c r="O1614" s="229"/>
      <c r="P1614" s="228"/>
    </row>
    <row r="1615" spans="15:16" x14ac:dyDescent="0.25">
      <c r="O1615" s="229"/>
      <c r="P1615" s="228"/>
    </row>
    <row r="1616" spans="15:16" x14ac:dyDescent="0.25">
      <c r="O1616" s="229"/>
      <c r="P1616" s="228"/>
    </row>
    <row r="1617" spans="15:16" x14ac:dyDescent="0.25">
      <c r="O1617" s="229"/>
      <c r="P1617" s="228"/>
    </row>
    <row r="1618" spans="15:16" x14ac:dyDescent="0.25">
      <c r="O1618" s="229"/>
      <c r="P1618" s="228"/>
    </row>
    <row r="1619" spans="15:16" x14ac:dyDescent="0.25">
      <c r="O1619" s="229"/>
      <c r="P1619" s="228"/>
    </row>
    <row r="1620" spans="15:16" x14ac:dyDescent="0.25">
      <c r="O1620" s="229"/>
      <c r="P1620" s="228"/>
    </row>
    <row r="1621" spans="15:16" x14ac:dyDescent="0.25">
      <c r="O1621" s="229"/>
      <c r="P1621" s="228"/>
    </row>
    <row r="1622" spans="15:16" x14ac:dyDescent="0.25">
      <c r="O1622" s="229"/>
      <c r="P1622" s="228"/>
    </row>
    <row r="1623" spans="15:16" x14ac:dyDescent="0.25">
      <c r="O1623" s="229"/>
      <c r="P1623" s="228"/>
    </row>
    <row r="1624" spans="15:16" x14ac:dyDescent="0.25">
      <c r="O1624" s="229"/>
      <c r="P1624" s="228"/>
    </row>
    <row r="1625" spans="15:16" x14ac:dyDescent="0.25">
      <c r="O1625" s="229"/>
      <c r="P1625" s="228"/>
    </row>
    <row r="1626" spans="15:16" x14ac:dyDescent="0.25">
      <c r="O1626" s="229"/>
      <c r="P1626" s="228"/>
    </row>
    <row r="1627" spans="15:16" x14ac:dyDescent="0.25">
      <c r="O1627" s="229"/>
      <c r="P1627" s="228"/>
    </row>
    <row r="1628" spans="15:16" x14ac:dyDescent="0.25">
      <c r="O1628" s="229"/>
      <c r="P1628" s="228"/>
    </row>
    <row r="1629" spans="15:16" x14ac:dyDescent="0.25">
      <c r="O1629" s="229"/>
      <c r="P1629" s="228"/>
    </row>
    <row r="1630" spans="15:16" x14ac:dyDescent="0.25">
      <c r="O1630" s="229"/>
      <c r="P1630" s="228"/>
    </row>
    <row r="1631" spans="15:16" x14ac:dyDescent="0.25">
      <c r="O1631" s="229"/>
      <c r="P1631" s="228"/>
    </row>
    <row r="1632" spans="15:16" x14ac:dyDescent="0.25">
      <c r="O1632" s="229"/>
      <c r="P1632" s="228"/>
    </row>
    <row r="1633" spans="15:16" x14ac:dyDescent="0.25">
      <c r="O1633" s="229"/>
      <c r="P1633" s="228"/>
    </row>
    <row r="1634" spans="15:16" x14ac:dyDescent="0.25">
      <c r="O1634" s="229"/>
      <c r="P1634" s="228"/>
    </row>
    <row r="1635" spans="15:16" x14ac:dyDescent="0.25">
      <c r="O1635" s="229"/>
      <c r="P1635" s="228"/>
    </row>
    <row r="1636" spans="15:16" x14ac:dyDescent="0.25">
      <c r="O1636" s="229"/>
      <c r="P1636" s="228"/>
    </row>
    <row r="1637" spans="15:16" x14ac:dyDescent="0.25">
      <c r="O1637" s="229"/>
      <c r="P1637" s="228"/>
    </row>
    <row r="1638" spans="15:16" x14ac:dyDescent="0.25">
      <c r="O1638" s="229"/>
      <c r="P1638" s="228"/>
    </row>
    <row r="1639" spans="15:16" x14ac:dyDescent="0.25">
      <c r="O1639" s="229"/>
      <c r="P1639" s="228"/>
    </row>
    <row r="1640" spans="15:16" x14ac:dyDescent="0.25">
      <c r="O1640" s="229"/>
      <c r="P1640" s="228"/>
    </row>
    <row r="1641" spans="15:16" x14ac:dyDescent="0.25">
      <c r="O1641" s="229"/>
      <c r="P1641" s="228"/>
    </row>
    <row r="1642" spans="15:16" x14ac:dyDescent="0.25">
      <c r="O1642" s="229"/>
      <c r="P1642" s="228"/>
    </row>
    <row r="1643" spans="15:16" x14ac:dyDescent="0.25">
      <c r="O1643" s="229"/>
      <c r="P1643" s="228"/>
    </row>
    <row r="1644" spans="15:16" x14ac:dyDescent="0.25">
      <c r="O1644" s="229"/>
      <c r="P1644" s="228"/>
    </row>
    <row r="1645" spans="15:16" x14ac:dyDescent="0.25">
      <c r="O1645" s="229"/>
      <c r="P1645" s="228"/>
    </row>
    <row r="1646" spans="15:16" x14ac:dyDescent="0.25">
      <c r="O1646" s="229"/>
      <c r="P1646" s="228"/>
    </row>
    <row r="1647" spans="15:16" x14ac:dyDescent="0.25">
      <c r="O1647" s="229"/>
      <c r="P1647" s="228"/>
    </row>
    <row r="1648" spans="15:16" x14ac:dyDescent="0.25">
      <c r="O1648" s="229"/>
      <c r="P1648" s="228"/>
    </row>
    <row r="1649" spans="15:16" x14ac:dyDescent="0.25">
      <c r="O1649" s="229"/>
      <c r="P1649" s="228"/>
    </row>
    <row r="1650" spans="15:16" x14ac:dyDescent="0.25">
      <c r="O1650" s="229"/>
      <c r="P1650" s="228"/>
    </row>
    <row r="1651" spans="15:16" x14ac:dyDescent="0.25">
      <c r="O1651" s="229"/>
      <c r="P1651" s="228"/>
    </row>
    <row r="1652" spans="15:16" x14ac:dyDescent="0.25">
      <c r="O1652" s="229"/>
      <c r="P1652" s="228"/>
    </row>
    <row r="1653" spans="15:16" x14ac:dyDescent="0.25">
      <c r="O1653" s="229"/>
      <c r="P1653" s="228"/>
    </row>
    <row r="1654" spans="15:16" x14ac:dyDescent="0.25">
      <c r="O1654" s="229"/>
      <c r="P1654" s="228"/>
    </row>
    <row r="1655" spans="15:16" x14ac:dyDescent="0.25">
      <c r="O1655" s="229"/>
      <c r="P1655" s="228"/>
    </row>
    <row r="1656" spans="15:16" x14ac:dyDescent="0.25">
      <c r="O1656" s="229"/>
      <c r="P1656" s="228"/>
    </row>
    <row r="1657" spans="15:16" x14ac:dyDescent="0.25">
      <c r="O1657" s="229"/>
      <c r="P1657" s="228"/>
    </row>
    <row r="1658" spans="15:16" x14ac:dyDescent="0.25">
      <c r="O1658" s="229"/>
      <c r="P1658" s="228"/>
    </row>
    <row r="1659" spans="15:16" x14ac:dyDescent="0.25">
      <c r="O1659" s="229"/>
      <c r="P1659" s="228"/>
    </row>
    <row r="1660" spans="15:16" x14ac:dyDescent="0.25">
      <c r="O1660" s="229"/>
      <c r="P1660" s="228"/>
    </row>
    <row r="1661" spans="15:16" x14ac:dyDescent="0.25">
      <c r="O1661" s="229"/>
      <c r="P1661" s="228"/>
    </row>
    <row r="1662" spans="15:16" x14ac:dyDescent="0.25">
      <c r="O1662" s="229"/>
      <c r="P1662" s="228"/>
    </row>
    <row r="1663" spans="15:16" x14ac:dyDescent="0.25">
      <c r="O1663" s="229"/>
      <c r="P1663" s="228"/>
    </row>
    <row r="1664" spans="15:16" x14ac:dyDescent="0.25">
      <c r="O1664" s="229"/>
      <c r="P1664" s="228"/>
    </row>
    <row r="1665" spans="15:16" x14ac:dyDescent="0.25">
      <c r="O1665" s="229"/>
      <c r="P1665" s="228"/>
    </row>
    <row r="1666" spans="15:16" x14ac:dyDescent="0.25">
      <c r="O1666" s="229"/>
      <c r="P1666" s="228"/>
    </row>
    <row r="1667" spans="15:16" x14ac:dyDescent="0.25">
      <c r="O1667" s="229"/>
      <c r="P1667" s="228"/>
    </row>
    <row r="1668" spans="15:16" x14ac:dyDescent="0.25">
      <c r="O1668" s="229"/>
      <c r="P1668" s="228"/>
    </row>
    <row r="1669" spans="15:16" x14ac:dyDescent="0.25">
      <c r="O1669" s="229"/>
      <c r="P1669" s="228"/>
    </row>
    <row r="1670" spans="15:16" x14ac:dyDescent="0.25">
      <c r="O1670" s="229"/>
      <c r="P1670" s="228"/>
    </row>
    <row r="1671" spans="15:16" x14ac:dyDescent="0.25">
      <c r="O1671" s="229"/>
      <c r="P1671" s="228"/>
    </row>
    <row r="1672" spans="15:16" x14ac:dyDescent="0.25">
      <c r="O1672" s="229"/>
      <c r="P1672" s="228"/>
    </row>
    <row r="1673" spans="15:16" x14ac:dyDescent="0.25">
      <c r="O1673" s="229"/>
      <c r="P1673" s="228"/>
    </row>
    <row r="1674" spans="15:16" x14ac:dyDescent="0.25">
      <c r="O1674" s="229"/>
      <c r="P1674" s="228"/>
    </row>
    <row r="1675" spans="15:16" x14ac:dyDescent="0.25">
      <c r="O1675" s="229"/>
      <c r="P1675" s="228"/>
    </row>
    <row r="1676" spans="15:16" x14ac:dyDescent="0.25">
      <c r="O1676" s="229"/>
      <c r="P1676" s="228"/>
    </row>
    <row r="1677" spans="15:16" x14ac:dyDescent="0.25">
      <c r="O1677" s="229"/>
      <c r="P1677" s="228"/>
    </row>
    <row r="1678" spans="15:16" x14ac:dyDescent="0.25">
      <c r="O1678" s="229"/>
      <c r="P1678" s="228"/>
    </row>
    <row r="1679" spans="15:16" x14ac:dyDescent="0.25">
      <c r="O1679" s="229"/>
      <c r="P1679" s="228"/>
    </row>
    <row r="1680" spans="15:16" x14ac:dyDescent="0.25">
      <c r="O1680" s="229"/>
      <c r="P1680" s="228"/>
    </row>
    <row r="1681" spans="15:16" x14ac:dyDescent="0.25">
      <c r="O1681" s="229"/>
      <c r="P1681" s="228"/>
    </row>
    <row r="1682" spans="15:16" x14ac:dyDescent="0.25">
      <c r="O1682" s="229"/>
      <c r="P1682" s="228"/>
    </row>
    <row r="1683" spans="15:16" x14ac:dyDescent="0.25">
      <c r="O1683" s="229"/>
      <c r="P1683" s="228"/>
    </row>
    <row r="1684" spans="15:16" x14ac:dyDescent="0.25">
      <c r="O1684" s="229"/>
      <c r="P1684" s="228"/>
    </row>
    <row r="1685" spans="15:16" x14ac:dyDescent="0.25">
      <c r="O1685" s="229"/>
      <c r="P1685" s="228"/>
    </row>
    <row r="1686" spans="15:16" x14ac:dyDescent="0.25">
      <c r="O1686" s="229"/>
      <c r="P1686" s="228"/>
    </row>
    <row r="1687" spans="15:16" x14ac:dyDescent="0.25">
      <c r="O1687" s="229"/>
      <c r="P1687" s="228"/>
    </row>
    <row r="1688" spans="15:16" x14ac:dyDescent="0.25">
      <c r="O1688" s="229"/>
      <c r="P1688" s="228"/>
    </row>
    <row r="1689" spans="15:16" x14ac:dyDescent="0.25">
      <c r="O1689" s="229"/>
      <c r="P1689" s="228"/>
    </row>
    <row r="1690" spans="15:16" x14ac:dyDescent="0.25">
      <c r="O1690" s="229"/>
      <c r="P1690" s="228"/>
    </row>
    <row r="1691" spans="15:16" x14ac:dyDescent="0.25">
      <c r="O1691" s="229"/>
      <c r="P1691" s="228"/>
    </row>
    <row r="1692" spans="15:16" x14ac:dyDescent="0.25">
      <c r="O1692" s="229"/>
      <c r="P1692" s="228"/>
    </row>
    <row r="1693" spans="15:16" x14ac:dyDescent="0.25">
      <c r="O1693" s="229"/>
      <c r="P1693" s="228"/>
    </row>
    <row r="1694" spans="15:16" x14ac:dyDescent="0.25">
      <c r="O1694" s="229"/>
      <c r="P1694" s="228"/>
    </row>
    <row r="1695" spans="15:16" x14ac:dyDescent="0.25">
      <c r="O1695" s="229"/>
      <c r="P1695" s="228"/>
    </row>
    <row r="1696" spans="15:16" x14ac:dyDescent="0.25">
      <c r="O1696" s="229"/>
      <c r="P1696" s="228"/>
    </row>
    <row r="1697" spans="15:16" x14ac:dyDescent="0.25">
      <c r="O1697" s="229"/>
      <c r="P1697" s="228"/>
    </row>
    <row r="1698" spans="15:16" x14ac:dyDescent="0.25">
      <c r="O1698" s="229"/>
      <c r="P1698" s="228"/>
    </row>
    <row r="1699" spans="15:16" x14ac:dyDescent="0.25">
      <c r="O1699" s="229"/>
      <c r="P1699" s="228"/>
    </row>
    <row r="1700" spans="15:16" x14ac:dyDescent="0.25">
      <c r="O1700" s="229"/>
      <c r="P1700" s="228"/>
    </row>
    <row r="1701" spans="15:16" x14ac:dyDescent="0.25">
      <c r="O1701" s="229"/>
      <c r="P1701" s="228"/>
    </row>
    <row r="1702" spans="15:16" x14ac:dyDescent="0.25">
      <c r="O1702" s="229"/>
      <c r="P1702" s="228"/>
    </row>
    <row r="1703" spans="15:16" x14ac:dyDescent="0.25">
      <c r="O1703" s="229"/>
      <c r="P1703" s="228"/>
    </row>
    <row r="1704" spans="15:16" x14ac:dyDescent="0.25">
      <c r="O1704" s="229"/>
      <c r="P1704" s="228"/>
    </row>
    <row r="1705" spans="15:16" x14ac:dyDescent="0.25">
      <c r="O1705" s="229"/>
      <c r="P1705" s="228"/>
    </row>
    <row r="1706" spans="15:16" x14ac:dyDescent="0.25">
      <c r="O1706" s="229"/>
      <c r="P1706" s="228"/>
    </row>
    <row r="1707" spans="15:16" x14ac:dyDescent="0.25">
      <c r="O1707" s="229"/>
      <c r="P1707" s="228"/>
    </row>
    <row r="1708" spans="15:16" x14ac:dyDescent="0.25">
      <c r="O1708" s="229"/>
      <c r="P1708" s="228"/>
    </row>
    <row r="1709" spans="15:16" x14ac:dyDescent="0.25">
      <c r="O1709" s="229"/>
      <c r="P1709" s="228"/>
    </row>
    <row r="1710" spans="15:16" x14ac:dyDescent="0.25">
      <c r="O1710" s="229"/>
      <c r="P1710" s="228"/>
    </row>
    <row r="1711" spans="15:16" x14ac:dyDescent="0.25">
      <c r="O1711" s="229"/>
      <c r="P1711" s="228"/>
    </row>
    <row r="1712" spans="15:16" x14ac:dyDescent="0.25">
      <c r="O1712" s="229"/>
      <c r="P1712" s="228"/>
    </row>
    <row r="1713" spans="15:16" x14ac:dyDescent="0.25">
      <c r="O1713" s="229"/>
      <c r="P1713" s="228"/>
    </row>
    <row r="1714" spans="15:16" x14ac:dyDescent="0.25">
      <c r="O1714" s="229"/>
      <c r="P1714" s="228"/>
    </row>
    <row r="1715" spans="15:16" x14ac:dyDescent="0.25">
      <c r="O1715" s="229"/>
      <c r="P1715" s="228"/>
    </row>
    <row r="1716" spans="15:16" x14ac:dyDescent="0.25">
      <c r="O1716" s="229"/>
      <c r="P1716" s="228"/>
    </row>
    <row r="1717" spans="15:16" x14ac:dyDescent="0.25">
      <c r="O1717" s="229"/>
      <c r="P1717" s="228"/>
    </row>
    <row r="1718" spans="15:16" x14ac:dyDescent="0.25">
      <c r="O1718" s="229"/>
      <c r="P1718" s="228"/>
    </row>
    <row r="1719" spans="15:16" x14ac:dyDescent="0.25">
      <c r="O1719" s="229"/>
      <c r="P1719" s="228"/>
    </row>
    <row r="1720" spans="15:16" x14ac:dyDescent="0.25">
      <c r="O1720" s="229"/>
      <c r="P1720" s="228"/>
    </row>
    <row r="1721" spans="15:16" x14ac:dyDescent="0.25">
      <c r="O1721" s="229"/>
      <c r="P1721" s="228"/>
    </row>
    <row r="1722" spans="15:16" x14ac:dyDescent="0.25">
      <c r="O1722" s="229"/>
      <c r="P1722" s="228"/>
    </row>
    <row r="1723" spans="15:16" x14ac:dyDescent="0.25">
      <c r="O1723" s="229"/>
      <c r="P1723" s="228"/>
    </row>
    <row r="1724" spans="15:16" x14ac:dyDescent="0.25">
      <c r="O1724" s="229"/>
      <c r="P1724" s="228"/>
    </row>
    <row r="1725" spans="15:16" x14ac:dyDescent="0.25">
      <c r="O1725" s="229"/>
      <c r="P1725" s="228"/>
    </row>
    <row r="1726" spans="15:16" x14ac:dyDescent="0.25">
      <c r="O1726" s="229"/>
      <c r="P1726" s="228"/>
    </row>
    <row r="1727" spans="15:16" x14ac:dyDescent="0.25">
      <c r="O1727" s="229"/>
      <c r="P1727" s="228"/>
    </row>
    <row r="1728" spans="15:16" x14ac:dyDescent="0.25">
      <c r="O1728" s="229"/>
      <c r="P1728" s="228"/>
    </row>
    <row r="1729" spans="15:16" x14ac:dyDescent="0.25">
      <c r="O1729" s="229"/>
      <c r="P1729" s="228"/>
    </row>
    <row r="1730" spans="15:16" x14ac:dyDescent="0.25">
      <c r="O1730" s="229"/>
      <c r="P1730" s="228"/>
    </row>
    <row r="1731" spans="15:16" x14ac:dyDescent="0.25">
      <c r="O1731" s="229"/>
      <c r="P1731" s="228"/>
    </row>
    <row r="1732" spans="15:16" x14ac:dyDescent="0.25">
      <c r="O1732" s="229"/>
      <c r="P1732" s="228"/>
    </row>
    <row r="1733" spans="15:16" x14ac:dyDescent="0.25">
      <c r="O1733" s="229"/>
      <c r="P1733" s="228"/>
    </row>
    <row r="1734" spans="15:16" x14ac:dyDescent="0.25">
      <c r="O1734" s="229"/>
      <c r="P1734" s="228"/>
    </row>
    <row r="1735" spans="15:16" x14ac:dyDescent="0.25">
      <c r="O1735" s="229"/>
      <c r="P1735" s="228"/>
    </row>
    <row r="1736" spans="15:16" x14ac:dyDescent="0.25">
      <c r="O1736" s="229"/>
      <c r="P1736" s="228"/>
    </row>
    <row r="1737" spans="15:16" x14ac:dyDescent="0.25">
      <c r="O1737" s="229"/>
      <c r="P1737" s="228"/>
    </row>
    <row r="1738" spans="15:16" x14ac:dyDescent="0.25">
      <c r="O1738" s="229"/>
      <c r="P1738" s="228"/>
    </row>
    <row r="1739" spans="15:16" x14ac:dyDescent="0.25">
      <c r="O1739" s="229"/>
      <c r="P1739" s="228"/>
    </row>
    <row r="1740" spans="15:16" x14ac:dyDescent="0.25">
      <c r="O1740" s="229"/>
      <c r="P1740" s="228"/>
    </row>
    <row r="1741" spans="15:16" x14ac:dyDescent="0.25">
      <c r="O1741" s="229"/>
      <c r="P1741" s="228"/>
    </row>
    <row r="1742" spans="15:16" x14ac:dyDescent="0.25">
      <c r="O1742" s="229"/>
      <c r="P1742" s="228"/>
    </row>
    <row r="1743" spans="15:16" x14ac:dyDescent="0.25">
      <c r="O1743" s="229"/>
      <c r="P1743" s="228"/>
    </row>
    <row r="1744" spans="15:16" x14ac:dyDescent="0.25">
      <c r="O1744" s="229"/>
      <c r="P1744" s="228"/>
    </row>
    <row r="1745" spans="15:16" x14ac:dyDescent="0.25">
      <c r="O1745" s="229"/>
      <c r="P1745" s="228"/>
    </row>
    <row r="1746" spans="15:16" x14ac:dyDescent="0.25">
      <c r="O1746" s="229"/>
      <c r="P1746" s="228"/>
    </row>
    <row r="1747" spans="15:16" x14ac:dyDescent="0.25">
      <c r="O1747" s="229"/>
      <c r="P1747" s="228"/>
    </row>
    <row r="1748" spans="15:16" x14ac:dyDescent="0.25">
      <c r="O1748" s="229"/>
      <c r="P1748" s="228"/>
    </row>
    <row r="1749" spans="15:16" x14ac:dyDescent="0.25">
      <c r="O1749" s="229"/>
      <c r="P1749" s="228"/>
    </row>
    <row r="1750" spans="15:16" x14ac:dyDescent="0.25">
      <c r="O1750" s="229"/>
      <c r="P1750" s="228"/>
    </row>
    <row r="1751" spans="15:16" x14ac:dyDescent="0.25">
      <c r="O1751" s="229"/>
      <c r="P1751" s="228"/>
    </row>
    <row r="1752" spans="15:16" x14ac:dyDescent="0.25">
      <c r="O1752" s="229"/>
      <c r="P1752" s="228"/>
    </row>
    <row r="1753" spans="15:16" x14ac:dyDescent="0.25">
      <c r="O1753" s="229"/>
      <c r="P1753" s="228"/>
    </row>
    <row r="1754" spans="15:16" x14ac:dyDescent="0.25">
      <c r="O1754" s="229"/>
      <c r="P1754" s="228"/>
    </row>
    <row r="1755" spans="15:16" x14ac:dyDescent="0.25">
      <c r="O1755" s="229"/>
      <c r="P1755" s="228"/>
    </row>
    <row r="1756" spans="15:16" x14ac:dyDescent="0.25">
      <c r="O1756" s="229"/>
      <c r="P1756" s="228"/>
    </row>
    <row r="1757" spans="15:16" x14ac:dyDescent="0.25">
      <c r="O1757" s="229"/>
      <c r="P1757" s="228"/>
    </row>
    <row r="1758" spans="15:16" x14ac:dyDescent="0.25">
      <c r="O1758" s="229"/>
      <c r="P1758" s="228"/>
    </row>
    <row r="1759" spans="15:16" x14ac:dyDescent="0.25">
      <c r="O1759" s="229"/>
      <c r="P1759" s="228"/>
    </row>
    <row r="1760" spans="15:16" x14ac:dyDescent="0.25">
      <c r="O1760" s="229"/>
      <c r="P1760" s="228"/>
    </row>
    <row r="1761" spans="15:16" x14ac:dyDescent="0.25">
      <c r="O1761" s="229"/>
      <c r="P1761" s="228"/>
    </row>
    <row r="1762" spans="15:16" x14ac:dyDescent="0.25">
      <c r="O1762" s="229"/>
      <c r="P1762" s="228"/>
    </row>
    <row r="1763" spans="15:16" x14ac:dyDescent="0.25">
      <c r="O1763" s="229"/>
      <c r="P1763" s="228"/>
    </row>
    <row r="1764" spans="15:16" x14ac:dyDescent="0.25">
      <c r="O1764" s="229"/>
      <c r="P1764" s="228"/>
    </row>
    <row r="1765" spans="15:16" x14ac:dyDescent="0.25">
      <c r="O1765" s="229"/>
      <c r="P1765" s="228"/>
    </row>
    <row r="1766" spans="15:16" x14ac:dyDescent="0.25">
      <c r="O1766" s="229"/>
      <c r="P1766" s="228"/>
    </row>
    <row r="1767" spans="15:16" x14ac:dyDescent="0.25">
      <c r="O1767" s="229"/>
      <c r="P1767" s="228"/>
    </row>
    <row r="1768" spans="15:16" x14ac:dyDescent="0.25">
      <c r="O1768" s="229"/>
      <c r="P1768" s="228"/>
    </row>
    <row r="1769" spans="15:16" x14ac:dyDescent="0.25">
      <c r="O1769" s="229"/>
      <c r="P1769" s="228"/>
    </row>
    <row r="1770" spans="15:16" x14ac:dyDescent="0.25">
      <c r="O1770" s="229"/>
      <c r="P1770" s="228"/>
    </row>
    <row r="1771" spans="15:16" x14ac:dyDescent="0.25">
      <c r="O1771" s="229"/>
      <c r="P1771" s="228"/>
    </row>
    <row r="1772" spans="15:16" x14ac:dyDescent="0.25">
      <c r="O1772" s="229"/>
      <c r="P1772" s="228"/>
    </row>
    <row r="1773" spans="15:16" x14ac:dyDescent="0.25">
      <c r="O1773" s="229"/>
      <c r="P1773" s="228"/>
    </row>
    <row r="1774" spans="15:16" x14ac:dyDescent="0.25">
      <c r="O1774" s="229"/>
      <c r="P1774" s="228"/>
    </row>
    <row r="1775" spans="15:16" x14ac:dyDescent="0.25">
      <c r="O1775" s="229"/>
      <c r="P1775" s="228"/>
    </row>
    <row r="1776" spans="15:16" x14ac:dyDescent="0.25">
      <c r="O1776" s="229"/>
      <c r="P1776" s="228"/>
    </row>
    <row r="1777" spans="15:16" x14ac:dyDescent="0.25">
      <c r="O1777" s="229"/>
      <c r="P1777" s="228"/>
    </row>
    <row r="1778" spans="15:16" x14ac:dyDescent="0.25">
      <c r="O1778" s="229"/>
      <c r="P1778" s="228"/>
    </row>
    <row r="1779" spans="15:16" x14ac:dyDescent="0.25">
      <c r="O1779" s="229"/>
      <c r="P1779" s="228"/>
    </row>
    <row r="1780" spans="15:16" x14ac:dyDescent="0.25">
      <c r="O1780" s="229"/>
      <c r="P1780" s="228"/>
    </row>
    <row r="1781" spans="15:16" x14ac:dyDescent="0.25">
      <c r="O1781" s="229"/>
      <c r="P1781" s="228"/>
    </row>
    <row r="1782" spans="15:16" x14ac:dyDescent="0.25">
      <c r="O1782" s="229"/>
      <c r="P1782" s="228"/>
    </row>
    <row r="1783" spans="15:16" x14ac:dyDescent="0.25">
      <c r="O1783" s="229"/>
      <c r="P1783" s="228"/>
    </row>
    <row r="1784" spans="15:16" x14ac:dyDescent="0.25">
      <c r="O1784" s="229"/>
      <c r="P1784" s="228"/>
    </row>
    <row r="1785" spans="15:16" x14ac:dyDescent="0.25">
      <c r="O1785" s="229"/>
      <c r="P1785" s="228"/>
    </row>
    <row r="1786" spans="15:16" x14ac:dyDescent="0.25">
      <c r="O1786" s="229"/>
      <c r="P1786" s="228"/>
    </row>
    <row r="1787" spans="15:16" x14ac:dyDescent="0.25">
      <c r="O1787" s="229"/>
      <c r="P1787" s="228"/>
    </row>
    <row r="1788" spans="15:16" x14ac:dyDescent="0.25">
      <c r="O1788" s="229"/>
      <c r="P1788" s="228"/>
    </row>
    <row r="1789" spans="15:16" x14ac:dyDescent="0.25">
      <c r="O1789" s="229"/>
      <c r="P1789" s="228"/>
    </row>
    <row r="1790" spans="15:16" x14ac:dyDescent="0.25">
      <c r="O1790" s="229"/>
      <c r="P1790" s="228"/>
    </row>
    <row r="1791" spans="15:16" x14ac:dyDescent="0.25">
      <c r="O1791" s="229"/>
      <c r="P1791" s="228"/>
    </row>
    <row r="1792" spans="15:16" x14ac:dyDescent="0.25">
      <c r="O1792" s="229"/>
      <c r="P1792" s="228"/>
    </row>
    <row r="1793" spans="15:16" x14ac:dyDescent="0.25">
      <c r="O1793" s="229"/>
      <c r="P1793" s="228"/>
    </row>
    <row r="1794" spans="15:16" x14ac:dyDescent="0.25">
      <c r="O1794" s="229"/>
      <c r="P1794" s="228"/>
    </row>
    <row r="1795" spans="15:16" x14ac:dyDescent="0.25">
      <c r="O1795" s="229"/>
      <c r="P1795" s="228"/>
    </row>
    <row r="1796" spans="15:16" x14ac:dyDescent="0.25">
      <c r="O1796" s="229"/>
      <c r="P1796" s="228"/>
    </row>
    <row r="1797" spans="15:16" x14ac:dyDescent="0.25">
      <c r="O1797" s="229"/>
      <c r="P1797" s="228"/>
    </row>
    <row r="1798" spans="15:16" x14ac:dyDescent="0.25">
      <c r="O1798" s="229"/>
      <c r="P1798" s="228"/>
    </row>
    <row r="1799" spans="15:16" x14ac:dyDescent="0.25">
      <c r="O1799" s="229"/>
      <c r="P1799" s="228"/>
    </row>
    <row r="1800" spans="15:16" x14ac:dyDescent="0.25">
      <c r="O1800" s="229"/>
      <c r="P1800" s="228"/>
    </row>
    <row r="1801" spans="15:16" x14ac:dyDescent="0.25">
      <c r="O1801" s="229"/>
      <c r="P1801" s="228"/>
    </row>
    <row r="1802" spans="15:16" x14ac:dyDescent="0.25">
      <c r="O1802" s="229"/>
      <c r="P1802" s="228"/>
    </row>
    <row r="1803" spans="15:16" x14ac:dyDescent="0.25">
      <c r="O1803" s="229"/>
      <c r="P1803" s="228"/>
    </row>
    <row r="1804" spans="15:16" x14ac:dyDescent="0.25">
      <c r="O1804" s="229"/>
      <c r="P1804" s="228"/>
    </row>
    <row r="1805" spans="15:16" x14ac:dyDescent="0.25">
      <c r="O1805" s="229"/>
      <c r="P1805" s="228"/>
    </row>
    <row r="1806" spans="15:16" x14ac:dyDescent="0.25">
      <c r="O1806" s="229"/>
      <c r="P1806" s="228"/>
    </row>
    <row r="1807" spans="15:16" x14ac:dyDescent="0.25">
      <c r="O1807" s="229"/>
      <c r="P1807" s="228"/>
    </row>
    <row r="1808" spans="15:16" x14ac:dyDescent="0.25">
      <c r="O1808" s="229"/>
      <c r="P1808" s="228"/>
    </row>
    <row r="1809" spans="15:16" x14ac:dyDescent="0.25">
      <c r="O1809" s="229"/>
      <c r="P1809" s="228"/>
    </row>
    <row r="1810" spans="15:16" x14ac:dyDescent="0.25">
      <c r="O1810" s="229"/>
      <c r="P1810" s="228"/>
    </row>
    <row r="1811" spans="15:16" x14ac:dyDescent="0.25">
      <c r="O1811" s="229"/>
      <c r="P1811" s="228"/>
    </row>
    <row r="1812" spans="15:16" x14ac:dyDescent="0.25">
      <c r="O1812" s="229"/>
      <c r="P1812" s="228"/>
    </row>
    <row r="1813" spans="15:16" x14ac:dyDescent="0.25">
      <c r="O1813" s="229"/>
      <c r="P1813" s="228"/>
    </row>
    <row r="1814" spans="15:16" x14ac:dyDescent="0.25">
      <c r="O1814" s="229"/>
      <c r="P1814" s="228"/>
    </row>
    <row r="1815" spans="15:16" x14ac:dyDescent="0.25">
      <c r="O1815" s="229"/>
      <c r="P1815" s="228"/>
    </row>
    <row r="1816" spans="15:16" x14ac:dyDescent="0.25">
      <c r="O1816" s="229"/>
      <c r="P1816" s="228"/>
    </row>
    <row r="1817" spans="15:16" x14ac:dyDescent="0.25">
      <c r="O1817" s="229"/>
      <c r="P1817" s="228"/>
    </row>
    <row r="1818" spans="15:16" x14ac:dyDescent="0.25">
      <c r="O1818" s="229"/>
      <c r="P1818" s="228"/>
    </row>
    <row r="1819" spans="15:16" x14ac:dyDescent="0.25">
      <c r="O1819" s="229"/>
      <c r="P1819" s="228"/>
    </row>
    <row r="1820" spans="15:16" x14ac:dyDescent="0.25">
      <c r="O1820" s="229"/>
      <c r="P1820" s="228"/>
    </row>
    <row r="1821" spans="15:16" x14ac:dyDescent="0.25">
      <c r="O1821" s="229"/>
      <c r="P1821" s="228"/>
    </row>
    <row r="1822" spans="15:16" x14ac:dyDescent="0.25">
      <c r="O1822" s="229"/>
      <c r="P1822" s="228"/>
    </row>
    <row r="1823" spans="15:16" x14ac:dyDescent="0.25">
      <c r="O1823" s="229"/>
      <c r="P1823" s="228"/>
    </row>
    <row r="1824" spans="15:16" x14ac:dyDescent="0.25">
      <c r="O1824" s="229"/>
      <c r="P1824" s="228"/>
    </row>
    <row r="1825" spans="15:16" x14ac:dyDescent="0.25">
      <c r="O1825" s="229"/>
      <c r="P1825" s="228"/>
    </row>
    <row r="1826" spans="15:16" x14ac:dyDescent="0.25">
      <c r="O1826" s="229"/>
      <c r="P1826" s="228"/>
    </row>
    <row r="1827" spans="15:16" x14ac:dyDescent="0.25">
      <c r="O1827" s="229"/>
      <c r="P1827" s="228"/>
    </row>
    <row r="1828" spans="15:16" x14ac:dyDescent="0.25">
      <c r="O1828" s="229"/>
      <c r="P1828" s="228"/>
    </row>
    <row r="1829" spans="15:16" x14ac:dyDescent="0.25">
      <c r="O1829" s="229"/>
      <c r="P1829" s="228"/>
    </row>
    <row r="1830" spans="15:16" x14ac:dyDescent="0.25">
      <c r="O1830" s="229"/>
      <c r="P1830" s="228"/>
    </row>
    <row r="1831" spans="15:16" x14ac:dyDescent="0.25">
      <c r="O1831" s="229"/>
      <c r="P1831" s="228"/>
    </row>
    <row r="1832" spans="15:16" x14ac:dyDescent="0.25">
      <c r="O1832" s="229"/>
      <c r="P1832" s="228"/>
    </row>
    <row r="1833" spans="15:16" x14ac:dyDescent="0.25">
      <c r="O1833" s="229"/>
      <c r="P1833" s="228"/>
    </row>
    <row r="1834" spans="15:16" x14ac:dyDescent="0.25">
      <c r="O1834" s="229"/>
      <c r="P1834" s="228"/>
    </row>
    <row r="1835" spans="15:16" x14ac:dyDescent="0.25">
      <c r="O1835" s="229"/>
      <c r="P1835" s="228"/>
    </row>
    <row r="1836" spans="15:16" x14ac:dyDescent="0.25">
      <c r="O1836" s="229"/>
      <c r="P1836" s="228"/>
    </row>
    <row r="1837" spans="15:16" x14ac:dyDescent="0.25">
      <c r="O1837" s="229"/>
      <c r="P1837" s="228"/>
    </row>
    <row r="1838" spans="15:16" x14ac:dyDescent="0.25">
      <c r="O1838" s="229"/>
      <c r="P1838" s="228"/>
    </row>
    <row r="1839" spans="15:16" x14ac:dyDescent="0.25">
      <c r="O1839" s="229"/>
      <c r="P1839" s="228"/>
    </row>
    <row r="1840" spans="15:16" x14ac:dyDescent="0.25">
      <c r="O1840" s="229"/>
      <c r="P1840" s="228"/>
    </row>
    <row r="1841" spans="15:16" x14ac:dyDescent="0.25">
      <c r="O1841" s="229"/>
      <c r="P1841" s="228"/>
    </row>
    <row r="1842" spans="15:16" x14ac:dyDescent="0.25">
      <c r="O1842" s="229"/>
      <c r="P1842" s="228"/>
    </row>
    <row r="1843" spans="15:16" x14ac:dyDescent="0.25">
      <c r="O1843" s="229"/>
      <c r="P1843" s="228"/>
    </row>
    <row r="1844" spans="15:16" x14ac:dyDescent="0.25">
      <c r="O1844" s="229"/>
      <c r="P1844" s="228"/>
    </row>
    <row r="1845" spans="15:16" x14ac:dyDescent="0.25">
      <c r="O1845" s="229"/>
      <c r="P1845" s="228"/>
    </row>
    <row r="1846" spans="15:16" x14ac:dyDescent="0.25">
      <c r="O1846" s="229"/>
      <c r="P1846" s="228"/>
    </row>
    <row r="1847" spans="15:16" x14ac:dyDescent="0.25">
      <c r="O1847" s="229"/>
      <c r="P1847" s="228"/>
    </row>
    <row r="1848" spans="15:16" x14ac:dyDescent="0.25">
      <c r="O1848" s="229"/>
      <c r="P1848" s="228"/>
    </row>
    <row r="1849" spans="15:16" x14ac:dyDescent="0.25">
      <c r="O1849" s="229"/>
      <c r="P1849" s="228"/>
    </row>
    <row r="1850" spans="15:16" x14ac:dyDescent="0.25">
      <c r="O1850" s="229"/>
      <c r="P1850" s="228"/>
    </row>
    <row r="1851" spans="15:16" x14ac:dyDescent="0.25">
      <c r="O1851" s="229"/>
      <c r="P1851" s="228"/>
    </row>
    <row r="1852" spans="15:16" x14ac:dyDescent="0.25">
      <c r="O1852" s="229"/>
      <c r="P1852" s="228"/>
    </row>
    <row r="1853" spans="15:16" x14ac:dyDescent="0.25">
      <c r="O1853" s="229"/>
      <c r="P1853" s="228"/>
    </row>
    <row r="1854" spans="15:16" x14ac:dyDescent="0.25">
      <c r="O1854" s="229"/>
      <c r="P1854" s="228"/>
    </row>
    <row r="1855" spans="15:16" x14ac:dyDescent="0.25">
      <c r="O1855" s="229"/>
      <c r="P1855" s="228"/>
    </row>
    <row r="1856" spans="15:16" x14ac:dyDescent="0.25">
      <c r="O1856" s="229"/>
      <c r="P1856" s="228"/>
    </row>
    <row r="1857" spans="15:16" x14ac:dyDescent="0.25">
      <c r="O1857" s="229"/>
      <c r="P1857" s="228"/>
    </row>
    <row r="1858" spans="15:16" x14ac:dyDescent="0.25">
      <c r="O1858" s="229"/>
      <c r="P1858" s="228"/>
    </row>
    <row r="1859" spans="15:16" x14ac:dyDescent="0.25">
      <c r="O1859" s="229"/>
      <c r="P1859" s="228"/>
    </row>
    <row r="1860" spans="15:16" x14ac:dyDescent="0.25">
      <c r="O1860" s="229"/>
      <c r="P1860" s="228"/>
    </row>
    <row r="1861" spans="15:16" x14ac:dyDescent="0.25">
      <c r="O1861" s="229"/>
      <c r="P1861" s="228"/>
    </row>
    <row r="1862" spans="15:16" x14ac:dyDescent="0.25">
      <c r="O1862" s="229"/>
      <c r="P1862" s="228"/>
    </row>
    <row r="1863" spans="15:16" x14ac:dyDescent="0.25">
      <c r="O1863" s="229"/>
      <c r="P1863" s="228"/>
    </row>
    <row r="1864" spans="15:16" x14ac:dyDescent="0.25">
      <c r="O1864" s="229"/>
      <c r="P1864" s="228"/>
    </row>
    <row r="1865" spans="15:16" x14ac:dyDescent="0.25">
      <c r="O1865" s="229"/>
      <c r="P1865" s="228"/>
    </row>
    <row r="1866" spans="15:16" x14ac:dyDescent="0.25">
      <c r="O1866" s="229"/>
      <c r="P1866" s="228"/>
    </row>
    <row r="1867" spans="15:16" x14ac:dyDescent="0.25">
      <c r="O1867" s="229"/>
      <c r="P1867" s="228"/>
    </row>
    <row r="1868" spans="15:16" x14ac:dyDescent="0.25">
      <c r="O1868" s="229"/>
      <c r="P1868" s="228"/>
    </row>
    <row r="1869" spans="15:16" x14ac:dyDescent="0.25">
      <c r="O1869" s="229"/>
      <c r="P1869" s="228"/>
    </row>
    <row r="1870" spans="15:16" x14ac:dyDescent="0.25">
      <c r="O1870" s="229"/>
      <c r="P1870" s="228"/>
    </row>
    <row r="1871" spans="15:16" x14ac:dyDescent="0.25">
      <c r="O1871" s="229"/>
      <c r="P1871" s="228"/>
    </row>
    <row r="1872" spans="15:16" x14ac:dyDescent="0.25">
      <c r="O1872" s="229"/>
      <c r="P1872" s="228"/>
    </row>
    <row r="1873" spans="15:16" x14ac:dyDescent="0.25">
      <c r="O1873" s="229"/>
      <c r="P1873" s="228"/>
    </row>
    <row r="1874" spans="15:16" x14ac:dyDescent="0.25">
      <c r="O1874" s="229"/>
      <c r="P1874" s="228"/>
    </row>
    <row r="1875" spans="15:16" x14ac:dyDescent="0.25">
      <c r="O1875" s="229"/>
      <c r="P1875" s="228"/>
    </row>
    <row r="1876" spans="15:16" x14ac:dyDescent="0.25">
      <c r="O1876" s="229"/>
      <c r="P1876" s="228"/>
    </row>
    <row r="1877" spans="15:16" x14ac:dyDescent="0.25">
      <c r="O1877" s="229"/>
      <c r="P1877" s="228"/>
    </row>
    <row r="1878" spans="15:16" x14ac:dyDescent="0.25">
      <c r="O1878" s="229"/>
      <c r="P1878" s="228"/>
    </row>
    <row r="1879" spans="15:16" x14ac:dyDescent="0.25">
      <c r="O1879" s="229"/>
      <c r="P1879" s="228"/>
    </row>
    <row r="1880" spans="15:16" x14ac:dyDescent="0.25">
      <c r="O1880" s="229"/>
      <c r="P1880" s="228"/>
    </row>
    <row r="1881" spans="15:16" x14ac:dyDescent="0.25">
      <c r="O1881" s="229"/>
      <c r="P1881" s="228"/>
    </row>
    <row r="1882" spans="15:16" x14ac:dyDescent="0.25">
      <c r="O1882" s="229"/>
      <c r="P1882" s="228"/>
    </row>
    <row r="1883" spans="15:16" x14ac:dyDescent="0.25">
      <c r="O1883" s="229"/>
      <c r="P1883" s="228"/>
    </row>
    <row r="1884" spans="15:16" x14ac:dyDescent="0.25">
      <c r="O1884" s="229"/>
      <c r="P1884" s="228"/>
    </row>
    <row r="1885" spans="15:16" x14ac:dyDescent="0.25">
      <c r="O1885" s="229"/>
      <c r="P1885" s="228"/>
    </row>
    <row r="1886" spans="15:16" x14ac:dyDescent="0.25">
      <c r="O1886" s="229"/>
      <c r="P1886" s="228"/>
    </row>
    <row r="1887" spans="15:16" x14ac:dyDescent="0.25">
      <c r="O1887" s="229"/>
      <c r="P1887" s="228"/>
    </row>
    <row r="1888" spans="15:16" x14ac:dyDescent="0.25">
      <c r="O1888" s="229"/>
      <c r="P1888" s="228"/>
    </row>
    <row r="1889" spans="15:16" x14ac:dyDescent="0.25">
      <c r="O1889" s="229"/>
      <c r="P1889" s="228"/>
    </row>
    <row r="1890" spans="15:16" x14ac:dyDescent="0.25">
      <c r="O1890" s="229"/>
      <c r="P1890" s="228"/>
    </row>
    <row r="1891" spans="15:16" x14ac:dyDescent="0.25">
      <c r="O1891" s="229"/>
      <c r="P1891" s="228"/>
    </row>
    <row r="1892" spans="15:16" x14ac:dyDescent="0.25">
      <c r="O1892" s="229"/>
      <c r="P1892" s="228"/>
    </row>
    <row r="1893" spans="15:16" x14ac:dyDescent="0.25">
      <c r="O1893" s="229"/>
      <c r="P1893" s="228"/>
    </row>
    <row r="1894" spans="15:16" x14ac:dyDescent="0.25">
      <c r="O1894" s="229"/>
      <c r="P1894" s="228"/>
    </row>
    <row r="1895" spans="15:16" x14ac:dyDescent="0.25">
      <c r="O1895" s="229"/>
      <c r="P1895" s="228"/>
    </row>
    <row r="1896" spans="15:16" x14ac:dyDescent="0.25">
      <c r="O1896" s="229"/>
      <c r="P1896" s="228"/>
    </row>
    <row r="1897" spans="15:16" x14ac:dyDescent="0.25">
      <c r="O1897" s="229"/>
      <c r="P1897" s="228"/>
    </row>
    <row r="1898" spans="15:16" x14ac:dyDescent="0.25">
      <c r="O1898" s="229"/>
      <c r="P1898" s="228"/>
    </row>
    <row r="1899" spans="15:16" x14ac:dyDescent="0.25">
      <c r="O1899" s="229"/>
      <c r="P1899" s="228"/>
    </row>
    <row r="1900" spans="15:16" x14ac:dyDescent="0.25">
      <c r="O1900" s="229"/>
      <c r="P1900" s="228"/>
    </row>
    <row r="1901" spans="15:16" x14ac:dyDescent="0.25">
      <c r="O1901" s="229"/>
      <c r="P1901" s="228"/>
    </row>
    <row r="1902" spans="15:16" x14ac:dyDescent="0.25">
      <c r="O1902" s="229"/>
      <c r="P1902" s="228"/>
    </row>
    <row r="1903" spans="15:16" x14ac:dyDescent="0.25">
      <c r="O1903" s="229"/>
      <c r="P1903" s="228"/>
    </row>
    <row r="1904" spans="15:16" x14ac:dyDescent="0.25">
      <c r="O1904" s="229"/>
      <c r="P1904" s="228"/>
    </row>
    <row r="1905" spans="15:16" x14ac:dyDescent="0.25">
      <c r="O1905" s="229"/>
      <c r="P1905" s="228"/>
    </row>
    <row r="1906" spans="15:16" x14ac:dyDescent="0.25">
      <c r="O1906" s="229"/>
      <c r="P1906" s="228"/>
    </row>
    <row r="1907" spans="15:16" x14ac:dyDescent="0.25">
      <c r="O1907" s="229"/>
      <c r="P1907" s="228"/>
    </row>
    <row r="1908" spans="15:16" x14ac:dyDescent="0.25">
      <c r="O1908" s="229"/>
      <c r="P1908" s="228"/>
    </row>
    <row r="1909" spans="15:16" x14ac:dyDescent="0.25">
      <c r="O1909" s="229"/>
      <c r="P1909" s="228"/>
    </row>
    <row r="1910" spans="15:16" x14ac:dyDescent="0.25">
      <c r="O1910" s="229"/>
      <c r="P1910" s="228"/>
    </row>
    <row r="1911" spans="15:16" x14ac:dyDescent="0.25">
      <c r="O1911" s="229"/>
      <c r="P1911" s="228"/>
    </row>
    <row r="1912" spans="15:16" x14ac:dyDescent="0.25">
      <c r="O1912" s="229"/>
      <c r="P1912" s="228"/>
    </row>
    <row r="1913" spans="15:16" x14ac:dyDescent="0.25">
      <c r="O1913" s="229"/>
      <c r="P1913" s="228"/>
    </row>
    <row r="1914" spans="15:16" x14ac:dyDescent="0.25">
      <c r="O1914" s="229"/>
      <c r="P1914" s="228"/>
    </row>
    <row r="1915" spans="15:16" x14ac:dyDescent="0.25">
      <c r="O1915" s="229"/>
      <c r="P1915" s="228"/>
    </row>
    <row r="1916" spans="15:16" x14ac:dyDescent="0.25">
      <c r="O1916" s="229"/>
      <c r="P1916" s="228"/>
    </row>
    <row r="1917" spans="15:16" x14ac:dyDescent="0.25">
      <c r="O1917" s="229"/>
      <c r="P1917" s="228"/>
    </row>
    <row r="1918" spans="15:16" x14ac:dyDescent="0.25">
      <c r="O1918" s="229"/>
      <c r="P1918" s="228"/>
    </row>
    <row r="1919" spans="15:16" x14ac:dyDescent="0.25">
      <c r="O1919" s="229"/>
      <c r="P1919" s="228"/>
    </row>
    <row r="1920" spans="15:16" x14ac:dyDescent="0.25">
      <c r="O1920" s="229"/>
      <c r="P1920" s="228"/>
    </row>
    <row r="1921" spans="15:16" x14ac:dyDescent="0.25">
      <c r="O1921" s="229"/>
      <c r="P1921" s="228"/>
    </row>
    <row r="1922" spans="15:16" x14ac:dyDescent="0.25">
      <c r="O1922" s="229"/>
      <c r="P1922" s="228"/>
    </row>
    <row r="1923" spans="15:16" x14ac:dyDescent="0.25">
      <c r="O1923" s="229"/>
      <c r="P1923" s="228"/>
    </row>
    <row r="1924" spans="15:16" x14ac:dyDescent="0.25">
      <c r="O1924" s="229"/>
      <c r="P1924" s="228"/>
    </row>
    <row r="1925" spans="15:16" x14ac:dyDescent="0.25">
      <c r="O1925" s="229"/>
      <c r="P1925" s="228"/>
    </row>
    <row r="1926" spans="15:16" x14ac:dyDescent="0.25">
      <c r="O1926" s="229"/>
      <c r="P1926" s="228"/>
    </row>
    <row r="1927" spans="15:16" x14ac:dyDescent="0.25">
      <c r="O1927" s="229"/>
      <c r="P1927" s="228"/>
    </row>
    <row r="1928" spans="15:16" x14ac:dyDescent="0.25">
      <c r="O1928" s="229"/>
      <c r="P1928" s="228"/>
    </row>
    <row r="1929" spans="15:16" x14ac:dyDescent="0.25">
      <c r="O1929" s="229"/>
      <c r="P1929" s="228"/>
    </row>
    <row r="1930" spans="15:16" x14ac:dyDescent="0.25">
      <c r="O1930" s="229"/>
      <c r="P1930" s="228"/>
    </row>
    <row r="1931" spans="15:16" x14ac:dyDescent="0.25">
      <c r="O1931" s="229"/>
      <c r="P1931" s="228"/>
    </row>
    <row r="1932" spans="15:16" x14ac:dyDescent="0.25">
      <c r="O1932" s="229"/>
      <c r="P1932" s="228"/>
    </row>
    <row r="1933" spans="15:16" x14ac:dyDescent="0.25">
      <c r="O1933" s="229"/>
      <c r="P1933" s="228"/>
    </row>
    <row r="1934" spans="15:16" x14ac:dyDescent="0.25">
      <c r="O1934" s="229"/>
      <c r="P1934" s="228"/>
    </row>
    <row r="1935" spans="15:16" x14ac:dyDescent="0.25">
      <c r="O1935" s="229"/>
      <c r="P1935" s="228"/>
    </row>
    <row r="1936" spans="15:16" x14ac:dyDescent="0.25">
      <c r="O1936" s="229"/>
      <c r="P1936" s="228"/>
    </row>
    <row r="1937" spans="15:16" x14ac:dyDescent="0.25">
      <c r="O1937" s="229"/>
      <c r="P1937" s="228"/>
    </row>
    <row r="1938" spans="15:16" x14ac:dyDescent="0.25">
      <c r="O1938" s="229"/>
      <c r="P1938" s="228"/>
    </row>
    <row r="1939" spans="15:16" x14ac:dyDescent="0.25">
      <c r="O1939" s="229"/>
      <c r="P1939" s="228"/>
    </row>
    <row r="1940" spans="15:16" x14ac:dyDescent="0.25">
      <c r="O1940" s="229"/>
      <c r="P1940" s="228"/>
    </row>
    <row r="1941" spans="15:16" x14ac:dyDescent="0.25">
      <c r="O1941" s="229"/>
      <c r="P1941" s="228"/>
    </row>
    <row r="1942" spans="15:16" x14ac:dyDescent="0.25">
      <c r="O1942" s="229"/>
      <c r="P1942" s="228"/>
    </row>
    <row r="1943" spans="15:16" x14ac:dyDescent="0.25">
      <c r="O1943" s="229"/>
      <c r="P1943" s="228"/>
    </row>
    <row r="1944" spans="15:16" x14ac:dyDescent="0.25">
      <c r="O1944" s="229"/>
      <c r="P1944" s="228"/>
    </row>
    <row r="1945" spans="15:16" x14ac:dyDescent="0.25">
      <c r="O1945" s="229"/>
      <c r="P1945" s="228"/>
    </row>
    <row r="1946" spans="15:16" x14ac:dyDescent="0.25">
      <c r="O1946" s="229"/>
      <c r="P1946" s="228"/>
    </row>
    <row r="1947" spans="15:16" x14ac:dyDescent="0.25">
      <c r="O1947" s="229"/>
      <c r="P1947" s="228"/>
    </row>
    <row r="1948" spans="15:16" x14ac:dyDescent="0.25">
      <c r="O1948" s="229"/>
      <c r="P1948" s="228"/>
    </row>
    <row r="1949" spans="15:16" x14ac:dyDescent="0.25">
      <c r="O1949" s="229"/>
      <c r="P1949" s="228"/>
    </row>
    <row r="1950" spans="15:16" x14ac:dyDescent="0.25">
      <c r="O1950" s="229"/>
      <c r="P1950" s="228"/>
    </row>
    <row r="1951" spans="15:16" x14ac:dyDescent="0.25">
      <c r="O1951" s="229"/>
      <c r="P1951" s="228"/>
    </row>
    <row r="1952" spans="15:16" x14ac:dyDescent="0.25">
      <c r="O1952" s="229"/>
      <c r="P1952" s="228"/>
    </row>
    <row r="1953" spans="15:16" x14ac:dyDescent="0.25">
      <c r="O1953" s="229"/>
      <c r="P1953" s="228"/>
    </row>
    <row r="1954" spans="15:16" x14ac:dyDescent="0.25">
      <c r="O1954" s="229"/>
      <c r="P1954" s="228"/>
    </row>
    <row r="1955" spans="15:16" x14ac:dyDescent="0.25">
      <c r="O1955" s="229"/>
      <c r="P1955" s="228"/>
    </row>
    <row r="1956" spans="15:16" x14ac:dyDescent="0.25">
      <c r="O1956" s="229"/>
      <c r="P1956" s="228"/>
    </row>
    <row r="1957" spans="15:16" x14ac:dyDescent="0.25">
      <c r="O1957" s="229"/>
      <c r="P1957" s="228"/>
    </row>
    <row r="1958" spans="15:16" x14ac:dyDescent="0.25">
      <c r="O1958" s="229"/>
      <c r="P1958" s="228"/>
    </row>
    <row r="1959" spans="15:16" x14ac:dyDescent="0.25">
      <c r="O1959" s="229"/>
      <c r="P1959" s="228"/>
    </row>
    <row r="1960" spans="15:16" x14ac:dyDescent="0.25">
      <c r="O1960" s="229"/>
      <c r="P1960" s="228"/>
    </row>
    <row r="1961" spans="15:16" x14ac:dyDescent="0.25">
      <c r="O1961" s="229"/>
      <c r="P1961" s="228"/>
    </row>
    <row r="1962" spans="15:16" x14ac:dyDescent="0.25">
      <c r="O1962" s="229"/>
      <c r="P1962" s="228"/>
    </row>
    <row r="1963" spans="15:16" x14ac:dyDescent="0.25">
      <c r="O1963" s="229"/>
      <c r="P1963" s="228"/>
    </row>
    <row r="1964" spans="15:16" x14ac:dyDescent="0.25">
      <c r="O1964" s="229"/>
      <c r="P1964" s="228"/>
    </row>
    <row r="1965" spans="15:16" x14ac:dyDescent="0.25">
      <c r="O1965" s="229"/>
      <c r="P1965" s="228"/>
    </row>
    <row r="1966" spans="15:16" x14ac:dyDescent="0.25">
      <c r="O1966" s="229"/>
      <c r="P1966" s="228"/>
    </row>
    <row r="1967" spans="15:16" x14ac:dyDescent="0.25">
      <c r="O1967" s="229"/>
      <c r="P1967" s="228"/>
    </row>
    <row r="1968" spans="15:16" x14ac:dyDescent="0.25">
      <c r="O1968" s="229"/>
      <c r="P1968" s="228"/>
    </row>
    <row r="1969" spans="15:16" x14ac:dyDescent="0.25">
      <c r="O1969" s="229"/>
      <c r="P1969" s="228"/>
    </row>
    <row r="1970" spans="15:16" x14ac:dyDescent="0.25">
      <c r="O1970" s="229"/>
      <c r="P1970" s="228"/>
    </row>
    <row r="1971" spans="15:16" x14ac:dyDescent="0.25">
      <c r="O1971" s="229"/>
      <c r="P1971" s="228"/>
    </row>
    <row r="1972" spans="15:16" x14ac:dyDescent="0.25">
      <c r="O1972" s="229"/>
      <c r="P1972" s="228"/>
    </row>
    <row r="1973" spans="15:16" x14ac:dyDescent="0.25">
      <c r="O1973" s="229"/>
      <c r="P1973" s="228"/>
    </row>
    <row r="1974" spans="15:16" x14ac:dyDescent="0.25">
      <c r="O1974" s="229"/>
      <c r="P1974" s="228"/>
    </row>
    <row r="1975" spans="15:16" x14ac:dyDescent="0.25">
      <c r="O1975" s="229"/>
      <c r="P1975" s="228"/>
    </row>
    <row r="1976" spans="15:16" x14ac:dyDescent="0.25">
      <c r="O1976" s="229"/>
      <c r="P1976" s="228"/>
    </row>
    <row r="1977" spans="15:16" x14ac:dyDescent="0.25">
      <c r="O1977" s="229"/>
      <c r="P1977" s="228"/>
    </row>
    <row r="1978" spans="15:16" x14ac:dyDescent="0.25">
      <c r="O1978" s="229"/>
      <c r="P1978" s="228"/>
    </row>
    <row r="1979" spans="15:16" x14ac:dyDescent="0.25">
      <c r="O1979" s="229"/>
      <c r="P1979" s="228"/>
    </row>
    <row r="1980" spans="15:16" x14ac:dyDescent="0.25">
      <c r="O1980" s="229"/>
      <c r="P1980" s="228"/>
    </row>
    <row r="1981" spans="15:16" x14ac:dyDescent="0.25">
      <c r="O1981" s="229"/>
      <c r="P1981" s="228"/>
    </row>
    <row r="1982" spans="15:16" x14ac:dyDescent="0.25">
      <c r="O1982" s="229"/>
      <c r="P1982" s="228"/>
    </row>
    <row r="1983" spans="15:16" x14ac:dyDescent="0.25">
      <c r="O1983" s="229"/>
      <c r="P1983" s="228"/>
    </row>
    <row r="1984" spans="15:16" x14ac:dyDescent="0.25">
      <c r="O1984" s="229"/>
      <c r="P1984" s="228"/>
    </row>
    <row r="1985" spans="15:16" x14ac:dyDescent="0.25">
      <c r="O1985" s="229"/>
      <c r="P1985" s="228"/>
    </row>
    <row r="1986" spans="15:16" x14ac:dyDescent="0.25">
      <c r="O1986" s="229"/>
      <c r="P1986" s="228"/>
    </row>
    <row r="1987" spans="15:16" x14ac:dyDescent="0.25">
      <c r="O1987" s="229"/>
      <c r="P1987" s="228"/>
    </row>
    <row r="1988" spans="15:16" x14ac:dyDescent="0.25">
      <c r="O1988" s="229"/>
      <c r="P1988" s="228"/>
    </row>
    <row r="1989" spans="15:16" x14ac:dyDescent="0.25">
      <c r="O1989" s="229"/>
      <c r="P1989" s="228"/>
    </row>
    <row r="1990" spans="15:16" x14ac:dyDescent="0.25">
      <c r="O1990" s="229"/>
      <c r="P1990" s="228"/>
    </row>
    <row r="1991" spans="15:16" x14ac:dyDescent="0.25">
      <c r="O1991" s="229"/>
      <c r="P1991" s="228"/>
    </row>
    <row r="1992" spans="15:16" x14ac:dyDescent="0.25">
      <c r="O1992" s="229"/>
      <c r="P1992" s="228"/>
    </row>
    <row r="1993" spans="15:16" x14ac:dyDescent="0.25">
      <c r="O1993" s="229"/>
      <c r="P1993" s="228"/>
    </row>
    <row r="1994" spans="15:16" x14ac:dyDescent="0.25">
      <c r="O1994" s="229"/>
      <c r="P1994" s="228"/>
    </row>
    <row r="1995" spans="15:16" x14ac:dyDescent="0.25">
      <c r="O1995" s="229"/>
      <c r="P1995" s="228"/>
    </row>
    <row r="1996" spans="15:16" x14ac:dyDescent="0.25">
      <c r="O1996" s="229"/>
      <c r="P1996" s="228"/>
    </row>
    <row r="1997" spans="15:16" x14ac:dyDescent="0.25">
      <c r="O1997" s="229"/>
      <c r="P1997" s="228"/>
    </row>
    <row r="1998" spans="15:16" x14ac:dyDescent="0.25">
      <c r="O1998" s="229"/>
      <c r="P1998" s="228"/>
    </row>
    <row r="1999" spans="15:16" x14ac:dyDescent="0.25">
      <c r="O1999" s="229"/>
      <c r="P1999" s="228"/>
    </row>
    <row r="2000" spans="15:16" x14ac:dyDescent="0.25">
      <c r="O2000" s="229"/>
      <c r="P2000" s="228"/>
    </row>
    <row r="2001" spans="15:16" x14ac:dyDescent="0.25">
      <c r="O2001" s="229"/>
      <c r="P2001" s="228"/>
    </row>
    <row r="2002" spans="15:16" x14ac:dyDescent="0.25">
      <c r="O2002" s="229"/>
      <c r="P2002" s="228"/>
    </row>
    <row r="2003" spans="15:16" x14ac:dyDescent="0.25">
      <c r="O2003" s="229"/>
      <c r="P2003" s="228"/>
    </row>
    <row r="2004" spans="15:16" x14ac:dyDescent="0.25">
      <c r="O2004" s="229"/>
      <c r="P2004" s="228"/>
    </row>
    <row r="2005" spans="15:16" x14ac:dyDescent="0.25">
      <c r="O2005" s="229"/>
      <c r="P2005" s="228"/>
    </row>
    <row r="2006" spans="15:16" x14ac:dyDescent="0.25">
      <c r="O2006" s="229"/>
      <c r="P2006" s="228"/>
    </row>
    <row r="2007" spans="15:16" x14ac:dyDescent="0.25">
      <c r="O2007" s="229"/>
      <c r="P2007" s="228"/>
    </row>
    <row r="2008" spans="15:16" x14ac:dyDescent="0.25">
      <c r="O2008" s="229"/>
      <c r="P2008" s="228"/>
    </row>
    <row r="2009" spans="15:16" x14ac:dyDescent="0.25">
      <c r="O2009" s="229"/>
      <c r="P2009" s="228"/>
    </row>
    <row r="2010" spans="15:16" x14ac:dyDescent="0.25">
      <c r="O2010" s="229"/>
      <c r="P2010" s="228"/>
    </row>
    <row r="2011" spans="15:16" x14ac:dyDescent="0.25">
      <c r="O2011" s="229"/>
      <c r="P2011" s="228"/>
    </row>
    <row r="2012" spans="15:16" x14ac:dyDescent="0.25">
      <c r="O2012" s="229"/>
      <c r="P2012" s="228"/>
    </row>
    <row r="2013" spans="15:16" x14ac:dyDescent="0.25">
      <c r="O2013" s="229"/>
      <c r="P2013" s="228"/>
    </row>
    <row r="2014" spans="15:16" x14ac:dyDescent="0.25">
      <c r="O2014" s="229"/>
      <c r="P2014" s="228"/>
    </row>
    <row r="2015" spans="15:16" x14ac:dyDescent="0.25">
      <c r="O2015" s="229"/>
      <c r="P2015" s="228"/>
    </row>
    <row r="2016" spans="15:16" x14ac:dyDescent="0.25">
      <c r="O2016" s="229"/>
      <c r="P2016" s="228"/>
    </row>
    <row r="2017" spans="15:16" x14ac:dyDescent="0.25">
      <c r="O2017" s="229"/>
      <c r="P2017" s="228"/>
    </row>
    <row r="2018" spans="15:16" x14ac:dyDescent="0.25">
      <c r="O2018" s="229"/>
      <c r="P2018" s="228"/>
    </row>
    <row r="2019" spans="15:16" x14ac:dyDescent="0.25">
      <c r="O2019" s="229"/>
      <c r="P2019" s="228"/>
    </row>
    <row r="2020" spans="15:16" x14ac:dyDescent="0.25">
      <c r="O2020" s="229"/>
      <c r="P2020" s="228"/>
    </row>
    <row r="2021" spans="15:16" x14ac:dyDescent="0.25">
      <c r="O2021" s="229"/>
      <c r="P2021" s="228"/>
    </row>
    <row r="2022" spans="15:16" x14ac:dyDescent="0.25">
      <c r="O2022" s="229"/>
      <c r="P2022" s="228"/>
    </row>
    <row r="2023" spans="15:16" x14ac:dyDescent="0.25">
      <c r="O2023" s="229"/>
      <c r="P2023" s="228"/>
    </row>
    <row r="2024" spans="15:16" x14ac:dyDescent="0.25">
      <c r="O2024" s="229"/>
      <c r="P2024" s="228"/>
    </row>
    <row r="2025" spans="15:16" x14ac:dyDescent="0.25">
      <c r="O2025" s="229"/>
      <c r="P2025" s="228"/>
    </row>
    <row r="2026" spans="15:16" x14ac:dyDescent="0.25">
      <c r="O2026" s="229"/>
      <c r="P2026" s="228"/>
    </row>
    <row r="2027" spans="15:16" x14ac:dyDescent="0.25">
      <c r="O2027" s="229"/>
      <c r="P2027" s="228"/>
    </row>
    <row r="2028" spans="15:16" x14ac:dyDescent="0.25">
      <c r="O2028" s="229"/>
      <c r="P2028" s="228"/>
    </row>
    <row r="2029" spans="15:16" x14ac:dyDescent="0.25">
      <c r="O2029" s="229"/>
      <c r="P2029" s="228"/>
    </row>
    <row r="2030" spans="15:16" x14ac:dyDescent="0.25">
      <c r="O2030" s="229"/>
      <c r="P2030" s="228"/>
    </row>
    <row r="2031" spans="15:16" x14ac:dyDescent="0.25">
      <c r="O2031" s="229"/>
      <c r="P2031" s="228"/>
    </row>
    <row r="2032" spans="15:16" x14ac:dyDescent="0.25">
      <c r="O2032" s="229"/>
      <c r="P2032" s="228"/>
    </row>
    <row r="2033" spans="15:16" x14ac:dyDescent="0.25">
      <c r="O2033" s="229"/>
      <c r="P2033" s="228"/>
    </row>
    <row r="2034" spans="15:16" x14ac:dyDescent="0.25">
      <c r="O2034" s="229"/>
      <c r="P2034" s="228"/>
    </row>
    <row r="2035" spans="15:16" x14ac:dyDescent="0.25">
      <c r="O2035" s="229"/>
      <c r="P2035" s="228"/>
    </row>
    <row r="2036" spans="15:16" x14ac:dyDescent="0.25">
      <c r="O2036" s="229"/>
      <c r="P2036" s="228"/>
    </row>
    <row r="2037" spans="15:16" x14ac:dyDescent="0.25">
      <c r="O2037" s="229"/>
      <c r="P2037" s="228"/>
    </row>
    <row r="2038" spans="15:16" x14ac:dyDescent="0.25">
      <c r="O2038" s="229"/>
      <c r="P2038" s="228"/>
    </row>
    <row r="2039" spans="15:16" x14ac:dyDescent="0.25">
      <c r="O2039" s="229"/>
      <c r="P2039" s="228"/>
    </row>
    <row r="2040" spans="15:16" x14ac:dyDescent="0.25">
      <c r="O2040" s="229"/>
      <c r="P2040" s="228"/>
    </row>
    <row r="2041" spans="15:16" x14ac:dyDescent="0.25">
      <c r="O2041" s="229"/>
      <c r="P2041" s="228"/>
    </row>
    <row r="2042" spans="15:16" x14ac:dyDescent="0.25">
      <c r="O2042" s="229"/>
      <c r="P2042" s="228"/>
    </row>
    <row r="2043" spans="15:16" x14ac:dyDescent="0.25">
      <c r="O2043" s="229"/>
      <c r="P2043" s="228"/>
    </row>
    <row r="2044" spans="15:16" x14ac:dyDescent="0.25">
      <c r="O2044" s="229"/>
      <c r="P2044" s="228"/>
    </row>
    <row r="2045" spans="15:16" x14ac:dyDescent="0.25">
      <c r="O2045" s="229"/>
      <c r="P2045" s="228"/>
    </row>
    <row r="2046" spans="15:16" x14ac:dyDescent="0.25">
      <c r="O2046" s="229"/>
      <c r="P2046" s="228"/>
    </row>
    <row r="2047" spans="15:16" x14ac:dyDescent="0.25">
      <c r="O2047" s="229"/>
      <c r="P2047" s="228"/>
    </row>
    <row r="2048" spans="15:16" x14ac:dyDescent="0.25">
      <c r="O2048" s="229"/>
      <c r="P2048" s="228"/>
    </row>
    <row r="2049" spans="15:16" x14ac:dyDescent="0.25">
      <c r="O2049" s="229"/>
      <c r="P2049" s="228"/>
    </row>
    <row r="2050" spans="15:16" x14ac:dyDescent="0.25">
      <c r="O2050" s="229"/>
      <c r="P2050" s="228"/>
    </row>
    <row r="2051" spans="15:16" x14ac:dyDescent="0.25">
      <c r="O2051" s="229"/>
      <c r="P2051" s="228"/>
    </row>
    <row r="2052" spans="15:16" x14ac:dyDescent="0.25">
      <c r="O2052" s="229"/>
      <c r="P2052" s="228"/>
    </row>
    <row r="2053" spans="15:16" x14ac:dyDescent="0.25">
      <c r="O2053" s="229"/>
      <c r="P2053" s="228"/>
    </row>
    <row r="2054" spans="15:16" x14ac:dyDescent="0.25">
      <c r="O2054" s="229"/>
      <c r="P2054" s="228"/>
    </row>
    <row r="2055" spans="15:16" x14ac:dyDescent="0.25">
      <c r="O2055" s="229"/>
      <c r="P2055" s="228"/>
    </row>
    <row r="2056" spans="15:16" x14ac:dyDescent="0.25">
      <c r="O2056" s="229"/>
      <c r="P2056" s="228"/>
    </row>
    <row r="2057" spans="15:16" x14ac:dyDescent="0.25">
      <c r="O2057" s="229"/>
      <c r="P2057" s="228"/>
    </row>
    <row r="2058" spans="15:16" x14ac:dyDescent="0.25">
      <c r="O2058" s="229"/>
      <c r="P2058" s="228"/>
    </row>
    <row r="2059" spans="15:16" x14ac:dyDescent="0.25">
      <c r="O2059" s="229"/>
      <c r="P2059" s="228"/>
    </row>
    <row r="2060" spans="15:16" x14ac:dyDescent="0.25">
      <c r="O2060" s="229"/>
      <c r="P2060" s="228"/>
    </row>
    <row r="2061" spans="15:16" x14ac:dyDescent="0.25">
      <c r="O2061" s="229"/>
      <c r="P2061" s="228"/>
    </row>
    <row r="2062" spans="15:16" x14ac:dyDescent="0.25">
      <c r="O2062" s="229"/>
      <c r="P2062" s="228"/>
    </row>
    <row r="2063" spans="15:16" x14ac:dyDescent="0.25">
      <c r="O2063" s="229"/>
      <c r="P2063" s="228"/>
    </row>
    <row r="2064" spans="15:16" x14ac:dyDescent="0.25">
      <c r="O2064" s="229"/>
      <c r="P2064" s="228"/>
    </row>
    <row r="2065" spans="15:16" x14ac:dyDescent="0.25">
      <c r="O2065" s="229"/>
      <c r="P2065" s="228"/>
    </row>
    <row r="2066" spans="15:16" x14ac:dyDescent="0.25">
      <c r="O2066" s="229"/>
      <c r="P2066" s="228"/>
    </row>
    <row r="2067" spans="15:16" x14ac:dyDescent="0.25">
      <c r="O2067" s="229"/>
      <c r="P2067" s="228"/>
    </row>
    <row r="2068" spans="15:16" x14ac:dyDescent="0.25">
      <c r="O2068" s="229"/>
      <c r="P2068" s="228"/>
    </row>
    <row r="2069" spans="15:16" x14ac:dyDescent="0.25">
      <c r="O2069" s="229"/>
      <c r="P2069" s="228"/>
    </row>
    <row r="2070" spans="15:16" x14ac:dyDescent="0.25">
      <c r="O2070" s="229"/>
      <c r="P2070" s="228"/>
    </row>
    <row r="2071" spans="15:16" x14ac:dyDescent="0.25">
      <c r="O2071" s="229"/>
      <c r="P2071" s="228"/>
    </row>
    <row r="2072" spans="15:16" x14ac:dyDescent="0.25">
      <c r="O2072" s="229"/>
      <c r="P2072" s="228"/>
    </row>
    <row r="2073" spans="15:16" x14ac:dyDescent="0.25">
      <c r="O2073" s="229"/>
      <c r="P2073" s="228"/>
    </row>
    <row r="2074" spans="15:16" x14ac:dyDescent="0.25">
      <c r="O2074" s="229"/>
      <c r="P2074" s="228"/>
    </row>
    <row r="2075" spans="15:16" x14ac:dyDescent="0.25">
      <c r="O2075" s="229"/>
      <c r="P2075" s="228"/>
    </row>
    <row r="2076" spans="15:16" x14ac:dyDescent="0.25">
      <c r="O2076" s="229"/>
      <c r="P2076" s="228"/>
    </row>
    <row r="2077" spans="15:16" x14ac:dyDescent="0.25">
      <c r="O2077" s="229"/>
      <c r="P2077" s="228"/>
    </row>
    <row r="2078" spans="15:16" x14ac:dyDescent="0.25">
      <c r="O2078" s="229"/>
      <c r="P2078" s="228"/>
    </row>
    <row r="2079" spans="15:16" x14ac:dyDescent="0.25">
      <c r="O2079" s="229"/>
      <c r="P2079" s="228"/>
    </row>
    <row r="2080" spans="15:16" x14ac:dyDescent="0.25">
      <c r="O2080" s="229"/>
      <c r="P2080" s="228"/>
    </row>
    <row r="2081" spans="15:16" x14ac:dyDescent="0.25">
      <c r="O2081" s="229"/>
      <c r="P2081" s="228"/>
    </row>
    <row r="2082" spans="15:16" x14ac:dyDescent="0.25">
      <c r="O2082" s="229"/>
      <c r="P2082" s="228"/>
    </row>
    <row r="2083" spans="15:16" x14ac:dyDescent="0.25">
      <c r="O2083" s="229"/>
      <c r="P2083" s="228"/>
    </row>
    <row r="2084" spans="15:16" x14ac:dyDescent="0.25">
      <c r="O2084" s="229"/>
      <c r="P2084" s="228"/>
    </row>
    <row r="2085" spans="15:16" x14ac:dyDescent="0.25">
      <c r="O2085" s="229"/>
      <c r="P2085" s="228"/>
    </row>
    <row r="2086" spans="15:16" x14ac:dyDescent="0.25">
      <c r="O2086" s="229"/>
      <c r="P2086" s="228"/>
    </row>
    <row r="2087" spans="15:16" x14ac:dyDescent="0.25">
      <c r="O2087" s="229"/>
      <c r="P2087" s="228"/>
    </row>
    <row r="2088" spans="15:16" x14ac:dyDescent="0.25">
      <c r="O2088" s="229"/>
      <c r="P2088" s="228"/>
    </row>
    <row r="2089" spans="15:16" x14ac:dyDescent="0.25">
      <c r="O2089" s="229"/>
      <c r="P2089" s="228"/>
    </row>
    <row r="2090" spans="15:16" x14ac:dyDescent="0.25">
      <c r="O2090" s="229"/>
      <c r="P2090" s="228"/>
    </row>
    <row r="2091" spans="15:16" x14ac:dyDescent="0.25">
      <c r="O2091" s="229"/>
      <c r="P2091" s="228"/>
    </row>
    <row r="2092" spans="15:16" x14ac:dyDescent="0.25">
      <c r="O2092" s="229"/>
      <c r="P2092" s="228"/>
    </row>
    <row r="2093" spans="15:16" x14ac:dyDescent="0.25">
      <c r="O2093" s="229"/>
      <c r="P2093" s="228"/>
    </row>
    <row r="2094" spans="15:16" x14ac:dyDescent="0.25">
      <c r="O2094" s="229"/>
      <c r="P2094" s="228"/>
    </row>
    <row r="2095" spans="15:16" x14ac:dyDescent="0.25">
      <c r="O2095" s="229"/>
      <c r="P2095" s="228"/>
    </row>
    <row r="2096" spans="15:16" x14ac:dyDescent="0.25">
      <c r="O2096" s="229"/>
      <c r="P2096" s="228"/>
    </row>
    <row r="2097" spans="15:16" x14ac:dyDescent="0.25">
      <c r="O2097" s="229"/>
      <c r="P2097" s="228"/>
    </row>
    <row r="2098" spans="15:16" x14ac:dyDescent="0.25">
      <c r="O2098" s="229"/>
      <c r="P2098" s="228"/>
    </row>
    <row r="2099" spans="15:16" x14ac:dyDescent="0.25">
      <c r="O2099" s="229"/>
      <c r="P2099" s="228"/>
    </row>
    <row r="2100" spans="15:16" x14ac:dyDescent="0.25">
      <c r="O2100" s="229"/>
      <c r="P2100" s="228"/>
    </row>
    <row r="2101" spans="15:16" x14ac:dyDescent="0.25">
      <c r="O2101" s="229"/>
      <c r="P2101" s="228"/>
    </row>
    <row r="2102" spans="15:16" x14ac:dyDescent="0.25">
      <c r="O2102" s="229"/>
      <c r="P2102" s="228"/>
    </row>
    <row r="2103" spans="15:16" x14ac:dyDescent="0.25">
      <c r="O2103" s="229"/>
      <c r="P2103" s="228"/>
    </row>
    <row r="2104" spans="15:16" x14ac:dyDescent="0.25">
      <c r="O2104" s="229"/>
      <c r="P2104" s="228"/>
    </row>
    <row r="2105" spans="15:16" x14ac:dyDescent="0.25">
      <c r="O2105" s="229"/>
      <c r="P2105" s="228"/>
    </row>
    <row r="2106" spans="15:16" x14ac:dyDescent="0.25">
      <c r="O2106" s="229"/>
      <c r="P2106" s="228"/>
    </row>
    <row r="2107" spans="15:16" x14ac:dyDescent="0.25">
      <c r="O2107" s="229"/>
      <c r="P2107" s="228"/>
    </row>
    <row r="2108" spans="15:16" x14ac:dyDescent="0.25">
      <c r="O2108" s="229"/>
      <c r="P2108" s="228"/>
    </row>
    <row r="2109" spans="15:16" x14ac:dyDescent="0.25">
      <c r="O2109" s="229"/>
      <c r="P2109" s="228"/>
    </row>
    <row r="2110" spans="15:16" x14ac:dyDescent="0.25">
      <c r="O2110" s="229"/>
      <c r="P2110" s="228"/>
    </row>
    <row r="2111" spans="15:16" x14ac:dyDescent="0.25">
      <c r="O2111" s="229"/>
      <c r="P2111" s="228"/>
    </row>
    <row r="2112" spans="15:16" x14ac:dyDescent="0.25">
      <c r="O2112" s="229"/>
      <c r="P2112" s="228"/>
    </row>
    <row r="2113" spans="15:16" x14ac:dyDescent="0.25">
      <c r="O2113" s="229"/>
      <c r="P2113" s="228"/>
    </row>
    <row r="2114" spans="15:16" x14ac:dyDescent="0.25">
      <c r="O2114" s="229"/>
      <c r="P2114" s="228"/>
    </row>
    <row r="2115" spans="15:16" x14ac:dyDescent="0.25">
      <c r="O2115" s="229"/>
      <c r="P2115" s="228"/>
    </row>
    <row r="2116" spans="15:16" x14ac:dyDescent="0.25">
      <c r="O2116" s="229"/>
      <c r="P2116" s="228"/>
    </row>
    <row r="2117" spans="15:16" x14ac:dyDescent="0.25">
      <c r="O2117" s="229"/>
      <c r="P2117" s="228"/>
    </row>
    <row r="2118" spans="15:16" x14ac:dyDescent="0.25">
      <c r="O2118" s="229"/>
      <c r="P2118" s="228"/>
    </row>
    <row r="2119" spans="15:16" x14ac:dyDescent="0.25">
      <c r="O2119" s="229"/>
      <c r="P2119" s="228"/>
    </row>
    <row r="2120" spans="15:16" x14ac:dyDescent="0.25">
      <c r="O2120" s="229"/>
      <c r="P2120" s="228"/>
    </row>
    <row r="2121" spans="15:16" x14ac:dyDescent="0.25">
      <c r="O2121" s="229"/>
      <c r="P2121" s="228"/>
    </row>
    <row r="2122" spans="15:16" x14ac:dyDescent="0.25">
      <c r="O2122" s="229"/>
      <c r="P2122" s="228"/>
    </row>
    <row r="2123" spans="15:16" x14ac:dyDescent="0.25">
      <c r="O2123" s="229"/>
      <c r="P2123" s="228"/>
    </row>
    <row r="2124" spans="15:16" x14ac:dyDescent="0.25">
      <c r="O2124" s="229"/>
      <c r="P2124" s="228"/>
    </row>
    <row r="2125" spans="15:16" x14ac:dyDescent="0.25">
      <c r="O2125" s="229"/>
      <c r="P2125" s="228"/>
    </row>
    <row r="2126" spans="15:16" x14ac:dyDescent="0.25">
      <c r="O2126" s="229"/>
      <c r="P2126" s="228"/>
    </row>
    <row r="2127" spans="15:16" x14ac:dyDescent="0.25">
      <c r="O2127" s="229"/>
      <c r="P2127" s="228"/>
    </row>
    <row r="2128" spans="15:16" x14ac:dyDescent="0.25">
      <c r="O2128" s="229"/>
      <c r="P2128" s="228"/>
    </row>
    <row r="2129" spans="15:16" x14ac:dyDescent="0.25">
      <c r="O2129" s="229"/>
      <c r="P2129" s="228"/>
    </row>
    <row r="2130" spans="15:16" x14ac:dyDescent="0.25">
      <c r="O2130" s="229"/>
      <c r="P2130" s="228"/>
    </row>
    <row r="2131" spans="15:16" x14ac:dyDescent="0.25">
      <c r="O2131" s="229"/>
      <c r="P2131" s="228"/>
    </row>
    <row r="2132" spans="15:16" x14ac:dyDescent="0.25">
      <c r="O2132" s="229"/>
      <c r="P2132" s="228"/>
    </row>
    <row r="2133" spans="15:16" x14ac:dyDescent="0.25">
      <c r="O2133" s="229"/>
      <c r="P2133" s="228"/>
    </row>
    <row r="2134" spans="15:16" x14ac:dyDescent="0.25">
      <c r="O2134" s="229"/>
      <c r="P2134" s="228"/>
    </row>
    <row r="2135" spans="15:16" x14ac:dyDescent="0.25">
      <c r="O2135" s="229"/>
      <c r="P2135" s="228"/>
    </row>
    <row r="2136" spans="15:16" x14ac:dyDescent="0.25">
      <c r="O2136" s="229"/>
      <c r="P2136" s="228"/>
    </row>
    <row r="2137" spans="15:16" x14ac:dyDescent="0.25">
      <c r="O2137" s="229"/>
      <c r="P2137" s="228"/>
    </row>
    <row r="2138" spans="15:16" x14ac:dyDescent="0.25">
      <c r="O2138" s="229"/>
      <c r="P2138" s="228"/>
    </row>
    <row r="2139" spans="15:16" x14ac:dyDescent="0.25">
      <c r="O2139" s="229"/>
      <c r="P2139" s="228"/>
    </row>
    <row r="2140" spans="15:16" x14ac:dyDescent="0.25">
      <c r="O2140" s="229"/>
      <c r="P2140" s="228"/>
    </row>
    <row r="2141" spans="15:16" x14ac:dyDescent="0.25">
      <c r="O2141" s="229"/>
      <c r="P2141" s="228"/>
    </row>
    <row r="2142" spans="15:16" x14ac:dyDescent="0.25">
      <c r="O2142" s="229"/>
      <c r="P2142" s="228"/>
    </row>
    <row r="2143" spans="15:16" x14ac:dyDescent="0.25">
      <c r="O2143" s="229"/>
      <c r="P2143" s="228"/>
    </row>
    <row r="2144" spans="15:16" x14ac:dyDescent="0.25">
      <c r="O2144" s="229"/>
      <c r="P2144" s="228"/>
    </row>
    <row r="2145" spans="15:16" x14ac:dyDescent="0.25">
      <c r="O2145" s="229"/>
      <c r="P2145" s="228"/>
    </row>
    <row r="2146" spans="15:16" x14ac:dyDescent="0.25">
      <c r="O2146" s="229"/>
      <c r="P2146" s="228"/>
    </row>
    <row r="2147" spans="15:16" x14ac:dyDescent="0.25">
      <c r="O2147" s="229"/>
      <c r="P2147" s="228"/>
    </row>
    <row r="2148" spans="15:16" x14ac:dyDescent="0.25">
      <c r="O2148" s="229"/>
      <c r="P2148" s="228"/>
    </row>
    <row r="2149" spans="15:16" x14ac:dyDescent="0.25">
      <c r="O2149" s="229"/>
      <c r="P2149" s="228"/>
    </row>
    <row r="2150" spans="15:16" x14ac:dyDescent="0.25">
      <c r="O2150" s="229"/>
      <c r="P2150" s="228"/>
    </row>
    <row r="2151" spans="15:16" x14ac:dyDescent="0.25">
      <c r="O2151" s="229"/>
      <c r="P2151" s="228"/>
    </row>
    <row r="2152" spans="15:16" x14ac:dyDescent="0.25">
      <c r="O2152" s="229"/>
      <c r="P2152" s="228"/>
    </row>
    <row r="2153" spans="15:16" x14ac:dyDescent="0.25">
      <c r="O2153" s="229"/>
      <c r="P2153" s="228"/>
    </row>
    <row r="2154" spans="15:16" x14ac:dyDescent="0.25">
      <c r="O2154" s="229"/>
      <c r="P2154" s="228"/>
    </row>
    <row r="2155" spans="15:16" x14ac:dyDescent="0.25">
      <c r="O2155" s="229"/>
      <c r="P2155" s="228"/>
    </row>
    <row r="2156" spans="15:16" x14ac:dyDescent="0.25">
      <c r="O2156" s="229"/>
      <c r="P2156" s="228"/>
    </row>
    <row r="2157" spans="15:16" x14ac:dyDescent="0.25">
      <c r="O2157" s="229"/>
      <c r="P2157" s="228"/>
    </row>
    <row r="2158" spans="15:16" x14ac:dyDescent="0.25">
      <c r="O2158" s="229"/>
      <c r="P2158" s="228"/>
    </row>
    <row r="2159" spans="15:16" x14ac:dyDescent="0.25">
      <c r="O2159" s="229"/>
      <c r="P2159" s="228"/>
    </row>
    <row r="2160" spans="15:16" x14ac:dyDescent="0.25">
      <c r="O2160" s="229"/>
      <c r="P2160" s="228"/>
    </row>
    <row r="2161" spans="15:16" x14ac:dyDescent="0.25">
      <c r="O2161" s="229"/>
      <c r="P2161" s="228"/>
    </row>
    <row r="2162" spans="15:16" x14ac:dyDescent="0.25">
      <c r="O2162" s="229"/>
      <c r="P2162" s="228"/>
    </row>
    <row r="2163" spans="15:16" x14ac:dyDescent="0.25">
      <c r="O2163" s="229"/>
      <c r="P2163" s="228"/>
    </row>
    <row r="2164" spans="15:16" x14ac:dyDescent="0.25">
      <c r="O2164" s="229"/>
      <c r="P2164" s="228"/>
    </row>
    <row r="2165" spans="15:16" x14ac:dyDescent="0.25">
      <c r="O2165" s="229"/>
      <c r="P2165" s="228"/>
    </row>
    <row r="2166" spans="15:16" x14ac:dyDescent="0.25">
      <c r="O2166" s="229"/>
      <c r="P2166" s="228"/>
    </row>
    <row r="2167" spans="15:16" x14ac:dyDescent="0.25">
      <c r="O2167" s="229"/>
      <c r="P2167" s="228"/>
    </row>
    <row r="2168" spans="15:16" x14ac:dyDescent="0.25">
      <c r="O2168" s="229"/>
      <c r="P2168" s="228"/>
    </row>
    <row r="2169" spans="15:16" x14ac:dyDescent="0.25">
      <c r="O2169" s="229"/>
      <c r="P2169" s="228"/>
    </row>
    <row r="2170" spans="15:16" x14ac:dyDescent="0.25">
      <c r="O2170" s="229"/>
      <c r="P2170" s="228"/>
    </row>
    <row r="2171" spans="15:16" x14ac:dyDescent="0.25">
      <c r="O2171" s="229"/>
      <c r="P2171" s="228"/>
    </row>
    <row r="2172" spans="15:16" x14ac:dyDescent="0.25">
      <c r="O2172" s="229"/>
      <c r="P2172" s="228"/>
    </row>
    <row r="2173" spans="15:16" x14ac:dyDescent="0.25">
      <c r="O2173" s="229"/>
      <c r="P2173" s="228"/>
    </row>
    <row r="2174" spans="15:16" x14ac:dyDescent="0.25">
      <c r="O2174" s="229"/>
      <c r="P2174" s="228"/>
    </row>
    <row r="2175" spans="15:16" x14ac:dyDescent="0.25">
      <c r="O2175" s="229"/>
      <c r="P2175" s="228"/>
    </row>
    <row r="2176" spans="15:16" x14ac:dyDescent="0.25">
      <c r="O2176" s="229"/>
      <c r="P2176" s="228"/>
    </row>
    <row r="2177" spans="15:16" x14ac:dyDescent="0.25">
      <c r="O2177" s="229"/>
      <c r="P2177" s="228"/>
    </row>
    <row r="2178" spans="15:16" x14ac:dyDescent="0.25">
      <c r="O2178" s="229"/>
      <c r="P2178" s="228"/>
    </row>
    <row r="2179" spans="15:16" x14ac:dyDescent="0.25">
      <c r="O2179" s="229"/>
      <c r="P2179" s="228"/>
    </row>
    <row r="2180" spans="15:16" x14ac:dyDescent="0.25">
      <c r="O2180" s="229"/>
      <c r="P2180" s="228"/>
    </row>
    <row r="2181" spans="15:16" x14ac:dyDescent="0.25">
      <c r="O2181" s="229"/>
      <c r="P2181" s="228"/>
    </row>
    <row r="2182" spans="15:16" x14ac:dyDescent="0.25">
      <c r="O2182" s="229"/>
      <c r="P2182" s="228"/>
    </row>
    <row r="2183" spans="15:16" x14ac:dyDescent="0.25">
      <c r="O2183" s="229"/>
      <c r="P2183" s="228"/>
    </row>
    <row r="2184" spans="15:16" x14ac:dyDescent="0.25">
      <c r="O2184" s="229"/>
      <c r="P2184" s="228"/>
    </row>
    <row r="2185" spans="15:16" x14ac:dyDescent="0.25">
      <c r="O2185" s="229"/>
      <c r="P2185" s="228"/>
    </row>
    <row r="2186" spans="15:16" x14ac:dyDescent="0.25">
      <c r="O2186" s="229"/>
      <c r="P2186" s="228"/>
    </row>
    <row r="2187" spans="15:16" x14ac:dyDescent="0.25">
      <c r="O2187" s="229"/>
      <c r="P2187" s="228"/>
    </row>
    <row r="2188" spans="15:16" x14ac:dyDescent="0.25">
      <c r="O2188" s="229"/>
      <c r="P2188" s="228"/>
    </row>
    <row r="2189" spans="15:16" x14ac:dyDescent="0.25">
      <c r="O2189" s="229"/>
      <c r="P2189" s="228"/>
    </row>
    <row r="2190" spans="15:16" x14ac:dyDescent="0.25">
      <c r="O2190" s="229"/>
      <c r="P2190" s="228"/>
    </row>
    <row r="2191" spans="15:16" x14ac:dyDescent="0.25">
      <c r="O2191" s="229"/>
      <c r="P2191" s="228"/>
    </row>
    <row r="2192" spans="15:16" x14ac:dyDescent="0.25">
      <c r="O2192" s="229"/>
      <c r="P2192" s="228"/>
    </row>
    <row r="2193" spans="15:16" x14ac:dyDescent="0.25">
      <c r="O2193" s="229"/>
      <c r="P2193" s="228"/>
    </row>
    <row r="2194" spans="15:16" x14ac:dyDescent="0.25">
      <c r="O2194" s="229"/>
      <c r="P2194" s="228"/>
    </row>
    <row r="2195" spans="15:16" x14ac:dyDescent="0.25">
      <c r="O2195" s="229"/>
      <c r="P2195" s="228"/>
    </row>
    <row r="2196" spans="15:16" x14ac:dyDescent="0.25">
      <c r="O2196" s="229"/>
      <c r="P2196" s="228"/>
    </row>
    <row r="2197" spans="15:16" x14ac:dyDescent="0.25">
      <c r="O2197" s="229"/>
      <c r="P2197" s="228"/>
    </row>
    <row r="2198" spans="15:16" x14ac:dyDescent="0.25">
      <c r="O2198" s="229"/>
      <c r="P2198" s="228"/>
    </row>
    <row r="2199" spans="15:16" x14ac:dyDescent="0.25">
      <c r="O2199" s="229"/>
      <c r="P2199" s="228"/>
    </row>
    <row r="2200" spans="15:16" x14ac:dyDescent="0.25">
      <c r="O2200" s="229"/>
      <c r="P2200" s="228"/>
    </row>
    <row r="2201" spans="15:16" x14ac:dyDescent="0.25">
      <c r="O2201" s="229"/>
      <c r="P2201" s="228"/>
    </row>
    <row r="2202" spans="15:16" x14ac:dyDescent="0.25">
      <c r="O2202" s="229"/>
      <c r="P2202" s="228"/>
    </row>
    <row r="2203" spans="15:16" x14ac:dyDescent="0.25">
      <c r="O2203" s="229"/>
      <c r="P2203" s="228"/>
    </row>
    <row r="2204" spans="15:16" x14ac:dyDescent="0.25">
      <c r="O2204" s="229"/>
      <c r="P2204" s="228"/>
    </row>
    <row r="2205" spans="15:16" x14ac:dyDescent="0.25">
      <c r="O2205" s="229"/>
      <c r="P2205" s="228"/>
    </row>
    <row r="2206" spans="15:16" x14ac:dyDescent="0.25">
      <c r="O2206" s="229"/>
      <c r="P2206" s="228"/>
    </row>
    <row r="2207" spans="15:16" x14ac:dyDescent="0.25">
      <c r="O2207" s="229"/>
      <c r="P2207" s="228"/>
    </row>
    <row r="2208" spans="15:16" x14ac:dyDescent="0.25">
      <c r="O2208" s="229"/>
      <c r="P2208" s="228"/>
    </row>
    <row r="2209" spans="15:16" x14ac:dyDescent="0.25">
      <c r="O2209" s="229"/>
      <c r="P2209" s="228"/>
    </row>
    <row r="2210" spans="15:16" x14ac:dyDescent="0.25">
      <c r="O2210" s="229"/>
      <c r="P2210" s="228"/>
    </row>
    <row r="2211" spans="15:16" x14ac:dyDescent="0.25">
      <c r="O2211" s="229"/>
      <c r="P2211" s="228"/>
    </row>
    <row r="2212" spans="15:16" x14ac:dyDescent="0.25">
      <c r="O2212" s="229"/>
      <c r="P2212" s="228"/>
    </row>
    <row r="2213" spans="15:16" x14ac:dyDescent="0.25">
      <c r="O2213" s="229"/>
      <c r="P2213" s="228"/>
    </row>
    <row r="2214" spans="15:16" x14ac:dyDescent="0.25">
      <c r="O2214" s="229"/>
      <c r="P2214" s="228"/>
    </row>
    <row r="2215" spans="15:16" x14ac:dyDescent="0.25">
      <c r="O2215" s="229"/>
      <c r="P2215" s="228"/>
    </row>
    <row r="2216" spans="15:16" x14ac:dyDescent="0.25">
      <c r="O2216" s="229"/>
      <c r="P2216" s="228"/>
    </row>
    <row r="2217" spans="15:16" x14ac:dyDescent="0.25">
      <c r="O2217" s="229"/>
      <c r="P2217" s="228"/>
    </row>
    <row r="2218" spans="15:16" x14ac:dyDescent="0.25">
      <c r="O2218" s="229"/>
      <c r="P2218" s="228"/>
    </row>
    <row r="2219" spans="15:16" x14ac:dyDescent="0.25">
      <c r="O2219" s="229"/>
      <c r="P2219" s="228"/>
    </row>
    <row r="2220" spans="15:16" x14ac:dyDescent="0.25">
      <c r="O2220" s="229"/>
      <c r="P2220" s="228"/>
    </row>
    <row r="2221" spans="15:16" x14ac:dyDescent="0.25">
      <c r="O2221" s="229"/>
      <c r="P2221" s="228"/>
    </row>
    <row r="2222" spans="15:16" x14ac:dyDescent="0.25">
      <c r="O2222" s="229"/>
      <c r="P2222" s="228"/>
    </row>
    <row r="2223" spans="15:16" x14ac:dyDescent="0.25">
      <c r="O2223" s="229"/>
      <c r="P2223" s="228"/>
    </row>
    <row r="2224" spans="15:16" x14ac:dyDescent="0.25">
      <c r="O2224" s="229"/>
      <c r="P2224" s="228"/>
    </row>
    <row r="2225" spans="15:16" x14ac:dyDescent="0.25">
      <c r="O2225" s="229"/>
      <c r="P2225" s="228"/>
    </row>
    <row r="2226" spans="15:16" x14ac:dyDescent="0.25">
      <c r="O2226" s="229"/>
      <c r="P2226" s="228"/>
    </row>
    <row r="2227" spans="15:16" x14ac:dyDescent="0.25">
      <c r="O2227" s="229"/>
      <c r="P2227" s="228"/>
    </row>
    <row r="2228" spans="15:16" x14ac:dyDescent="0.25">
      <c r="O2228" s="229"/>
      <c r="P2228" s="228"/>
    </row>
    <row r="2229" spans="15:16" x14ac:dyDescent="0.25">
      <c r="O2229" s="229"/>
      <c r="P2229" s="228"/>
    </row>
    <row r="2230" spans="15:16" x14ac:dyDescent="0.25">
      <c r="O2230" s="229"/>
      <c r="P2230" s="228"/>
    </row>
    <row r="2231" spans="15:16" x14ac:dyDescent="0.25">
      <c r="O2231" s="229"/>
      <c r="P2231" s="228"/>
    </row>
    <row r="2232" spans="15:16" x14ac:dyDescent="0.25">
      <c r="O2232" s="229"/>
      <c r="P2232" s="228"/>
    </row>
    <row r="2233" spans="15:16" x14ac:dyDescent="0.25">
      <c r="O2233" s="229"/>
      <c r="P2233" s="228"/>
    </row>
    <row r="2234" spans="15:16" x14ac:dyDescent="0.25">
      <c r="O2234" s="229"/>
      <c r="P2234" s="228"/>
    </row>
    <row r="2235" spans="15:16" x14ac:dyDescent="0.25">
      <c r="O2235" s="229"/>
      <c r="P2235" s="228"/>
    </row>
    <row r="2236" spans="15:16" x14ac:dyDescent="0.25">
      <c r="O2236" s="229"/>
      <c r="P2236" s="228"/>
    </row>
    <row r="2237" spans="15:16" x14ac:dyDescent="0.25">
      <c r="O2237" s="229"/>
      <c r="P2237" s="228"/>
    </row>
    <row r="2238" spans="15:16" x14ac:dyDescent="0.25">
      <c r="O2238" s="229"/>
      <c r="P2238" s="228"/>
    </row>
    <row r="2239" spans="15:16" x14ac:dyDescent="0.25">
      <c r="O2239" s="229"/>
      <c r="P2239" s="228"/>
    </row>
    <row r="2240" spans="15:16" x14ac:dyDescent="0.25">
      <c r="O2240" s="229"/>
      <c r="P2240" s="228"/>
    </row>
    <row r="2241" spans="15:16" x14ac:dyDescent="0.25">
      <c r="O2241" s="229"/>
      <c r="P2241" s="228"/>
    </row>
    <row r="2242" spans="15:16" x14ac:dyDescent="0.25">
      <c r="O2242" s="229"/>
      <c r="P2242" s="228"/>
    </row>
    <row r="2243" spans="15:16" x14ac:dyDescent="0.25">
      <c r="O2243" s="229"/>
      <c r="P2243" s="228"/>
    </row>
    <row r="2244" spans="15:16" x14ac:dyDescent="0.25">
      <c r="O2244" s="229"/>
      <c r="P2244" s="228"/>
    </row>
    <row r="2245" spans="15:16" x14ac:dyDescent="0.25">
      <c r="O2245" s="229"/>
      <c r="P2245" s="228"/>
    </row>
    <row r="2246" spans="15:16" x14ac:dyDescent="0.25">
      <c r="O2246" s="229"/>
      <c r="P2246" s="228"/>
    </row>
    <row r="2247" spans="15:16" x14ac:dyDescent="0.25">
      <c r="O2247" s="229"/>
      <c r="P2247" s="228"/>
    </row>
    <row r="2248" spans="15:16" x14ac:dyDescent="0.25">
      <c r="O2248" s="229"/>
      <c r="P2248" s="228"/>
    </row>
    <row r="2249" spans="15:16" x14ac:dyDescent="0.25">
      <c r="O2249" s="229"/>
      <c r="P2249" s="228"/>
    </row>
    <row r="2250" spans="15:16" x14ac:dyDescent="0.25">
      <c r="O2250" s="229"/>
      <c r="P2250" s="228"/>
    </row>
    <row r="2251" spans="15:16" x14ac:dyDescent="0.25">
      <c r="O2251" s="229"/>
      <c r="P2251" s="228"/>
    </row>
    <row r="2252" spans="15:16" x14ac:dyDescent="0.25">
      <c r="O2252" s="229"/>
      <c r="P2252" s="228"/>
    </row>
    <row r="2253" spans="15:16" x14ac:dyDescent="0.25">
      <c r="O2253" s="229"/>
      <c r="P2253" s="228"/>
    </row>
    <row r="2254" spans="15:16" x14ac:dyDescent="0.25">
      <c r="O2254" s="229"/>
      <c r="P2254" s="228"/>
    </row>
    <row r="2255" spans="15:16" x14ac:dyDescent="0.25">
      <c r="O2255" s="229"/>
      <c r="P2255" s="228"/>
    </row>
    <row r="2256" spans="15:16" x14ac:dyDescent="0.25">
      <c r="O2256" s="229"/>
      <c r="P2256" s="228"/>
    </row>
    <row r="2257" spans="15:16" x14ac:dyDescent="0.25">
      <c r="O2257" s="229"/>
      <c r="P2257" s="228"/>
    </row>
    <row r="2258" spans="15:16" x14ac:dyDescent="0.25">
      <c r="O2258" s="229"/>
      <c r="P2258" s="228"/>
    </row>
    <row r="2259" spans="15:16" x14ac:dyDescent="0.25">
      <c r="O2259" s="229"/>
      <c r="P2259" s="228"/>
    </row>
    <row r="2260" spans="15:16" x14ac:dyDescent="0.25">
      <c r="O2260" s="229"/>
      <c r="P2260" s="228"/>
    </row>
    <row r="2261" spans="15:16" x14ac:dyDescent="0.25">
      <c r="O2261" s="229"/>
      <c r="P2261" s="228"/>
    </row>
    <row r="2262" spans="15:16" x14ac:dyDescent="0.25">
      <c r="O2262" s="229"/>
      <c r="P2262" s="228"/>
    </row>
    <row r="2263" spans="15:16" x14ac:dyDescent="0.25">
      <c r="O2263" s="229"/>
      <c r="P2263" s="228"/>
    </row>
    <row r="2264" spans="15:16" x14ac:dyDescent="0.25">
      <c r="O2264" s="229"/>
      <c r="P2264" s="228"/>
    </row>
    <row r="2265" spans="15:16" x14ac:dyDescent="0.25">
      <c r="O2265" s="229"/>
      <c r="P2265" s="228"/>
    </row>
    <row r="2266" spans="15:16" x14ac:dyDescent="0.25">
      <c r="O2266" s="229"/>
      <c r="P2266" s="228"/>
    </row>
    <row r="2267" spans="15:16" x14ac:dyDescent="0.25">
      <c r="O2267" s="229"/>
      <c r="P2267" s="228"/>
    </row>
    <row r="2268" spans="15:16" x14ac:dyDescent="0.25">
      <c r="O2268" s="229"/>
      <c r="P2268" s="228"/>
    </row>
    <row r="2269" spans="15:16" x14ac:dyDescent="0.25">
      <c r="O2269" s="229"/>
      <c r="P2269" s="228"/>
    </row>
    <row r="2270" spans="15:16" x14ac:dyDescent="0.25">
      <c r="O2270" s="229"/>
      <c r="P2270" s="228"/>
    </row>
    <row r="2271" spans="15:16" x14ac:dyDescent="0.25">
      <c r="O2271" s="229"/>
      <c r="P2271" s="228"/>
    </row>
    <row r="2272" spans="15:16" x14ac:dyDescent="0.25">
      <c r="O2272" s="229"/>
      <c r="P2272" s="228"/>
    </row>
    <row r="2273" spans="15:16" x14ac:dyDescent="0.25">
      <c r="O2273" s="229"/>
      <c r="P2273" s="228"/>
    </row>
    <row r="2274" spans="15:16" x14ac:dyDescent="0.25">
      <c r="O2274" s="229"/>
      <c r="P2274" s="228"/>
    </row>
    <row r="2275" spans="15:16" x14ac:dyDescent="0.25">
      <c r="O2275" s="229"/>
      <c r="P2275" s="228"/>
    </row>
    <row r="2276" spans="15:16" x14ac:dyDescent="0.25">
      <c r="O2276" s="229"/>
      <c r="P2276" s="228"/>
    </row>
    <row r="2277" spans="15:16" x14ac:dyDescent="0.25">
      <c r="O2277" s="229"/>
      <c r="P2277" s="228"/>
    </row>
    <row r="2278" spans="15:16" x14ac:dyDescent="0.25">
      <c r="O2278" s="229"/>
      <c r="P2278" s="228"/>
    </row>
    <row r="2279" spans="15:16" x14ac:dyDescent="0.25">
      <c r="O2279" s="229"/>
      <c r="P2279" s="228"/>
    </row>
    <row r="2280" spans="15:16" x14ac:dyDescent="0.25">
      <c r="O2280" s="229"/>
      <c r="P2280" s="228"/>
    </row>
    <row r="2281" spans="15:16" x14ac:dyDescent="0.25">
      <c r="O2281" s="229"/>
      <c r="P2281" s="228"/>
    </row>
    <row r="2282" spans="15:16" x14ac:dyDescent="0.25">
      <c r="O2282" s="229"/>
      <c r="P2282" s="228"/>
    </row>
    <row r="2283" spans="15:16" x14ac:dyDescent="0.25">
      <c r="O2283" s="229"/>
      <c r="P2283" s="228"/>
    </row>
    <row r="2284" spans="15:16" x14ac:dyDescent="0.25">
      <c r="O2284" s="229"/>
      <c r="P2284" s="228"/>
    </row>
    <row r="2285" spans="15:16" x14ac:dyDescent="0.25">
      <c r="O2285" s="229"/>
      <c r="P2285" s="228"/>
    </row>
    <row r="2286" spans="15:16" x14ac:dyDescent="0.25">
      <c r="O2286" s="229"/>
      <c r="P2286" s="228"/>
    </row>
    <row r="2287" spans="15:16" x14ac:dyDescent="0.25">
      <c r="O2287" s="229"/>
      <c r="P2287" s="228"/>
    </row>
    <row r="2288" spans="15:16" x14ac:dyDescent="0.25">
      <c r="O2288" s="229"/>
      <c r="P2288" s="228"/>
    </row>
    <row r="2289" spans="15:16" x14ac:dyDescent="0.25">
      <c r="O2289" s="229"/>
      <c r="P2289" s="228"/>
    </row>
    <row r="2290" spans="15:16" x14ac:dyDescent="0.25">
      <c r="O2290" s="229"/>
      <c r="P2290" s="228"/>
    </row>
    <row r="2291" spans="15:16" x14ac:dyDescent="0.25">
      <c r="O2291" s="229"/>
      <c r="P2291" s="228"/>
    </row>
    <row r="2292" spans="15:16" x14ac:dyDescent="0.25">
      <c r="O2292" s="229"/>
      <c r="P2292" s="228"/>
    </row>
    <row r="2293" spans="15:16" x14ac:dyDescent="0.25">
      <c r="O2293" s="229"/>
      <c r="P2293" s="228"/>
    </row>
    <row r="2294" spans="15:16" x14ac:dyDescent="0.25">
      <c r="O2294" s="229"/>
      <c r="P2294" s="228"/>
    </row>
    <row r="2295" spans="15:16" x14ac:dyDescent="0.25">
      <c r="O2295" s="229"/>
      <c r="P2295" s="228"/>
    </row>
    <row r="2296" spans="15:16" x14ac:dyDescent="0.25">
      <c r="O2296" s="229"/>
      <c r="P2296" s="228"/>
    </row>
    <row r="2297" spans="15:16" x14ac:dyDescent="0.25">
      <c r="O2297" s="229"/>
      <c r="P2297" s="228"/>
    </row>
    <row r="2298" spans="15:16" x14ac:dyDescent="0.25">
      <c r="O2298" s="229"/>
      <c r="P2298" s="228"/>
    </row>
    <row r="2299" spans="15:16" x14ac:dyDescent="0.25">
      <c r="O2299" s="229"/>
      <c r="P2299" s="228"/>
    </row>
    <row r="2300" spans="15:16" x14ac:dyDescent="0.25">
      <c r="O2300" s="229"/>
      <c r="P2300" s="228"/>
    </row>
    <row r="2301" spans="15:16" x14ac:dyDescent="0.25">
      <c r="O2301" s="229"/>
      <c r="P2301" s="228"/>
    </row>
    <row r="2302" spans="15:16" x14ac:dyDescent="0.25">
      <c r="O2302" s="229"/>
      <c r="P2302" s="228"/>
    </row>
    <row r="2303" spans="15:16" x14ac:dyDescent="0.25">
      <c r="O2303" s="229"/>
      <c r="P2303" s="228"/>
    </row>
    <row r="2304" spans="15:16" x14ac:dyDescent="0.25">
      <c r="O2304" s="229"/>
      <c r="P2304" s="228"/>
    </row>
    <row r="2305" spans="15:16" x14ac:dyDescent="0.25">
      <c r="O2305" s="229"/>
      <c r="P2305" s="228"/>
    </row>
    <row r="2306" spans="15:16" x14ac:dyDescent="0.25">
      <c r="O2306" s="229"/>
      <c r="P2306" s="228"/>
    </row>
    <row r="2307" spans="15:16" x14ac:dyDescent="0.25">
      <c r="O2307" s="229"/>
      <c r="P2307" s="228"/>
    </row>
    <row r="2308" spans="15:16" x14ac:dyDescent="0.25">
      <c r="O2308" s="229"/>
      <c r="P2308" s="228"/>
    </row>
    <row r="2309" spans="15:16" x14ac:dyDescent="0.25">
      <c r="O2309" s="229"/>
      <c r="P2309" s="228"/>
    </row>
    <row r="2310" spans="15:16" x14ac:dyDescent="0.25">
      <c r="O2310" s="229"/>
      <c r="P2310" s="228"/>
    </row>
    <row r="2311" spans="15:16" x14ac:dyDescent="0.25">
      <c r="O2311" s="229"/>
      <c r="P2311" s="228"/>
    </row>
    <row r="2312" spans="15:16" x14ac:dyDescent="0.25">
      <c r="O2312" s="229"/>
      <c r="P2312" s="228"/>
    </row>
    <row r="2313" spans="15:16" x14ac:dyDescent="0.25">
      <c r="O2313" s="229"/>
      <c r="P2313" s="228"/>
    </row>
    <row r="2314" spans="15:16" x14ac:dyDescent="0.25">
      <c r="O2314" s="229"/>
      <c r="P2314" s="228"/>
    </row>
    <row r="2315" spans="15:16" x14ac:dyDescent="0.25">
      <c r="O2315" s="229"/>
      <c r="P2315" s="228"/>
    </row>
    <row r="2316" spans="15:16" x14ac:dyDescent="0.25">
      <c r="O2316" s="229"/>
      <c r="P2316" s="228"/>
    </row>
    <row r="2317" spans="15:16" x14ac:dyDescent="0.25">
      <c r="O2317" s="229"/>
      <c r="P2317" s="228"/>
    </row>
    <row r="2318" spans="15:16" x14ac:dyDescent="0.25">
      <c r="O2318" s="229"/>
      <c r="P2318" s="228"/>
    </row>
    <row r="2319" spans="15:16" x14ac:dyDescent="0.25">
      <c r="O2319" s="229"/>
      <c r="P2319" s="228"/>
    </row>
    <row r="2320" spans="15:16" x14ac:dyDescent="0.25">
      <c r="O2320" s="229"/>
      <c r="P2320" s="228"/>
    </row>
    <row r="2321" spans="15:16" x14ac:dyDescent="0.25">
      <c r="O2321" s="229"/>
      <c r="P2321" s="228"/>
    </row>
    <row r="2322" spans="15:16" x14ac:dyDescent="0.25">
      <c r="O2322" s="229"/>
      <c r="P2322" s="228"/>
    </row>
    <row r="2323" spans="15:16" x14ac:dyDescent="0.25">
      <c r="O2323" s="229"/>
      <c r="P2323" s="228"/>
    </row>
    <row r="2324" spans="15:16" x14ac:dyDescent="0.25">
      <c r="O2324" s="229"/>
      <c r="P2324" s="228"/>
    </row>
    <row r="2325" spans="15:16" x14ac:dyDescent="0.25">
      <c r="O2325" s="229"/>
      <c r="P2325" s="228"/>
    </row>
    <row r="2326" spans="15:16" x14ac:dyDescent="0.25">
      <c r="O2326" s="229"/>
      <c r="P2326" s="228"/>
    </row>
    <row r="2327" spans="15:16" x14ac:dyDescent="0.25">
      <c r="O2327" s="229"/>
      <c r="P2327" s="228"/>
    </row>
    <row r="2328" spans="15:16" x14ac:dyDescent="0.25">
      <c r="O2328" s="229"/>
      <c r="P2328" s="228"/>
    </row>
    <row r="2329" spans="15:16" x14ac:dyDescent="0.25">
      <c r="O2329" s="229"/>
      <c r="P2329" s="228"/>
    </row>
    <row r="2330" spans="15:16" x14ac:dyDescent="0.25">
      <c r="O2330" s="229"/>
      <c r="P2330" s="228"/>
    </row>
    <row r="2331" spans="15:16" x14ac:dyDescent="0.25">
      <c r="O2331" s="229"/>
      <c r="P2331" s="228"/>
    </row>
    <row r="2332" spans="15:16" x14ac:dyDescent="0.25">
      <c r="O2332" s="229"/>
      <c r="P2332" s="228"/>
    </row>
    <row r="2333" spans="15:16" x14ac:dyDescent="0.25">
      <c r="O2333" s="229"/>
      <c r="P2333" s="228"/>
    </row>
    <row r="2334" spans="15:16" x14ac:dyDescent="0.25">
      <c r="O2334" s="229"/>
      <c r="P2334" s="228"/>
    </row>
    <row r="2335" spans="15:16" x14ac:dyDescent="0.25">
      <c r="O2335" s="229"/>
      <c r="P2335" s="228"/>
    </row>
    <row r="2336" spans="15:16" x14ac:dyDescent="0.25">
      <c r="O2336" s="229"/>
      <c r="P2336" s="228"/>
    </row>
    <row r="2337" spans="15:16" x14ac:dyDescent="0.25">
      <c r="O2337" s="229"/>
      <c r="P2337" s="228"/>
    </row>
    <row r="2338" spans="15:16" x14ac:dyDescent="0.25">
      <c r="O2338" s="229"/>
      <c r="P2338" s="228"/>
    </row>
    <row r="2339" spans="15:16" x14ac:dyDescent="0.25">
      <c r="O2339" s="229"/>
      <c r="P2339" s="228"/>
    </row>
    <row r="2340" spans="15:16" x14ac:dyDescent="0.25">
      <c r="O2340" s="229"/>
      <c r="P2340" s="228"/>
    </row>
    <row r="2341" spans="15:16" x14ac:dyDescent="0.25">
      <c r="O2341" s="229"/>
      <c r="P2341" s="228"/>
    </row>
    <row r="2342" spans="15:16" x14ac:dyDescent="0.25">
      <c r="O2342" s="229"/>
      <c r="P2342" s="228"/>
    </row>
    <row r="2343" spans="15:16" x14ac:dyDescent="0.25">
      <c r="O2343" s="229"/>
      <c r="P2343" s="228"/>
    </row>
    <row r="2344" spans="15:16" x14ac:dyDescent="0.25">
      <c r="O2344" s="229"/>
      <c r="P2344" s="228"/>
    </row>
    <row r="2345" spans="15:16" x14ac:dyDescent="0.25">
      <c r="O2345" s="229"/>
      <c r="P2345" s="228"/>
    </row>
    <row r="2346" spans="15:16" x14ac:dyDescent="0.25">
      <c r="O2346" s="229"/>
      <c r="P2346" s="228"/>
    </row>
    <row r="2347" spans="15:16" x14ac:dyDescent="0.25">
      <c r="O2347" s="229"/>
      <c r="P2347" s="228"/>
    </row>
    <row r="2348" spans="15:16" x14ac:dyDescent="0.25">
      <c r="O2348" s="229"/>
      <c r="P2348" s="228"/>
    </row>
    <row r="2349" spans="15:16" x14ac:dyDescent="0.25">
      <c r="O2349" s="229"/>
      <c r="P2349" s="228"/>
    </row>
    <row r="2350" spans="15:16" x14ac:dyDescent="0.25">
      <c r="O2350" s="229"/>
      <c r="P2350" s="228"/>
    </row>
    <row r="2351" spans="15:16" x14ac:dyDescent="0.25">
      <c r="O2351" s="229"/>
      <c r="P2351" s="228"/>
    </row>
    <row r="2352" spans="15:16" x14ac:dyDescent="0.25">
      <c r="O2352" s="229"/>
      <c r="P2352" s="228"/>
    </row>
    <row r="2353" spans="15:16" x14ac:dyDescent="0.25">
      <c r="O2353" s="229"/>
      <c r="P2353" s="228"/>
    </row>
    <row r="2354" spans="15:16" x14ac:dyDescent="0.25">
      <c r="O2354" s="229"/>
      <c r="P2354" s="228"/>
    </row>
    <row r="2355" spans="15:16" x14ac:dyDescent="0.25">
      <c r="O2355" s="229"/>
      <c r="P2355" s="228"/>
    </row>
    <row r="2356" spans="15:16" x14ac:dyDescent="0.25">
      <c r="O2356" s="229"/>
      <c r="P2356" s="228"/>
    </row>
    <row r="2357" spans="15:16" x14ac:dyDescent="0.25">
      <c r="O2357" s="229"/>
      <c r="P2357" s="228"/>
    </row>
    <row r="2358" spans="15:16" x14ac:dyDescent="0.25">
      <c r="O2358" s="229"/>
      <c r="P2358" s="228"/>
    </row>
    <row r="2359" spans="15:16" x14ac:dyDescent="0.25">
      <c r="O2359" s="229"/>
      <c r="P2359" s="228"/>
    </row>
    <row r="2360" spans="15:16" x14ac:dyDescent="0.25">
      <c r="O2360" s="229"/>
      <c r="P2360" s="228"/>
    </row>
    <row r="2361" spans="15:16" x14ac:dyDescent="0.25">
      <c r="O2361" s="229"/>
      <c r="P2361" s="228"/>
    </row>
    <row r="2362" spans="15:16" x14ac:dyDescent="0.25">
      <c r="O2362" s="229"/>
      <c r="P2362" s="228"/>
    </row>
    <row r="2363" spans="15:16" x14ac:dyDescent="0.25">
      <c r="O2363" s="229"/>
      <c r="P2363" s="228"/>
    </row>
    <row r="2364" spans="15:16" x14ac:dyDescent="0.25">
      <c r="O2364" s="229"/>
      <c r="P2364" s="228"/>
    </row>
    <row r="2365" spans="15:16" x14ac:dyDescent="0.25">
      <c r="O2365" s="229"/>
      <c r="P2365" s="228"/>
    </row>
    <row r="2366" spans="15:16" x14ac:dyDescent="0.25">
      <c r="O2366" s="229"/>
      <c r="P2366" s="228"/>
    </row>
    <row r="2367" spans="15:16" x14ac:dyDescent="0.25">
      <c r="O2367" s="229"/>
      <c r="P2367" s="228"/>
    </row>
    <row r="2368" spans="15:16" x14ac:dyDescent="0.25">
      <c r="O2368" s="229"/>
      <c r="P2368" s="228"/>
    </row>
    <row r="2369" spans="15:16" x14ac:dyDescent="0.25">
      <c r="O2369" s="229"/>
      <c r="P2369" s="228"/>
    </row>
    <row r="2370" spans="15:16" x14ac:dyDescent="0.25">
      <c r="O2370" s="229"/>
      <c r="P2370" s="228"/>
    </row>
    <row r="2371" spans="15:16" x14ac:dyDescent="0.25">
      <c r="O2371" s="229"/>
      <c r="P2371" s="228"/>
    </row>
    <row r="2372" spans="15:16" x14ac:dyDescent="0.25">
      <c r="O2372" s="229"/>
      <c r="P2372" s="228"/>
    </row>
    <row r="2373" spans="15:16" x14ac:dyDescent="0.25">
      <c r="O2373" s="229"/>
      <c r="P2373" s="228"/>
    </row>
    <row r="2374" spans="15:16" x14ac:dyDescent="0.25">
      <c r="O2374" s="229"/>
      <c r="P2374" s="228"/>
    </row>
    <row r="2375" spans="15:16" x14ac:dyDescent="0.25">
      <c r="O2375" s="229"/>
      <c r="P2375" s="228"/>
    </row>
    <row r="2376" spans="15:16" x14ac:dyDescent="0.25">
      <c r="O2376" s="229"/>
      <c r="P2376" s="228"/>
    </row>
    <row r="2377" spans="15:16" x14ac:dyDescent="0.25">
      <c r="O2377" s="229"/>
      <c r="P2377" s="228"/>
    </row>
    <row r="2378" spans="15:16" x14ac:dyDescent="0.25">
      <c r="O2378" s="229"/>
      <c r="P2378" s="228"/>
    </row>
    <row r="2379" spans="15:16" x14ac:dyDescent="0.25">
      <c r="O2379" s="229"/>
      <c r="P2379" s="228"/>
    </row>
    <row r="2380" spans="15:16" x14ac:dyDescent="0.25">
      <c r="O2380" s="229"/>
      <c r="P2380" s="228"/>
    </row>
    <row r="2381" spans="15:16" x14ac:dyDescent="0.25">
      <c r="O2381" s="229"/>
      <c r="P2381" s="228"/>
    </row>
    <row r="2382" spans="15:16" x14ac:dyDescent="0.25">
      <c r="O2382" s="229"/>
      <c r="P2382" s="228"/>
    </row>
    <row r="2383" spans="15:16" x14ac:dyDescent="0.25">
      <c r="O2383" s="229"/>
      <c r="P2383" s="228"/>
    </row>
    <row r="2384" spans="15:16" x14ac:dyDescent="0.25">
      <c r="O2384" s="229"/>
      <c r="P2384" s="228"/>
    </row>
    <row r="2385" spans="15:16" x14ac:dyDescent="0.25">
      <c r="O2385" s="229"/>
      <c r="P2385" s="228"/>
    </row>
    <row r="2386" spans="15:16" x14ac:dyDescent="0.25">
      <c r="O2386" s="229"/>
      <c r="P2386" s="228"/>
    </row>
    <row r="2387" spans="15:16" x14ac:dyDescent="0.25">
      <c r="O2387" s="229"/>
      <c r="P2387" s="228"/>
    </row>
    <row r="2388" spans="15:16" x14ac:dyDescent="0.25">
      <c r="O2388" s="229"/>
      <c r="P2388" s="228"/>
    </row>
    <row r="2389" spans="15:16" x14ac:dyDescent="0.25">
      <c r="O2389" s="229"/>
      <c r="P2389" s="228"/>
    </row>
    <row r="2390" spans="15:16" x14ac:dyDescent="0.25">
      <c r="O2390" s="229"/>
      <c r="P2390" s="228"/>
    </row>
    <row r="2391" spans="15:16" x14ac:dyDescent="0.25">
      <c r="O2391" s="229"/>
      <c r="P2391" s="228"/>
    </row>
    <row r="2392" spans="15:16" x14ac:dyDescent="0.25">
      <c r="O2392" s="229"/>
      <c r="P2392" s="228"/>
    </row>
    <row r="2393" spans="15:16" x14ac:dyDescent="0.25">
      <c r="O2393" s="229"/>
      <c r="P2393" s="228"/>
    </row>
    <row r="2394" spans="15:16" x14ac:dyDescent="0.25">
      <c r="O2394" s="229"/>
      <c r="P2394" s="228"/>
    </row>
    <row r="2395" spans="15:16" x14ac:dyDescent="0.25">
      <c r="O2395" s="229"/>
      <c r="P2395" s="228"/>
    </row>
    <row r="2396" spans="15:16" x14ac:dyDescent="0.25">
      <c r="O2396" s="229"/>
      <c r="P2396" s="228"/>
    </row>
    <row r="2397" spans="15:16" x14ac:dyDescent="0.25">
      <c r="O2397" s="229"/>
      <c r="P2397" s="228"/>
    </row>
    <row r="2398" spans="15:16" x14ac:dyDescent="0.25">
      <c r="O2398" s="229"/>
      <c r="P2398" s="228"/>
    </row>
    <row r="2399" spans="15:16" x14ac:dyDescent="0.25">
      <c r="O2399" s="229"/>
      <c r="P2399" s="228"/>
    </row>
    <row r="2400" spans="15:16" x14ac:dyDescent="0.25">
      <c r="O2400" s="229"/>
      <c r="P2400" s="228"/>
    </row>
    <row r="2401" spans="15:16" x14ac:dyDescent="0.25">
      <c r="O2401" s="229"/>
      <c r="P2401" s="228"/>
    </row>
    <row r="2402" spans="15:16" x14ac:dyDescent="0.25">
      <c r="O2402" s="229"/>
      <c r="P2402" s="228"/>
    </row>
    <row r="2403" spans="15:16" x14ac:dyDescent="0.25">
      <c r="O2403" s="229"/>
      <c r="P2403" s="228"/>
    </row>
    <row r="2404" spans="15:16" x14ac:dyDescent="0.25">
      <c r="O2404" s="229"/>
      <c r="P2404" s="228"/>
    </row>
    <row r="2405" spans="15:16" x14ac:dyDescent="0.25">
      <c r="O2405" s="229"/>
      <c r="P2405" s="228"/>
    </row>
    <row r="2406" spans="15:16" x14ac:dyDescent="0.25">
      <c r="O2406" s="229"/>
      <c r="P2406" s="228"/>
    </row>
    <row r="2407" spans="15:16" x14ac:dyDescent="0.25">
      <c r="O2407" s="229"/>
      <c r="P2407" s="228"/>
    </row>
    <row r="2408" spans="15:16" x14ac:dyDescent="0.25">
      <c r="O2408" s="229"/>
      <c r="P2408" s="228"/>
    </row>
    <row r="2409" spans="15:16" x14ac:dyDescent="0.25">
      <c r="O2409" s="229"/>
      <c r="P2409" s="228"/>
    </row>
    <row r="2410" spans="15:16" x14ac:dyDescent="0.25">
      <c r="O2410" s="229"/>
      <c r="P2410" s="228"/>
    </row>
    <row r="2411" spans="15:16" x14ac:dyDescent="0.25">
      <c r="O2411" s="229"/>
      <c r="P2411" s="228"/>
    </row>
    <row r="2412" spans="15:16" x14ac:dyDescent="0.25">
      <c r="O2412" s="229"/>
      <c r="P2412" s="228"/>
    </row>
    <row r="2413" spans="15:16" x14ac:dyDescent="0.25">
      <c r="O2413" s="229"/>
      <c r="P2413" s="228"/>
    </row>
    <row r="2414" spans="15:16" x14ac:dyDescent="0.25">
      <c r="O2414" s="229"/>
      <c r="P2414" s="228"/>
    </row>
    <row r="2415" spans="15:16" x14ac:dyDescent="0.25">
      <c r="O2415" s="229"/>
      <c r="P2415" s="228"/>
    </row>
    <row r="2416" spans="15:16" x14ac:dyDescent="0.25">
      <c r="O2416" s="229"/>
      <c r="P2416" s="228"/>
    </row>
    <row r="2417" spans="15:16" x14ac:dyDescent="0.25">
      <c r="O2417" s="229"/>
      <c r="P2417" s="228"/>
    </row>
    <row r="2418" spans="15:16" x14ac:dyDescent="0.25">
      <c r="O2418" s="229"/>
      <c r="P2418" s="228"/>
    </row>
    <row r="2419" spans="15:16" x14ac:dyDescent="0.25">
      <c r="O2419" s="229"/>
      <c r="P2419" s="228"/>
    </row>
    <row r="2420" spans="15:16" x14ac:dyDescent="0.25">
      <c r="O2420" s="229"/>
      <c r="P2420" s="228"/>
    </row>
    <row r="2421" spans="15:16" x14ac:dyDescent="0.25">
      <c r="O2421" s="229"/>
      <c r="P2421" s="228"/>
    </row>
    <row r="2422" spans="15:16" x14ac:dyDescent="0.25">
      <c r="O2422" s="229"/>
      <c r="P2422" s="228"/>
    </row>
    <row r="2423" spans="15:16" x14ac:dyDescent="0.25">
      <c r="O2423" s="229"/>
      <c r="P2423" s="228"/>
    </row>
    <row r="2424" spans="15:16" x14ac:dyDescent="0.25">
      <c r="O2424" s="229"/>
      <c r="P2424" s="228"/>
    </row>
    <row r="2425" spans="15:16" x14ac:dyDescent="0.25">
      <c r="O2425" s="229"/>
      <c r="P2425" s="228"/>
    </row>
    <row r="2426" spans="15:16" x14ac:dyDescent="0.25">
      <c r="O2426" s="229"/>
      <c r="P2426" s="228"/>
    </row>
    <row r="2427" spans="15:16" x14ac:dyDescent="0.25">
      <c r="O2427" s="229"/>
      <c r="P2427" s="228"/>
    </row>
    <row r="2428" spans="15:16" x14ac:dyDescent="0.25">
      <c r="O2428" s="229"/>
      <c r="P2428" s="228"/>
    </row>
    <row r="2429" spans="15:16" x14ac:dyDescent="0.25">
      <c r="O2429" s="229"/>
      <c r="P2429" s="228"/>
    </row>
    <row r="2430" spans="15:16" x14ac:dyDescent="0.25">
      <c r="O2430" s="229"/>
      <c r="P2430" s="228"/>
    </row>
    <row r="2431" spans="15:16" x14ac:dyDescent="0.25">
      <c r="O2431" s="229"/>
      <c r="P2431" s="228"/>
    </row>
    <row r="2432" spans="15:16" x14ac:dyDescent="0.25">
      <c r="O2432" s="229"/>
      <c r="P2432" s="228"/>
    </row>
    <row r="2433" spans="15:16" x14ac:dyDescent="0.25">
      <c r="O2433" s="229"/>
      <c r="P2433" s="228"/>
    </row>
    <row r="2434" spans="15:16" x14ac:dyDescent="0.25">
      <c r="O2434" s="229"/>
      <c r="P2434" s="228"/>
    </row>
    <row r="2435" spans="15:16" x14ac:dyDescent="0.25">
      <c r="O2435" s="229"/>
      <c r="P2435" s="228"/>
    </row>
    <row r="2436" spans="15:16" x14ac:dyDescent="0.25">
      <c r="O2436" s="229"/>
      <c r="P2436" s="228"/>
    </row>
    <row r="2437" spans="15:16" x14ac:dyDescent="0.25">
      <c r="O2437" s="229"/>
      <c r="P2437" s="228"/>
    </row>
    <row r="2438" spans="15:16" x14ac:dyDescent="0.25">
      <c r="O2438" s="229"/>
      <c r="P2438" s="228"/>
    </row>
    <row r="2439" spans="15:16" x14ac:dyDescent="0.25">
      <c r="O2439" s="229"/>
      <c r="P2439" s="228"/>
    </row>
    <row r="2440" spans="15:16" x14ac:dyDescent="0.25">
      <c r="O2440" s="229"/>
      <c r="P2440" s="228"/>
    </row>
    <row r="2441" spans="15:16" x14ac:dyDescent="0.25">
      <c r="O2441" s="229"/>
      <c r="P2441" s="228"/>
    </row>
    <row r="2442" spans="15:16" x14ac:dyDescent="0.25">
      <c r="O2442" s="229"/>
      <c r="P2442" s="228"/>
    </row>
    <row r="2443" spans="15:16" x14ac:dyDescent="0.25">
      <c r="O2443" s="229"/>
      <c r="P2443" s="228"/>
    </row>
    <row r="2444" spans="15:16" x14ac:dyDescent="0.25">
      <c r="O2444" s="229"/>
      <c r="P2444" s="228"/>
    </row>
    <row r="2445" spans="15:16" x14ac:dyDescent="0.25">
      <c r="O2445" s="229"/>
      <c r="P2445" s="228"/>
    </row>
    <row r="2446" spans="15:16" x14ac:dyDescent="0.25">
      <c r="O2446" s="229"/>
      <c r="P2446" s="228"/>
    </row>
    <row r="2447" spans="15:16" x14ac:dyDescent="0.25">
      <c r="O2447" s="229"/>
      <c r="P2447" s="228"/>
    </row>
    <row r="2448" spans="15:16" x14ac:dyDescent="0.25">
      <c r="O2448" s="229"/>
      <c r="P2448" s="228"/>
    </row>
    <row r="2449" spans="15:16" x14ac:dyDescent="0.25">
      <c r="O2449" s="229"/>
      <c r="P2449" s="228"/>
    </row>
    <row r="2450" spans="15:16" x14ac:dyDescent="0.25">
      <c r="O2450" s="229"/>
      <c r="P2450" s="228"/>
    </row>
    <row r="2451" spans="15:16" x14ac:dyDescent="0.25">
      <c r="O2451" s="229"/>
      <c r="P2451" s="228"/>
    </row>
    <row r="2452" spans="15:16" x14ac:dyDescent="0.25">
      <c r="O2452" s="229"/>
      <c r="P2452" s="228"/>
    </row>
    <row r="2453" spans="15:16" x14ac:dyDescent="0.25">
      <c r="O2453" s="229"/>
      <c r="P2453" s="228"/>
    </row>
    <row r="2454" spans="15:16" x14ac:dyDescent="0.25">
      <c r="O2454" s="229"/>
      <c r="P2454" s="228"/>
    </row>
    <row r="2455" spans="15:16" x14ac:dyDescent="0.25">
      <c r="O2455" s="229"/>
      <c r="P2455" s="228"/>
    </row>
    <row r="2456" spans="15:16" x14ac:dyDescent="0.25">
      <c r="O2456" s="229"/>
      <c r="P2456" s="228"/>
    </row>
    <row r="2457" spans="15:16" x14ac:dyDescent="0.25">
      <c r="O2457" s="229"/>
      <c r="P2457" s="228"/>
    </row>
    <row r="2458" spans="15:16" x14ac:dyDescent="0.25">
      <c r="O2458" s="229"/>
      <c r="P2458" s="228"/>
    </row>
    <row r="2459" spans="15:16" x14ac:dyDescent="0.25">
      <c r="O2459" s="229"/>
      <c r="P2459" s="228"/>
    </row>
    <row r="2460" spans="15:16" x14ac:dyDescent="0.25">
      <c r="O2460" s="229"/>
      <c r="P2460" s="228"/>
    </row>
    <row r="2461" spans="15:16" x14ac:dyDescent="0.25">
      <c r="O2461" s="229"/>
      <c r="P2461" s="228"/>
    </row>
    <row r="2462" spans="15:16" x14ac:dyDescent="0.25">
      <c r="O2462" s="229"/>
      <c r="P2462" s="228"/>
    </row>
    <row r="2463" spans="15:16" x14ac:dyDescent="0.25">
      <c r="O2463" s="229"/>
      <c r="P2463" s="228"/>
    </row>
    <row r="2464" spans="15:16" x14ac:dyDescent="0.25">
      <c r="O2464" s="229"/>
      <c r="P2464" s="228"/>
    </row>
    <row r="2465" spans="15:16" x14ac:dyDescent="0.25">
      <c r="O2465" s="229"/>
      <c r="P2465" s="228"/>
    </row>
    <row r="2466" spans="15:16" x14ac:dyDescent="0.25">
      <c r="O2466" s="229"/>
      <c r="P2466" s="228"/>
    </row>
    <row r="2467" spans="15:16" x14ac:dyDescent="0.25">
      <c r="O2467" s="229"/>
      <c r="P2467" s="228"/>
    </row>
    <row r="2468" spans="15:16" x14ac:dyDescent="0.25">
      <c r="O2468" s="229"/>
      <c r="P2468" s="228"/>
    </row>
    <row r="2469" spans="15:16" x14ac:dyDescent="0.25">
      <c r="O2469" s="229"/>
      <c r="P2469" s="228"/>
    </row>
    <row r="2470" spans="15:16" x14ac:dyDescent="0.25">
      <c r="O2470" s="229"/>
      <c r="P2470" s="228"/>
    </row>
    <row r="2471" spans="15:16" x14ac:dyDescent="0.25">
      <c r="O2471" s="229"/>
      <c r="P2471" s="228"/>
    </row>
    <row r="2472" spans="15:16" x14ac:dyDescent="0.25">
      <c r="O2472" s="229"/>
      <c r="P2472" s="228"/>
    </row>
    <row r="2473" spans="15:16" x14ac:dyDescent="0.25">
      <c r="O2473" s="229"/>
      <c r="P2473" s="228"/>
    </row>
    <row r="2474" spans="15:16" x14ac:dyDescent="0.25">
      <c r="O2474" s="229"/>
      <c r="P2474" s="228"/>
    </row>
    <row r="2475" spans="15:16" x14ac:dyDescent="0.25">
      <c r="O2475" s="229"/>
      <c r="P2475" s="228"/>
    </row>
    <row r="2476" spans="15:16" x14ac:dyDescent="0.25">
      <c r="O2476" s="229"/>
      <c r="P2476" s="228"/>
    </row>
    <row r="2477" spans="15:16" x14ac:dyDescent="0.25">
      <c r="O2477" s="229"/>
      <c r="P2477" s="228"/>
    </row>
    <row r="2478" spans="15:16" x14ac:dyDescent="0.25">
      <c r="O2478" s="229"/>
      <c r="P2478" s="228"/>
    </row>
    <row r="2479" spans="15:16" x14ac:dyDescent="0.25">
      <c r="O2479" s="229"/>
      <c r="P2479" s="228"/>
    </row>
    <row r="2480" spans="15:16" x14ac:dyDescent="0.25">
      <c r="O2480" s="229"/>
      <c r="P2480" s="228"/>
    </row>
    <row r="2481" spans="15:16" x14ac:dyDescent="0.25">
      <c r="O2481" s="229"/>
      <c r="P2481" s="228"/>
    </row>
    <row r="2482" spans="15:16" x14ac:dyDescent="0.25">
      <c r="O2482" s="229"/>
      <c r="P2482" s="228"/>
    </row>
    <row r="2483" spans="15:16" x14ac:dyDescent="0.25">
      <c r="O2483" s="229"/>
      <c r="P2483" s="228"/>
    </row>
    <row r="2484" spans="15:16" x14ac:dyDescent="0.25">
      <c r="O2484" s="229"/>
      <c r="P2484" s="228"/>
    </row>
    <row r="2485" spans="15:16" x14ac:dyDescent="0.25">
      <c r="O2485" s="229"/>
      <c r="P2485" s="228"/>
    </row>
    <row r="2486" spans="15:16" x14ac:dyDescent="0.25">
      <c r="O2486" s="229"/>
      <c r="P2486" s="228"/>
    </row>
    <row r="2487" spans="15:16" x14ac:dyDescent="0.25">
      <c r="O2487" s="229"/>
      <c r="P2487" s="228"/>
    </row>
    <row r="2488" spans="15:16" x14ac:dyDescent="0.25">
      <c r="O2488" s="229"/>
      <c r="P2488" s="228"/>
    </row>
    <row r="2489" spans="15:16" x14ac:dyDescent="0.25">
      <c r="O2489" s="229"/>
      <c r="P2489" s="228"/>
    </row>
    <row r="2490" spans="15:16" x14ac:dyDescent="0.25">
      <c r="O2490" s="229"/>
      <c r="P2490" s="228"/>
    </row>
    <row r="2491" spans="15:16" x14ac:dyDescent="0.25">
      <c r="O2491" s="229"/>
      <c r="P2491" s="228"/>
    </row>
    <row r="2492" spans="15:16" x14ac:dyDescent="0.25">
      <c r="O2492" s="229"/>
      <c r="P2492" s="228"/>
    </row>
    <row r="2493" spans="15:16" x14ac:dyDescent="0.25">
      <c r="O2493" s="229"/>
      <c r="P2493" s="228"/>
    </row>
    <row r="2494" spans="15:16" x14ac:dyDescent="0.25">
      <c r="O2494" s="229"/>
      <c r="P2494" s="228"/>
    </row>
    <row r="2495" spans="15:16" x14ac:dyDescent="0.25">
      <c r="O2495" s="229"/>
      <c r="P2495" s="228"/>
    </row>
    <row r="2496" spans="15:16" x14ac:dyDescent="0.25">
      <c r="O2496" s="229"/>
      <c r="P2496" s="228"/>
    </row>
    <row r="2497" spans="15:16" x14ac:dyDescent="0.25">
      <c r="O2497" s="229"/>
      <c r="P2497" s="228"/>
    </row>
    <row r="2498" spans="15:16" x14ac:dyDescent="0.25">
      <c r="O2498" s="229"/>
      <c r="P2498" s="228"/>
    </row>
    <row r="2499" spans="15:16" x14ac:dyDescent="0.25">
      <c r="O2499" s="229"/>
      <c r="P2499" s="228"/>
    </row>
    <row r="2500" spans="15:16" x14ac:dyDescent="0.25">
      <c r="O2500" s="229"/>
      <c r="P2500" s="228"/>
    </row>
    <row r="2501" spans="15:16" x14ac:dyDescent="0.25">
      <c r="O2501" s="229"/>
      <c r="P2501" s="228"/>
    </row>
    <row r="2502" spans="15:16" x14ac:dyDescent="0.25">
      <c r="O2502" s="229"/>
      <c r="P2502" s="228"/>
    </row>
    <row r="2503" spans="15:16" x14ac:dyDescent="0.25">
      <c r="O2503" s="229"/>
      <c r="P2503" s="228"/>
    </row>
    <row r="2504" spans="15:16" x14ac:dyDescent="0.25">
      <c r="O2504" s="229"/>
      <c r="P2504" s="228"/>
    </row>
    <row r="2505" spans="15:16" x14ac:dyDescent="0.25">
      <c r="O2505" s="229"/>
      <c r="P2505" s="228"/>
    </row>
    <row r="2506" spans="15:16" x14ac:dyDescent="0.25">
      <c r="O2506" s="229"/>
      <c r="P2506" s="228"/>
    </row>
    <row r="2507" spans="15:16" x14ac:dyDescent="0.25">
      <c r="O2507" s="229"/>
      <c r="P2507" s="228"/>
    </row>
    <row r="2508" spans="15:16" x14ac:dyDescent="0.25">
      <c r="O2508" s="229"/>
      <c r="P2508" s="228"/>
    </row>
    <row r="2509" spans="15:16" x14ac:dyDescent="0.25">
      <c r="O2509" s="229"/>
      <c r="P2509" s="228"/>
    </row>
    <row r="2510" spans="15:16" x14ac:dyDescent="0.25">
      <c r="O2510" s="229"/>
      <c r="P2510" s="228"/>
    </row>
    <row r="2511" spans="15:16" x14ac:dyDescent="0.25">
      <c r="O2511" s="229"/>
      <c r="P2511" s="228"/>
    </row>
    <row r="2512" spans="15:16" x14ac:dyDescent="0.25">
      <c r="O2512" s="229"/>
      <c r="P2512" s="228"/>
    </row>
    <row r="2513" spans="15:16" x14ac:dyDescent="0.25">
      <c r="O2513" s="229"/>
      <c r="P2513" s="228"/>
    </row>
    <row r="2514" spans="15:16" x14ac:dyDescent="0.25">
      <c r="O2514" s="229"/>
      <c r="P2514" s="228"/>
    </row>
    <row r="2515" spans="15:16" x14ac:dyDescent="0.25">
      <c r="O2515" s="229"/>
      <c r="P2515" s="228"/>
    </row>
    <row r="2516" spans="15:16" x14ac:dyDescent="0.25">
      <c r="O2516" s="229"/>
      <c r="P2516" s="228"/>
    </row>
    <row r="2517" spans="15:16" x14ac:dyDescent="0.25">
      <c r="O2517" s="229"/>
      <c r="P2517" s="228"/>
    </row>
    <row r="2518" spans="15:16" x14ac:dyDescent="0.25">
      <c r="O2518" s="229"/>
      <c r="P2518" s="228"/>
    </row>
    <row r="2519" spans="15:16" x14ac:dyDescent="0.25">
      <c r="O2519" s="229"/>
      <c r="P2519" s="228"/>
    </row>
    <row r="2520" spans="15:16" x14ac:dyDescent="0.25">
      <c r="O2520" s="229"/>
      <c r="P2520" s="228"/>
    </row>
    <row r="2521" spans="15:16" x14ac:dyDescent="0.25">
      <c r="O2521" s="229"/>
      <c r="P2521" s="228"/>
    </row>
    <row r="2522" spans="15:16" x14ac:dyDescent="0.25">
      <c r="O2522" s="229"/>
      <c r="P2522" s="228"/>
    </row>
    <row r="2523" spans="15:16" x14ac:dyDescent="0.25">
      <c r="O2523" s="229"/>
      <c r="P2523" s="228"/>
    </row>
    <row r="2524" spans="15:16" x14ac:dyDescent="0.25">
      <c r="O2524" s="229"/>
      <c r="P2524" s="228"/>
    </row>
    <row r="2525" spans="15:16" x14ac:dyDescent="0.25">
      <c r="O2525" s="229"/>
      <c r="P2525" s="228"/>
    </row>
    <row r="2526" spans="15:16" x14ac:dyDescent="0.25">
      <c r="O2526" s="229"/>
      <c r="P2526" s="228"/>
    </row>
    <row r="2527" spans="15:16" x14ac:dyDescent="0.25">
      <c r="O2527" s="229"/>
      <c r="P2527" s="228"/>
    </row>
    <row r="2528" spans="15:16" x14ac:dyDescent="0.25">
      <c r="O2528" s="229"/>
      <c r="P2528" s="228"/>
    </row>
    <row r="2529" spans="15:16" x14ac:dyDescent="0.25">
      <c r="O2529" s="229"/>
      <c r="P2529" s="228"/>
    </row>
    <row r="2530" spans="15:16" x14ac:dyDescent="0.25">
      <c r="O2530" s="229"/>
      <c r="P2530" s="228"/>
    </row>
    <row r="2531" spans="15:16" x14ac:dyDescent="0.25">
      <c r="O2531" s="229"/>
      <c r="P2531" s="228"/>
    </row>
    <row r="2532" spans="15:16" x14ac:dyDescent="0.25">
      <c r="O2532" s="229"/>
      <c r="P2532" s="228"/>
    </row>
    <row r="2533" spans="15:16" x14ac:dyDescent="0.25">
      <c r="O2533" s="229"/>
      <c r="P2533" s="228"/>
    </row>
    <row r="2534" spans="15:16" x14ac:dyDescent="0.25">
      <c r="O2534" s="229"/>
      <c r="P2534" s="228"/>
    </row>
    <row r="2535" spans="15:16" x14ac:dyDescent="0.25">
      <c r="O2535" s="229"/>
      <c r="P2535" s="228"/>
    </row>
    <row r="2536" spans="15:16" x14ac:dyDescent="0.25">
      <c r="O2536" s="229"/>
      <c r="P2536" s="228"/>
    </row>
    <row r="2537" spans="15:16" x14ac:dyDescent="0.25">
      <c r="O2537" s="229"/>
      <c r="P2537" s="228"/>
    </row>
    <row r="2538" spans="15:16" x14ac:dyDescent="0.25">
      <c r="O2538" s="229"/>
      <c r="P2538" s="228"/>
    </row>
    <row r="2539" spans="15:16" x14ac:dyDescent="0.25">
      <c r="O2539" s="229"/>
      <c r="P2539" s="228"/>
    </row>
    <row r="2540" spans="15:16" x14ac:dyDescent="0.25">
      <c r="O2540" s="229"/>
      <c r="P2540" s="228"/>
    </row>
    <row r="2541" spans="15:16" x14ac:dyDescent="0.25">
      <c r="O2541" s="229"/>
      <c r="P2541" s="228"/>
    </row>
    <row r="2542" spans="15:16" x14ac:dyDescent="0.25">
      <c r="O2542" s="229"/>
      <c r="P2542" s="228"/>
    </row>
    <row r="2543" spans="15:16" x14ac:dyDescent="0.25">
      <c r="O2543" s="229"/>
      <c r="P2543" s="228"/>
    </row>
    <row r="2544" spans="15:16" x14ac:dyDescent="0.25">
      <c r="O2544" s="229"/>
      <c r="P2544" s="228"/>
    </row>
    <row r="2545" spans="15:16" x14ac:dyDescent="0.25">
      <c r="O2545" s="229"/>
      <c r="P2545" s="228"/>
    </row>
    <row r="2546" spans="15:16" x14ac:dyDescent="0.25">
      <c r="O2546" s="229"/>
      <c r="P2546" s="228"/>
    </row>
    <row r="2547" spans="15:16" x14ac:dyDescent="0.25">
      <c r="O2547" s="229"/>
      <c r="P2547" s="228"/>
    </row>
    <row r="2548" spans="15:16" x14ac:dyDescent="0.25">
      <c r="O2548" s="229"/>
      <c r="P2548" s="228"/>
    </row>
    <row r="2549" spans="15:16" x14ac:dyDescent="0.25">
      <c r="O2549" s="229"/>
      <c r="P2549" s="228"/>
    </row>
    <row r="2550" spans="15:16" x14ac:dyDescent="0.25">
      <c r="O2550" s="229"/>
      <c r="P2550" s="228"/>
    </row>
    <row r="2551" spans="15:16" x14ac:dyDescent="0.25">
      <c r="O2551" s="229"/>
      <c r="P2551" s="228"/>
    </row>
    <row r="2552" spans="15:16" x14ac:dyDescent="0.25">
      <c r="O2552" s="229"/>
      <c r="P2552" s="228"/>
    </row>
    <row r="2553" spans="15:16" x14ac:dyDescent="0.25">
      <c r="O2553" s="229"/>
      <c r="P2553" s="228"/>
    </row>
    <row r="2554" spans="15:16" x14ac:dyDescent="0.25">
      <c r="O2554" s="229"/>
      <c r="P2554" s="228"/>
    </row>
    <row r="2555" spans="15:16" x14ac:dyDescent="0.25">
      <c r="O2555" s="229"/>
      <c r="P2555" s="228"/>
    </row>
    <row r="2556" spans="15:16" x14ac:dyDescent="0.25">
      <c r="O2556" s="229"/>
      <c r="P2556" s="228"/>
    </row>
    <row r="2557" spans="15:16" x14ac:dyDescent="0.25">
      <c r="O2557" s="229"/>
      <c r="P2557" s="228"/>
    </row>
    <row r="2558" spans="15:16" x14ac:dyDescent="0.25">
      <c r="O2558" s="229"/>
      <c r="P2558" s="228"/>
    </row>
    <row r="2559" spans="15:16" x14ac:dyDescent="0.25">
      <c r="O2559" s="229"/>
      <c r="P2559" s="228"/>
    </row>
    <row r="2560" spans="15:16" x14ac:dyDescent="0.25">
      <c r="O2560" s="229"/>
      <c r="P2560" s="228"/>
    </row>
    <row r="2561" spans="15:16" x14ac:dyDescent="0.25">
      <c r="O2561" s="229"/>
      <c r="P2561" s="228"/>
    </row>
    <row r="2562" spans="15:16" x14ac:dyDescent="0.25">
      <c r="O2562" s="229"/>
      <c r="P2562" s="228"/>
    </row>
    <row r="2563" spans="15:16" x14ac:dyDescent="0.25">
      <c r="O2563" s="229"/>
      <c r="P2563" s="228"/>
    </row>
    <row r="2564" spans="15:16" x14ac:dyDescent="0.25">
      <c r="O2564" s="229"/>
      <c r="P2564" s="228"/>
    </row>
    <row r="2565" spans="15:16" x14ac:dyDescent="0.25">
      <c r="O2565" s="229"/>
      <c r="P2565" s="228"/>
    </row>
    <row r="2566" spans="15:16" x14ac:dyDescent="0.25">
      <c r="O2566" s="229"/>
      <c r="P2566" s="228"/>
    </row>
    <row r="2567" spans="15:16" x14ac:dyDescent="0.25">
      <c r="O2567" s="229"/>
      <c r="P2567" s="228"/>
    </row>
    <row r="2568" spans="15:16" x14ac:dyDescent="0.25">
      <c r="O2568" s="229"/>
      <c r="P2568" s="228"/>
    </row>
    <row r="2569" spans="15:16" x14ac:dyDescent="0.25">
      <c r="O2569" s="229"/>
      <c r="P2569" s="228"/>
    </row>
    <row r="2570" spans="15:16" x14ac:dyDescent="0.25">
      <c r="O2570" s="229"/>
      <c r="P2570" s="228"/>
    </row>
    <row r="2571" spans="15:16" x14ac:dyDescent="0.25">
      <c r="O2571" s="229"/>
      <c r="P2571" s="228"/>
    </row>
    <row r="2572" spans="15:16" x14ac:dyDescent="0.25">
      <c r="O2572" s="229"/>
      <c r="P2572" s="228"/>
    </row>
    <row r="2573" spans="15:16" x14ac:dyDescent="0.25">
      <c r="O2573" s="229"/>
      <c r="P2573" s="228"/>
    </row>
    <row r="2574" spans="15:16" x14ac:dyDescent="0.25">
      <c r="O2574" s="229"/>
      <c r="P2574" s="228"/>
    </row>
    <row r="2575" spans="15:16" x14ac:dyDescent="0.25">
      <c r="O2575" s="229"/>
      <c r="P2575" s="228"/>
    </row>
    <row r="2576" spans="15:16" x14ac:dyDescent="0.25">
      <c r="O2576" s="229"/>
      <c r="P2576" s="228"/>
    </row>
    <row r="2577" spans="15:16" x14ac:dyDescent="0.25">
      <c r="O2577" s="229"/>
      <c r="P2577" s="228"/>
    </row>
    <row r="2578" spans="15:16" x14ac:dyDescent="0.25">
      <c r="O2578" s="229"/>
      <c r="P2578" s="228"/>
    </row>
    <row r="2579" spans="15:16" x14ac:dyDescent="0.25">
      <c r="O2579" s="229"/>
      <c r="P2579" s="228"/>
    </row>
    <row r="2580" spans="15:16" x14ac:dyDescent="0.25">
      <c r="O2580" s="229"/>
      <c r="P2580" s="228"/>
    </row>
    <row r="2581" spans="15:16" x14ac:dyDescent="0.25">
      <c r="O2581" s="229"/>
      <c r="P2581" s="228"/>
    </row>
    <row r="2582" spans="15:16" x14ac:dyDescent="0.25">
      <c r="O2582" s="229"/>
      <c r="P2582" s="228"/>
    </row>
    <row r="2583" spans="15:16" x14ac:dyDescent="0.25">
      <c r="O2583" s="229"/>
      <c r="P2583" s="228"/>
    </row>
    <row r="2584" spans="15:16" x14ac:dyDescent="0.25">
      <c r="O2584" s="229"/>
      <c r="P2584" s="228"/>
    </row>
    <row r="2585" spans="15:16" x14ac:dyDescent="0.25">
      <c r="O2585" s="229"/>
      <c r="P2585" s="228"/>
    </row>
    <row r="2586" spans="15:16" x14ac:dyDescent="0.25">
      <c r="O2586" s="229"/>
      <c r="P2586" s="228"/>
    </row>
    <row r="2587" spans="15:16" x14ac:dyDescent="0.25">
      <c r="O2587" s="229"/>
      <c r="P2587" s="228"/>
    </row>
    <row r="2588" spans="15:16" x14ac:dyDescent="0.25">
      <c r="O2588" s="229"/>
      <c r="P2588" s="228"/>
    </row>
    <row r="2589" spans="15:16" x14ac:dyDescent="0.25">
      <c r="O2589" s="229"/>
      <c r="P2589" s="228"/>
    </row>
    <row r="2590" spans="15:16" x14ac:dyDescent="0.25">
      <c r="O2590" s="229"/>
      <c r="P2590" s="228"/>
    </row>
    <row r="2591" spans="15:16" x14ac:dyDescent="0.25">
      <c r="O2591" s="229"/>
      <c r="P2591" s="228"/>
    </row>
    <row r="2592" spans="15:16" x14ac:dyDescent="0.25">
      <c r="O2592" s="229"/>
      <c r="P2592" s="228"/>
    </row>
    <row r="2593" spans="15:16" x14ac:dyDescent="0.25">
      <c r="O2593" s="229"/>
      <c r="P2593" s="228"/>
    </row>
    <row r="2594" spans="15:16" x14ac:dyDescent="0.25">
      <c r="O2594" s="229"/>
      <c r="P2594" s="228"/>
    </row>
    <row r="2595" spans="15:16" x14ac:dyDescent="0.25">
      <c r="O2595" s="229"/>
      <c r="P2595" s="228"/>
    </row>
    <row r="2596" spans="15:16" x14ac:dyDescent="0.25">
      <c r="O2596" s="229"/>
      <c r="P2596" s="228"/>
    </row>
    <row r="2597" spans="15:16" x14ac:dyDescent="0.25">
      <c r="O2597" s="229"/>
      <c r="P2597" s="228"/>
    </row>
    <row r="2598" spans="15:16" x14ac:dyDescent="0.25">
      <c r="O2598" s="229"/>
      <c r="P2598" s="228"/>
    </row>
    <row r="2599" spans="15:16" x14ac:dyDescent="0.25">
      <c r="O2599" s="229"/>
      <c r="P2599" s="228"/>
    </row>
    <row r="2600" spans="15:16" x14ac:dyDescent="0.25">
      <c r="O2600" s="229"/>
      <c r="P2600" s="228"/>
    </row>
    <row r="2601" spans="15:16" x14ac:dyDescent="0.25">
      <c r="O2601" s="229"/>
      <c r="P2601" s="228"/>
    </row>
    <row r="2602" spans="15:16" x14ac:dyDescent="0.25">
      <c r="O2602" s="229"/>
      <c r="P2602" s="228"/>
    </row>
    <row r="2603" spans="15:16" x14ac:dyDescent="0.25">
      <c r="O2603" s="229"/>
      <c r="P2603" s="228"/>
    </row>
    <row r="2604" spans="15:16" x14ac:dyDescent="0.25">
      <c r="O2604" s="229"/>
      <c r="P2604" s="228"/>
    </row>
    <row r="2605" spans="15:16" x14ac:dyDescent="0.25">
      <c r="O2605" s="229"/>
      <c r="P2605" s="228"/>
    </row>
    <row r="2606" spans="15:16" x14ac:dyDescent="0.25">
      <c r="O2606" s="229"/>
      <c r="P2606" s="228"/>
    </row>
    <row r="2607" spans="15:16" x14ac:dyDescent="0.25">
      <c r="O2607" s="229"/>
      <c r="P2607" s="228"/>
    </row>
    <row r="2608" spans="15:16" x14ac:dyDescent="0.25">
      <c r="O2608" s="229"/>
      <c r="P2608" s="228"/>
    </row>
    <row r="2609" spans="15:16" x14ac:dyDescent="0.25">
      <c r="O2609" s="229"/>
      <c r="P2609" s="228"/>
    </row>
    <row r="2610" spans="15:16" x14ac:dyDescent="0.25">
      <c r="O2610" s="229"/>
      <c r="P2610" s="228"/>
    </row>
    <row r="2611" spans="15:16" x14ac:dyDescent="0.25">
      <c r="O2611" s="229"/>
      <c r="P2611" s="228"/>
    </row>
    <row r="2612" spans="15:16" x14ac:dyDescent="0.25">
      <c r="O2612" s="229"/>
      <c r="P2612" s="228"/>
    </row>
    <row r="2613" spans="15:16" x14ac:dyDescent="0.25">
      <c r="O2613" s="229"/>
      <c r="P2613" s="228"/>
    </row>
    <row r="2614" spans="15:16" x14ac:dyDescent="0.25">
      <c r="O2614" s="229"/>
      <c r="P2614" s="228"/>
    </row>
    <row r="2615" spans="15:16" x14ac:dyDescent="0.25">
      <c r="O2615" s="229"/>
      <c r="P2615" s="228"/>
    </row>
    <row r="2616" spans="15:16" x14ac:dyDescent="0.25">
      <c r="O2616" s="229"/>
      <c r="P2616" s="228"/>
    </row>
    <row r="2617" spans="15:16" x14ac:dyDescent="0.25">
      <c r="O2617" s="229"/>
      <c r="P2617" s="228"/>
    </row>
    <row r="2618" spans="15:16" x14ac:dyDescent="0.25">
      <c r="O2618" s="229"/>
      <c r="P2618" s="228"/>
    </row>
    <row r="2619" spans="15:16" x14ac:dyDescent="0.25">
      <c r="O2619" s="229"/>
      <c r="P2619" s="228"/>
    </row>
    <row r="2620" spans="15:16" x14ac:dyDescent="0.25">
      <c r="O2620" s="229"/>
      <c r="P2620" s="228"/>
    </row>
    <row r="2621" spans="15:16" x14ac:dyDescent="0.25">
      <c r="O2621" s="229"/>
      <c r="P2621" s="228"/>
    </row>
    <row r="2622" spans="15:16" x14ac:dyDescent="0.25">
      <c r="O2622" s="229"/>
      <c r="P2622" s="228"/>
    </row>
    <row r="2623" spans="15:16" x14ac:dyDescent="0.25">
      <c r="O2623" s="229"/>
      <c r="P2623" s="228"/>
    </row>
    <row r="2624" spans="15:16" x14ac:dyDescent="0.25">
      <c r="O2624" s="229"/>
      <c r="P2624" s="228"/>
    </row>
    <row r="2625" spans="15:16" x14ac:dyDescent="0.25">
      <c r="O2625" s="229"/>
      <c r="P2625" s="228"/>
    </row>
    <row r="2626" spans="15:16" x14ac:dyDescent="0.25">
      <c r="O2626" s="229"/>
      <c r="P2626" s="228"/>
    </row>
    <row r="2627" spans="15:16" x14ac:dyDescent="0.25">
      <c r="O2627" s="229"/>
      <c r="P2627" s="228"/>
    </row>
    <row r="2628" spans="15:16" x14ac:dyDescent="0.25">
      <c r="O2628" s="229"/>
      <c r="P2628" s="228"/>
    </row>
    <row r="2629" spans="15:16" x14ac:dyDescent="0.25">
      <c r="O2629" s="229"/>
      <c r="P2629" s="228"/>
    </row>
    <row r="2630" spans="15:16" x14ac:dyDescent="0.25">
      <c r="O2630" s="229"/>
      <c r="P2630" s="228"/>
    </row>
    <row r="2631" spans="15:16" x14ac:dyDescent="0.25">
      <c r="O2631" s="229"/>
      <c r="P2631" s="228"/>
    </row>
    <row r="2632" spans="15:16" x14ac:dyDescent="0.25">
      <c r="O2632" s="229"/>
      <c r="P2632" s="228"/>
    </row>
    <row r="2633" spans="15:16" x14ac:dyDescent="0.25">
      <c r="O2633" s="229"/>
      <c r="P2633" s="228"/>
    </row>
    <row r="2634" spans="15:16" x14ac:dyDescent="0.25">
      <c r="O2634" s="229"/>
      <c r="P2634" s="228"/>
    </row>
    <row r="2635" spans="15:16" x14ac:dyDescent="0.25">
      <c r="O2635" s="229"/>
      <c r="P2635" s="228"/>
    </row>
    <row r="2636" spans="15:16" x14ac:dyDescent="0.25">
      <c r="O2636" s="229"/>
      <c r="P2636" s="228"/>
    </row>
    <row r="2637" spans="15:16" x14ac:dyDescent="0.25">
      <c r="O2637" s="229"/>
      <c r="P2637" s="228"/>
    </row>
    <row r="2638" spans="15:16" x14ac:dyDescent="0.25">
      <c r="O2638" s="229"/>
      <c r="P2638" s="228"/>
    </row>
    <row r="2639" spans="15:16" x14ac:dyDescent="0.25">
      <c r="O2639" s="229"/>
      <c r="P2639" s="228"/>
    </row>
    <row r="2640" spans="15:16" x14ac:dyDescent="0.25">
      <c r="O2640" s="229"/>
      <c r="P2640" s="228"/>
    </row>
    <row r="2641" spans="15:16" x14ac:dyDescent="0.25">
      <c r="O2641" s="229"/>
      <c r="P2641" s="228"/>
    </row>
    <row r="2642" spans="15:16" x14ac:dyDescent="0.25">
      <c r="O2642" s="229"/>
      <c r="P2642" s="228"/>
    </row>
    <row r="2643" spans="15:16" x14ac:dyDescent="0.25">
      <c r="O2643" s="229"/>
      <c r="P2643" s="228"/>
    </row>
    <row r="2644" spans="15:16" x14ac:dyDescent="0.25">
      <c r="O2644" s="229"/>
      <c r="P2644" s="228"/>
    </row>
    <row r="2645" spans="15:16" x14ac:dyDescent="0.25">
      <c r="O2645" s="229"/>
      <c r="P2645" s="228"/>
    </row>
    <row r="2646" spans="15:16" x14ac:dyDescent="0.25">
      <c r="O2646" s="229"/>
      <c r="P2646" s="228"/>
    </row>
    <row r="2647" spans="15:16" x14ac:dyDescent="0.25">
      <c r="O2647" s="229"/>
      <c r="P2647" s="228"/>
    </row>
    <row r="2648" spans="15:16" x14ac:dyDescent="0.25">
      <c r="O2648" s="229"/>
      <c r="P2648" s="228"/>
    </row>
    <row r="2649" spans="15:16" x14ac:dyDescent="0.25">
      <c r="O2649" s="229"/>
      <c r="P2649" s="228"/>
    </row>
    <row r="2650" spans="15:16" x14ac:dyDescent="0.25">
      <c r="O2650" s="229"/>
      <c r="P2650" s="228"/>
    </row>
    <row r="2651" spans="15:16" x14ac:dyDescent="0.25">
      <c r="O2651" s="229"/>
      <c r="P2651" s="228"/>
    </row>
    <row r="2652" spans="15:16" x14ac:dyDescent="0.25">
      <c r="O2652" s="229"/>
      <c r="P2652" s="228"/>
    </row>
    <row r="2653" spans="15:16" x14ac:dyDescent="0.25">
      <c r="O2653" s="229"/>
      <c r="P2653" s="228"/>
    </row>
    <row r="2654" spans="15:16" x14ac:dyDescent="0.25">
      <c r="O2654" s="229"/>
      <c r="P2654" s="228"/>
    </row>
    <row r="2655" spans="15:16" x14ac:dyDescent="0.25">
      <c r="O2655" s="229"/>
      <c r="P2655" s="228"/>
    </row>
    <row r="2656" spans="15:16" x14ac:dyDescent="0.25">
      <c r="O2656" s="229"/>
      <c r="P2656" s="228"/>
    </row>
    <row r="2657" spans="15:16" x14ac:dyDescent="0.25">
      <c r="O2657" s="229"/>
      <c r="P2657" s="228"/>
    </row>
    <row r="2658" spans="15:16" x14ac:dyDescent="0.25">
      <c r="O2658" s="229"/>
      <c r="P2658" s="228"/>
    </row>
    <row r="2659" spans="15:16" x14ac:dyDescent="0.25">
      <c r="O2659" s="229"/>
      <c r="P2659" s="228"/>
    </row>
    <row r="2660" spans="15:16" x14ac:dyDescent="0.25">
      <c r="O2660" s="229"/>
      <c r="P2660" s="228"/>
    </row>
    <row r="2661" spans="15:16" x14ac:dyDescent="0.25">
      <c r="O2661" s="229"/>
      <c r="P2661" s="228"/>
    </row>
    <row r="2662" spans="15:16" x14ac:dyDescent="0.25">
      <c r="O2662" s="229"/>
      <c r="P2662" s="228"/>
    </row>
    <row r="2663" spans="15:16" x14ac:dyDescent="0.25">
      <c r="O2663" s="229"/>
      <c r="P2663" s="228"/>
    </row>
    <row r="2664" spans="15:16" x14ac:dyDescent="0.25">
      <c r="O2664" s="229"/>
      <c r="P2664" s="228"/>
    </row>
    <row r="2665" spans="15:16" x14ac:dyDescent="0.25">
      <c r="O2665" s="229"/>
      <c r="P2665" s="228"/>
    </row>
    <row r="2666" spans="15:16" x14ac:dyDescent="0.25">
      <c r="O2666" s="229"/>
      <c r="P2666" s="228"/>
    </row>
    <row r="2667" spans="15:16" x14ac:dyDescent="0.25">
      <c r="O2667" s="229"/>
      <c r="P2667" s="228"/>
    </row>
    <row r="2668" spans="15:16" x14ac:dyDescent="0.25">
      <c r="O2668" s="229"/>
      <c r="P2668" s="228"/>
    </row>
    <row r="2669" spans="15:16" x14ac:dyDescent="0.25">
      <c r="O2669" s="229"/>
      <c r="P2669" s="228"/>
    </row>
    <row r="2670" spans="15:16" x14ac:dyDescent="0.25">
      <c r="O2670" s="229"/>
      <c r="P2670" s="228"/>
    </row>
    <row r="2671" spans="15:16" x14ac:dyDescent="0.25">
      <c r="O2671" s="229"/>
      <c r="P2671" s="228"/>
    </row>
    <row r="2672" spans="15:16" x14ac:dyDescent="0.25">
      <c r="O2672" s="229"/>
      <c r="P2672" s="228"/>
    </row>
    <row r="2673" spans="15:16" x14ac:dyDescent="0.25">
      <c r="O2673" s="229"/>
      <c r="P2673" s="228"/>
    </row>
    <row r="2674" spans="15:16" x14ac:dyDescent="0.25">
      <c r="O2674" s="229"/>
      <c r="P2674" s="228"/>
    </row>
    <row r="2675" spans="15:16" x14ac:dyDescent="0.25">
      <c r="O2675" s="229"/>
      <c r="P2675" s="228"/>
    </row>
    <row r="2676" spans="15:16" x14ac:dyDescent="0.25">
      <c r="O2676" s="229"/>
      <c r="P2676" s="228"/>
    </row>
    <row r="2677" spans="15:16" x14ac:dyDescent="0.25">
      <c r="O2677" s="229"/>
      <c r="P2677" s="228"/>
    </row>
    <row r="2678" spans="15:16" x14ac:dyDescent="0.25">
      <c r="O2678" s="229"/>
      <c r="P2678" s="228"/>
    </row>
    <row r="2679" spans="15:16" x14ac:dyDescent="0.25">
      <c r="O2679" s="229"/>
      <c r="P2679" s="228"/>
    </row>
    <row r="2680" spans="15:16" x14ac:dyDescent="0.25">
      <c r="O2680" s="229"/>
      <c r="P2680" s="228"/>
    </row>
    <row r="2681" spans="15:16" x14ac:dyDescent="0.25">
      <c r="O2681" s="229"/>
      <c r="P2681" s="228"/>
    </row>
    <row r="2682" spans="15:16" x14ac:dyDescent="0.25">
      <c r="O2682" s="229"/>
      <c r="P2682" s="228"/>
    </row>
    <row r="2683" spans="15:16" x14ac:dyDescent="0.25">
      <c r="O2683" s="229"/>
      <c r="P2683" s="228"/>
    </row>
    <row r="2684" spans="15:16" x14ac:dyDescent="0.25">
      <c r="O2684" s="229"/>
      <c r="P2684" s="228"/>
    </row>
    <row r="2685" spans="15:16" x14ac:dyDescent="0.25">
      <c r="O2685" s="229"/>
      <c r="P2685" s="228"/>
    </row>
    <row r="2686" spans="15:16" x14ac:dyDescent="0.25">
      <c r="O2686" s="229"/>
      <c r="P2686" s="228"/>
    </row>
    <row r="2687" spans="15:16" x14ac:dyDescent="0.25">
      <c r="O2687" s="229"/>
      <c r="P2687" s="228"/>
    </row>
    <row r="2688" spans="15:16" x14ac:dyDescent="0.25">
      <c r="O2688" s="229"/>
      <c r="P2688" s="228"/>
    </row>
    <row r="2689" spans="15:16" x14ac:dyDescent="0.25">
      <c r="O2689" s="229"/>
      <c r="P2689" s="228"/>
    </row>
    <row r="2690" spans="15:16" x14ac:dyDescent="0.25">
      <c r="O2690" s="229"/>
      <c r="P2690" s="228"/>
    </row>
    <row r="2691" spans="15:16" x14ac:dyDescent="0.25">
      <c r="O2691" s="229"/>
      <c r="P2691" s="228"/>
    </row>
    <row r="2692" spans="15:16" x14ac:dyDescent="0.25">
      <c r="O2692" s="229"/>
      <c r="P2692" s="228"/>
    </row>
    <row r="2693" spans="15:16" x14ac:dyDescent="0.25">
      <c r="O2693" s="229"/>
      <c r="P2693" s="228"/>
    </row>
    <row r="2694" spans="15:16" x14ac:dyDescent="0.25">
      <c r="O2694" s="229"/>
      <c r="P2694" s="228"/>
    </row>
    <row r="2695" spans="15:16" x14ac:dyDescent="0.25">
      <c r="O2695" s="229"/>
      <c r="P2695" s="228"/>
    </row>
    <row r="2696" spans="15:16" x14ac:dyDescent="0.25">
      <c r="O2696" s="229"/>
      <c r="P2696" s="228"/>
    </row>
    <row r="2697" spans="15:16" x14ac:dyDescent="0.25">
      <c r="O2697" s="229"/>
      <c r="P2697" s="228"/>
    </row>
    <row r="2698" spans="15:16" x14ac:dyDescent="0.25">
      <c r="O2698" s="229"/>
      <c r="P2698" s="228"/>
    </row>
    <row r="2699" spans="15:16" x14ac:dyDescent="0.25">
      <c r="O2699" s="229"/>
      <c r="P2699" s="228"/>
    </row>
    <row r="2700" spans="15:16" x14ac:dyDescent="0.25">
      <c r="O2700" s="229"/>
      <c r="P2700" s="228"/>
    </row>
    <row r="2701" spans="15:16" x14ac:dyDescent="0.25">
      <c r="O2701" s="229"/>
      <c r="P2701" s="228"/>
    </row>
    <row r="2702" spans="15:16" x14ac:dyDescent="0.25">
      <c r="O2702" s="229"/>
      <c r="P2702" s="228"/>
    </row>
    <row r="2703" spans="15:16" x14ac:dyDescent="0.25">
      <c r="O2703" s="229"/>
      <c r="P2703" s="228"/>
    </row>
    <row r="2704" spans="15:16" x14ac:dyDescent="0.25">
      <c r="O2704" s="229"/>
      <c r="P2704" s="228"/>
    </row>
    <row r="2705" spans="15:16" x14ac:dyDescent="0.25">
      <c r="O2705" s="229"/>
      <c r="P2705" s="228"/>
    </row>
    <row r="2706" spans="15:16" x14ac:dyDescent="0.25">
      <c r="O2706" s="229"/>
      <c r="P2706" s="228"/>
    </row>
    <row r="2707" spans="15:16" x14ac:dyDescent="0.25">
      <c r="O2707" s="229"/>
      <c r="P2707" s="228"/>
    </row>
    <row r="2708" spans="15:16" x14ac:dyDescent="0.25">
      <c r="O2708" s="229"/>
      <c r="P2708" s="228"/>
    </row>
    <row r="2709" spans="15:16" x14ac:dyDescent="0.25">
      <c r="O2709" s="229"/>
      <c r="P2709" s="228"/>
    </row>
    <row r="2710" spans="15:16" x14ac:dyDescent="0.25">
      <c r="O2710" s="229"/>
      <c r="P2710" s="228"/>
    </row>
    <row r="2711" spans="15:16" x14ac:dyDescent="0.25">
      <c r="O2711" s="229"/>
      <c r="P2711" s="228"/>
    </row>
    <row r="2712" spans="15:16" x14ac:dyDescent="0.25">
      <c r="O2712" s="229"/>
      <c r="P2712" s="228"/>
    </row>
    <row r="2713" spans="15:16" x14ac:dyDescent="0.25">
      <c r="O2713" s="229"/>
      <c r="P2713" s="228"/>
    </row>
    <row r="2714" spans="15:16" x14ac:dyDescent="0.25">
      <c r="O2714" s="229"/>
      <c r="P2714" s="228"/>
    </row>
    <row r="2715" spans="15:16" x14ac:dyDescent="0.25">
      <c r="O2715" s="229"/>
      <c r="P2715" s="228"/>
    </row>
    <row r="2716" spans="15:16" x14ac:dyDescent="0.25">
      <c r="O2716" s="229"/>
      <c r="P2716" s="228"/>
    </row>
    <row r="2717" spans="15:16" x14ac:dyDescent="0.25">
      <c r="O2717" s="229"/>
      <c r="P2717" s="228"/>
    </row>
    <row r="2718" spans="15:16" x14ac:dyDescent="0.25">
      <c r="O2718" s="229"/>
      <c r="P2718" s="228"/>
    </row>
    <row r="2719" spans="15:16" x14ac:dyDescent="0.25">
      <c r="O2719" s="229"/>
      <c r="P2719" s="228"/>
    </row>
    <row r="2720" spans="15:16" x14ac:dyDescent="0.25">
      <c r="O2720" s="229"/>
      <c r="P2720" s="228"/>
    </row>
    <row r="2721" spans="15:16" x14ac:dyDescent="0.25">
      <c r="O2721" s="229"/>
      <c r="P2721" s="228"/>
    </row>
    <row r="2722" spans="15:16" x14ac:dyDescent="0.25">
      <c r="O2722" s="229"/>
      <c r="P2722" s="228"/>
    </row>
    <row r="2723" spans="15:16" x14ac:dyDescent="0.25">
      <c r="O2723" s="229"/>
      <c r="P2723" s="228"/>
    </row>
    <row r="2724" spans="15:16" x14ac:dyDescent="0.25">
      <c r="O2724" s="229"/>
      <c r="P2724" s="228"/>
    </row>
    <row r="2725" spans="15:16" x14ac:dyDescent="0.25">
      <c r="O2725" s="229"/>
      <c r="P2725" s="228"/>
    </row>
    <row r="2726" spans="15:16" x14ac:dyDescent="0.25">
      <c r="O2726" s="229"/>
      <c r="P2726" s="228"/>
    </row>
    <row r="2727" spans="15:16" x14ac:dyDescent="0.25">
      <c r="O2727" s="229"/>
      <c r="P2727" s="228"/>
    </row>
    <row r="2728" spans="15:16" x14ac:dyDescent="0.25">
      <c r="O2728" s="229"/>
      <c r="P2728" s="228"/>
    </row>
    <row r="2729" spans="15:16" x14ac:dyDescent="0.25">
      <c r="O2729" s="229"/>
      <c r="P2729" s="228"/>
    </row>
    <row r="2730" spans="15:16" x14ac:dyDescent="0.25">
      <c r="O2730" s="229"/>
      <c r="P2730" s="228"/>
    </row>
    <row r="2731" spans="15:16" x14ac:dyDescent="0.25">
      <c r="O2731" s="229"/>
      <c r="P2731" s="228"/>
    </row>
    <row r="2732" spans="15:16" x14ac:dyDescent="0.25">
      <c r="O2732" s="229"/>
      <c r="P2732" s="228"/>
    </row>
    <row r="2733" spans="15:16" x14ac:dyDescent="0.25">
      <c r="O2733" s="229"/>
      <c r="P2733" s="228"/>
    </row>
    <row r="2734" spans="15:16" x14ac:dyDescent="0.25">
      <c r="O2734" s="229"/>
      <c r="P2734" s="228"/>
    </row>
    <row r="2735" spans="15:16" x14ac:dyDescent="0.25">
      <c r="O2735" s="229"/>
      <c r="P2735" s="228"/>
    </row>
    <row r="2736" spans="15:16" x14ac:dyDescent="0.25">
      <c r="O2736" s="229"/>
      <c r="P2736" s="228"/>
    </row>
    <row r="2737" spans="15:16" x14ac:dyDescent="0.25">
      <c r="O2737" s="229"/>
      <c r="P2737" s="228"/>
    </row>
    <row r="2738" spans="15:16" x14ac:dyDescent="0.25">
      <c r="O2738" s="229"/>
      <c r="P2738" s="228"/>
    </row>
    <row r="2739" spans="15:16" x14ac:dyDescent="0.25">
      <c r="O2739" s="229"/>
      <c r="P2739" s="228"/>
    </row>
    <row r="2740" spans="15:16" x14ac:dyDescent="0.25">
      <c r="O2740" s="229"/>
      <c r="P2740" s="228"/>
    </row>
    <row r="2741" spans="15:16" x14ac:dyDescent="0.25">
      <c r="O2741" s="229"/>
      <c r="P2741" s="228"/>
    </row>
    <row r="2742" spans="15:16" x14ac:dyDescent="0.25">
      <c r="O2742" s="229"/>
      <c r="P2742" s="228"/>
    </row>
    <row r="2743" spans="15:16" x14ac:dyDescent="0.25">
      <c r="O2743" s="229"/>
      <c r="P2743" s="228"/>
    </row>
    <row r="2744" spans="15:16" x14ac:dyDescent="0.25">
      <c r="O2744" s="229"/>
      <c r="P2744" s="228"/>
    </row>
    <row r="2745" spans="15:16" x14ac:dyDescent="0.25">
      <c r="O2745" s="229"/>
      <c r="P2745" s="228"/>
    </row>
    <row r="2746" spans="15:16" x14ac:dyDescent="0.25">
      <c r="O2746" s="229"/>
      <c r="P2746" s="228"/>
    </row>
    <row r="2747" spans="15:16" x14ac:dyDescent="0.25">
      <c r="O2747" s="229"/>
      <c r="P2747" s="228"/>
    </row>
    <row r="2748" spans="15:16" x14ac:dyDescent="0.25">
      <c r="O2748" s="229"/>
      <c r="P2748" s="228"/>
    </row>
    <row r="2749" spans="15:16" x14ac:dyDescent="0.25">
      <c r="O2749" s="229"/>
      <c r="P2749" s="228"/>
    </row>
    <row r="2750" spans="15:16" x14ac:dyDescent="0.25">
      <c r="O2750" s="229"/>
      <c r="P2750" s="228"/>
    </row>
    <row r="2751" spans="15:16" x14ac:dyDescent="0.25">
      <c r="O2751" s="229"/>
      <c r="P2751" s="228"/>
    </row>
    <row r="2752" spans="15:16" x14ac:dyDescent="0.25">
      <c r="O2752" s="229"/>
      <c r="P2752" s="228"/>
    </row>
    <row r="2753" spans="15:16" x14ac:dyDescent="0.25">
      <c r="O2753" s="229"/>
      <c r="P2753" s="228"/>
    </row>
    <row r="2754" spans="15:16" x14ac:dyDescent="0.25">
      <c r="O2754" s="229"/>
      <c r="P2754" s="228"/>
    </row>
    <row r="2755" spans="15:16" x14ac:dyDescent="0.25">
      <c r="O2755" s="229"/>
      <c r="P2755" s="228"/>
    </row>
    <row r="2756" spans="15:16" x14ac:dyDescent="0.25">
      <c r="O2756" s="229"/>
      <c r="P2756" s="228"/>
    </row>
    <row r="2757" spans="15:16" x14ac:dyDescent="0.25">
      <c r="O2757" s="229"/>
      <c r="P2757" s="228"/>
    </row>
    <row r="2758" spans="15:16" x14ac:dyDescent="0.25">
      <c r="O2758" s="229"/>
      <c r="P2758" s="228"/>
    </row>
    <row r="2759" spans="15:16" x14ac:dyDescent="0.25">
      <c r="O2759" s="229"/>
      <c r="P2759" s="228"/>
    </row>
    <row r="2760" spans="15:16" x14ac:dyDescent="0.25">
      <c r="O2760" s="229"/>
      <c r="P2760" s="228"/>
    </row>
    <row r="2761" spans="15:16" x14ac:dyDescent="0.25">
      <c r="O2761" s="229"/>
      <c r="P2761" s="228"/>
    </row>
    <row r="2762" spans="15:16" x14ac:dyDescent="0.25">
      <c r="O2762" s="229"/>
      <c r="P2762" s="228"/>
    </row>
    <row r="2763" spans="15:16" x14ac:dyDescent="0.25">
      <c r="O2763" s="229"/>
      <c r="P2763" s="228"/>
    </row>
    <row r="2764" spans="15:16" x14ac:dyDescent="0.25">
      <c r="O2764" s="229"/>
      <c r="P2764" s="228"/>
    </row>
    <row r="2765" spans="15:16" x14ac:dyDescent="0.25">
      <c r="O2765" s="229"/>
      <c r="P2765" s="228"/>
    </row>
    <row r="2766" spans="15:16" x14ac:dyDescent="0.25">
      <c r="O2766" s="229"/>
      <c r="P2766" s="228"/>
    </row>
    <row r="2767" spans="15:16" x14ac:dyDescent="0.25">
      <c r="O2767" s="229"/>
      <c r="P2767" s="228"/>
    </row>
    <row r="2768" spans="15:16" x14ac:dyDescent="0.25">
      <c r="O2768" s="229"/>
      <c r="P2768" s="228"/>
    </row>
    <row r="2769" spans="15:16" x14ac:dyDescent="0.25">
      <c r="O2769" s="229"/>
      <c r="P2769" s="228"/>
    </row>
    <row r="2770" spans="15:16" x14ac:dyDescent="0.25">
      <c r="O2770" s="229"/>
      <c r="P2770" s="228"/>
    </row>
    <row r="2771" spans="15:16" x14ac:dyDescent="0.25">
      <c r="O2771" s="229"/>
      <c r="P2771" s="228"/>
    </row>
    <row r="2772" spans="15:16" x14ac:dyDescent="0.25">
      <c r="O2772" s="229"/>
      <c r="P2772" s="228"/>
    </row>
    <row r="2773" spans="15:16" x14ac:dyDescent="0.25">
      <c r="O2773" s="229"/>
      <c r="P2773" s="228"/>
    </row>
    <row r="2774" spans="15:16" x14ac:dyDescent="0.25">
      <c r="O2774" s="229"/>
      <c r="P2774" s="228"/>
    </row>
    <row r="2775" spans="15:16" x14ac:dyDescent="0.25">
      <c r="O2775" s="229"/>
      <c r="P2775" s="228"/>
    </row>
    <row r="2776" spans="15:16" x14ac:dyDescent="0.25">
      <c r="O2776" s="229"/>
      <c r="P2776" s="228"/>
    </row>
    <row r="2777" spans="15:16" x14ac:dyDescent="0.25">
      <c r="O2777" s="229"/>
      <c r="P2777" s="228"/>
    </row>
    <row r="2778" spans="15:16" x14ac:dyDescent="0.25">
      <c r="O2778" s="229"/>
      <c r="P2778" s="228"/>
    </row>
    <row r="2779" spans="15:16" x14ac:dyDescent="0.25">
      <c r="O2779" s="229"/>
      <c r="P2779" s="228"/>
    </row>
    <row r="2780" spans="15:16" x14ac:dyDescent="0.25">
      <c r="O2780" s="229"/>
      <c r="P2780" s="228"/>
    </row>
    <row r="2781" spans="15:16" x14ac:dyDescent="0.25">
      <c r="O2781" s="229"/>
      <c r="P2781" s="228"/>
    </row>
    <row r="2782" spans="15:16" x14ac:dyDescent="0.25">
      <c r="O2782" s="229"/>
      <c r="P2782" s="228"/>
    </row>
    <row r="2783" spans="15:16" x14ac:dyDescent="0.25">
      <c r="O2783" s="229"/>
      <c r="P2783" s="228"/>
    </row>
    <row r="2784" spans="15:16" x14ac:dyDescent="0.25">
      <c r="O2784" s="229"/>
      <c r="P2784" s="228"/>
    </row>
    <row r="2785" spans="15:16" x14ac:dyDescent="0.25">
      <c r="O2785" s="229"/>
      <c r="P2785" s="228"/>
    </row>
    <row r="2786" spans="15:16" x14ac:dyDescent="0.25">
      <c r="O2786" s="229"/>
      <c r="P2786" s="228"/>
    </row>
    <row r="2787" spans="15:16" x14ac:dyDescent="0.25">
      <c r="O2787" s="229"/>
      <c r="P2787" s="228"/>
    </row>
    <row r="2788" spans="15:16" x14ac:dyDescent="0.25">
      <c r="O2788" s="229"/>
      <c r="P2788" s="228"/>
    </row>
    <row r="2789" spans="15:16" x14ac:dyDescent="0.25">
      <c r="O2789" s="229"/>
      <c r="P2789" s="228"/>
    </row>
    <row r="2790" spans="15:16" x14ac:dyDescent="0.25">
      <c r="O2790" s="229"/>
      <c r="P2790" s="228"/>
    </row>
    <row r="2791" spans="15:16" x14ac:dyDescent="0.25">
      <c r="O2791" s="229"/>
      <c r="P2791" s="228"/>
    </row>
    <row r="2792" spans="15:16" x14ac:dyDescent="0.25">
      <c r="O2792" s="229"/>
      <c r="P2792" s="228"/>
    </row>
    <row r="2793" spans="15:16" x14ac:dyDescent="0.25">
      <c r="O2793" s="229"/>
      <c r="P2793" s="228"/>
    </row>
    <row r="2794" spans="15:16" x14ac:dyDescent="0.25">
      <c r="O2794" s="229"/>
      <c r="P2794" s="228"/>
    </row>
    <row r="2795" spans="15:16" x14ac:dyDescent="0.25">
      <c r="O2795" s="229"/>
      <c r="P2795" s="228"/>
    </row>
    <row r="2796" spans="15:16" x14ac:dyDescent="0.25">
      <c r="O2796" s="229"/>
      <c r="P2796" s="228"/>
    </row>
    <row r="2797" spans="15:16" x14ac:dyDescent="0.25">
      <c r="O2797" s="229"/>
      <c r="P2797" s="228"/>
    </row>
    <row r="2798" spans="15:16" x14ac:dyDescent="0.25">
      <c r="O2798" s="229"/>
      <c r="P2798" s="228"/>
    </row>
    <row r="2799" spans="15:16" x14ac:dyDescent="0.25">
      <c r="O2799" s="229"/>
      <c r="P2799" s="228"/>
    </row>
    <row r="2800" spans="15:16" x14ac:dyDescent="0.25">
      <c r="O2800" s="229"/>
      <c r="P2800" s="228"/>
    </row>
    <row r="2801" spans="15:16" x14ac:dyDescent="0.25">
      <c r="O2801" s="229"/>
      <c r="P2801" s="228"/>
    </row>
    <row r="2802" spans="15:16" x14ac:dyDescent="0.25">
      <c r="O2802" s="229"/>
      <c r="P2802" s="228"/>
    </row>
    <row r="2803" spans="15:16" x14ac:dyDescent="0.25">
      <c r="O2803" s="229"/>
      <c r="P2803" s="228"/>
    </row>
    <row r="2804" spans="15:16" x14ac:dyDescent="0.25">
      <c r="O2804" s="229"/>
      <c r="P2804" s="228"/>
    </row>
    <row r="2805" spans="15:16" x14ac:dyDescent="0.25">
      <c r="O2805" s="229"/>
      <c r="P2805" s="228"/>
    </row>
    <row r="2806" spans="15:16" x14ac:dyDescent="0.25">
      <c r="O2806" s="229"/>
      <c r="P2806" s="228"/>
    </row>
    <row r="2807" spans="15:16" x14ac:dyDescent="0.25">
      <c r="O2807" s="229"/>
      <c r="P2807" s="228"/>
    </row>
    <row r="2808" spans="15:16" x14ac:dyDescent="0.25">
      <c r="O2808" s="229"/>
      <c r="P2808" s="228"/>
    </row>
    <row r="2809" spans="15:16" x14ac:dyDescent="0.25">
      <c r="O2809" s="229"/>
      <c r="P2809" s="228"/>
    </row>
    <row r="2810" spans="15:16" x14ac:dyDescent="0.25">
      <c r="O2810" s="229"/>
      <c r="P2810" s="228"/>
    </row>
    <row r="2811" spans="15:16" x14ac:dyDescent="0.25">
      <c r="O2811" s="229"/>
      <c r="P2811" s="228"/>
    </row>
    <row r="2812" spans="15:16" x14ac:dyDescent="0.25">
      <c r="O2812" s="229"/>
      <c r="P2812" s="228"/>
    </row>
    <row r="2813" spans="15:16" x14ac:dyDescent="0.25">
      <c r="O2813" s="229"/>
      <c r="P2813" s="228"/>
    </row>
    <row r="2814" spans="15:16" x14ac:dyDescent="0.25">
      <c r="O2814" s="229"/>
      <c r="P2814" s="228"/>
    </row>
    <row r="2815" spans="15:16" x14ac:dyDescent="0.25">
      <c r="O2815" s="229"/>
      <c r="P2815" s="228"/>
    </row>
    <row r="2816" spans="15:16" x14ac:dyDescent="0.25">
      <c r="O2816" s="229"/>
      <c r="P2816" s="228"/>
    </row>
    <row r="2817" spans="15:16" x14ac:dyDescent="0.25">
      <c r="O2817" s="229"/>
      <c r="P2817" s="228"/>
    </row>
    <row r="2818" spans="15:16" x14ac:dyDescent="0.25">
      <c r="O2818" s="229"/>
      <c r="P2818" s="228"/>
    </row>
    <row r="2819" spans="15:16" x14ac:dyDescent="0.25">
      <c r="O2819" s="229"/>
      <c r="P2819" s="228"/>
    </row>
    <row r="2820" spans="15:16" x14ac:dyDescent="0.25">
      <c r="O2820" s="229"/>
      <c r="P2820" s="228"/>
    </row>
    <row r="2821" spans="15:16" x14ac:dyDescent="0.25">
      <c r="O2821" s="229"/>
      <c r="P2821" s="228"/>
    </row>
    <row r="2822" spans="15:16" x14ac:dyDescent="0.25">
      <c r="O2822" s="229"/>
      <c r="P2822" s="228"/>
    </row>
    <row r="2823" spans="15:16" x14ac:dyDescent="0.25">
      <c r="O2823" s="229"/>
      <c r="P2823" s="228"/>
    </row>
    <row r="2824" spans="15:16" x14ac:dyDescent="0.25">
      <c r="O2824" s="229"/>
      <c r="P2824" s="228"/>
    </row>
    <row r="2825" spans="15:16" x14ac:dyDescent="0.25">
      <c r="O2825" s="229"/>
      <c r="P2825" s="228"/>
    </row>
    <row r="2826" spans="15:16" x14ac:dyDescent="0.25">
      <c r="O2826" s="229"/>
      <c r="P2826" s="228"/>
    </row>
    <row r="2827" spans="15:16" x14ac:dyDescent="0.25">
      <c r="O2827" s="229"/>
      <c r="P2827" s="228"/>
    </row>
    <row r="2828" spans="15:16" x14ac:dyDescent="0.25">
      <c r="O2828" s="229"/>
      <c r="P2828" s="228"/>
    </row>
    <row r="2829" spans="15:16" x14ac:dyDescent="0.25">
      <c r="O2829" s="229"/>
      <c r="P2829" s="228"/>
    </row>
    <row r="2830" spans="15:16" x14ac:dyDescent="0.25">
      <c r="O2830" s="229"/>
      <c r="P2830" s="228"/>
    </row>
    <row r="2831" spans="15:16" x14ac:dyDescent="0.25">
      <c r="O2831" s="229"/>
      <c r="P2831" s="228"/>
    </row>
    <row r="2832" spans="15:16" x14ac:dyDescent="0.25">
      <c r="O2832" s="229"/>
      <c r="P2832" s="228"/>
    </row>
    <row r="2833" spans="15:16" x14ac:dyDescent="0.25">
      <c r="O2833" s="229"/>
      <c r="P2833" s="228"/>
    </row>
    <row r="2834" spans="15:16" x14ac:dyDescent="0.25">
      <c r="O2834" s="229"/>
      <c r="P2834" s="228"/>
    </row>
    <row r="2835" spans="15:16" x14ac:dyDescent="0.25">
      <c r="O2835" s="229"/>
      <c r="P2835" s="228"/>
    </row>
    <row r="2836" spans="15:16" x14ac:dyDescent="0.25">
      <c r="O2836" s="229"/>
      <c r="P2836" s="228"/>
    </row>
    <row r="2837" spans="15:16" x14ac:dyDescent="0.25">
      <c r="O2837" s="229"/>
      <c r="P2837" s="228"/>
    </row>
    <row r="2838" spans="15:16" x14ac:dyDescent="0.25">
      <c r="O2838" s="229"/>
      <c r="P2838" s="228"/>
    </row>
    <row r="2839" spans="15:16" x14ac:dyDescent="0.25">
      <c r="O2839" s="229"/>
      <c r="P2839" s="228"/>
    </row>
    <row r="2840" spans="15:16" x14ac:dyDescent="0.25">
      <c r="O2840" s="229"/>
      <c r="P2840" s="228"/>
    </row>
    <row r="2841" spans="15:16" x14ac:dyDescent="0.25">
      <c r="O2841" s="229"/>
      <c r="P2841" s="228"/>
    </row>
    <row r="2842" spans="15:16" x14ac:dyDescent="0.25">
      <c r="O2842" s="229"/>
      <c r="P2842" s="228"/>
    </row>
    <row r="2843" spans="15:16" x14ac:dyDescent="0.25">
      <c r="O2843" s="229"/>
      <c r="P2843" s="228"/>
    </row>
    <row r="2844" spans="15:16" x14ac:dyDescent="0.25">
      <c r="O2844" s="229"/>
      <c r="P2844" s="228"/>
    </row>
    <row r="2845" spans="15:16" x14ac:dyDescent="0.25">
      <c r="O2845" s="229"/>
      <c r="P2845" s="228"/>
    </row>
    <row r="2846" spans="15:16" x14ac:dyDescent="0.25">
      <c r="O2846" s="229"/>
      <c r="P2846" s="228"/>
    </row>
    <row r="2847" spans="15:16" x14ac:dyDescent="0.25">
      <c r="O2847" s="229"/>
      <c r="P2847" s="228"/>
    </row>
    <row r="2848" spans="15:16" x14ac:dyDescent="0.25">
      <c r="O2848" s="229"/>
      <c r="P2848" s="228"/>
    </row>
    <row r="2849" spans="15:16" x14ac:dyDescent="0.25">
      <c r="O2849" s="229"/>
      <c r="P2849" s="228"/>
    </row>
    <row r="2850" spans="15:16" x14ac:dyDescent="0.25">
      <c r="O2850" s="229"/>
      <c r="P2850" s="228"/>
    </row>
    <row r="2851" spans="15:16" x14ac:dyDescent="0.25">
      <c r="O2851" s="229"/>
      <c r="P2851" s="228"/>
    </row>
    <row r="2852" spans="15:16" x14ac:dyDescent="0.25">
      <c r="O2852" s="229"/>
      <c r="P2852" s="228"/>
    </row>
    <row r="2853" spans="15:16" x14ac:dyDescent="0.25">
      <c r="O2853" s="229"/>
      <c r="P2853" s="228"/>
    </row>
    <row r="2854" spans="15:16" x14ac:dyDescent="0.25">
      <c r="O2854" s="229"/>
      <c r="P2854" s="228"/>
    </row>
    <row r="2855" spans="15:16" x14ac:dyDescent="0.25">
      <c r="O2855" s="229"/>
      <c r="P2855" s="228"/>
    </row>
    <row r="2856" spans="15:16" x14ac:dyDescent="0.25">
      <c r="O2856" s="229"/>
      <c r="P2856" s="228"/>
    </row>
    <row r="2857" spans="15:16" x14ac:dyDescent="0.25">
      <c r="O2857" s="229"/>
      <c r="P2857" s="228"/>
    </row>
    <row r="2858" spans="15:16" x14ac:dyDescent="0.25">
      <c r="O2858" s="229"/>
      <c r="P2858" s="228"/>
    </row>
    <row r="2859" spans="15:16" x14ac:dyDescent="0.25">
      <c r="O2859" s="229"/>
      <c r="P2859" s="228"/>
    </row>
    <row r="2860" spans="15:16" x14ac:dyDescent="0.25">
      <c r="O2860" s="229"/>
      <c r="P2860" s="228"/>
    </row>
    <row r="2861" spans="15:16" x14ac:dyDescent="0.25">
      <c r="O2861" s="229"/>
      <c r="P2861" s="228"/>
    </row>
    <row r="2862" spans="15:16" x14ac:dyDescent="0.25">
      <c r="O2862" s="229"/>
      <c r="P2862" s="228"/>
    </row>
    <row r="2863" spans="15:16" x14ac:dyDescent="0.25">
      <c r="O2863" s="229"/>
      <c r="P2863" s="228"/>
    </row>
    <row r="2864" spans="15:16" x14ac:dyDescent="0.25">
      <c r="O2864" s="229"/>
      <c r="P2864" s="228"/>
    </row>
    <row r="2865" spans="15:16" x14ac:dyDescent="0.25">
      <c r="O2865" s="229"/>
      <c r="P2865" s="228"/>
    </row>
    <row r="2866" spans="15:16" x14ac:dyDescent="0.25">
      <c r="O2866" s="229"/>
      <c r="P2866" s="228"/>
    </row>
    <row r="2867" spans="15:16" x14ac:dyDescent="0.25">
      <c r="O2867" s="229"/>
      <c r="P2867" s="228"/>
    </row>
    <row r="2868" spans="15:16" x14ac:dyDescent="0.25">
      <c r="O2868" s="229"/>
      <c r="P2868" s="228"/>
    </row>
    <row r="2869" spans="15:16" x14ac:dyDescent="0.25">
      <c r="O2869" s="229"/>
      <c r="P2869" s="228"/>
    </row>
    <row r="2870" spans="15:16" x14ac:dyDescent="0.25">
      <c r="O2870" s="229"/>
      <c r="P2870" s="228"/>
    </row>
    <row r="2871" spans="15:16" x14ac:dyDescent="0.25">
      <c r="O2871" s="229"/>
      <c r="P2871" s="228"/>
    </row>
    <row r="2872" spans="15:16" x14ac:dyDescent="0.25">
      <c r="O2872" s="229"/>
      <c r="P2872" s="228"/>
    </row>
    <row r="2873" spans="15:16" x14ac:dyDescent="0.25">
      <c r="O2873" s="229"/>
      <c r="P2873" s="228"/>
    </row>
    <row r="2874" spans="15:16" x14ac:dyDescent="0.25">
      <c r="O2874" s="229"/>
      <c r="P2874" s="228"/>
    </row>
    <row r="2875" spans="15:16" x14ac:dyDescent="0.25">
      <c r="O2875" s="229"/>
      <c r="P2875" s="228"/>
    </row>
    <row r="2876" spans="15:16" x14ac:dyDescent="0.25">
      <c r="O2876" s="229"/>
      <c r="P2876" s="228"/>
    </row>
    <row r="2877" spans="15:16" x14ac:dyDescent="0.25">
      <c r="O2877" s="229"/>
      <c r="P2877" s="228"/>
    </row>
    <row r="2878" spans="15:16" x14ac:dyDescent="0.25">
      <c r="O2878" s="229"/>
      <c r="P2878" s="228"/>
    </row>
    <row r="2879" spans="15:16" x14ac:dyDescent="0.25">
      <c r="O2879" s="229"/>
      <c r="P2879" s="228"/>
    </row>
    <row r="2880" spans="15:16" x14ac:dyDescent="0.25">
      <c r="O2880" s="229"/>
      <c r="P2880" s="228"/>
    </row>
    <row r="2881" spans="15:16" x14ac:dyDescent="0.25">
      <c r="O2881" s="229"/>
      <c r="P2881" s="228"/>
    </row>
    <row r="2882" spans="15:16" x14ac:dyDescent="0.25">
      <c r="O2882" s="229"/>
      <c r="P2882" s="228"/>
    </row>
    <row r="2883" spans="15:16" x14ac:dyDescent="0.25">
      <c r="O2883" s="229"/>
      <c r="P2883" s="228"/>
    </row>
    <row r="2884" spans="15:16" x14ac:dyDescent="0.25">
      <c r="O2884" s="229"/>
      <c r="P2884" s="228"/>
    </row>
    <row r="2885" spans="15:16" x14ac:dyDescent="0.25">
      <c r="O2885" s="229"/>
      <c r="P2885" s="228"/>
    </row>
    <row r="2886" spans="15:16" x14ac:dyDescent="0.25">
      <c r="O2886" s="229"/>
      <c r="P2886" s="228"/>
    </row>
    <row r="2887" spans="15:16" x14ac:dyDescent="0.25">
      <c r="O2887" s="229"/>
      <c r="P2887" s="228"/>
    </row>
    <row r="2888" spans="15:16" x14ac:dyDescent="0.25">
      <c r="O2888" s="229"/>
      <c r="P2888" s="228"/>
    </row>
    <row r="2889" spans="15:16" x14ac:dyDescent="0.25">
      <c r="O2889" s="229"/>
      <c r="P2889" s="228"/>
    </row>
    <row r="2890" spans="15:16" x14ac:dyDescent="0.25">
      <c r="O2890" s="229"/>
      <c r="P2890" s="228"/>
    </row>
    <row r="2891" spans="15:16" x14ac:dyDescent="0.25">
      <c r="O2891" s="229"/>
      <c r="P2891" s="228"/>
    </row>
    <row r="2892" spans="15:16" x14ac:dyDescent="0.25">
      <c r="O2892" s="229"/>
      <c r="P2892" s="228"/>
    </row>
    <row r="2893" spans="15:16" x14ac:dyDescent="0.25">
      <c r="O2893" s="229"/>
      <c r="P2893" s="228"/>
    </row>
    <row r="2894" spans="15:16" x14ac:dyDescent="0.25">
      <c r="O2894" s="229"/>
      <c r="P2894" s="228"/>
    </row>
    <row r="2895" spans="15:16" x14ac:dyDescent="0.25">
      <c r="O2895" s="229"/>
      <c r="P2895" s="228"/>
    </row>
    <row r="2896" spans="15:16" x14ac:dyDescent="0.25">
      <c r="O2896" s="229"/>
      <c r="P2896" s="228"/>
    </row>
    <row r="2897" spans="15:16" x14ac:dyDescent="0.25">
      <c r="O2897" s="229"/>
      <c r="P2897" s="228"/>
    </row>
    <row r="2898" spans="15:16" x14ac:dyDescent="0.25">
      <c r="O2898" s="229"/>
      <c r="P2898" s="228"/>
    </row>
    <row r="2899" spans="15:16" x14ac:dyDescent="0.25">
      <c r="O2899" s="229"/>
      <c r="P2899" s="228"/>
    </row>
    <row r="2900" spans="15:16" x14ac:dyDescent="0.25">
      <c r="O2900" s="229"/>
      <c r="P2900" s="228"/>
    </row>
    <row r="2901" spans="15:16" x14ac:dyDescent="0.25">
      <c r="O2901" s="229"/>
      <c r="P2901" s="228"/>
    </row>
    <row r="2902" spans="15:16" x14ac:dyDescent="0.25">
      <c r="O2902" s="229"/>
      <c r="P2902" s="228"/>
    </row>
    <row r="2903" spans="15:16" x14ac:dyDescent="0.25">
      <c r="O2903" s="229"/>
      <c r="P2903" s="228"/>
    </row>
    <row r="2904" spans="15:16" x14ac:dyDescent="0.25">
      <c r="O2904" s="229"/>
      <c r="P2904" s="228"/>
    </row>
    <row r="2905" spans="15:16" x14ac:dyDescent="0.25">
      <c r="O2905" s="229"/>
      <c r="P2905" s="228"/>
    </row>
    <row r="2906" spans="15:16" x14ac:dyDescent="0.25">
      <c r="O2906" s="229"/>
      <c r="P2906" s="228"/>
    </row>
    <row r="2907" spans="15:16" x14ac:dyDescent="0.25">
      <c r="O2907" s="229"/>
      <c r="P2907" s="228"/>
    </row>
    <row r="2908" spans="15:16" x14ac:dyDescent="0.25">
      <c r="O2908" s="229"/>
      <c r="P2908" s="228"/>
    </row>
    <row r="2909" spans="15:16" x14ac:dyDescent="0.25">
      <c r="O2909" s="229"/>
      <c r="P2909" s="228"/>
    </row>
    <row r="2910" spans="15:16" x14ac:dyDescent="0.25">
      <c r="O2910" s="229"/>
      <c r="P2910" s="228"/>
    </row>
    <row r="2911" spans="15:16" x14ac:dyDescent="0.25">
      <c r="O2911" s="229"/>
      <c r="P2911" s="228"/>
    </row>
    <row r="2912" spans="15:16" x14ac:dyDescent="0.25">
      <c r="O2912" s="229"/>
      <c r="P2912" s="228"/>
    </row>
    <row r="2913" spans="15:16" x14ac:dyDescent="0.25">
      <c r="O2913" s="229"/>
      <c r="P2913" s="228"/>
    </row>
    <row r="2914" spans="15:16" x14ac:dyDescent="0.25">
      <c r="O2914" s="229"/>
      <c r="P2914" s="228"/>
    </row>
    <row r="2915" spans="15:16" x14ac:dyDescent="0.25">
      <c r="O2915" s="229"/>
      <c r="P2915" s="228"/>
    </row>
    <row r="2916" spans="15:16" x14ac:dyDescent="0.25">
      <c r="O2916" s="229"/>
      <c r="P2916" s="228"/>
    </row>
    <row r="2917" spans="15:16" x14ac:dyDescent="0.25">
      <c r="O2917" s="229"/>
      <c r="P2917" s="228"/>
    </row>
    <row r="2918" spans="15:16" x14ac:dyDescent="0.25">
      <c r="O2918" s="229"/>
      <c r="P2918" s="228"/>
    </row>
    <row r="2919" spans="15:16" x14ac:dyDescent="0.25">
      <c r="O2919" s="229"/>
      <c r="P2919" s="228"/>
    </row>
    <row r="2920" spans="15:16" x14ac:dyDescent="0.25">
      <c r="O2920" s="229"/>
      <c r="P2920" s="228"/>
    </row>
    <row r="2921" spans="15:16" x14ac:dyDescent="0.25">
      <c r="O2921" s="229"/>
      <c r="P2921" s="228"/>
    </row>
    <row r="2922" spans="15:16" x14ac:dyDescent="0.25">
      <c r="O2922" s="229"/>
      <c r="P2922" s="228"/>
    </row>
    <row r="2923" spans="15:16" x14ac:dyDescent="0.25">
      <c r="O2923" s="229"/>
      <c r="P2923" s="228"/>
    </row>
    <row r="2924" spans="15:16" x14ac:dyDescent="0.25">
      <c r="O2924" s="229"/>
      <c r="P2924" s="228"/>
    </row>
    <row r="2925" spans="15:16" x14ac:dyDescent="0.25">
      <c r="O2925" s="229"/>
      <c r="P2925" s="228"/>
    </row>
    <row r="2926" spans="15:16" x14ac:dyDescent="0.25">
      <c r="O2926" s="229"/>
      <c r="P2926" s="228"/>
    </row>
    <row r="2927" spans="15:16" x14ac:dyDescent="0.25">
      <c r="O2927" s="229"/>
      <c r="P2927" s="228"/>
    </row>
    <row r="2928" spans="15:16" x14ac:dyDescent="0.25">
      <c r="O2928" s="229"/>
      <c r="P2928" s="228"/>
    </row>
    <row r="2929" spans="15:16" x14ac:dyDescent="0.25">
      <c r="O2929" s="229"/>
      <c r="P2929" s="228"/>
    </row>
    <row r="2930" spans="15:16" x14ac:dyDescent="0.25">
      <c r="O2930" s="229"/>
      <c r="P2930" s="228"/>
    </row>
    <row r="2931" spans="15:16" x14ac:dyDescent="0.25">
      <c r="O2931" s="229"/>
      <c r="P2931" s="228"/>
    </row>
    <row r="2932" spans="15:16" x14ac:dyDescent="0.25">
      <c r="O2932" s="229"/>
      <c r="P2932" s="228"/>
    </row>
    <row r="2933" spans="15:16" x14ac:dyDescent="0.25">
      <c r="O2933" s="229"/>
      <c r="P2933" s="228"/>
    </row>
    <row r="2934" spans="15:16" x14ac:dyDescent="0.25">
      <c r="O2934" s="229"/>
      <c r="P2934" s="228"/>
    </row>
    <row r="2935" spans="15:16" x14ac:dyDescent="0.25">
      <c r="O2935" s="229"/>
      <c r="P2935" s="228"/>
    </row>
    <row r="2936" spans="15:16" x14ac:dyDescent="0.25">
      <c r="O2936" s="229"/>
      <c r="P2936" s="228"/>
    </row>
    <row r="2937" spans="15:16" x14ac:dyDescent="0.25">
      <c r="O2937" s="229"/>
      <c r="P2937" s="228"/>
    </row>
    <row r="2938" spans="15:16" x14ac:dyDescent="0.25">
      <c r="O2938" s="229"/>
      <c r="P2938" s="228"/>
    </row>
    <row r="2939" spans="15:16" x14ac:dyDescent="0.25">
      <c r="O2939" s="229"/>
      <c r="P2939" s="228"/>
    </row>
    <row r="2940" spans="15:16" x14ac:dyDescent="0.25">
      <c r="O2940" s="229"/>
      <c r="P2940" s="228"/>
    </row>
    <row r="2941" spans="15:16" x14ac:dyDescent="0.25">
      <c r="O2941" s="229"/>
      <c r="P2941" s="228"/>
    </row>
    <row r="2942" spans="15:16" x14ac:dyDescent="0.25">
      <c r="O2942" s="229"/>
      <c r="P2942" s="228"/>
    </row>
    <row r="2943" spans="15:16" x14ac:dyDescent="0.25">
      <c r="O2943" s="229"/>
      <c r="P2943" s="228"/>
    </row>
    <row r="2944" spans="15:16" x14ac:dyDescent="0.25">
      <c r="O2944" s="229"/>
      <c r="P2944" s="228"/>
    </row>
    <row r="2945" spans="15:16" x14ac:dyDescent="0.25">
      <c r="O2945" s="229"/>
      <c r="P2945" s="228"/>
    </row>
    <row r="2946" spans="15:16" x14ac:dyDescent="0.25">
      <c r="O2946" s="229"/>
      <c r="P2946" s="228"/>
    </row>
    <row r="2947" spans="15:16" x14ac:dyDescent="0.25">
      <c r="O2947" s="229"/>
      <c r="P2947" s="228"/>
    </row>
    <row r="2948" spans="15:16" x14ac:dyDescent="0.25">
      <c r="O2948" s="229"/>
      <c r="P2948" s="228"/>
    </row>
    <row r="2949" spans="15:16" x14ac:dyDescent="0.25">
      <c r="O2949" s="229"/>
      <c r="P2949" s="228"/>
    </row>
    <row r="2950" spans="15:16" x14ac:dyDescent="0.25">
      <c r="O2950" s="229"/>
      <c r="P2950" s="228"/>
    </row>
    <row r="2951" spans="15:16" x14ac:dyDescent="0.25">
      <c r="O2951" s="229"/>
      <c r="P2951" s="228"/>
    </row>
    <row r="2952" spans="15:16" x14ac:dyDescent="0.25">
      <c r="O2952" s="229"/>
      <c r="P2952" s="228"/>
    </row>
    <row r="2953" spans="15:16" x14ac:dyDescent="0.25">
      <c r="O2953" s="229"/>
      <c r="P2953" s="228"/>
    </row>
    <row r="2954" spans="15:16" x14ac:dyDescent="0.25">
      <c r="O2954" s="229"/>
      <c r="P2954" s="228"/>
    </row>
    <row r="2955" spans="15:16" x14ac:dyDescent="0.25">
      <c r="O2955" s="229"/>
      <c r="P2955" s="228"/>
    </row>
    <row r="2956" spans="15:16" x14ac:dyDescent="0.25">
      <c r="O2956" s="229"/>
      <c r="P2956" s="228"/>
    </row>
    <row r="2957" spans="15:16" x14ac:dyDescent="0.25">
      <c r="O2957" s="229"/>
      <c r="P2957" s="228"/>
    </row>
    <row r="2958" spans="15:16" x14ac:dyDescent="0.25">
      <c r="O2958" s="229"/>
      <c r="P2958" s="228"/>
    </row>
    <row r="2959" spans="15:16" x14ac:dyDescent="0.25">
      <c r="O2959" s="229"/>
      <c r="P2959" s="228"/>
    </row>
    <row r="2960" spans="15:16" x14ac:dyDescent="0.25">
      <c r="O2960" s="229"/>
      <c r="P2960" s="228"/>
    </row>
    <row r="2961" spans="15:16" x14ac:dyDescent="0.25">
      <c r="O2961" s="229"/>
      <c r="P2961" s="228"/>
    </row>
    <row r="2962" spans="15:16" x14ac:dyDescent="0.25">
      <c r="O2962" s="229"/>
      <c r="P2962" s="228"/>
    </row>
    <row r="2963" spans="15:16" x14ac:dyDescent="0.25">
      <c r="O2963" s="229"/>
      <c r="P2963" s="228"/>
    </row>
    <row r="2964" spans="15:16" x14ac:dyDescent="0.25">
      <c r="O2964" s="229"/>
      <c r="P2964" s="228"/>
    </row>
    <row r="2965" spans="15:16" x14ac:dyDescent="0.25">
      <c r="O2965" s="229"/>
      <c r="P2965" s="228"/>
    </row>
    <row r="2966" spans="15:16" x14ac:dyDescent="0.25">
      <c r="O2966" s="229"/>
      <c r="P2966" s="228"/>
    </row>
    <row r="2967" spans="15:16" x14ac:dyDescent="0.25">
      <c r="O2967" s="229"/>
      <c r="P2967" s="228"/>
    </row>
    <row r="2968" spans="15:16" x14ac:dyDescent="0.25">
      <c r="O2968" s="229"/>
      <c r="P2968" s="228"/>
    </row>
    <row r="2969" spans="15:16" x14ac:dyDescent="0.25">
      <c r="O2969" s="229"/>
      <c r="P2969" s="228"/>
    </row>
    <row r="2970" spans="15:16" x14ac:dyDescent="0.25">
      <c r="O2970" s="229"/>
      <c r="P2970" s="228"/>
    </row>
    <row r="2971" spans="15:16" x14ac:dyDescent="0.25">
      <c r="O2971" s="229"/>
      <c r="P2971" s="228"/>
    </row>
    <row r="2972" spans="15:16" x14ac:dyDescent="0.25">
      <c r="O2972" s="229"/>
      <c r="P2972" s="228"/>
    </row>
    <row r="2973" spans="15:16" x14ac:dyDescent="0.25">
      <c r="O2973" s="229"/>
      <c r="P2973" s="228"/>
    </row>
    <row r="2974" spans="15:16" x14ac:dyDescent="0.25">
      <c r="O2974" s="229"/>
      <c r="P2974" s="228"/>
    </row>
    <row r="2975" spans="15:16" x14ac:dyDescent="0.25">
      <c r="O2975" s="229"/>
      <c r="P2975" s="228"/>
    </row>
    <row r="2976" spans="15:16" x14ac:dyDescent="0.25">
      <c r="O2976" s="229"/>
      <c r="P2976" s="228"/>
    </row>
    <row r="2977" spans="15:16" x14ac:dyDescent="0.25">
      <c r="O2977" s="229"/>
      <c r="P2977" s="228"/>
    </row>
    <row r="2978" spans="15:16" x14ac:dyDescent="0.25">
      <c r="O2978" s="229"/>
      <c r="P2978" s="228"/>
    </row>
    <row r="2979" spans="15:16" x14ac:dyDescent="0.25">
      <c r="O2979" s="229"/>
      <c r="P2979" s="228"/>
    </row>
    <row r="2980" spans="15:16" x14ac:dyDescent="0.25">
      <c r="O2980" s="229"/>
      <c r="P2980" s="228"/>
    </row>
    <row r="2981" spans="15:16" x14ac:dyDescent="0.25">
      <c r="O2981" s="229"/>
      <c r="P2981" s="228"/>
    </row>
    <row r="2982" spans="15:16" x14ac:dyDescent="0.25">
      <c r="O2982" s="229"/>
      <c r="P2982" s="228"/>
    </row>
    <row r="2983" spans="15:16" x14ac:dyDescent="0.25">
      <c r="O2983" s="229"/>
      <c r="P2983" s="228"/>
    </row>
    <row r="2984" spans="15:16" x14ac:dyDescent="0.25">
      <c r="O2984" s="229"/>
      <c r="P2984" s="228"/>
    </row>
    <row r="2985" spans="15:16" x14ac:dyDescent="0.25">
      <c r="O2985" s="229"/>
      <c r="P2985" s="228"/>
    </row>
    <row r="2986" spans="15:16" x14ac:dyDescent="0.25">
      <c r="O2986" s="229"/>
      <c r="P2986" s="228"/>
    </row>
    <row r="2987" spans="15:16" x14ac:dyDescent="0.25">
      <c r="O2987" s="229"/>
      <c r="P2987" s="228"/>
    </row>
    <row r="2988" spans="15:16" x14ac:dyDescent="0.25">
      <c r="O2988" s="229"/>
      <c r="P2988" s="228"/>
    </row>
    <row r="2989" spans="15:16" x14ac:dyDescent="0.25">
      <c r="O2989" s="229"/>
      <c r="P2989" s="228"/>
    </row>
    <row r="2990" spans="15:16" x14ac:dyDescent="0.25">
      <c r="O2990" s="229"/>
      <c r="P2990" s="228"/>
    </row>
    <row r="2991" spans="15:16" x14ac:dyDescent="0.25">
      <c r="O2991" s="229"/>
      <c r="P2991" s="228"/>
    </row>
    <row r="2992" spans="15:16" x14ac:dyDescent="0.25">
      <c r="O2992" s="229"/>
      <c r="P2992" s="228"/>
    </row>
    <row r="2993" spans="15:16" x14ac:dyDescent="0.25">
      <c r="O2993" s="229"/>
      <c r="P2993" s="228"/>
    </row>
    <row r="2994" spans="15:16" x14ac:dyDescent="0.25">
      <c r="O2994" s="229"/>
      <c r="P2994" s="228"/>
    </row>
    <row r="2995" spans="15:16" x14ac:dyDescent="0.25">
      <c r="O2995" s="229"/>
      <c r="P2995" s="228"/>
    </row>
    <row r="2996" spans="15:16" x14ac:dyDescent="0.25">
      <c r="O2996" s="229"/>
      <c r="P2996" s="228"/>
    </row>
    <row r="2997" spans="15:16" x14ac:dyDescent="0.25">
      <c r="O2997" s="229"/>
      <c r="P2997" s="228"/>
    </row>
    <row r="2998" spans="15:16" x14ac:dyDescent="0.25">
      <c r="O2998" s="229"/>
      <c r="P2998" s="228"/>
    </row>
    <row r="2999" spans="15:16" x14ac:dyDescent="0.25">
      <c r="O2999" s="229"/>
      <c r="P2999" s="228"/>
    </row>
    <row r="3000" spans="15:16" x14ac:dyDescent="0.25">
      <c r="O3000" s="229"/>
      <c r="P3000" s="228"/>
    </row>
    <row r="3001" spans="15:16" x14ac:dyDescent="0.25">
      <c r="O3001" s="229"/>
      <c r="P3001" s="228"/>
    </row>
    <row r="3002" spans="15:16" x14ac:dyDescent="0.25">
      <c r="O3002" s="229"/>
      <c r="P3002" s="228"/>
    </row>
    <row r="3003" spans="15:16" x14ac:dyDescent="0.25">
      <c r="O3003" s="229"/>
      <c r="P3003" s="228"/>
    </row>
    <row r="3004" spans="15:16" x14ac:dyDescent="0.25">
      <c r="O3004" s="229"/>
      <c r="P3004" s="228"/>
    </row>
    <row r="3005" spans="15:16" x14ac:dyDescent="0.25">
      <c r="O3005" s="229"/>
      <c r="P3005" s="228"/>
    </row>
    <row r="3006" spans="15:16" x14ac:dyDescent="0.25">
      <c r="O3006" s="229"/>
      <c r="P3006" s="228"/>
    </row>
    <row r="3007" spans="15:16" x14ac:dyDescent="0.25">
      <c r="O3007" s="229"/>
      <c r="P3007" s="228"/>
    </row>
    <row r="3008" spans="15:16" x14ac:dyDescent="0.25">
      <c r="O3008" s="229"/>
      <c r="P3008" s="228"/>
    </row>
    <row r="3009" spans="15:16" x14ac:dyDescent="0.25">
      <c r="O3009" s="229"/>
      <c r="P3009" s="228"/>
    </row>
    <row r="3010" spans="15:16" x14ac:dyDescent="0.25">
      <c r="O3010" s="229"/>
      <c r="P3010" s="228"/>
    </row>
    <row r="3011" spans="15:16" x14ac:dyDescent="0.25">
      <c r="O3011" s="229"/>
      <c r="P3011" s="228"/>
    </row>
    <row r="3012" spans="15:16" x14ac:dyDescent="0.25">
      <c r="O3012" s="229"/>
      <c r="P3012" s="228"/>
    </row>
    <row r="3013" spans="15:16" x14ac:dyDescent="0.25">
      <c r="O3013" s="229"/>
      <c r="P3013" s="228"/>
    </row>
    <row r="3014" spans="15:16" x14ac:dyDescent="0.25">
      <c r="O3014" s="229"/>
      <c r="P3014" s="228"/>
    </row>
    <row r="3015" spans="15:16" x14ac:dyDescent="0.25">
      <c r="O3015" s="229"/>
      <c r="P3015" s="228"/>
    </row>
    <row r="3016" spans="15:16" x14ac:dyDescent="0.25">
      <c r="O3016" s="229"/>
      <c r="P3016" s="228"/>
    </row>
    <row r="3017" spans="15:16" x14ac:dyDescent="0.25">
      <c r="O3017" s="229"/>
      <c r="P3017" s="228"/>
    </row>
    <row r="3018" spans="15:16" x14ac:dyDescent="0.25">
      <c r="O3018" s="229"/>
      <c r="P3018" s="228"/>
    </row>
    <row r="3019" spans="15:16" x14ac:dyDescent="0.25">
      <c r="O3019" s="229"/>
      <c r="P3019" s="228"/>
    </row>
    <row r="3020" spans="15:16" x14ac:dyDescent="0.25">
      <c r="O3020" s="229"/>
      <c r="P3020" s="228"/>
    </row>
    <row r="3021" spans="15:16" x14ac:dyDescent="0.25">
      <c r="O3021" s="229"/>
      <c r="P3021" s="228"/>
    </row>
    <row r="3022" spans="15:16" x14ac:dyDescent="0.25">
      <c r="O3022" s="229"/>
      <c r="P3022" s="228"/>
    </row>
    <row r="3023" spans="15:16" x14ac:dyDescent="0.25">
      <c r="O3023" s="229"/>
      <c r="P3023" s="228"/>
    </row>
    <row r="3024" spans="15:16" x14ac:dyDescent="0.25">
      <c r="O3024" s="229"/>
      <c r="P3024" s="228"/>
    </row>
    <row r="3025" spans="15:16" x14ac:dyDescent="0.25">
      <c r="O3025" s="229"/>
      <c r="P3025" s="228"/>
    </row>
    <row r="3026" spans="15:16" x14ac:dyDescent="0.25">
      <c r="O3026" s="229"/>
      <c r="P3026" s="228"/>
    </row>
    <row r="3027" spans="15:16" x14ac:dyDescent="0.25">
      <c r="O3027" s="229"/>
      <c r="P3027" s="228"/>
    </row>
    <row r="3028" spans="15:16" x14ac:dyDescent="0.25">
      <c r="O3028" s="229"/>
      <c r="P3028" s="228"/>
    </row>
    <row r="3029" spans="15:16" x14ac:dyDescent="0.25">
      <c r="O3029" s="229"/>
      <c r="P3029" s="228"/>
    </row>
    <row r="3030" spans="15:16" x14ac:dyDescent="0.25">
      <c r="O3030" s="229"/>
      <c r="P3030" s="228"/>
    </row>
    <row r="3031" spans="15:16" x14ac:dyDescent="0.25">
      <c r="O3031" s="229"/>
      <c r="P3031" s="228"/>
    </row>
    <row r="3032" spans="15:16" x14ac:dyDescent="0.25">
      <c r="O3032" s="229"/>
      <c r="P3032" s="228"/>
    </row>
    <row r="3033" spans="15:16" x14ac:dyDescent="0.25">
      <c r="O3033" s="229"/>
      <c r="P3033" s="228"/>
    </row>
    <row r="3034" spans="15:16" x14ac:dyDescent="0.25">
      <c r="O3034" s="229"/>
      <c r="P3034" s="228"/>
    </row>
    <row r="3035" spans="15:16" x14ac:dyDescent="0.25">
      <c r="O3035" s="229"/>
      <c r="P3035" s="228"/>
    </row>
    <row r="3036" spans="15:16" x14ac:dyDescent="0.25">
      <c r="O3036" s="229"/>
      <c r="P3036" s="228"/>
    </row>
    <row r="3037" spans="15:16" x14ac:dyDescent="0.25">
      <c r="O3037" s="229"/>
      <c r="P3037" s="228"/>
    </row>
    <row r="3038" spans="15:16" x14ac:dyDescent="0.25">
      <c r="O3038" s="229"/>
      <c r="P3038" s="228"/>
    </row>
    <row r="3039" spans="15:16" x14ac:dyDescent="0.25">
      <c r="O3039" s="229"/>
      <c r="P3039" s="228"/>
    </row>
    <row r="3040" spans="15:16" x14ac:dyDescent="0.25">
      <c r="O3040" s="229"/>
      <c r="P3040" s="228"/>
    </row>
    <row r="3041" spans="15:16" x14ac:dyDescent="0.25">
      <c r="O3041" s="229"/>
      <c r="P3041" s="228"/>
    </row>
    <row r="3042" spans="15:16" x14ac:dyDescent="0.25">
      <c r="O3042" s="229"/>
      <c r="P3042" s="228"/>
    </row>
    <row r="3043" spans="15:16" x14ac:dyDescent="0.25">
      <c r="O3043" s="229"/>
      <c r="P3043" s="228"/>
    </row>
    <row r="3044" spans="15:16" x14ac:dyDescent="0.25">
      <c r="O3044" s="229"/>
      <c r="P3044" s="228"/>
    </row>
    <row r="3045" spans="15:16" x14ac:dyDescent="0.25">
      <c r="O3045" s="229"/>
      <c r="P3045" s="228"/>
    </row>
    <row r="3046" spans="15:16" x14ac:dyDescent="0.25">
      <c r="O3046" s="229"/>
      <c r="P3046" s="228"/>
    </row>
    <row r="3047" spans="15:16" x14ac:dyDescent="0.25">
      <c r="O3047" s="229"/>
      <c r="P3047" s="228"/>
    </row>
    <row r="3048" spans="15:16" x14ac:dyDescent="0.25">
      <c r="O3048" s="229"/>
      <c r="P3048" s="228"/>
    </row>
    <row r="3049" spans="15:16" x14ac:dyDescent="0.25">
      <c r="O3049" s="229"/>
      <c r="P3049" s="228"/>
    </row>
    <row r="3050" spans="15:16" x14ac:dyDescent="0.25">
      <c r="O3050" s="229"/>
      <c r="P3050" s="228"/>
    </row>
    <row r="3051" spans="15:16" x14ac:dyDescent="0.25">
      <c r="O3051" s="229"/>
      <c r="P3051" s="228"/>
    </row>
    <row r="3052" spans="15:16" x14ac:dyDescent="0.25">
      <c r="O3052" s="229"/>
      <c r="P3052" s="228"/>
    </row>
    <row r="3053" spans="15:16" x14ac:dyDescent="0.25">
      <c r="O3053" s="229"/>
      <c r="P3053" s="228"/>
    </row>
    <row r="3054" spans="15:16" x14ac:dyDescent="0.25">
      <c r="O3054" s="229"/>
      <c r="P3054" s="228"/>
    </row>
    <row r="3055" spans="15:16" x14ac:dyDescent="0.25">
      <c r="O3055" s="229"/>
      <c r="P3055" s="228"/>
    </row>
    <row r="3056" spans="15:16" x14ac:dyDescent="0.25">
      <c r="O3056" s="229"/>
      <c r="P3056" s="228"/>
    </row>
    <row r="3057" spans="15:16" x14ac:dyDescent="0.25">
      <c r="O3057" s="229"/>
      <c r="P3057" s="228"/>
    </row>
    <row r="3058" spans="15:16" x14ac:dyDescent="0.25">
      <c r="O3058" s="229"/>
      <c r="P3058" s="228"/>
    </row>
    <row r="3059" spans="15:16" x14ac:dyDescent="0.25">
      <c r="O3059" s="229"/>
      <c r="P3059" s="228"/>
    </row>
    <row r="3060" spans="15:16" x14ac:dyDescent="0.25">
      <c r="O3060" s="229"/>
      <c r="P3060" s="228"/>
    </row>
    <row r="3061" spans="15:16" x14ac:dyDescent="0.25">
      <c r="O3061" s="229"/>
      <c r="P3061" s="228"/>
    </row>
    <row r="3062" spans="15:16" x14ac:dyDescent="0.25">
      <c r="O3062" s="229"/>
      <c r="P3062" s="228"/>
    </row>
    <row r="3063" spans="15:16" x14ac:dyDescent="0.25">
      <c r="O3063" s="229"/>
      <c r="P3063" s="228"/>
    </row>
    <row r="3064" spans="15:16" x14ac:dyDescent="0.25">
      <c r="O3064" s="229"/>
      <c r="P3064" s="228"/>
    </row>
    <row r="3065" spans="15:16" x14ac:dyDescent="0.25">
      <c r="O3065" s="229"/>
      <c r="P3065" s="228"/>
    </row>
    <row r="3066" spans="15:16" x14ac:dyDescent="0.25">
      <c r="O3066" s="229"/>
      <c r="P3066" s="228"/>
    </row>
    <row r="3067" spans="15:16" x14ac:dyDescent="0.25">
      <c r="O3067" s="229"/>
      <c r="P3067" s="228"/>
    </row>
    <row r="3068" spans="15:16" x14ac:dyDescent="0.25">
      <c r="O3068" s="229"/>
      <c r="P3068" s="228"/>
    </row>
    <row r="3069" spans="15:16" x14ac:dyDescent="0.25">
      <c r="O3069" s="229"/>
      <c r="P3069" s="228"/>
    </row>
    <row r="3070" spans="15:16" x14ac:dyDescent="0.25">
      <c r="O3070" s="229"/>
      <c r="P3070" s="228"/>
    </row>
    <row r="3071" spans="15:16" x14ac:dyDescent="0.25">
      <c r="O3071" s="229"/>
      <c r="P3071" s="228"/>
    </row>
    <row r="3072" spans="15:16" x14ac:dyDescent="0.25">
      <c r="O3072" s="229"/>
      <c r="P3072" s="228"/>
    </row>
    <row r="3073" spans="15:16" x14ac:dyDescent="0.25">
      <c r="O3073" s="229"/>
      <c r="P3073" s="228"/>
    </row>
    <row r="3074" spans="15:16" x14ac:dyDescent="0.25">
      <c r="O3074" s="229"/>
      <c r="P3074" s="228"/>
    </row>
    <row r="3075" spans="15:16" x14ac:dyDescent="0.25">
      <c r="O3075" s="229"/>
      <c r="P3075" s="228"/>
    </row>
    <row r="3076" spans="15:16" x14ac:dyDescent="0.25">
      <c r="O3076" s="229"/>
      <c r="P3076" s="228"/>
    </row>
    <row r="3077" spans="15:16" x14ac:dyDescent="0.25">
      <c r="O3077" s="229"/>
      <c r="P3077" s="228"/>
    </row>
    <row r="3078" spans="15:16" x14ac:dyDescent="0.25">
      <c r="O3078" s="229"/>
      <c r="P3078" s="228"/>
    </row>
    <row r="3079" spans="15:16" x14ac:dyDescent="0.25">
      <c r="O3079" s="229"/>
      <c r="P3079" s="228"/>
    </row>
    <row r="3080" spans="15:16" x14ac:dyDescent="0.25">
      <c r="O3080" s="229"/>
      <c r="P3080" s="228"/>
    </row>
    <row r="3081" spans="15:16" x14ac:dyDescent="0.25">
      <c r="O3081" s="229"/>
      <c r="P3081" s="228"/>
    </row>
    <row r="3082" spans="15:16" x14ac:dyDescent="0.25">
      <c r="O3082" s="229"/>
      <c r="P3082" s="228"/>
    </row>
    <row r="3083" spans="15:16" x14ac:dyDescent="0.25">
      <c r="O3083" s="229"/>
      <c r="P3083" s="228"/>
    </row>
    <row r="3084" spans="15:16" x14ac:dyDescent="0.25">
      <c r="O3084" s="229"/>
      <c r="P3084" s="228"/>
    </row>
    <row r="3085" spans="15:16" x14ac:dyDescent="0.25">
      <c r="O3085" s="229"/>
      <c r="P3085" s="228"/>
    </row>
    <row r="3086" spans="15:16" x14ac:dyDescent="0.25">
      <c r="O3086" s="229"/>
      <c r="P3086" s="228"/>
    </row>
    <row r="3087" spans="15:16" x14ac:dyDescent="0.25">
      <c r="O3087" s="229"/>
      <c r="P3087" s="228"/>
    </row>
    <row r="3088" spans="15:16" x14ac:dyDescent="0.25">
      <c r="O3088" s="229"/>
      <c r="P3088" s="228"/>
    </row>
    <row r="3089" spans="15:16" x14ac:dyDescent="0.25">
      <c r="O3089" s="229"/>
      <c r="P3089" s="228"/>
    </row>
    <row r="3090" spans="15:16" x14ac:dyDescent="0.25">
      <c r="O3090" s="229"/>
      <c r="P3090" s="228"/>
    </row>
    <row r="3091" spans="15:16" x14ac:dyDescent="0.25">
      <c r="O3091" s="229"/>
      <c r="P3091" s="228"/>
    </row>
    <row r="3092" spans="15:16" x14ac:dyDescent="0.25">
      <c r="O3092" s="229"/>
      <c r="P3092" s="228"/>
    </row>
    <row r="3093" spans="15:16" x14ac:dyDescent="0.25">
      <c r="O3093" s="229"/>
      <c r="P3093" s="228"/>
    </row>
    <row r="3094" spans="15:16" x14ac:dyDescent="0.25">
      <c r="O3094" s="229"/>
      <c r="P3094" s="228"/>
    </row>
    <row r="3095" spans="15:16" x14ac:dyDescent="0.25">
      <c r="O3095" s="229"/>
      <c r="P3095" s="228"/>
    </row>
    <row r="3096" spans="15:16" x14ac:dyDescent="0.25">
      <c r="O3096" s="229"/>
      <c r="P3096" s="228"/>
    </row>
    <row r="3097" spans="15:16" x14ac:dyDescent="0.25">
      <c r="O3097" s="229"/>
      <c r="P3097" s="228"/>
    </row>
    <row r="3098" spans="15:16" x14ac:dyDescent="0.25">
      <c r="O3098" s="229"/>
      <c r="P3098" s="228"/>
    </row>
    <row r="3099" spans="15:16" x14ac:dyDescent="0.25">
      <c r="O3099" s="229"/>
      <c r="P3099" s="228"/>
    </row>
    <row r="3100" spans="15:16" x14ac:dyDescent="0.25">
      <c r="O3100" s="229"/>
      <c r="P3100" s="228"/>
    </row>
    <row r="3101" spans="15:16" x14ac:dyDescent="0.25">
      <c r="O3101" s="229"/>
      <c r="P3101" s="228"/>
    </row>
    <row r="3102" spans="15:16" x14ac:dyDescent="0.25">
      <c r="O3102" s="229"/>
      <c r="P3102" s="228"/>
    </row>
    <row r="3103" spans="15:16" x14ac:dyDescent="0.25">
      <c r="O3103" s="229"/>
      <c r="P3103" s="228"/>
    </row>
    <row r="3104" spans="15:16" x14ac:dyDescent="0.25">
      <c r="O3104" s="229"/>
      <c r="P3104" s="228"/>
    </row>
    <row r="3105" spans="15:16" x14ac:dyDescent="0.25">
      <c r="O3105" s="229"/>
      <c r="P3105" s="228"/>
    </row>
    <row r="3106" spans="15:16" x14ac:dyDescent="0.25">
      <c r="O3106" s="229"/>
      <c r="P3106" s="228"/>
    </row>
    <row r="3107" spans="15:16" x14ac:dyDescent="0.25">
      <c r="O3107" s="229"/>
      <c r="P3107" s="228"/>
    </row>
    <row r="3108" spans="15:16" x14ac:dyDescent="0.25">
      <c r="O3108" s="229"/>
      <c r="P3108" s="228"/>
    </row>
    <row r="3109" spans="15:16" x14ac:dyDescent="0.25">
      <c r="O3109" s="229"/>
      <c r="P3109" s="228"/>
    </row>
    <row r="3110" spans="15:16" x14ac:dyDescent="0.25">
      <c r="O3110" s="229"/>
      <c r="P3110" s="228"/>
    </row>
    <row r="3111" spans="15:16" x14ac:dyDescent="0.25">
      <c r="O3111" s="229"/>
      <c r="P3111" s="228"/>
    </row>
    <row r="3112" spans="15:16" x14ac:dyDescent="0.25">
      <c r="O3112" s="229"/>
      <c r="P3112" s="228"/>
    </row>
    <row r="3113" spans="15:16" x14ac:dyDescent="0.25">
      <c r="O3113" s="229"/>
      <c r="P3113" s="228"/>
    </row>
    <row r="3114" spans="15:16" x14ac:dyDescent="0.25">
      <c r="O3114" s="229"/>
      <c r="P3114" s="228"/>
    </row>
    <row r="3115" spans="15:16" x14ac:dyDescent="0.25">
      <c r="O3115" s="229"/>
      <c r="P3115" s="228"/>
    </row>
    <row r="3116" spans="15:16" x14ac:dyDescent="0.25">
      <c r="O3116" s="229"/>
      <c r="P3116" s="228"/>
    </row>
    <row r="3117" spans="15:16" x14ac:dyDescent="0.25">
      <c r="O3117" s="229"/>
      <c r="P3117" s="228"/>
    </row>
    <row r="3118" spans="15:16" x14ac:dyDescent="0.25">
      <c r="O3118" s="229"/>
      <c r="P3118" s="228"/>
    </row>
    <row r="3119" spans="15:16" x14ac:dyDescent="0.25">
      <c r="O3119" s="229"/>
      <c r="P3119" s="228"/>
    </row>
    <row r="3120" spans="15:16" x14ac:dyDescent="0.25">
      <c r="O3120" s="229"/>
      <c r="P3120" s="228"/>
    </row>
    <row r="3121" spans="15:16" x14ac:dyDescent="0.25">
      <c r="O3121" s="229"/>
      <c r="P3121" s="228"/>
    </row>
    <row r="3122" spans="15:16" x14ac:dyDescent="0.25">
      <c r="O3122" s="229"/>
      <c r="P3122" s="228"/>
    </row>
    <row r="3123" spans="15:16" x14ac:dyDescent="0.25">
      <c r="O3123" s="229"/>
      <c r="P3123" s="228"/>
    </row>
    <row r="3124" spans="15:16" x14ac:dyDescent="0.25">
      <c r="O3124" s="229"/>
      <c r="P3124" s="228"/>
    </row>
    <row r="3125" spans="15:16" x14ac:dyDescent="0.25">
      <c r="O3125" s="229"/>
      <c r="P3125" s="228"/>
    </row>
    <row r="3126" spans="15:16" x14ac:dyDescent="0.25">
      <c r="O3126" s="229"/>
      <c r="P3126" s="228"/>
    </row>
    <row r="3127" spans="15:16" x14ac:dyDescent="0.25">
      <c r="O3127" s="229"/>
      <c r="P3127" s="228"/>
    </row>
    <row r="3128" spans="15:16" x14ac:dyDescent="0.25">
      <c r="O3128" s="229"/>
      <c r="P3128" s="228"/>
    </row>
    <row r="3129" spans="15:16" x14ac:dyDescent="0.25">
      <c r="O3129" s="229"/>
      <c r="P3129" s="228"/>
    </row>
    <row r="3130" spans="15:16" x14ac:dyDescent="0.25">
      <c r="O3130" s="229"/>
      <c r="P3130" s="228"/>
    </row>
    <row r="3131" spans="15:16" x14ac:dyDescent="0.25">
      <c r="O3131" s="229"/>
      <c r="P3131" s="228"/>
    </row>
    <row r="3132" spans="15:16" x14ac:dyDescent="0.25">
      <c r="O3132" s="229"/>
      <c r="P3132" s="228"/>
    </row>
    <row r="3133" spans="15:16" x14ac:dyDescent="0.25">
      <c r="O3133" s="229"/>
      <c r="P3133" s="228"/>
    </row>
    <row r="3134" spans="15:16" x14ac:dyDescent="0.25">
      <c r="O3134" s="229"/>
      <c r="P3134" s="228"/>
    </row>
    <row r="3135" spans="15:16" x14ac:dyDescent="0.25">
      <c r="O3135" s="229"/>
      <c r="P3135" s="228"/>
    </row>
    <row r="3136" spans="15:16" x14ac:dyDescent="0.25">
      <c r="O3136" s="229"/>
      <c r="P3136" s="228"/>
    </row>
    <row r="3137" spans="15:16" x14ac:dyDescent="0.25">
      <c r="O3137" s="229"/>
      <c r="P3137" s="228"/>
    </row>
    <row r="3138" spans="15:16" x14ac:dyDescent="0.25">
      <c r="O3138" s="229"/>
      <c r="P3138" s="228"/>
    </row>
    <row r="3139" spans="15:16" x14ac:dyDescent="0.25">
      <c r="O3139" s="229"/>
      <c r="P3139" s="228"/>
    </row>
    <row r="3140" spans="15:16" x14ac:dyDescent="0.25">
      <c r="O3140" s="229"/>
      <c r="P3140" s="228"/>
    </row>
    <row r="3141" spans="15:16" x14ac:dyDescent="0.25">
      <c r="O3141" s="229"/>
      <c r="P3141" s="228"/>
    </row>
    <row r="3142" spans="15:16" x14ac:dyDescent="0.25">
      <c r="O3142" s="229"/>
      <c r="P3142" s="228"/>
    </row>
    <row r="3143" spans="15:16" x14ac:dyDescent="0.25">
      <c r="O3143" s="229"/>
      <c r="P3143" s="228"/>
    </row>
    <row r="3144" spans="15:16" x14ac:dyDescent="0.25">
      <c r="O3144" s="229"/>
      <c r="P3144" s="228"/>
    </row>
    <row r="3145" spans="15:16" x14ac:dyDescent="0.25">
      <c r="O3145" s="229"/>
      <c r="P3145" s="228"/>
    </row>
    <row r="3146" spans="15:16" x14ac:dyDescent="0.25">
      <c r="O3146" s="229"/>
      <c r="P3146" s="228"/>
    </row>
    <row r="3147" spans="15:16" x14ac:dyDescent="0.25">
      <c r="O3147" s="229"/>
      <c r="P3147" s="228"/>
    </row>
    <row r="3148" spans="15:16" x14ac:dyDescent="0.25">
      <c r="O3148" s="229"/>
      <c r="P3148" s="228"/>
    </row>
    <row r="3149" spans="15:16" x14ac:dyDescent="0.25">
      <c r="O3149" s="229"/>
      <c r="P3149" s="228"/>
    </row>
    <row r="3150" spans="15:16" x14ac:dyDescent="0.25">
      <c r="O3150" s="229"/>
      <c r="P3150" s="228"/>
    </row>
    <row r="3151" spans="15:16" x14ac:dyDescent="0.25">
      <c r="O3151" s="229"/>
      <c r="P3151" s="228"/>
    </row>
    <row r="3152" spans="15:16" x14ac:dyDescent="0.25">
      <c r="O3152" s="229"/>
      <c r="P3152" s="228"/>
    </row>
    <row r="3153" spans="15:16" x14ac:dyDescent="0.25">
      <c r="O3153" s="229"/>
      <c r="P3153" s="228"/>
    </row>
    <row r="3154" spans="15:16" x14ac:dyDescent="0.25">
      <c r="O3154" s="229"/>
      <c r="P3154" s="228"/>
    </row>
    <row r="3155" spans="15:16" x14ac:dyDescent="0.25">
      <c r="O3155" s="229"/>
      <c r="P3155" s="228"/>
    </row>
    <row r="3156" spans="15:16" x14ac:dyDescent="0.25">
      <c r="O3156" s="229"/>
      <c r="P3156" s="228"/>
    </row>
    <row r="3157" spans="15:16" x14ac:dyDescent="0.25">
      <c r="O3157" s="229"/>
      <c r="P3157" s="228"/>
    </row>
    <row r="3158" spans="15:16" x14ac:dyDescent="0.25">
      <c r="O3158" s="229"/>
      <c r="P3158" s="228"/>
    </row>
    <row r="3159" spans="15:16" x14ac:dyDescent="0.25">
      <c r="O3159" s="229"/>
      <c r="P3159" s="228"/>
    </row>
    <row r="3160" spans="15:16" x14ac:dyDescent="0.25">
      <c r="O3160" s="229"/>
      <c r="P3160" s="228"/>
    </row>
    <row r="3161" spans="15:16" x14ac:dyDescent="0.25">
      <c r="O3161" s="229"/>
      <c r="P3161" s="228"/>
    </row>
    <row r="3162" spans="15:16" x14ac:dyDescent="0.25">
      <c r="O3162" s="229"/>
      <c r="P3162" s="228"/>
    </row>
    <row r="3163" spans="15:16" x14ac:dyDescent="0.25">
      <c r="O3163" s="229"/>
      <c r="P3163" s="228"/>
    </row>
    <row r="3164" spans="15:16" x14ac:dyDescent="0.25">
      <c r="O3164" s="229"/>
      <c r="P3164" s="228"/>
    </row>
    <row r="3165" spans="15:16" x14ac:dyDescent="0.25">
      <c r="O3165" s="229"/>
      <c r="P3165" s="228"/>
    </row>
    <row r="3166" spans="15:16" x14ac:dyDescent="0.25">
      <c r="O3166" s="229"/>
      <c r="P3166" s="228"/>
    </row>
    <row r="3167" spans="15:16" x14ac:dyDescent="0.25">
      <c r="O3167" s="229"/>
      <c r="P3167" s="228"/>
    </row>
    <row r="3168" spans="15:16" x14ac:dyDescent="0.25">
      <c r="O3168" s="229"/>
      <c r="P3168" s="228"/>
    </row>
    <row r="3169" spans="15:16" x14ac:dyDescent="0.25">
      <c r="O3169" s="229"/>
      <c r="P3169" s="228"/>
    </row>
    <row r="3170" spans="15:16" x14ac:dyDescent="0.25">
      <c r="O3170" s="229"/>
      <c r="P3170" s="228"/>
    </row>
    <row r="3171" spans="15:16" x14ac:dyDescent="0.25">
      <c r="O3171" s="229"/>
      <c r="P3171" s="228"/>
    </row>
    <row r="3172" spans="15:16" x14ac:dyDescent="0.25">
      <c r="O3172" s="229"/>
      <c r="P3172" s="228"/>
    </row>
    <row r="3173" spans="15:16" x14ac:dyDescent="0.25">
      <c r="O3173" s="229"/>
      <c r="P3173" s="228"/>
    </row>
    <row r="3174" spans="15:16" x14ac:dyDescent="0.25">
      <c r="O3174" s="229"/>
      <c r="P3174" s="228"/>
    </row>
    <row r="3175" spans="15:16" x14ac:dyDescent="0.25">
      <c r="O3175" s="229"/>
      <c r="P3175" s="228"/>
    </row>
    <row r="3176" spans="15:16" x14ac:dyDescent="0.25">
      <c r="O3176" s="229"/>
      <c r="P3176" s="228"/>
    </row>
    <row r="3177" spans="15:16" x14ac:dyDescent="0.25">
      <c r="O3177" s="229"/>
      <c r="P3177" s="228"/>
    </row>
    <row r="3178" spans="15:16" x14ac:dyDescent="0.25">
      <c r="O3178" s="229"/>
      <c r="P3178" s="228"/>
    </row>
    <row r="3179" spans="15:16" x14ac:dyDescent="0.25">
      <c r="O3179" s="229"/>
      <c r="P3179" s="228"/>
    </row>
    <row r="3180" spans="15:16" x14ac:dyDescent="0.25">
      <c r="O3180" s="229"/>
      <c r="P3180" s="228"/>
    </row>
    <row r="3181" spans="15:16" x14ac:dyDescent="0.25">
      <c r="O3181" s="229"/>
      <c r="P3181" s="228"/>
    </row>
    <row r="3182" spans="15:16" x14ac:dyDescent="0.25">
      <c r="O3182" s="229"/>
      <c r="P3182" s="228"/>
    </row>
    <row r="3183" spans="15:16" x14ac:dyDescent="0.25">
      <c r="O3183" s="229"/>
      <c r="P3183" s="228"/>
    </row>
    <row r="3184" spans="15:16" x14ac:dyDescent="0.25">
      <c r="O3184" s="229"/>
      <c r="P3184" s="228"/>
    </row>
    <row r="3185" spans="15:16" x14ac:dyDescent="0.25">
      <c r="O3185" s="229"/>
      <c r="P3185" s="228"/>
    </row>
    <row r="3186" spans="15:16" x14ac:dyDescent="0.25">
      <c r="O3186" s="229"/>
      <c r="P3186" s="228"/>
    </row>
    <row r="3187" spans="15:16" x14ac:dyDescent="0.25">
      <c r="O3187" s="229"/>
      <c r="P3187" s="228"/>
    </row>
    <row r="3188" spans="15:16" x14ac:dyDescent="0.25">
      <c r="O3188" s="229"/>
      <c r="P3188" s="228"/>
    </row>
    <row r="3189" spans="15:16" x14ac:dyDescent="0.25">
      <c r="O3189" s="229"/>
      <c r="P3189" s="228"/>
    </row>
    <row r="3190" spans="15:16" x14ac:dyDescent="0.25">
      <c r="O3190" s="229"/>
      <c r="P3190" s="228"/>
    </row>
    <row r="3191" spans="15:16" x14ac:dyDescent="0.25">
      <c r="O3191" s="229"/>
      <c r="P3191" s="228"/>
    </row>
    <row r="3192" spans="15:16" x14ac:dyDescent="0.25">
      <c r="O3192" s="229"/>
      <c r="P3192" s="228"/>
    </row>
    <row r="3193" spans="15:16" x14ac:dyDescent="0.25">
      <c r="O3193" s="229"/>
      <c r="P3193" s="228"/>
    </row>
    <row r="3194" spans="15:16" x14ac:dyDescent="0.25">
      <c r="O3194" s="229"/>
      <c r="P3194" s="228"/>
    </row>
    <row r="3195" spans="15:16" x14ac:dyDescent="0.25">
      <c r="O3195" s="229"/>
      <c r="P3195" s="228"/>
    </row>
    <row r="3196" spans="15:16" x14ac:dyDescent="0.25">
      <c r="O3196" s="229"/>
      <c r="P3196" s="228"/>
    </row>
    <row r="3197" spans="15:16" x14ac:dyDescent="0.25">
      <c r="O3197" s="229"/>
      <c r="P3197" s="228"/>
    </row>
    <row r="3198" spans="15:16" x14ac:dyDescent="0.25">
      <c r="O3198" s="229"/>
      <c r="P3198" s="228"/>
    </row>
    <row r="3199" spans="15:16" x14ac:dyDescent="0.25">
      <c r="O3199" s="229"/>
      <c r="P3199" s="228"/>
    </row>
    <row r="3200" spans="15:16" x14ac:dyDescent="0.25">
      <c r="O3200" s="229"/>
      <c r="P3200" s="228"/>
    </row>
    <row r="3201" spans="15:16" x14ac:dyDescent="0.25">
      <c r="O3201" s="229"/>
      <c r="P3201" s="228"/>
    </row>
    <row r="3202" spans="15:16" x14ac:dyDescent="0.25">
      <c r="O3202" s="229"/>
      <c r="P3202" s="228"/>
    </row>
    <row r="3203" spans="15:16" x14ac:dyDescent="0.25">
      <c r="O3203" s="229"/>
      <c r="P3203" s="228"/>
    </row>
    <row r="3204" spans="15:16" x14ac:dyDescent="0.25">
      <c r="O3204" s="229"/>
      <c r="P3204" s="228"/>
    </row>
    <row r="3205" spans="15:16" x14ac:dyDescent="0.25">
      <c r="O3205" s="229"/>
      <c r="P3205" s="228"/>
    </row>
    <row r="3206" spans="15:16" x14ac:dyDescent="0.25">
      <c r="O3206" s="229"/>
      <c r="P3206" s="228"/>
    </row>
    <row r="3207" spans="15:16" x14ac:dyDescent="0.25">
      <c r="O3207" s="229"/>
      <c r="P3207" s="228"/>
    </row>
    <row r="3208" spans="15:16" x14ac:dyDescent="0.25">
      <c r="O3208" s="229"/>
      <c r="P3208" s="228"/>
    </row>
    <row r="3209" spans="15:16" x14ac:dyDescent="0.25">
      <c r="O3209" s="229"/>
      <c r="P3209" s="228"/>
    </row>
    <row r="3210" spans="15:16" x14ac:dyDescent="0.25">
      <c r="O3210" s="229"/>
      <c r="P3210" s="228"/>
    </row>
    <row r="3211" spans="15:16" x14ac:dyDescent="0.25">
      <c r="O3211" s="229"/>
      <c r="P3211" s="228"/>
    </row>
    <row r="3212" spans="15:16" x14ac:dyDescent="0.25">
      <c r="O3212" s="229"/>
      <c r="P3212" s="228"/>
    </row>
    <row r="3213" spans="15:16" x14ac:dyDescent="0.25">
      <c r="O3213" s="229"/>
      <c r="P3213" s="228"/>
    </row>
    <row r="3214" spans="15:16" x14ac:dyDescent="0.25">
      <c r="O3214" s="229"/>
      <c r="P3214" s="228"/>
    </row>
    <row r="3215" spans="15:16" x14ac:dyDescent="0.25">
      <c r="O3215" s="229"/>
      <c r="P3215" s="228"/>
    </row>
    <row r="3216" spans="15:16" x14ac:dyDescent="0.25">
      <c r="O3216" s="229"/>
      <c r="P3216" s="228"/>
    </row>
    <row r="3217" spans="15:16" x14ac:dyDescent="0.25">
      <c r="O3217" s="229"/>
      <c r="P3217" s="228"/>
    </row>
    <row r="3218" spans="15:16" x14ac:dyDescent="0.25">
      <c r="O3218" s="229"/>
      <c r="P3218" s="228"/>
    </row>
    <row r="3219" spans="15:16" x14ac:dyDescent="0.25">
      <c r="O3219" s="229"/>
      <c r="P3219" s="228"/>
    </row>
    <row r="3220" spans="15:16" x14ac:dyDescent="0.25">
      <c r="O3220" s="229"/>
      <c r="P3220" s="228"/>
    </row>
    <row r="3221" spans="15:16" x14ac:dyDescent="0.25">
      <c r="O3221" s="229"/>
      <c r="P3221" s="228"/>
    </row>
    <row r="3222" spans="15:16" x14ac:dyDescent="0.25">
      <c r="O3222" s="229"/>
      <c r="P3222" s="228"/>
    </row>
    <row r="3223" spans="15:16" x14ac:dyDescent="0.25">
      <c r="O3223" s="229"/>
      <c r="P3223" s="228"/>
    </row>
    <row r="3224" spans="15:16" x14ac:dyDescent="0.25">
      <c r="O3224" s="229"/>
      <c r="P3224" s="228"/>
    </row>
    <row r="3225" spans="15:16" x14ac:dyDescent="0.25">
      <c r="O3225" s="229"/>
      <c r="P3225" s="228"/>
    </row>
    <row r="3226" spans="15:16" x14ac:dyDescent="0.25">
      <c r="O3226" s="229"/>
      <c r="P3226" s="228"/>
    </row>
    <row r="3227" spans="15:16" x14ac:dyDescent="0.25">
      <c r="O3227" s="229"/>
      <c r="P3227" s="228"/>
    </row>
    <row r="3228" spans="15:16" x14ac:dyDescent="0.25">
      <c r="O3228" s="229"/>
      <c r="P3228" s="228"/>
    </row>
    <row r="3229" spans="15:16" x14ac:dyDescent="0.25">
      <c r="O3229" s="229"/>
      <c r="P3229" s="228"/>
    </row>
    <row r="3230" spans="15:16" x14ac:dyDescent="0.25">
      <c r="O3230" s="229"/>
      <c r="P3230" s="228"/>
    </row>
    <row r="3231" spans="15:16" x14ac:dyDescent="0.25">
      <c r="O3231" s="229"/>
      <c r="P3231" s="228"/>
    </row>
    <row r="3232" spans="15:16" x14ac:dyDescent="0.25">
      <c r="O3232" s="229"/>
      <c r="P3232" s="228"/>
    </row>
    <row r="3233" spans="15:16" x14ac:dyDescent="0.25">
      <c r="O3233" s="229"/>
      <c r="P3233" s="228"/>
    </row>
    <row r="3234" spans="15:16" x14ac:dyDescent="0.25">
      <c r="O3234" s="229"/>
      <c r="P3234" s="228"/>
    </row>
    <row r="3235" spans="15:16" x14ac:dyDescent="0.25">
      <c r="O3235" s="229"/>
      <c r="P3235" s="228"/>
    </row>
    <row r="3236" spans="15:16" x14ac:dyDescent="0.25">
      <c r="O3236" s="229"/>
      <c r="P3236" s="228"/>
    </row>
    <row r="3237" spans="15:16" x14ac:dyDescent="0.25">
      <c r="O3237" s="229"/>
      <c r="P3237" s="228"/>
    </row>
    <row r="3238" spans="15:16" x14ac:dyDescent="0.25">
      <c r="O3238" s="229"/>
      <c r="P3238" s="228"/>
    </row>
    <row r="3239" spans="15:16" x14ac:dyDescent="0.25">
      <c r="O3239" s="229"/>
      <c r="P3239" s="228"/>
    </row>
    <row r="3240" spans="15:16" x14ac:dyDescent="0.25">
      <c r="O3240" s="229"/>
      <c r="P3240" s="228"/>
    </row>
    <row r="3241" spans="15:16" x14ac:dyDescent="0.25">
      <c r="O3241" s="229"/>
      <c r="P3241" s="228"/>
    </row>
    <row r="3242" spans="15:16" x14ac:dyDescent="0.25">
      <c r="O3242" s="229"/>
      <c r="P3242" s="228"/>
    </row>
    <row r="3243" spans="15:16" x14ac:dyDescent="0.25">
      <c r="O3243" s="229"/>
      <c r="P3243" s="228"/>
    </row>
    <row r="3244" spans="15:16" x14ac:dyDescent="0.25">
      <c r="O3244" s="229"/>
      <c r="P3244" s="228"/>
    </row>
    <row r="3245" spans="15:16" x14ac:dyDescent="0.25">
      <c r="O3245" s="229"/>
      <c r="P3245" s="228"/>
    </row>
    <row r="3246" spans="15:16" x14ac:dyDescent="0.25">
      <c r="O3246" s="229"/>
      <c r="P3246" s="228"/>
    </row>
    <row r="3247" spans="15:16" x14ac:dyDescent="0.25">
      <c r="O3247" s="229"/>
      <c r="P3247" s="228"/>
    </row>
    <row r="3248" spans="15:16" x14ac:dyDescent="0.25">
      <c r="O3248" s="229"/>
      <c r="P3248" s="228"/>
    </row>
    <row r="3249" spans="15:16" x14ac:dyDescent="0.25">
      <c r="O3249" s="229"/>
      <c r="P3249" s="228"/>
    </row>
    <row r="3250" spans="15:16" x14ac:dyDescent="0.25">
      <c r="O3250" s="229"/>
      <c r="P3250" s="228"/>
    </row>
    <row r="3251" spans="15:16" x14ac:dyDescent="0.25">
      <c r="O3251" s="229"/>
      <c r="P3251" s="228"/>
    </row>
    <row r="3252" spans="15:16" x14ac:dyDescent="0.25">
      <c r="O3252" s="229"/>
      <c r="P3252" s="228"/>
    </row>
    <row r="3253" spans="15:16" x14ac:dyDescent="0.25">
      <c r="O3253" s="229"/>
      <c r="P3253" s="228"/>
    </row>
    <row r="3254" spans="15:16" x14ac:dyDescent="0.25">
      <c r="O3254" s="229"/>
      <c r="P3254" s="228"/>
    </row>
    <row r="3255" spans="15:16" x14ac:dyDescent="0.25">
      <c r="O3255" s="229"/>
      <c r="P3255" s="228"/>
    </row>
    <row r="3256" spans="15:16" x14ac:dyDescent="0.25">
      <c r="O3256" s="229"/>
      <c r="P3256" s="228"/>
    </row>
    <row r="3257" spans="15:16" x14ac:dyDescent="0.25">
      <c r="O3257" s="229"/>
      <c r="P3257" s="228"/>
    </row>
    <row r="3258" spans="15:16" x14ac:dyDescent="0.25">
      <c r="O3258" s="229"/>
      <c r="P3258" s="228"/>
    </row>
    <row r="3259" spans="15:16" x14ac:dyDescent="0.25">
      <c r="O3259" s="229"/>
      <c r="P3259" s="228"/>
    </row>
    <row r="3260" spans="15:16" x14ac:dyDescent="0.25">
      <c r="O3260" s="229"/>
      <c r="P3260" s="228"/>
    </row>
    <row r="3261" spans="15:16" x14ac:dyDescent="0.25">
      <c r="O3261" s="229"/>
      <c r="P3261" s="228"/>
    </row>
    <row r="3262" spans="15:16" x14ac:dyDescent="0.25">
      <c r="O3262" s="229"/>
      <c r="P3262" s="228"/>
    </row>
    <row r="3263" spans="15:16" x14ac:dyDescent="0.25">
      <c r="O3263" s="229"/>
      <c r="P3263" s="228"/>
    </row>
    <row r="3264" spans="15:16" x14ac:dyDescent="0.25">
      <c r="O3264" s="229"/>
      <c r="P3264" s="228"/>
    </row>
    <row r="3265" spans="15:16" x14ac:dyDescent="0.25">
      <c r="O3265" s="229"/>
      <c r="P3265" s="228"/>
    </row>
    <row r="3266" spans="15:16" x14ac:dyDescent="0.25">
      <c r="O3266" s="229"/>
      <c r="P3266" s="228"/>
    </row>
    <row r="3267" spans="15:16" x14ac:dyDescent="0.25">
      <c r="O3267" s="229"/>
      <c r="P3267" s="228"/>
    </row>
    <row r="3268" spans="15:16" x14ac:dyDescent="0.25">
      <c r="O3268" s="229"/>
      <c r="P3268" s="228"/>
    </row>
    <row r="3269" spans="15:16" x14ac:dyDescent="0.25">
      <c r="O3269" s="229"/>
      <c r="P3269" s="228"/>
    </row>
    <row r="3270" spans="15:16" x14ac:dyDescent="0.25">
      <c r="O3270" s="229"/>
      <c r="P3270" s="228"/>
    </row>
    <row r="3271" spans="15:16" x14ac:dyDescent="0.25">
      <c r="O3271" s="229"/>
      <c r="P3271" s="228"/>
    </row>
    <row r="3272" spans="15:16" x14ac:dyDescent="0.25">
      <c r="O3272" s="229"/>
      <c r="P3272" s="228"/>
    </row>
    <row r="3273" spans="15:16" x14ac:dyDescent="0.25">
      <c r="O3273" s="229"/>
      <c r="P3273" s="228"/>
    </row>
    <row r="3274" spans="15:16" x14ac:dyDescent="0.25">
      <c r="O3274" s="229"/>
      <c r="P3274" s="228"/>
    </row>
    <row r="3275" spans="15:16" x14ac:dyDescent="0.25">
      <c r="O3275" s="229"/>
      <c r="P3275" s="228"/>
    </row>
    <row r="3276" spans="15:16" x14ac:dyDescent="0.25">
      <c r="O3276" s="229"/>
      <c r="P3276" s="228"/>
    </row>
    <row r="3277" spans="15:16" x14ac:dyDescent="0.25">
      <c r="O3277" s="229"/>
      <c r="P3277" s="228"/>
    </row>
    <row r="3278" spans="15:16" x14ac:dyDescent="0.25">
      <c r="O3278" s="229"/>
      <c r="P3278" s="228"/>
    </row>
    <row r="3279" spans="15:16" x14ac:dyDescent="0.25">
      <c r="O3279" s="229"/>
      <c r="P3279" s="228"/>
    </row>
    <row r="3280" spans="15:16" x14ac:dyDescent="0.25">
      <c r="O3280" s="229"/>
      <c r="P3280" s="228"/>
    </row>
    <row r="3281" spans="15:16" x14ac:dyDescent="0.25">
      <c r="O3281" s="229"/>
      <c r="P3281" s="228"/>
    </row>
    <row r="3282" spans="15:16" x14ac:dyDescent="0.25">
      <c r="O3282" s="229"/>
      <c r="P3282" s="228"/>
    </row>
    <row r="3283" spans="15:16" x14ac:dyDescent="0.25">
      <c r="O3283" s="229"/>
      <c r="P3283" s="228"/>
    </row>
    <row r="3284" spans="15:16" x14ac:dyDescent="0.25">
      <c r="O3284" s="229"/>
      <c r="P3284" s="228"/>
    </row>
    <row r="3285" spans="15:16" x14ac:dyDescent="0.25">
      <c r="O3285" s="229"/>
      <c r="P3285" s="228"/>
    </row>
    <row r="3286" spans="15:16" x14ac:dyDescent="0.25">
      <c r="O3286" s="229"/>
      <c r="P3286" s="228"/>
    </row>
    <row r="3287" spans="15:16" x14ac:dyDescent="0.25">
      <c r="O3287" s="229"/>
      <c r="P3287" s="228"/>
    </row>
    <row r="3288" spans="15:16" x14ac:dyDescent="0.25">
      <c r="O3288" s="229"/>
      <c r="P3288" s="228"/>
    </row>
    <row r="3289" spans="15:16" x14ac:dyDescent="0.25">
      <c r="O3289" s="229"/>
      <c r="P3289" s="228"/>
    </row>
    <row r="3290" spans="15:16" x14ac:dyDescent="0.25">
      <c r="O3290" s="229"/>
      <c r="P3290" s="228"/>
    </row>
    <row r="3291" spans="15:16" x14ac:dyDescent="0.25">
      <c r="O3291" s="229"/>
      <c r="P3291" s="228"/>
    </row>
    <row r="3292" spans="15:16" x14ac:dyDescent="0.25">
      <c r="O3292" s="229"/>
      <c r="P3292" s="228"/>
    </row>
    <row r="3293" spans="15:16" x14ac:dyDescent="0.25">
      <c r="O3293" s="229"/>
      <c r="P3293" s="228"/>
    </row>
    <row r="3294" spans="15:16" x14ac:dyDescent="0.25">
      <c r="O3294" s="229"/>
      <c r="P3294" s="228"/>
    </row>
    <row r="3295" spans="15:16" x14ac:dyDescent="0.25">
      <c r="O3295" s="229"/>
      <c r="P3295" s="228"/>
    </row>
    <row r="3296" spans="15:16" x14ac:dyDescent="0.25">
      <c r="O3296" s="229"/>
      <c r="P3296" s="228"/>
    </row>
    <row r="3297" spans="15:16" x14ac:dyDescent="0.25">
      <c r="O3297" s="229"/>
      <c r="P3297" s="228"/>
    </row>
    <row r="3298" spans="15:16" x14ac:dyDescent="0.25">
      <c r="O3298" s="229"/>
      <c r="P3298" s="228"/>
    </row>
    <row r="3299" spans="15:16" x14ac:dyDescent="0.25">
      <c r="O3299" s="229"/>
      <c r="P3299" s="228"/>
    </row>
    <row r="3300" spans="15:16" x14ac:dyDescent="0.25">
      <c r="O3300" s="229"/>
      <c r="P3300" s="228"/>
    </row>
    <row r="3301" spans="15:16" x14ac:dyDescent="0.25">
      <c r="O3301" s="229"/>
      <c r="P3301" s="228"/>
    </row>
    <row r="3302" spans="15:16" x14ac:dyDescent="0.25">
      <c r="O3302" s="229"/>
      <c r="P3302" s="228"/>
    </row>
    <row r="3303" spans="15:16" x14ac:dyDescent="0.25">
      <c r="O3303" s="229"/>
      <c r="P3303" s="228"/>
    </row>
    <row r="3304" spans="15:16" x14ac:dyDescent="0.25">
      <c r="O3304" s="229"/>
      <c r="P3304" s="228"/>
    </row>
    <row r="3305" spans="15:16" x14ac:dyDescent="0.25">
      <c r="O3305" s="229"/>
      <c r="P3305" s="228"/>
    </row>
    <row r="3306" spans="15:16" x14ac:dyDescent="0.25">
      <c r="O3306" s="229"/>
      <c r="P3306" s="228"/>
    </row>
    <row r="3307" spans="15:16" x14ac:dyDescent="0.25">
      <c r="O3307" s="229"/>
      <c r="P3307" s="228"/>
    </row>
    <row r="3308" spans="15:16" x14ac:dyDescent="0.25">
      <c r="O3308" s="229"/>
      <c r="P3308" s="228"/>
    </row>
    <row r="3309" spans="15:16" x14ac:dyDescent="0.25">
      <c r="O3309" s="229"/>
      <c r="P3309" s="228"/>
    </row>
    <row r="3310" spans="15:16" x14ac:dyDescent="0.25">
      <c r="O3310" s="229"/>
      <c r="P3310" s="228"/>
    </row>
    <row r="3311" spans="15:16" x14ac:dyDescent="0.25">
      <c r="O3311" s="229"/>
      <c r="P3311" s="228"/>
    </row>
    <row r="3312" spans="15:16" x14ac:dyDescent="0.25">
      <c r="O3312" s="229"/>
      <c r="P3312" s="228"/>
    </row>
    <row r="3313" spans="15:16" x14ac:dyDescent="0.25">
      <c r="O3313" s="229"/>
      <c r="P3313" s="228"/>
    </row>
    <row r="3314" spans="15:16" x14ac:dyDescent="0.25">
      <c r="O3314" s="229"/>
      <c r="P3314" s="228"/>
    </row>
    <row r="3315" spans="15:16" x14ac:dyDescent="0.25">
      <c r="O3315" s="229"/>
      <c r="P3315" s="228"/>
    </row>
    <row r="3316" spans="15:16" x14ac:dyDescent="0.25">
      <c r="O3316" s="229"/>
      <c r="P3316" s="228"/>
    </row>
    <row r="3317" spans="15:16" x14ac:dyDescent="0.25">
      <c r="O3317" s="229"/>
      <c r="P3317" s="228"/>
    </row>
    <row r="3318" spans="15:16" x14ac:dyDescent="0.25">
      <c r="O3318" s="229"/>
      <c r="P3318" s="228"/>
    </row>
    <row r="3319" spans="15:16" x14ac:dyDescent="0.25">
      <c r="O3319" s="229"/>
      <c r="P3319" s="228"/>
    </row>
    <row r="3320" spans="15:16" x14ac:dyDescent="0.25">
      <c r="O3320" s="229"/>
      <c r="P3320" s="228"/>
    </row>
    <row r="3321" spans="15:16" x14ac:dyDescent="0.25">
      <c r="O3321" s="229"/>
      <c r="P3321" s="228"/>
    </row>
    <row r="3322" spans="15:16" x14ac:dyDescent="0.25">
      <c r="O3322" s="229"/>
      <c r="P3322" s="228"/>
    </row>
    <row r="3323" spans="15:16" x14ac:dyDescent="0.25">
      <c r="O3323" s="229"/>
      <c r="P3323" s="228"/>
    </row>
    <row r="3324" spans="15:16" x14ac:dyDescent="0.25">
      <c r="O3324" s="229"/>
      <c r="P3324" s="228"/>
    </row>
    <row r="3325" spans="15:16" x14ac:dyDescent="0.25">
      <c r="O3325" s="229"/>
      <c r="P3325" s="228"/>
    </row>
    <row r="3326" spans="15:16" x14ac:dyDescent="0.25">
      <c r="O3326" s="229"/>
      <c r="P3326" s="228"/>
    </row>
    <row r="3327" spans="15:16" x14ac:dyDescent="0.25">
      <c r="O3327" s="229"/>
      <c r="P3327" s="228"/>
    </row>
    <row r="3328" spans="15:16" x14ac:dyDescent="0.25">
      <c r="O3328" s="229"/>
      <c r="P3328" s="228"/>
    </row>
    <row r="3329" spans="15:16" x14ac:dyDescent="0.25">
      <c r="O3329" s="229"/>
      <c r="P3329" s="228"/>
    </row>
    <row r="3330" spans="15:16" x14ac:dyDescent="0.25">
      <c r="O3330" s="229"/>
      <c r="P3330" s="228"/>
    </row>
    <row r="3331" spans="15:16" x14ac:dyDescent="0.25">
      <c r="O3331" s="229"/>
      <c r="P3331" s="228"/>
    </row>
    <row r="3332" spans="15:16" x14ac:dyDescent="0.25">
      <c r="O3332" s="229"/>
      <c r="P3332" s="228"/>
    </row>
    <row r="3333" spans="15:16" x14ac:dyDescent="0.25">
      <c r="O3333" s="229"/>
      <c r="P3333" s="228"/>
    </row>
    <row r="3334" spans="15:16" x14ac:dyDescent="0.25">
      <c r="O3334" s="229"/>
      <c r="P3334" s="228"/>
    </row>
    <row r="3335" spans="15:16" x14ac:dyDescent="0.25">
      <c r="O3335" s="229"/>
      <c r="P3335" s="228"/>
    </row>
    <row r="3336" spans="15:16" x14ac:dyDescent="0.25">
      <c r="O3336" s="229"/>
      <c r="P3336" s="228"/>
    </row>
    <row r="3337" spans="15:16" x14ac:dyDescent="0.25">
      <c r="O3337" s="229"/>
      <c r="P3337" s="228"/>
    </row>
    <row r="3338" spans="15:16" x14ac:dyDescent="0.25">
      <c r="O3338" s="229"/>
      <c r="P3338" s="228"/>
    </row>
    <row r="3339" spans="15:16" x14ac:dyDescent="0.25">
      <c r="O3339" s="229"/>
      <c r="P3339" s="228"/>
    </row>
    <row r="3340" spans="15:16" x14ac:dyDescent="0.25">
      <c r="O3340" s="229"/>
      <c r="P3340" s="228"/>
    </row>
    <row r="3341" spans="15:16" x14ac:dyDescent="0.25">
      <c r="O3341" s="229"/>
      <c r="P3341" s="228"/>
    </row>
    <row r="3342" spans="15:16" x14ac:dyDescent="0.25">
      <c r="O3342" s="229"/>
      <c r="P3342" s="228"/>
    </row>
    <row r="3343" spans="15:16" x14ac:dyDescent="0.25">
      <c r="O3343" s="229"/>
      <c r="P3343" s="228"/>
    </row>
    <row r="3344" spans="15:16" x14ac:dyDescent="0.25">
      <c r="O3344" s="229"/>
      <c r="P3344" s="228"/>
    </row>
    <row r="3345" spans="15:16" x14ac:dyDescent="0.25">
      <c r="O3345" s="229"/>
      <c r="P3345" s="228"/>
    </row>
    <row r="3346" spans="15:16" x14ac:dyDescent="0.25">
      <c r="O3346" s="229"/>
      <c r="P3346" s="228"/>
    </row>
    <row r="3347" spans="15:16" x14ac:dyDescent="0.25">
      <c r="O3347" s="229"/>
      <c r="P3347" s="228"/>
    </row>
    <row r="3348" spans="15:16" x14ac:dyDescent="0.25">
      <c r="O3348" s="229"/>
      <c r="P3348" s="228"/>
    </row>
    <row r="3349" spans="15:16" x14ac:dyDescent="0.25">
      <c r="O3349" s="229"/>
      <c r="P3349" s="228"/>
    </row>
    <row r="3350" spans="15:16" x14ac:dyDescent="0.25">
      <c r="O3350" s="229"/>
      <c r="P3350" s="228"/>
    </row>
    <row r="3351" spans="15:16" x14ac:dyDescent="0.25">
      <c r="O3351" s="229"/>
      <c r="P3351" s="228"/>
    </row>
    <row r="3352" spans="15:16" x14ac:dyDescent="0.25">
      <c r="O3352" s="229"/>
      <c r="P3352" s="228"/>
    </row>
    <row r="3353" spans="15:16" x14ac:dyDescent="0.25">
      <c r="O3353" s="229"/>
      <c r="P3353" s="228"/>
    </row>
    <row r="3354" spans="15:16" x14ac:dyDescent="0.25">
      <c r="O3354" s="229"/>
      <c r="P3354" s="228"/>
    </row>
    <row r="3355" spans="15:16" x14ac:dyDescent="0.25">
      <c r="O3355" s="229"/>
      <c r="P3355" s="228"/>
    </row>
    <row r="3356" spans="15:16" x14ac:dyDescent="0.25">
      <c r="O3356" s="229"/>
      <c r="P3356" s="228"/>
    </row>
    <row r="3357" spans="15:16" x14ac:dyDescent="0.25">
      <c r="O3357" s="229"/>
      <c r="P3357" s="228"/>
    </row>
    <row r="3358" spans="15:16" x14ac:dyDescent="0.25">
      <c r="O3358" s="229"/>
      <c r="P3358" s="228"/>
    </row>
    <row r="3359" spans="15:16" x14ac:dyDescent="0.25">
      <c r="O3359" s="229"/>
      <c r="P3359" s="228"/>
    </row>
    <row r="3360" spans="15:16" x14ac:dyDescent="0.25">
      <c r="O3360" s="229"/>
      <c r="P3360" s="228"/>
    </row>
    <row r="3361" spans="15:16" x14ac:dyDescent="0.25">
      <c r="O3361" s="229"/>
      <c r="P3361" s="228"/>
    </row>
    <row r="3362" spans="15:16" x14ac:dyDescent="0.25">
      <c r="O3362" s="229"/>
      <c r="P3362" s="228"/>
    </row>
    <row r="3363" spans="15:16" x14ac:dyDescent="0.25">
      <c r="O3363" s="229"/>
      <c r="P3363" s="228"/>
    </row>
    <row r="3364" spans="15:16" x14ac:dyDescent="0.25">
      <c r="O3364" s="229"/>
      <c r="P3364" s="228"/>
    </row>
    <row r="3365" spans="15:16" x14ac:dyDescent="0.25">
      <c r="O3365" s="229"/>
      <c r="P3365" s="228"/>
    </row>
    <row r="3366" spans="15:16" x14ac:dyDescent="0.25">
      <c r="O3366" s="229"/>
      <c r="P3366" s="228"/>
    </row>
    <row r="3367" spans="15:16" x14ac:dyDescent="0.25">
      <c r="O3367" s="229"/>
      <c r="P3367" s="228"/>
    </row>
    <row r="3368" spans="15:16" x14ac:dyDescent="0.25">
      <c r="O3368" s="229"/>
      <c r="P3368" s="228"/>
    </row>
    <row r="3369" spans="15:16" x14ac:dyDescent="0.25">
      <c r="O3369" s="229"/>
      <c r="P3369" s="228"/>
    </row>
    <row r="3370" spans="15:16" x14ac:dyDescent="0.25">
      <c r="O3370" s="229"/>
      <c r="P3370" s="228"/>
    </row>
    <row r="3371" spans="15:16" x14ac:dyDescent="0.25">
      <c r="O3371" s="229"/>
      <c r="P3371" s="228"/>
    </row>
    <row r="3372" spans="15:16" x14ac:dyDescent="0.25">
      <c r="O3372" s="229"/>
      <c r="P3372" s="228"/>
    </row>
    <row r="3373" spans="15:16" x14ac:dyDescent="0.25">
      <c r="O3373" s="229"/>
      <c r="P3373" s="228"/>
    </row>
    <row r="3374" spans="15:16" x14ac:dyDescent="0.25">
      <c r="O3374" s="229"/>
      <c r="P3374" s="228"/>
    </row>
    <row r="3375" spans="15:16" x14ac:dyDescent="0.25">
      <c r="O3375" s="229"/>
      <c r="P3375" s="228"/>
    </row>
    <row r="3376" spans="15:16" x14ac:dyDescent="0.25">
      <c r="O3376" s="229"/>
      <c r="P3376" s="228"/>
    </row>
    <row r="3377" spans="15:16" x14ac:dyDescent="0.25">
      <c r="O3377" s="229"/>
      <c r="P3377" s="228"/>
    </row>
    <row r="3378" spans="15:16" x14ac:dyDescent="0.25">
      <c r="O3378" s="229"/>
      <c r="P3378" s="228"/>
    </row>
    <row r="3379" spans="15:16" x14ac:dyDescent="0.25">
      <c r="O3379" s="229"/>
      <c r="P3379" s="228"/>
    </row>
    <row r="3380" spans="15:16" x14ac:dyDescent="0.25">
      <c r="O3380" s="229"/>
      <c r="P3380" s="228"/>
    </row>
    <row r="3381" spans="15:16" x14ac:dyDescent="0.25">
      <c r="O3381" s="229"/>
      <c r="P3381" s="228"/>
    </row>
    <row r="3382" spans="15:16" x14ac:dyDescent="0.25">
      <c r="O3382" s="229"/>
      <c r="P3382" s="228"/>
    </row>
    <row r="3383" spans="15:16" x14ac:dyDescent="0.25">
      <c r="O3383" s="229"/>
      <c r="P3383" s="228"/>
    </row>
    <row r="3384" spans="15:16" x14ac:dyDescent="0.25">
      <c r="O3384" s="229"/>
      <c r="P3384" s="228"/>
    </row>
    <row r="3385" spans="15:16" x14ac:dyDescent="0.25">
      <c r="O3385" s="229"/>
      <c r="P3385" s="228"/>
    </row>
    <row r="3386" spans="15:16" x14ac:dyDescent="0.25">
      <c r="O3386" s="229"/>
      <c r="P3386" s="228"/>
    </row>
    <row r="3387" spans="15:16" x14ac:dyDescent="0.25">
      <c r="O3387" s="229"/>
      <c r="P3387" s="228"/>
    </row>
    <row r="3388" spans="15:16" x14ac:dyDescent="0.25">
      <c r="O3388" s="229"/>
      <c r="P3388" s="228"/>
    </row>
    <row r="3389" spans="15:16" x14ac:dyDescent="0.25">
      <c r="O3389" s="229"/>
      <c r="P3389" s="228"/>
    </row>
    <row r="3390" spans="15:16" x14ac:dyDescent="0.25">
      <c r="O3390" s="229"/>
      <c r="P3390" s="228"/>
    </row>
    <row r="3391" spans="15:16" x14ac:dyDescent="0.25">
      <c r="O3391" s="229"/>
      <c r="P3391" s="228"/>
    </row>
    <row r="3392" spans="15:16" x14ac:dyDescent="0.25">
      <c r="O3392" s="229"/>
      <c r="P3392" s="228"/>
    </row>
    <row r="3393" spans="15:16" x14ac:dyDescent="0.25">
      <c r="O3393" s="229"/>
      <c r="P3393" s="228"/>
    </row>
    <row r="3394" spans="15:16" x14ac:dyDescent="0.25">
      <c r="O3394" s="229"/>
      <c r="P3394" s="228"/>
    </row>
    <row r="3395" spans="15:16" x14ac:dyDescent="0.25">
      <c r="O3395" s="229"/>
      <c r="P3395" s="228"/>
    </row>
    <row r="3396" spans="15:16" x14ac:dyDescent="0.25">
      <c r="O3396" s="229"/>
      <c r="P3396" s="228"/>
    </row>
    <row r="3397" spans="15:16" x14ac:dyDescent="0.25">
      <c r="O3397" s="229"/>
      <c r="P3397" s="228"/>
    </row>
    <row r="3398" spans="15:16" x14ac:dyDescent="0.25">
      <c r="O3398" s="229"/>
      <c r="P3398" s="228"/>
    </row>
    <row r="3399" spans="15:16" x14ac:dyDescent="0.25">
      <c r="O3399" s="229"/>
      <c r="P3399" s="228"/>
    </row>
    <row r="3400" spans="15:16" x14ac:dyDescent="0.25">
      <c r="O3400" s="229"/>
      <c r="P3400" s="228"/>
    </row>
    <row r="3401" spans="15:16" x14ac:dyDescent="0.25">
      <c r="O3401" s="229"/>
      <c r="P3401" s="228"/>
    </row>
    <row r="3402" spans="15:16" x14ac:dyDescent="0.25">
      <c r="O3402" s="229"/>
      <c r="P3402" s="228"/>
    </row>
    <row r="3403" spans="15:16" x14ac:dyDescent="0.25">
      <c r="O3403" s="229"/>
      <c r="P3403" s="228"/>
    </row>
    <row r="3404" spans="15:16" x14ac:dyDescent="0.25">
      <c r="O3404" s="229"/>
      <c r="P3404" s="228"/>
    </row>
    <row r="3405" spans="15:16" x14ac:dyDescent="0.25">
      <c r="O3405" s="229"/>
      <c r="P3405" s="228"/>
    </row>
    <row r="3406" spans="15:16" x14ac:dyDescent="0.25">
      <c r="O3406" s="229"/>
      <c r="P3406" s="228"/>
    </row>
    <row r="3407" spans="15:16" x14ac:dyDescent="0.25">
      <c r="O3407" s="229"/>
      <c r="P3407" s="228"/>
    </row>
    <row r="3408" spans="15:16" x14ac:dyDescent="0.25">
      <c r="O3408" s="229"/>
      <c r="P3408" s="228"/>
    </row>
    <row r="3409" spans="15:16" x14ac:dyDescent="0.25">
      <c r="O3409" s="229"/>
      <c r="P3409" s="228"/>
    </row>
    <row r="3410" spans="15:16" x14ac:dyDescent="0.25">
      <c r="O3410" s="229"/>
      <c r="P3410" s="228"/>
    </row>
    <row r="3411" spans="15:16" x14ac:dyDescent="0.25">
      <c r="O3411" s="229"/>
      <c r="P3411" s="228"/>
    </row>
    <row r="3412" spans="15:16" x14ac:dyDescent="0.25">
      <c r="O3412" s="229"/>
      <c r="P3412" s="228"/>
    </row>
    <row r="3413" spans="15:16" x14ac:dyDescent="0.25">
      <c r="O3413" s="229"/>
      <c r="P3413" s="228"/>
    </row>
    <row r="3414" spans="15:16" x14ac:dyDescent="0.25">
      <c r="O3414" s="229"/>
      <c r="P3414" s="228"/>
    </row>
    <row r="3415" spans="15:16" x14ac:dyDescent="0.25">
      <c r="O3415" s="229"/>
      <c r="P3415" s="228"/>
    </row>
    <row r="3416" spans="15:16" x14ac:dyDescent="0.25">
      <c r="O3416" s="229"/>
      <c r="P3416" s="228"/>
    </row>
    <row r="3417" spans="15:16" x14ac:dyDescent="0.25">
      <c r="O3417" s="229"/>
      <c r="P3417" s="228"/>
    </row>
    <row r="3418" spans="15:16" x14ac:dyDescent="0.25">
      <c r="O3418" s="229"/>
      <c r="P3418" s="228"/>
    </row>
    <row r="3419" spans="15:16" x14ac:dyDescent="0.25">
      <c r="O3419" s="229"/>
      <c r="P3419" s="228"/>
    </row>
    <row r="3420" spans="15:16" x14ac:dyDescent="0.25">
      <c r="O3420" s="229"/>
      <c r="P3420" s="228"/>
    </row>
    <row r="3421" spans="15:16" x14ac:dyDescent="0.25">
      <c r="O3421" s="229"/>
      <c r="P3421" s="228"/>
    </row>
    <row r="3422" spans="15:16" x14ac:dyDescent="0.25">
      <c r="O3422" s="229"/>
      <c r="P3422" s="228"/>
    </row>
    <row r="3423" spans="15:16" x14ac:dyDescent="0.25">
      <c r="O3423" s="229"/>
      <c r="P3423" s="228"/>
    </row>
    <row r="3424" spans="15:16" x14ac:dyDescent="0.25">
      <c r="O3424" s="229"/>
      <c r="P3424" s="228"/>
    </row>
    <row r="3425" spans="15:16" x14ac:dyDescent="0.25">
      <c r="O3425" s="229"/>
      <c r="P3425" s="228"/>
    </row>
    <row r="3426" spans="15:16" x14ac:dyDescent="0.25">
      <c r="O3426" s="229"/>
      <c r="P3426" s="228"/>
    </row>
    <row r="3427" spans="15:16" x14ac:dyDescent="0.25">
      <c r="O3427" s="229"/>
      <c r="P3427" s="228"/>
    </row>
    <row r="3428" spans="15:16" x14ac:dyDescent="0.25">
      <c r="O3428" s="229"/>
      <c r="P3428" s="228"/>
    </row>
    <row r="3429" spans="15:16" x14ac:dyDescent="0.25">
      <c r="O3429" s="229"/>
      <c r="P3429" s="228"/>
    </row>
    <row r="3430" spans="15:16" x14ac:dyDescent="0.25">
      <c r="O3430" s="229"/>
      <c r="P3430" s="228"/>
    </row>
    <row r="3431" spans="15:16" x14ac:dyDescent="0.25">
      <c r="O3431" s="229"/>
      <c r="P3431" s="228"/>
    </row>
    <row r="3432" spans="15:16" x14ac:dyDescent="0.25">
      <c r="O3432" s="229"/>
      <c r="P3432" s="228"/>
    </row>
    <row r="3433" spans="15:16" x14ac:dyDescent="0.25">
      <c r="O3433" s="229"/>
      <c r="P3433" s="228"/>
    </row>
    <row r="3434" spans="15:16" x14ac:dyDescent="0.25">
      <c r="O3434" s="229"/>
      <c r="P3434" s="228"/>
    </row>
    <row r="3435" spans="15:16" x14ac:dyDescent="0.25">
      <c r="O3435" s="229"/>
      <c r="P3435" s="228"/>
    </row>
    <row r="3436" spans="15:16" x14ac:dyDescent="0.25">
      <c r="O3436" s="229"/>
      <c r="P3436" s="228"/>
    </row>
    <row r="3437" spans="15:16" x14ac:dyDescent="0.25">
      <c r="O3437" s="229"/>
      <c r="P3437" s="228"/>
    </row>
    <row r="3438" spans="15:16" x14ac:dyDescent="0.25">
      <c r="O3438" s="229"/>
      <c r="P3438" s="228"/>
    </row>
    <row r="3439" spans="15:16" x14ac:dyDescent="0.25">
      <c r="O3439" s="229"/>
      <c r="P3439" s="228"/>
    </row>
    <row r="3440" spans="15:16" x14ac:dyDescent="0.25">
      <c r="O3440" s="229"/>
      <c r="P3440" s="228"/>
    </row>
    <row r="3441" spans="15:16" x14ac:dyDescent="0.25">
      <c r="O3441" s="229"/>
      <c r="P3441" s="228"/>
    </row>
    <row r="3442" spans="15:16" x14ac:dyDescent="0.25">
      <c r="O3442" s="229"/>
      <c r="P3442" s="228"/>
    </row>
    <row r="3443" spans="15:16" x14ac:dyDescent="0.25">
      <c r="O3443" s="229"/>
      <c r="P3443" s="228"/>
    </row>
    <row r="3444" spans="15:16" x14ac:dyDescent="0.25">
      <c r="O3444" s="229"/>
      <c r="P3444" s="228"/>
    </row>
    <row r="3445" spans="15:16" x14ac:dyDescent="0.25">
      <c r="O3445" s="229"/>
      <c r="P3445" s="228"/>
    </row>
    <row r="3446" spans="15:16" x14ac:dyDescent="0.25">
      <c r="O3446" s="229"/>
      <c r="P3446" s="228"/>
    </row>
    <row r="3447" spans="15:16" x14ac:dyDescent="0.25">
      <c r="O3447" s="229"/>
      <c r="P3447" s="228"/>
    </row>
    <row r="3448" spans="15:16" x14ac:dyDescent="0.25">
      <c r="O3448" s="229"/>
      <c r="P3448" s="228"/>
    </row>
    <row r="3449" spans="15:16" x14ac:dyDescent="0.25">
      <c r="O3449" s="229"/>
      <c r="P3449" s="228"/>
    </row>
    <row r="3450" spans="15:16" x14ac:dyDescent="0.25">
      <c r="O3450" s="229"/>
      <c r="P3450" s="228"/>
    </row>
    <row r="3451" spans="15:16" x14ac:dyDescent="0.25">
      <c r="O3451" s="229"/>
      <c r="P3451" s="228"/>
    </row>
    <row r="3452" spans="15:16" x14ac:dyDescent="0.25">
      <c r="O3452" s="229"/>
      <c r="P3452" s="228"/>
    </row>
    <row r="3453" spans="15:16" x14ac:dyDescent="0.25">
      <c r="O3453" s="229"/>
      <c r="P3453" s="228"/>
    </row>
    <row r="3454" spans="15:16" x14ac:dyDescent="0.25">
      <c r="O3454" s="229"/>
      <c r="P3454" s="228"/>
    </row>
    <row r="3455" spans="15:16" x14ac:dyDescent="0.25">
      <c r="O3455" s="229"/>
      <c r="P3455" s="228"/>
    </row>
    <row r="3456" spans="15:16" x14ac:dyDescent="0.25">
      <c r="O3456" s="229"/>
      <c r="P3456" s="228"/>
    </row>
    <row r="3457" spans="15:16" x14ac:dyDescent="0.25">
      <c r="O3457" s="229"/>
      <c r="P3457" s="228"/>
    </row>
    <row r="3458" spans="15:16" x14ac:dyDescent="0.25">
      <c r="O3458" s="229"/>
      <c r="P3458" s="228"/>
    </row>
    <row r="3459" spans="15:16" x14ac:dyDescent="0.25">
      <c r="O3459" s="229"/>
      <c r="P3459" s="228"/>
    </row>
    <row r="3460" spans="15:16" x14ac:dyDescent="0.25">
      <c r="O3460" s="229"/>
      <c r="P3460" s="228"/>
    </row>
    <row r="3461" spans="15:16" x14ac:dyDescent="0.25">
      <c r="O3461" s="229"/>
      <c r="P3461" s="228"/>
    </row>
    <row r="3462" spans="15:16" x14ac:dyDescent="0.25">
      <c r="O3462" s="229"/>
      <c r="P3462" s="228"/>
    </row>
    <row r="3463" spans="15:16" x14ac:dyDescent="0.25">
      <c r="O3463" s="229"/>
      <c r="P3463" s="228"/>
    </row>
    <row r="3464" spans="15:16" x14ac:dyDescent="0.25">
      <c r="O3464" s="229"/>
      <c r="P3464" s="228"/>
    </row>
    <row r="3465" spans="15:16" x14ac:dyDescent="0.25">
      <c r="O3465" s="229"/>
      <c r="P3465" s="228"/>
    </row>
    <row r="3466" spans="15:16" x14ac:dyDescent="0.25">
      <c r="O3466" s="229"/>
      <c r="P3466" s="228"/>
    </row>
    <row r="3467" spans="15:16" x14ac:dyDescent="0.25">
      <c r="O3467" s="229"/>
      <c r="P3467" s="228"/>
    </row>
    <row r="3468" spans="15:16" x14ac:dyDescent="0.25">
      <c r="O3468" s="229"/>
      <c r="P3468" s="228"/>
    </row>
    <row r="3469" spans="15:16" x14ac:dyDescent="0.25">
      <c r="O3469" s="229"/>
      <c r="P3469" s="228"/>
    </row>
    <row r="3470" spans="15:16" x14ac:dyDescent="0.25">
      <c r="O3470" s="229"/>
      <c r="P3470" s="228"/>
    </row>
    <row r="3471" spans="15:16" x14ac:dyDescent="0.25">
      <c r="O3471" s="229"/>
      <c r="P3471" s="228"/>
    </row>
    <row r="3472" spans="15:16" x14ac:dyDescent="0.25">
      <c r="O3472" s="229"/>
      <c r="P3472" s="228"/>
    </row>
    <row r="3473" spans="15:16" x14ac:dyDescent="0.25">
      <c r="O3473" s="229"/>
      <c r="P3473" s="228"/>
    </row>
    <row r="3474" spans="15:16" x14ac:dyDescent="0.25">
      <c r="O3474" s="229"/>
      <c r="P3474" s="228"/>
    </row>
    <row r="3475" spans="15:16" x14ac:dyDescent="0.25">
      <c r="O3475" s="229"/>
      <c r="P3475" s="228"/>
    </row>
    <row r="3476" spans="15:16" x14ac:dyDescent="0.25">
      <c r="O3476" s="229"/>
      <c r="P3476" s="228"/>
    </row>
    <row r="3477" spans="15:16" x14ac:dyDescent="0.25">
      <c r="O3477" s="229"/>
      <c r="P3477" s="228"/>
    </row>
    <row r="3478" spans="15:16" x14ac:dyDescent="0.25">
      <c r="O3478" s="229"/>
      <c r="P3478" s="228"/>
    </row>
    <row r="3479" spans="15:16" x14ac:dyDescent="0.25">
      <c r="O3479" s="229"/>
      <c r="P3479" s="228"/>
    </row>
    <row r="3480" spans="15:16" x14ac:dyDescent="0.25">
      <c r="O3480" s="229"/>
      <c r="P3480" s="228"/>
    </row>
    <row r="3481" spans="15:16" x14ac:dyDescent="0.25">
      <c r="O3481" s="229"/>
      <c r="P3481" s="228"/>
    </row>
    <row r="3482" spans="15:16" x14ac:dyDescent="0.25">
      <c r="O3482" s="229"/>
      <c r="P3482" s="228"/>
    </row>
    <row r="3483" spans="15:16" x14ac:dyDescent="0.25">
      <c r="O3483" s="229"/>
      <c r="P3483" s="228"/>
    </row>
    <row r="3484" spans="15:16" x14ac:dyDescent="0.25">
      <c r="O3484" s="229"/>
      <c r="P3484" s="228"/>
    </row>
    <row r="3485" spans="15:16" x14ac:dyDescent="0.25">
      <c r="O3485" s="229"/>
      <c r="P3485" s="228"/>
    </row>
    <row r="3486" spans="15:16" x14ac:dyDescent="0.25">
      <c r="O3486" s="229"/>
      <c r="P3486" s="228"/>
    </row>
    <row r="3487" spans="15:16" x14ac:dyDescent="0.25">
      <c r="O3487" s="229"/>
      <c r="P3487" s="228"/>
    </row>
    <row r="3488" spans="15:16" x14ac:dyDescent="0.25">
      <c r="O3488" s="229"/>
      <c r="P3488" s="228"/>
    </row>
    <row r="3489" spans="15:16" x14ac:dyDescent="0.25">
      <c r="O3489" s="229"/>
      <c r="P3489" s="228"/>
    </row>
    <row r="3490" spans="15:16" x14ac:dyDescent="0.25">
      <c r="O3490" s="229"/>
      <c r="P3490" s="228"/>
    </row>
    <row r="3491" spans="15:16" x14ac:dyDescent="0.25">
      <c r="O3491" s="229"/>
      <c r="P3491" s="228"/>
    </row>
    <row r="3492" spans="15:16" x14ac:dyDescent="0.25">
      <c r="O3492" s="229"/>
      <c r="P3492" s="228"/>
    </row>
    <row r="3493" spans="15:16" x14ac:dyDescent="0.25">
      <c r="O3493" s="229"/>
      <c r="P3493" s="228"/>
    </row>
    <row r="3494" spans="15:16" x14ac:dyDescent="0.25">
      <c r="O3494" s="229"/>
      <c r="P3494" s="228"/>
    </row>
    <row r="3495" spans="15:16" x14ac:dyDescent="0.25">
      <c r="O3495" s="229"/>
      <c r="P3495" s="228"/>
    </row>
    <row r="3496" spans="15:16" x14ac:dyDescent="0.25">
      <c r="O3496" s="229"/>
      <c r="P3496" s="228"/>
    </row>
    <row r="3497" spans="15:16" x14ac:dyDescent="0.25">
      <c r="O3497" s="229"/>
      <c r="P3497" s="228"/>
    </row>
    <row r="3498" spans="15:16" x14ac:dyDescent="0.25">
      <c r="O3498" s="229"/>
      <c r="P3498" s="228"/>
    </row>
    <row r="3499" spans="15:16" x14ac:dyDescent="0.25">
      <c r="O3499" s="229"/>
      <c r="P3499" s="228"/>
    </row>
    <row r="3500" spans="15:16" x14ac:dyDescent="0.25">
      <c r="O3500" s="229"/>
      <c r="P3500" s="228"/>
    </row>
    <row r="3501" spans="15:16" x14ac:dyDescent="0.25">
      <c r="O3501" s="229"/>
      <c r="P3501" s="228"/>
    </row>
    <row r="3502" spans="15:16" x14ac:dyDescent="0.25">
      <c r="O3502" s="229"/>
      <c r="P3502" s="228"/>
    </row>
    <row r="3503" spans="15:16" x14ac:dyDescent="0.25">
      <c r="O3503" s="229"/>
      <c r="P3503" s="228"/>
    </row>
    <row r="3504" spans="15:16" x14ac:dyDescent="0.25">
      <c r="O3504" s="229"/>
      <c r="P3504" s="228"/>
    </row>
    <row r="3505" spans="15:16" x14ac:dyDescent="0.25">
      <c r="O3505" s="229"/>
      <c r="P3505" s="228"/>
    </row>
    <row r="3506" spans="15:16" x14ac:dyDescent="0.25">
      <c r="O3506" s="229"/>
      <c r="P3506" s="228"/>
    </row>
    <row r="3507" spans="15:16" x14ac:dyDescent="0.25">
      <c r="O3507" s="229"/>
      <c r="P3507" s="228"/>
    </row>
    <row r="3508" spans="15:16" x14ac:dyDescent="0.25">
      <c r="O3508" s="229"/>
      <c r="P3508" s="228"/>
    </row>
    <row r="3509" spans="15:16" x14ac:dyDescent="0.25">
      <c r="O3509" s="229"/>
      <c r="P3509" s="228"/>
    </row>
    <row r="3510" spans="15:16" x14ac:dyDescent="0.25">
      <c r="O3510" s="229"/>
      <c r="P3510" s="228"/>
    </row>
    <row r="3511" spans="15:16" x14ac:dyDescent="0.25">
      <c r="O3511" s="229"/>
      <c r="P3511" s="228"/>
    </row>
    <row r="3512" spans="15:16" x14ac:dyDescent="0.25">
      <c r="O3512" s="229"/>
      <c r="P3512" s="228"/>
    </row>
    <row r="3513" spans="15:16" x14ac:dyDescent="0.25">
      <c r="O3513" s="229"/>
      <c r="P3513" s="228"/>
    </row>
    <row r="3514" spans="15:16" x14ac:dyDescent="0.25">
      <c r="O3514" s="229"/>
      <c r="P3514" s="228"/>
    </row>
    <row r="3515" spans="15:16" x14ac:dyDescent="0.25">
      <c r="O3515" s="229"/>
      <c r="P3515" s="228"/>
    </row>
    <row r="3516" spans="15:16" x14ac:dyDescent="0.25">
      <c r="O3516" s="229"/>
      <c r="P3516" s="228"/>
    </row>
    <row r="3517" spans="15:16" x14ac:dyDescent="0.25">
      <c r="O3517" s="229"/>
      <c r="P3517" s="228"/>
    </row>
    <row r="3518" spans="15:16" x14ac:dyDescent="0.25">
      <c r="O3518" s="229"/>
      <c r="P3518" s="228"/>
    </row>
    <row r="3519" spans="15:16" x14ac:dyDescent="0.25">
      <c r="O3519" s="229"/>
      <c r="P3519" s="228"/>
    </row>
    <row r="3520" spans="15:16" x14ac:dyDescent="0.25">
      <c r="O3520" s="229"/>
      <c r="P3520" s="228"/>
    </row>
    <row r="3521" spans="15:16" x14ac:dyDescent="0.25">
      <c r="O3521" s="229"/>
      <c r="P3521" s="228"/>
    </row>
    <row r="3522" spans="15:16" x14ac:dyDescent="0.25">
      <c r="O3522" s="229"/>
      <c r="P3522" s="228"/>
    </row>
    <row r="3523" spans="15:16" x14ac:dyDescent="0.25">
      <c r="O3523" s="229"/>
      <c r="P3523" s="228"/>
    </row>
    <row r="3524" spans="15:16" x14ac:dyDescent="0.25">
      <c r="O3524" s="229"/>
      <c r="P3524" s="228"/>
    </row>
    <row r="3525" spans="15:16" x14ac:dyDescent="0.25">
      <c r="O3525" s="229"/>
      <c r="P3525" s="228"/>
    </row>
    <row r="3526" spans="15:16" x14ac:dyDescent="0.25">
      <c r="O3526" s="229"/>
      <c r="P3526" s="228"/>
    </row>
    <row r="3527" spans="15:16" x14ac:dyDescent="0.25">
      <c r="O3527" s="229"/>
      <c r="P3527" s="228"/>
    </row>
    <row r="3528" spans="15:16" x14ac:dyDescent="0.25">
      <c r="O3528" s="229"/>
      <c r="P3528" s="228"/>
    </row>
    <row r="3529" spans="15:16" x14ac:dyDescent="0.25">
      <c r="O3529" s="229"/>
      <c r="P3529" s="228"/>
    </row>
    <row r="3530" spans="15:16" x14ac:dyDescent="0.25">
      <c r="O3530" s="229"/>
      <c r="P3530" s="228"/>
    </row>
    <row r="3531" spans="15:16" x14ac:dyDescent="0.25">
      <c r="O3531" s="229"/>
      <c r="P3531" s="228"/>
    </row>
    <row r="3532" spans="15:16" x14ac:dyDescent="0.25">
      <c r="O3532" s="229"/>
      <c r="P3532" s="228"/>
    </row>
    <row r="3533" spans="15:16" x14ac:dyDescent="0.25">
      <c r="O3533" s="229"/>
      <c r="P3533" s="228"/>
    </row>
    <row r="3534" spans="15:16" x14ac:dyDescent="0.25">
      <c r="O3534" s="229"/>
      <c r="P3534" s="228"/>
    </row>
    <row r="3535" spans="15:16" x14ac:dyDescent="0.25">
      <c r="O3535" s="229"/>
      <c r="P3535" s="228"/>
    </row>
    <row r="3536" spans="15:16" x14ac:dyDescent="0.25">
      <c r="O3536" s="229"/>
      <c r="P3536" s="228"/>
    </row>
    <row r="3537" spans="15:16" x14ac:dyDescent="0.25">
      <c r="O3537" s="229"/>
      <c r="P3537" s="228"/>
    </row>
    <row r="3538" spans="15:16" x14ac:dyDescent="0.25">
      <c r="O3538" s="229"/>
      <c r="P3538" s="228"/>
    </row>
    <row r="3539" spans="15:16" x14ac:dyDescent="0.25">
      <c r="O3539" s="229"/>
      <c r="P3539" s="228"/>
    </row>
    <row r="3540" spans="15:16" x14ac:dyDescent="0.25">
      <c r="O3540" s="229"/>
      <c r="P3540" s="228"/>
    </row>
    <row r="3541" spans="15:16" x14ac:dyDescent="0.25">
      <c r="O3541" s="229"/>
      <c r="P3541" s="228"/>
    </row>
    <row r="3542" spans="15:16" x14ac:dyDescent="0.25">
      <c r="O3542" s="229"/>
      <c r="P3542" s="228"/>
    </row>
    <row r="3543" spans="15:16" x14ac:dyDescent="0.25">
      <c r="O3543" s="229"/>
      <c r="P3543" s="228"/>
    </row>
    <row r="3544" spans="15:16" x14ac:dyDescent="0.25">
      <c r="O3544" s="229"/>
      <c r="P3544" s="228"/>
    </row>
    <row r="3545" spans="15:16" x14ac:dyDescent="0.25">
      <c r="O3545" s="229"/>
      <c r="P3545" s="228"/>
    </row>
    <row r="3546" spans="15:16" x14ac:dyDescent="0.25">
      <c r="O3546" s="229"/>
      <c r="P3546" s="228"/>
    </row>
    <row r="3547" spans="15:16" x14ac:dyDescent="0.25">
      <c r="O3547" s="229"/>
      <c r="P3547" s="228"/>
    </row>
    <row r="3548" spans="15:16" x14ac:dyDescent="0.25">
      <c r="O3548" s="229"/>
      <c r="P3548" s="228"/>
    </row>
    <row r="3549" spans="15:16" x14ac:dyDescent="0.25">
      <c r="O3549" s="229"/>
      <c r="P3549" s="228"/>
    </row>
    <row r="3550" spans="15:16" x14ac:dyDescent="0.25">
      <c r="O3550" s="229"/>
      <c r="P3550" s="228"/>
    </row>
    <row r="3551" spans="15:16" x14ac:dyDescent="0.25">
      <c r="O3551" s="229"/>
      <c r="P3551" s="228"/>
    </row>
    <row r="3552" spans="15:16" x14ac:dyDescent="0.25">
      <c r="O3552" s="229"/>
      <c r="P3552" s="228"/>
    </row>
    <row r="3553" spans="15:16" x14ac:dyDescent="0.25">
      <c r="O3553" s="229"/>
      <c r="P3553" s="228"/>
    </row>
    <row r="3554" spans="15:16" x14ac:dyDescent="0.25">
      <c r="O3554" s="229"/>
      <c r="P3554" s="228"/>
    </row>
    <row r="3555" spans="15:16" x14ac:dyDescent="0.25">
      <c r="O3555" s="229"/>
      <c r="P3555" s="228"/>
    </row>
    <row r="3556" spans="15:16" x14ac:dyDescent="0.25">
      <c r="O3556" s="229"/>
      <c r="P3556" s="228"/>
    </row>
    <row r="3557" spans="15:16" x14ac:dyDescent="0.25">
      <c r="O3557" s="229"/>
      <c r="P3557" s="228"/>
    </row>
    <row r="3558" spans="15:16" x14ac:dyDescent="0.25">
      <c r="O3558" s="229"/>
      <c r="P3558" s="228"/>
    </row>
    <row r="3559" spans="15:16" x14ac:dyDescent="0.25">
      <c r="O3559" s="229"/>
      <c r="P3559" s="228"/>
    </row>
    <row r="3560" spans="15:16" x14ac:dyDescent="0.25">
      <c r="O3560" s="229"/>
      <c r="P3560" s="228"/>
    </row>
    <row r="3561" spans="15:16" x14ac:dyDescent="0.25">
      <c r="O3561" s="229"/>
      <c r="P3561" s="228"/>
    </row>
    <row r="3562" spans="15:16" x14ac:dyDescent="0.25">
      <c r="O3562" s="229"/>
      <c r="P3562" s="228"/>
    </row>
    <row r="3563" spans="15:16" x14ac:dyDescent="0.25">
      <c r="O3563" s="229"/>
      <c r="P3563" s="228"/>
    </row>
    <row r="3564" spans="15:16" x14ac:dyDescent="0.25">
      <c r="O3564" s="229"/>
      <c r="P3564" s="228"/>
    </row>
    <row r="3565" spans="15:16" x14ac:dyDescent="0.25">
      <c r="O3565" s="229"/>
      <c r="P3565" s="228"/>
    </row>
    <row r="3566" spans="15:16" x14ac:dyDescent="0.25">
      <c r="O3566" s="229"/>
      <c r="P3566" s="228"/>
    </row>
    <row r="3567" spans="15:16" x14ac:dyDescent="0.25">
      <c r="O3567" s="229"/>
      <c r="P3567" s="228"/>
    </row>
    <row r="3568" spans="15:16" x14ac:dyDescent="0.25">
      <c r="O3568" s="229"/>
      <c r="P3568" s="228"/>
    </row>
    <row r="3569" spans="15:16" x14ac:dyDescent="0.25">
      <c r="O3569" s="229"/>
      <c r="P3569" s="228"/>
    </row>
    <row r="3570" spans="15:16" x14ac:dyDescent="0.25">
      <c r="O3570" s="229"/>
      <c r="P3570" s="228"/>
    </row>
    <row r="3571" spans="15:16" x14ac:dyDescent="0.25">
      <c r="O3571" s="229"/>
      <c r="P3571" s="228"/>
    </row>
    <row r="3572" spans="15:16" x14ac:dyDescent="0.25">
      <c r="O3572" s="229"/>
      <c r="P3572" s="228"/>
    </row>
    <row r="3573" spans="15:16" x14ac:dyDescent="0.25">
      <c r="O3573" s="229"/>
      <c r="P3573" s="228"/>
    </row>
    <row r="3574" spans="15:16" x14ac:dyDescent="0.25">
      <c r="O3574" s="229"/>
      <c r="P3574" s="228"/>
    </row>
    <row r="3575" spans="15:16" x14ac:dyDescent="0.25">
      <c r="O3575" s="229"/>
      <c r="P3575" s="228"/>
    </row>
    <row r="3576" spans="15:16" x14ac:dyDescent="0.25">
      <c r="O3576" s="229"/>
      <c r="P3576" s="228"/>
    </row>
    <row r="3577" spans="15:16" x14ac:dyDescent="0.25">
      <c r="O3577" s="229"/>
      <c r="P3577" s="228"/>
    </row>
    <row r="3578" spans="15:16" x14ac:dyDescent="0.25">
      <c r="O3578" s="229"/>
      <c r="P3578" s="228"/>
    </row>
    <row r="3579" spans="15:16" x14ac:dyDescent="0.25">
      <c r="O3579" s="229"/>
      <c r="P3579" s="228"/>
    </row>
    <row r="3580" spans="15:16" x14ac:dyDescent="0.25">
      <c r="O3580" s="229"/>
      <c r="P3580" s="228"/>
    </row>
    <row r="3581" spans="15:16" x14ac:dyDescent="0.25">
      <c r="O3581" s="229"/>
      <c r="P3581" s="228"/>
    </row>
    <row r="3582" spans="15:16" x14ac:dyDescent="0.25">
      <c r="O3582" s="229"/>
      <c r="P3582" s="228"/>
    </row>
    <row r="3583" spans="15:16" x14ac:dyDescent="0.25">
      <c r="O3583" s="229"/>
      <c r="P3583" s="228"/>
    </row>
    <row r="3584" spans="15:16" x14ac:dyDescent="0.25">
      <c r="O3584" s="229"/>
      <c r="P3584" s="228"/>
    </row>
    <row r="3585" spans="15:16" x14ac:dyDescent="0.25">
      <c r="O3585" s="229"/>
      <c r="P3585" s="228"/>
    </row>
    <row r="3586" spans="15:16" x14ac:dyDescent="0.25">
      <c r="O3586" s="229"/>
      <c r="P3586" s="228"/>
    </row>
    <row r="3587" spans="15:16" x14ac:dyDescent="0.25">
      <c r="O3587" s="229"/>
      <c r="P3587" s="228"/>
    </row>
    <row r="3588" spans="15:16" x14ac:dyDescent="0.25">
      <c r="O3588" s="229"/>
      <c r="P3588" s="228"/>
    </row>
    <row r="3589" spans="15:16" x14ac:dyDescent="0.25">
      <c r="O3589" s="229"/>
      <c r="P3589" s="228"/>
    </row>
    <row r="3590" spans="15:16" x14ac:dyDescent="0.25">
      <c r="O3590" s="229"/>
      <c r="P3590" s="228"/>
    </row>
    <row r="3591" spans="15:16" x14ac:dyDescent="0.25">
      <c r="O3591" s="229"/>
      <c r="P3591" s="228"/>
    </row>
    <row r="3592" spans="15:16" x14ac:dyDescent="0.25">
      <c r="O3592" s="229"/>
      <c r="P3592" s="228"/>
    </row>
    <row r="3593" spans="15:16" x14ac:dyDescent="0.25">
      <c r="O3593" s="229"/>
      <c r="P3593" s="228"/>
    </row>
    <row r="3594" spans="15:16" x14ac:dyDescent="0.25">
      <c r="O3594" s="229"/>
      <c r="P3594" s="228"/>
    </row>
    <row r="3595" spans="15:16" x14ac:dyDescent="0.25">
      <c r="O3595" s="229"/>
      <c r="P3595" s="228"/>
    </row>
    <row r="3596" spans="15:16" x14ac:dyDescent="0.25">
      <c r="O3596" s="229"/>
      <c r="P3596" s="228"/>
    </row>
    <row r="3597" spans="15:16" x14ac:dyDescent="0.25">
      <c r="O3597" s="229"/>
      <c r="P3597" s="228"/>
    </row>
    <row r="3598" spans="15:16" x14ac:dyDescent="0.25">
      <c r="O3598" s="229"/>
      <c r="P3598" s="228"/>
    </row>
    <row r="3599" spans="15:16" x14ac:dyDescent="0.25">
      <c r="O3599" s="229"/>
      <c r="P3599" s="228"/>
    </row>
    <row r="3600" spans="15:16" x14ac:dyDescent="0.25">
      <c r="O3600" s="229"/>
      <c r="P3600" s="228"/>
    </row>
    <row r="3601" spans="15:16" x14ac:dyDescent="0.25">
      <c r="O3601" s="229"/>
      <c r="P3601" s="228"/>
    </row>
    <row r="3602" spans="15:16" x14ac:dyDescent="0.25">
      <c r="O3602" s="229"/>
      <c r="P3602" s="228"/>
    </row>
    <row r="3603" spans="15:16" x14ac:dyDescent="0.25">
      <c r="O3603" s="229"/>
      <c r="P3603" s="228"/>
    </row>
    <row r="3604" spans="15:16" x14ac:dyDescent="0.25">
      <c r="O3604" s="229"/>
      <c r="P3604" s="228"/>
    </row>
    <row r="3605" spans="15:16" x14ac:dyDescent="0.25">
      <c r="O3605" s="229"/>
      <c r="P3605" s="228"/>
    </row>
    <row r="3606" spans="15:16" x14ac:dyDescent="0.25">
      <c r="O3606" s="229"/>
      <c r="P3606" s="228"/>
    </row>
    <row r="3607" spans="15:16" x14ac:dyDescent="0.25">
      <c r="O3607" s="229"/>
      <c r="P3607" s="228"/>
    </row>
    <row r="3608" spans="15:16" x14ac:dyDescent="0.25">
      <c r="O3608" s="229"/>
      <c r="P3608" s="228"/>
    </row>
    <row r="3609" spans="15:16" x14ac:dyDescent="0.25">
      <c r="O3609" s="229"/>
      <c r="P3609" s="228"/>
    </row>
    <row r="3610" spans="15:16" x14ac:dyDescent="0.25">
      <c r="O3610" s="229"/>
      <c r="P3610" s="228"/>
    </row>
    <row r="3611" spans="15:16" x14ac:dyDescent="0.25">
      <c r="O3611" s="229"/>
      <c r="P3611" s="228"/>
    </row>
    <row r="3612" spans="15:16" x14ac:dyDescent="0.25">
      <c r="O3612" s="229"/>
      <c r="P3612" s="228"/>
    </row>
    <row r="3613" spans="15:16" x14ac:dyDescent="0.25">
      <c r="O3613" s="229"/>
      <c r="P3613" s="228"/>
    </row>
    <row r="3614" spans="15:16" x14ac:dyDescent="0.25">
      <c r="O3614" s="229"/>
      <c r="P3614" s="228"/>
    </row>
    <row r="3615" spans="15:16" x14ac:dyDescent="0.25">
      <c r="O3615" s="229"/>
      <c r="P3615" s="228"/>
    </row>
    <row r="3616" spans="15:16" x14ac:dyDescent="0.25">
      <c r="O3616" s="229"/>
      <c r="P3616" s="228"/>
    </row>
    <row r="3617" spans="15:16" x14ac:dyDescent="0.25">
      <c r="O3617" s="229"/>
      <c r="P3617" s="228"/>
    </row>
    <row r="3618" spans="15:16" x14ac:dyDescent="0.25">
      <c r="O3618" s="229"/>
      <c r="P3618" s="228"/>
    </row>
    <row r="3619" spans="15:16" x14ac:dyDescent="0.25">
      <c r="O3619" s="229"/>
      <c r="P3619" s="228"/>
    </row>
    <row r="3620" spans="15:16" x14ac:dyDescent="0.25">
      <c r="O3620" s="229"/>
      <c r="P3620" s="228"/>
    </row>
    <row r="3621" spans="15:16" x14ac:dyDescent="0.25">
      <c r="O3621" s="229"/>
      <c r="P3621" s="228"/>
    </row>
    <row r="3622" spans="15:16" x14ac:dyDescent="0.25">
      <c r="O3622" s="229"/>
      <c r="P3622" s="228"/>
    </row>
    <row r="3623" spans="15:16" x14ac:dyDescent="0.25">
      <c r="O3623" s="229"/>
      <c r="P3623" s="228"/>
    </row>
    <row r="3624" spans="15:16" x14ac:dyDescent="0.25">
      <c r="O3624" s="229"/>
      <c r="P3624" s="228"/>
    </row>
    <row r="3625" spans="15:16" x14ac:dyDescent="0.25">
      <c r="O3625" s="229"/>
      <c r="P3625" s="228"/>
    </row>
    <row r="3626" spans="15:16" x14ac:dyDescent="0.25">
      <c r="O3626" s="229"/>
      <c r="P3626" s="228"/>
    </row>
    <row r="3627" spans="15:16" x14ac:dyDescent="0.25">
      <c r="O3627" s="229"/>
      <c r="P3627" s="228"/>
    </row>
    <row r="3628" spans="15:16" x14ac:dyDescent="0.25">
      <c r="O3628" s="229"/>
      <c r="P3628" s="228"/>
    </row>
    <row r="3629" spans="15:16" x14ac:dyDescent="0.25">
      <c r="O3629" s="229"/>
      <c r="P3629" s="228"/>
    </row>
    <row r="3630" spans="15:16" x14ac:dyDescent="0.25">
      <c r="O3630" s="229"/>
      <c r="P3630" s="228"/>
    </row>
    <row r="3631" spans="15:16" x14ac:dyDescent="0.25">
      <c r="O3631" s="229"/>
      <c r="P3631" s="228"/>
    </row>
    <row r="3632" spans="15:16" x14ac:dyDescent="0.25">
      <c r="O3632" s="229"/>
      <c r="P3632" s="228"/>
    </row>
    <row r="3633" spans="15:16" x14ac:dyDescent="0.25">
      <c r="O3633" s="229"/>
      <c r="P3633" s="228"/>
    </row>
    <row r="3634" spans="15:16" x14ac:dyDescent="0.25">
      <c r="O3634" s="229"/>
      <c r="P3634" s="228"/>
    </row>
    <row r="3635" spans="15:16" x14ac:dyDescent="0.25">
      <c r="O3635" s="229"/>
      <c r="P3635" s="228"/>
    </row>
    <row r="3636" spans="15:16" x14ac:dyDescent="0.25">
      <c r="O3636" s="229"/>
      <c r="P3636" s="228"/>
    </row>
    <row r="3637" spans="15:16" x14ac:dyDescent="0.25">
      <c r="O3637" s="229"/>
      <c r="P3637" s="228"/>
    </row>
    <row r="3638" spans="15:16" x14ac:dyDescent="0.25">
      <c r="O3638" s="229"/>
      <c r="P3638" s="228"/>
    </row>
    <row r="3639" spans="15:16" x14ac:dyDescent="0.25">
      <c r="O3639" s="229"/>
      <c r="P3639" s="228"/>
    </row>
    <row r="3640" spans="15:16" x14ac:dyDescent="0.25">
      <c r="O3640" s="229"/>
      <c r="P3640" s="228"/>
    </row>
    <row r="3641" spans="15:16" x14ac:dyDescent="0.25">
      <c r="O3641" s="229"/>
      <c r="P3641" s="228"/>
    </row>
    <row r="3642" spans="15:16" x14ac:dyDescent="0.25">
      <c r="O3642" s="229"/>
      <c r="P3642" s="228"/>
    </row>
    <row r="3643" spans="15:16" x14ac:dyDescent="0.25">
      <c r="O3643" s="229"/>
      <c r="P3643" s="228"/>
    </row>
    <row r="3644" spans="15:16" x14ac:dyDescent="0.25">
      <c r="O3644" s="229"/>
      <c r="P3644" s="228"/>
    </row>
    <row r="3645" spans="15:16" x14ac:dyDescent="0.25">
      <c r="O3645" s="229"/>
      <c r="P3645" s="228"/>
    </row>
    <row r="3646" spans="15:16" x14ac:dyDescent="0.25">
      <c r="O3646" s="229"/>
      <c r="P3646" s="228"/>
    </row>
    <row r="3647" spans="15:16" x14ac:dyDescent="0.25">
      <c r="O3647" s="229"/>
      <c r="P3647" s="228"/>
    </row>
    <row r="3648" spans="15:16" x14ac:dyDescent="0.25">
      <c r="O3648" s="229"/>
      <c r="P3648" s="228"/>
    </row>
    <row r="3649" spans="15:16" x14ac:dyDescent="0.25">
      <c r="O3649" s="229"/>
      <c r="P3649" s="228"/>
    </row>
    <row r="3650" spans="15:16" x14ac:dyDescent="0.25">
      <c r="O3650" s="229"/>
      <c r="P3650" s="228"/>
    </row>
    <row r="3651" spans="15:16" x14ac:dyDescent="0.25">
      <c r="O3651" s="229"/>
      <c r="P3651" s="228"/>
    </row>
    <row r="3652" spans="15:16" x14ac:dyDescent="0.25">
      <c r="O3652" s="229"/>
      <c r="P3652" s="228"/>
    </row>
    <row r="3653" spans="15:16" x14ac:dyDescent="0.25">
      <c r="O3653" s="229"/>
      <c r="P3653" s="228"/>
    </row>
    <row r="3654" spans="15:16" x14ac:dyDescent="0.25">
      <c r="O3654" s="229"/>
      <c r="P3654" s="228"/>
    </row>
    <row r="3655" spans="15:16" x14ac:dyDescent="0.25">
      <c r="O3655" s="229"/>
      <c r="P3655" s="228"/>
    </row>
    <row r="3656" spans="15:16" x14ac:dyDescent="0.25">
      <c r="O3656" s="229"/>
      <c r="P3656" s="228"/>
    </row>
    <row r="3657" spans="15:16" x14ac:dyDescent="0.25">
      <c r="O3657" s="229"/>
      <c r="P3657" s="228"/>
    </row>
    <row r="3658" spans="15:16" x14ac:dyDescent="0.25">
      <c r="O3658" s="229"/>
      <c r="P3658" s="228"/>
    </row>
    <row r="3659" spans="15:16" x14ac:dyDescent="0.25">
      <c r="O3659" s="229"/>
      <c r="P3659" s="228"/>
    </row>
    <row r="3660" spans="15:16" x14ac:dyDescent="0.25">
      <c r="O3660" s="229"/>
      <c r="P3660" s="228"/>
    </row>
    <row r="3661" spans="15:16" x14ac:dyDescent="0.25">
      <c r="O3661" s="229"/>
      <c r="P3661" s="228"/>
    </row>
    <row r="3662" spans="15:16" x14ac:dyDescent="0.25">
      <c r="O3662" s="229"/>
      <c r="P3662" s="228"/>
    </row>
    <row r="3663" spans="15:16" x14ac:dyDescent="0.25">
      <c r="O3663" s="229"/>
      <c r="P3663" s="228"/>
    </row>
    <row r="3664" spans="15:16" x14ac:dyDescent="0.25">
      <c r="O3664" s="229"/>
      <c r="P3664" s="228"/>
    </row>
    <row r="3665" spans="15:16" x14ac:dyDescent="0.25">
      <c r="O3665" s="229"/>
      <c r="P3665" s="228"/>
    </row>
    <row r="3666" spans="15:16" x14ac:dyDescent="0.25">
      <c r="O3666" s="229"/>
      <c r="P3666" s="228"/>
    </row>
    <row r="3667" spans="15:16" x14ac:dyDescent="0.25">
      <c r="O3667" s="229"/>
      <c r="P3667" s="228"/>
    </row>
    <row r="3668" spans="15:16" x14ac:dyDescent="0.25">
      <c r="O3668" s="229"/>
      <c r="P3668" s="228"/>
    </row>
    <row r="3669" spans="15:16" x14ac:dyDescent="0.25">
      <c r="O3669" s="229"/>
      <c r="P3669" s="228"/>
    </row>
    <row r="3670" spans="15:16" x14ac:dyDescent="0.25">
      <c r="O3670" s="229"/>
      <c r="P3670" s="228"/>
    </row>
    <row r="3671" spans="15:16" x14ac:dyDescent="0.25">
      <c r="O3671" s="229"/>
      <c r="P3671" s="228"/>
    </row>
    <row r="3672" spans="15:16" x14ac:dyDescent="0.25">
      <c r="O3672" s="229"/>
      <c r="P3672" s="228"/>
    </row>
    <row r="3673" spans="15:16" x14ac:dyDescent="0.25">
      <c r="O3673" s="229"/>
      <c r="P3673" s="228"/>
    </row>
    <row r="3674" spans="15:16" x14ac:dyDescent="0.25">
      <c r="O3674" s="229"/>
      <c r="P3674" s="228"/>
    </row>
    <row r="3675" spans="15:16" x14ac:dyDescent="0.25">
      <c r="O3675" s="229"/>
      <c r="P3675" s="228"/>
    </row>
    <row r="3676" spans="15:16" x14ac:dyDescent="0.25">
      <c r="O3676" s="229"/>
      <c r="P3676" s="228"/>
    </row>
    <row r="3677" spans="15:16" x14ac:dyDescent="0.25">
      <c r="O3677" s="229"/>
      <c r="P3677" s="228"/>
    </row>
    <row r="3678" spans="15:16" x14ac:dyDescent="0.25">
      <c r="O3678" s="229"/>
      <c r="P3678" s="228"/>
    </row>
    <row r="3679" spans="15:16" x14ac:dyDescent="0.25">
      <c r="O3679" s="229"/>
      <c r="P3679" s="228"/>
    </row>
    <row r="3680" spans="15:16" x14ac:dyDescent="0.25">
      <c r="O3680" s="229"/>
      <c r="P3680" s="228"/>
    </row>
    <row r="3681" spans="15:16" x14ac:dyDescent="0.25">
      <c r="O3681" s="229"/>
      <c r="P3681" s="228"/>
    </row>
    <row r="3682" spans="15:16" x14ac:dyDescent="0.25">
      <c r="O3682" s="229"/>
      <c r="P3682" s="228"/>
    </row>
    <row r="3683" spans="15:16" x14ac:dyDescent="0.25">
      <c r="O3683" s="229"/>
      <c r="P3683" s="228"/>
    </row>
    <row r="3684" spans="15:16" x14ac:dyDescent="0.25">
      <c r="O3684" s="229"/>
      <c r="P3684" s="228"/>
    </row>
    <row r="3685" spans="15:16" x14ac:dyDescent="0.25">
      <c r="O3685" s="229"/>
      <c r="P3685" s="228"/>
    </row>
    <row r="3686" spans="15:16" x14ac:dyDescent="0.25">
      <c r="O3686" s="229"/>
      <c r="P3686" s="228"/>
    </row>
    <row r="3687" spans="15:16" x14ac:dyDescent="0.25">
      <c r="O3687" s="229"/>
      <c r="P3687" s="228"/>
    </row>
    <row r="3688" spans="15:16" x14ac:dyDescent="0.25">
      <c r="O3688" s="229"/>
      <c r="P3688" s="228"/>
    </row>
    <row r="3689" spans="15:16" x14ac:dyDescent="0.25">
      <c r="O3689" s="229"/>
      <c r="P3689" s="228"/>
    </row>
    <row r="3690" spans="15:16" x14ac:dyDescent="0.25">
      <c r="O3690" s="229"/>
      <c r="P3690" s="228"/>
    </row>
    <row r="3691" spans="15:16" x14ac:dyDescent="0.25">
      <c r="O3691" s="229"/>
      <c r="P3691" s="228"/>
    </row>
    <row r="3692" spans="15:16" x14ac:dyDescent="0.25">
      <c r="O3692" s="229"/>
      <c r="P3692" s="228"/>
    </row>
    <row r="3693" spans="15:16" x14ac:dyDescent="0.25">
      <c r="O3693" s="229"/>
      <c r="P3693" s="228"/>
    </row>
    <row r="3694" spans="15:16" x14ac:dyDescent="0.25">
      <c r="O3694" s="229"/>
      <c r="P3694" s="228"/>
    </row>
    <row r="3695" spans="15:16" x14ac:dyDescent="0.25">
      <c r="O3695" s="229"/>
      <c r="P3695" s="228"/>
    </row>
    <row r="3696" spans="15:16" x14ac:dyDescent="0.25">
      <c r="O3696" s="229"/>
      <c r="P3696" s="228"/>
    </row>
    <row r="3697" spans="15:16" x14ac:dyDescent="0.25">
      <c r="O3697" s="229"/>
      <c r="P3697" s="228"/>
    </row>
    <row r="3698" spans="15:16" x14ac:dyDescent="0.25">
      <c r="O3698" s="229"/>
      <c r="P3698" s="228"/>
    </row>
    <row r="3699" spans="15:16" x14ac:dyDescent="0.25">
      <c r="O3699" s="229"/>
      <c r="P3699" s="228"/>
    </row>
    <row r="3700" spans="15:16" x14ac:dyDescent="0.25">
      <c r="O3700" s="229"/>
      <c r="P3700" s="228"/>
    </row>
    <row r="3701" spans="15:16" x14ac:dyDescent="0.25">
      <c r="O3701" s="229"/>
      <c r="P3701" s="228"/>
    </row>
    <row r="3702" spans="15:16" x14ac:dyDescent="0.25">
      <c r="O3702" s="229"/>
      <c r="P3702" s="228"/>
    </row>
    <row r="3703" spans="15:16" x14ac:dyDescent="0.25">
      <c r="O3703" s="229"/>
      <c r="P3703" s="228"/>
    </row>
    <row r="3704" spans="15:16" x14ac:dyDescent="0.25">
      <c r="O3704" s="229"/>
      <c r="P3704" s="228"/>
    </row>
    <row r="3705" spans="15:16" x14ac:dyDescent="0.25">
      <c r="O3705" s="229"/>
      <c r="P3705" s="228"/>
    </row>
    <row r="3706" spans="15:16" x14ac:dyDescent="0.25">
      <c r="O3706" s="229"/>
      <c r="P3706" s="228"/>
    </row>
    <row r="3707" spans="15:16" x14ac:dyDescent="0.25">
      <c r="O3707" s="229"/>
      <c r="P3707" s="228"/>
    </row>
    <row r="3708" spans="15:16" x14ac:dyDescent="0.25">
      <c r="O3708" s="229"/>
      <c r="P3708" s="228"/>
    </row>
    <row r="3709" spans="15:16" x14ac:dyDescent="0.25">
      <c r="O3709" s="229"/>
      <c r="P3709" s="228"/>
    </row>
    <row r="3710" spans="15:16" x14ac:dyDescent="0.25">
      <c r="O3710" s="229"/>
      <c r="P3710" s="228"/>
    </row>
    <row r="3711" spans="15:16" x14ac:dyDescent="0.25">
      <c r="O3711" s="229"/>
      <c r="P3711" s="228"/>
    </row>
    <row r="3712" spans="15:16" x14ac:dyDescent="0.25">
      <c r="O3712" s="229"/>
      <c r="P3712" s="228"/>
    </row>
    <row r="3713" spans="15:16" x14ac:dyDescent="0.25">
      <c r="O3713" s="229"/>
      <c r="P3713" s="228"/>
    </row>
    <row r="3714" spans="15:16" x14ac:dyDescent="0.25">
      <c r="O3714" s="229"/>
      <c r="P3714" s="228"/>
    </row>
    <row r="3715" spans="15:16" x14ac:dyDescent="0.25">
      <c r="O3715" s="229"/>
      <c r="P3715" s="228"/>
    </row>
    <row r="3716" spans="15:16" x14ac:dyDescent="0.25">
      <c r="O3716" s="229"/>
      <c r="P3716" s="228"/>
    </row>
    <row r="3717" spans="15:16" x14ac:dyDescent="0.25">
      <c r="O3717" s="229"/>
      <c r="P3717" s="228"/>
    </row>
    <row r="3718" spans="15:16" x14ac:dyDescent="0.25">
      <c r="O3718" s="229"/>
      <c r="P3718" s="228"/>
    </row>
    <row r="3719" spans="15:16" x14ac:dyDescent="0.25">
      <c r="O3719" s="229"/>
      <c r="P3719" s="228"/>
    </row>
    <row r="3720" spans="15:16" x14ac:dyDescent="0.25">
      <c r="O3720" s="229"/>
      <c r="P3720" s="228"/>
    </row>
    <row r="3721" spans="15:16" x14ac:dyDescent="0.25">
      <c r="O3721" s="229"/>
      <c r="P3721" s="228"/>
    </row>
    <row r="3722" spans="15:16" x14ac:dyDescent="0.25">
      <c r="O3722" s="229"/>
      <c r="P3722" s="228"/>
    </row>
    <row r="3723" spans="15:16" x14ac:dyDescent="0.25">
      <c r="O3723" s="229"/>
      <c r="P3723" s="228"/>
    </row>
    <row r="3724" spans="15:16" x14ac:dyDescent="0.25">
      <c r="O3724" s="229"/>
      <c r="P3724" s="228"/>
    </row>
    <row r="3725" spans="15:16" x14ac:dyDescent="0.25">
      <c r="O3725" s="229"/>
      <c r="P3725" s="228"/>
    </row>
    <row r="3726" spans="15:16" x14ac:dyDescent="0.25">
      <c r="O3726" s="229"/>
      <c r="P3726" s="228"/>
    </row>
    <row r="3727" spans="15:16" x14ac:dyDescent="0.25">
      <c r="O3727" s="229"/>
      <c r="P3727" s="228"/>
    </row>
    <row r="3728" spans="15:16" x14ac:dyDescent="0.25">
      <c r="O3728" s="229"/>
      <c r="P3728" s="228"/>
    </row>
    <row r="3729" spans="15:16" x14ac:dyDescent="0.25">
      <c r="O3729" s="229"/>
      <c r="P3729" s="228"/>
    </row>
    <row r="3730" spans="15:16" x14ac:dyDescent="0.25">
      <c r="O3730" s="229"/>
      <c r="P3730" s="228"/>
    </row>
    <row r="3731" spans="15:16" x14ac:dyDescent="0.25">
      <c r="O3731" s="229"/>
      <c r="P3731" s="228"/>
    </row>
    <row r="3732" spans="15:16" x14ac:dyDescent="0.25">
      <c r="O3732" s="229"/>
      <c r="P3732" s="228"/>
    </row>
    <row r="3733" spans="15:16" x14ac:dyDescent="0.25">
      <c r="O3733" s="229"/>
      <c r="P3733" s="228"/>
    </row>
    <row r="3734" spans="15:16" x14ac:dyDescent="0.25">
      <c r="O3734" s="229"/>
      <c r="P3734" s="228"/>
    </row>
    <row r="3735" spans="15:16" x14ac:dyDescent="0.25">
      <c r="O3735" s="229"/>
      <c r="P3735" s="228"/>
    </row>
    <row r="3736" spans="15:16" x14ac:dyDescent="0.25">
      <c r="O3736" s="229"/>
      <c r="P3736" s="228"/>
    </row>
    <row r="3737" spans="15:16" x14ac:dyDescent="0.25">
      <c r="O3737" s="229"/>
      <c r="P3737" s="228"/>
    </row>
    <row r="3738" spans="15:16" x14ac:dyDescent="0.25">
      <c r="O3738" s="229"/>
      <c r="P3738" s="228"/>
    </row>
    <row r="3739" spans="15:16" x14ac:dyDescent="0.25">
      <c r="O3739" s="229"/>
      <c r="P3739" s="228"/>
    </row>
    <row r="3740" spans="15:16" x14ac:dyDescent="0.25">
      <c r="O3740" s="229"/>
      <c r="P3740" s="228"/>
    </row>
    <row r="3741" spans="15:16" x14ac:dyDescent="0.25">
      <c r="O3741" s="229"/>
      <c r="P3741" s="228"/>
    </row>
    <row r="3742" spans="15:16" x14ac:dyDescent="0.25">
      <c r="O3742" s="229"/>
      <c r="P3742" s="228"/>
    </row>
    <row r="3743" spans="15:16" x14ac:dyDescent="0.25">
      <c r="O3743" s="229"/>
      <c r="P3743" s="228"/>
    </row>
    <row r="3744" spans="15:16" x14ac:dyDescent="0.25">
      <c r="O3744" s="229"/>
      <c r="P3744" s="228"/>
    </row>
    <row r="3745" spans="15:16" x14ac:dyDescent="0.25">
      <c r="O3745" s="229"/>
      <c r="P3745" s="228"/>
    </row>
    <row r="3746" spans="15:16" x14ac:dyDescent="0.25">
      <c r="O3746" s="229"/>
      <c r="P3746" s="228"/>
    </row>
    <row r="3747" spans="15:16" x14ac:dyDescent="0.25">
      <c r="O3747" s="229"/>
      <c r="P3747" s="228"/>
    </row>
    <row r="3748" spans="15:16" x14ac:dyDescent="0.25">
      <c r="O3748" s="229"/>
      <c r="P3748" s="228"/>
    </row>
    <row r="3749" spans="15:16" x14ac:dyDescent="0.25">
      <c r="O3749" s="229"/>
      <c r="P3749" s="228"/>
    </row>
    <row r="3750" spans="15:16" x14ac:dyDescent="0.25">
      <c r="O3750" s="229"/>
      <c r="P3750" s="228"/>
    </row>
    <row r="3751" spans="15:16" x14ac:dyDescent="0.25">
      <c r="O3751" s="229"/>
      <c r="P3751" s="228"/>
    </row>
    <row r="3752" spans="15:16" x14ac:dyDescent="0.25">
      <c r="O3752" s="229"/>
      <c r="P3752" s="228"/>
    </row>
    <row r="3753" spans="15:16" x14ac:dyDescent="0.25">
      <c r="O3753" s="229"/>
      <c r="P3753" s="228"/>
    </row>
    <row r="3754" spans="15:16" x14ac:dyDescent="0.25">
      <c r="O3754" s="229"/>
      <c r="P3754" s="228"/>
    </row>
    <row r="3755" spans="15:16" x14ac:dyDescent="0.25">
      <c r="O3755" s="229"/>
      <c r="P3755" s="228"/>
    </row>
    <row r="3756" spans="15:16" x14ac:dyDescent="0.25">
      <c r="O3756" s="229"/>
      <c r="P3756" s="228"/>
    </row>
    <row r="3757" spans="15:16" x14ac:dyDescent="0.25">
      <c r="O3757" s="229"/>
      <c r="P3757" s="228"/>
    </row>
    <row r="3758" spans="15:16" x14ac:dyDescent="0.25">
      <c r="O3758" s="229"/>
      <c r="P3758" s="228"/>
    </row>
    <row r="3759" spans="15:16" x14ac:dyDescent="0.25">
      <c r="O3759" s="229"/>
      <c r="P3759" s="228"/>
    </row>
    <row r="3760" spans="15:16" x14ac:dyDescent="0.25">
      <c r="O3760" s="229"/>
      <c r="P3760" s="228"/>
    </row>
    <row r="3761" spans="15:16" x14ac:dyDescent="0.25">
      <c r="O3761" s="229"/>
      <c r="P3761" s="228"/>
    </row>
    <row r="3762" spans="15:16" x14ac:dyDescent="0.25">
      <c r="O3762" s="229"/>
      <c r="P3762" s="228"/>
    </row>
    <row r="3763" spans="15:16" x14ac:dyDescent="0.25">
      <c r="O3763" s="229"/>
      <c r="P3763" s="228"/>
    </row>
    <row r="3764" spans="15:16" x14ac:dyDescent="0.25">
      <c r="O3764" s="229"/>
      <c r="P3764" s="228"/>
    </row>
    <row r="3765" spans="15:16" x14ac:dyDescent="0.25">
      <c r="O3765" s="229"/>
      <c r="P3765" s="228"/>
    </row>
    <row r="3766" spans="15:16" x14ac:dyDescent="0.25">
      <c r="O3766" s="229"/>
      <c r="P3766" s="228"/>
    </row>
    <row r="3767" spans="15:16" x14ac:dyDescent="0.25">
      <c r="O3767" s="229"/>
      <c r="P3767" s="228"/>
    </row>
    <row r="3768" spans="15:16" x14ac:dyDescent="0.25">
      <c r="O3768" s="229"/>
      <c r="P3768" s="228"/>
    </row>
    <row r="3769" spans="15:16" x14ac:dyDescent="0.25">
      <c r="O3769" s="229"/>
      <c r="P3769" s="228"/>
    </row>
    <row r="3770" spans="15:16" x14ac:dyDescent="0.25">
      <c r="O3770" s="229"/>
      <c r="P3770" s="228"/>
    </row>
    <row r="3771" spans="15:16" x14ac:dyDescent="0.25">
      <c r="O3771" s="229"/>
      <c r="P3771" s="228"/>
    </row>
    <row r="3772" spans="15:16" x14ac:dyDescent="0.25">
      <c r="O3772" s="229"/>
      <c r="P3772" s="228"/>
    </row>
    <row r="3773" spans="15:16" x14ac:dyDescent="0.25">
      <c r="O3773" s="229"/>
      <c r="P3773" s="228"/>
    </row>
    <row r="3774" spans="15:16" x14ac:dyDescent="0.25">
      <c r="O3774" s="229"/>
      <c r="P3774" s="228"/>
    </row>
    <row r="3775" spans="15:16" x14ac:dyDescent="0.25">
      <c r="O3775" s="229"/>
      <c r="P3775" s="228"/>
    </row>
    <row r="3776" spans="15:16" x14ac:dyDescent="0.25">
      <c r="O3776" s="229"/>
      <c r="P3776" s="228"/>
    </row>
    <row r="3777" spans="15:16" x14ac:dyDescent="0.25">
      <c r="O3777" s="229"/>
      <c r="P3777" s="228"/>
    </row>
    <row r="3778" spans="15:16" x14ac:dyDescent="0.25">
      <c r="O3778" s="229"/>
      <c r="P3778" s="228"/>
    </row>
    <row r="3779" spans="15:16" x14ac:dyDescent="0.25">
      <c r="O3779" s="229"/>
      <c r="P3779" s="228"/>
    </row>
    <row r="3780" spans="15:16" x14ac:dyDescent="0.25">
      <c r="O3780" s="229"/>
      <c r="P3780" s="228"/>
    </row>
    <row r="3781" spans="15:16" x14ac:dyDescent="0.25">
      <c r="O3781" s="229"/>
      <c r="P3781" s="228"/>
    </row>
    <row r="3782" spans="15:16" x14ac:dyDescent="0.25">
      <c r="O3782" s="229"/>
      <c r="P3782" s="228"/>
    </row>
    <row r="3783" spans="15:16" x14ac:dyDescent="0.25">
      <c r="O3783" s="229"/>
      <c r="P3783" s="228"/>
    </row>
    <row r="3784" spans="15:16" x14ac:dyDescent="0.25">
      <c r="O3784" s="229"/>
      <c r="P3784" s="228"/>
    </row>
    <row r="3785" spans="15:16" x14ac:dyDescent="0.25">
      <c r="O3785" s="229"/>
      <c r="P3785" s="228"/>
    </row>
    <row r="3786" spans="15:16" x14ac:dyDescent="0.25">
      <c r="O3786" s="229"/>
      <c r="P3786" s="228"/>
    </row>
    <row r="3787" spans="15:16" x14ac:dyDescent="0.25">
      <c r="O3787" s="229"/>
      <c r="P3787" s="228"/>
    </row>
    <row r="3788" spans="15:16" x14ac:dyDescent="0.25">
      <c r="O3788" s="229"/>
      <c r="P3788" s="228"/>
    </row>
    <row r="3789" spans="15:16" x14ac:dyDescent="0.25">
      <c r="O3789" s="229"/>
      <c r="P3789" s="228"/>
    </row>
    <row r="3790" spans="15:16" x14ac:dyDescent="0.25">
      <c r="O3790" s="229"/>
      <c r="P3790" s="228"/>
    </row>
    <row r="3791" spans="15:16" x14ac:dyDescent="0.25">
      <c r="O3791" s="229"/>
      <c r="P3791" s="228"/>
    </row>
    <row r="3792" spans="15:16" x14ac:dyDescent="0.25">
      <c r="O3792" s="229"/>
      <c r="P3792" s="228"/>
    </row>
    <row r="3793" spans="15:16" x14ac:dyDescent="0.25">
      <c r="O3793" s="229"/>
      <c r="P3793" s="228"/>
    </row>
    <row r="3794" spans="15:16" x14ac:dyDescent="0.25">
      <c r="O3794" s="229"/>
      <c r="P3794" s="228"/>
    </row>
    <row r="3795" spans="15:16" x14ac:dyDescent="0.25">
      <c r="O3795" s="229"/>
      <c r="P3795" s="228"/>
    </row>
    <row r="3796" spans="15:16" x14ac:dyDescent="0.25">
      <c r="O3796" s="229"/>
      <c r="P3796" s="228"/>
    </row>
    <row r="3797" spans="15:16" x14ac:dyDescent="0.25">
      <c r="O3797" s="229"/>
      <c r="P3797" s="228"/>
    </row>
    <row r="3798" spans="15:16" x14ac:dyDescent="0.25">
      <c r="O3798" s="229"/>
      <c r="P3798" s="228"/>
    </row>
    <row r="3799" spans="15:16" x14ac:dyDescent="0.25">
      <c r="O3799" s="229"/>
      <c r="P3799" s="228"/>
    </row>
    <row r="3800" spans="15:16" x14ac:dyDescent="0.25">
      <c r="O3800" s="229"/>
      <c r="P3800" s="228"/>
    </row>
    <row r="3801" spans="15:16" x14ac:dyDescent="0.25">
      <c r="O3801" s="229"/>
      <c r="P3801" s="228"/>
    </row>
    <row r="3802" spans="15:16" x14ac:dyDescent="0.25">
      <c r="O3802" s="229"/>
      <c r="P3802" s="228"/>
    </row>
    <row r="3803" spans="15:16" x14ac:dyDescent="0.25">
      <c r="O3803" s="229"/>
      <c r="P3803" s="228"/>
    </row>
    <row r="3804" spans="15:16" x14ac:dyDescent="0.25">
      <c r="O3804" s="229"/>
      <c r="P3804" s="228"/>
    </row>
    <row r="3805" spans="15:16" x14ac:dyDescent="0.25">
      <c r="O3805" s="229"/>
      <c r="P3805" s="228"/>
    </row>
    <row r="3806" spans="15:16" x14ac:dyDescent="0.25">
      <c r="O3806" s="229"/>
      <c r="P3806" s="228"/>
    </row>
    <row r="3807" spans="15:16" x14ac:dyDescent="0.25">
      <c r="O3807" s="229"/>
      <c r="P3807" s="228"/>
    </row>
    <row r="3808" spans="15:16" x14ac:dyDescent="0.25">
      <c r="O3808" s="229"/>
      <c r="P3808" s="228"/>
    </row>
    <row r="3809" spans="15:16" x14ac:dyDescent="0.25">
      <c r="O3809" s="229"/>
      <c r="P3809" s="228"/>
    </row>
    <row r="3810" spans="15:16" x14ac:dyDescent="0.25">
      <c r="O3810" s="229"/>
      <c r="P3810" s="228"/>
    </row>
    <row r="3811" spans="15:16" x14ac:dyDescent="0.25">
      <c r="O3811" s="229"/>
      <c r="P3811" s="228"/>
    </row>
    <row r="3812" spans="15:16" x14ac:dyDescent="0.25">
      <c r="O3812" s="229"/>
      <c r="P3812" s="228"/>
    </row>
    <row r="3813" spans="15:16" x14ac:dyDescent="0.25">
      <c r="O3813" s="229"/>
      <c r="P3813" s="228"/>
    </row>
    <row r="3814" spans="15:16" x14ac:dyDescent="0.25">
      <c r="O3814" s="229"/>
      <c r="P3814" s="228"/>
    </row>
    <row r="3815" spans="15:16" x14ac:dyDescent="0.25">
      <c r="O3815" s="229"/>
      <c r="P3815" s="228"/>
    </row>
    <row r="3816" spans="15:16" x14ac:dyDescent="0.25">
      <c r="O3816" s="229"/>
      <c r="P3816" s="228"/>
    </row>
    <row r="3817" spans="15:16" x14ac:dyDescent="0.25">
      <c r="O3817" s="229"/>
      <c r="P3817" s="228"/>
    </row>
    <row r="3818" spans="15:16" x14ac:dyDescent="0.25">
      <c r="O3818" s="229"/>
      <c r="P3818" s="228"/>
    </row>
    <row r="3819" spans="15:16" x14ac:dyDescent="0.25">
      <c r="O3819" s="229"/>
      <c r="P3819" s="228"/>
    </row>
    <row r="3820" spans="15:16" x14ac:dyDescent="0.25">
      <c r="O3820" s="229"/>
      <c r="P3820" s="228"/>
    </row>
    <row r="3821" spans="15:16" x14ac:dyDescent="0.25">
      <c r="O3821" s="229"/>
      <c r="P3821" s="228"/>
    </row>
    <row r="3822" spans="15:16" x14ac:dyDescent="0.25">
      <c r="O3822" s="229"/>
      <c r="P3822" s="228"/>
    </row>
    <row r="3823" spans="15:16" x14ac:dyDescent="0.25">
      <c r="O3823" s="229"/>
      <c r="P3823" s="228"/>
    </row>
    <row r="3824" spans="15:16" x14ac:dyDescent="0.25">
      <c r="O3824" s="229"/>
      <c r="P3824" s="228"/>
    </row>
    <row r="3825" spans="15:16" x14ac:dyDescent="0.25">
      <c r="O3825" s="229"/>
      <c r="P3825" s="228"/>
    </row>
    <row r="3826" spans="15:16" x14ac:dyDescent="0.25">
      <c r="O3826" s="229"/>
      <c r="P3826" s="228"/>
    </row>
    <row r="3827" spans="15:16" x14ac:dyDescent="0.25">
      <c r="O3827" s="229"/>
      <c r="P3827" s="228"/>
    </row>
    <row r="3828" spans="15:16" x14ac:dyDescent="0.25">
      <c r="O3828" s="229"/>
      <c r="P3828" s="228"/>
    </row>
    <row r="3829" spans="15:16" x14ac:dyDescent="0.25">
      <c r="O3829" s="229"/>
      <c r="P3829" s="228"/>
    </row>
    <row r="3830" spans="15:16" x14ac:dyDescent="0.25">
      <c r="O3830" s="229"/>
      <c r="P3830" s="228"/>
    </row>
    <row r="3831" spans="15:16" x14ac:dyDescent="0.25">
      <c r="O3831" s="229"/>
      <c r="P3831" s="228"/>
    </row>
    <row r="3832" spans="15:16" x14ac:dyDescent="0.25">
      <c r="O3832" s="229"/>
      <c r="P3832" s="228"/>
    </row>
    <row r="3833" spans="15:16" x14ac:dyDescent="0.25">
      <c r="O3833" s="229"/>
      <c r="P3833" s="228"/>
    </row>
    <row r="3834" spans="15:16" x14ac:dyDescent="0.25">
      <c r="O3834" s="229"/>
      <c r="P3834" s="228"/>
    </row>
    <row r="3835" spans="15:16" x14ac:dyDescent="0.25">
      <c r="O3835" s="229"/>
      <c r="P3835" s="228"/>
    </row>
    <row r="3836" spans="15:16" x14ac:dyDescent="0.25">
      <c r="O3836" s="229"/>
      <c r="P3836" s="228"/>
    </row>
    <row r="3837" spans="15:16" x14ac:dyDescent="0.25">
      <c r="O3837" s="229"/>
      <c r="P3837" s="228"/>
    </row>
    <row r="3838" spans="15:16" x14ac:dyDescent="0.25">
      <c r="O3838" s="229"/>
      <c r="P3838" s="228"/>
    </row>
    <row r="3839" spans="15:16" x14ac:dyDescent="0.25">
      <c r="O3839" s="229"/>
      <c r="P3839" s="228"/>
    </row>
    <row r="3840" spans="15:16" x14ac:dyDescent="0.25">
      <c r="O3840" s="229"/>
      <c r="P3840" s="228"/>
    </row>
    <row r="3841" spans="15:16" x14ac:dyDescent="0.25">
      <c r="O3841" s="229"/>
      <c r="P3841" s="228"/>
    </row>
    <row r="3842" spans="15:16" x14ac:dyDescent="0.25">
      <c r="O3842" s="229"/>
      <c r="P3842" s="228"/>
    </row>
    <row r="3843" spans="15:16" x14ac:dyDescent="0.25">
      <c r="O3843" s="229"/>
      <c r="P3843" s="228"/>
    </row>
    <row r="3844" spans="15:16" x14ac:dyDescent="0.25">
      <c r="O3844" s="229"/>
      <c r="P3844" s="228"/>
    </row>
    <row r="3845" spans="15:16" x14ac:dyDescent="0.25">
      <c r="O3845" s="229"/>
      <c r="P3845" s="228"/>
    </row>
    <row r="3846" spans="15:16" x14ac:dyDescent="0.25">
      <c r="O3846" s="229"/>
      <c r="P3846" s="228"/>
    </row>
    <row r="3847" spans="15:16" x14ac:dyDescent="0.25">
      <c r="O3847" s="229"/>
      <c r="P3847" s="228"/>
    </row>
    <row r="3848" spans="15:16" x14ac:dyDescent="0.25">
      <c r="O3848" s="229"/>
      <c r="P3848" s="228"/>
    </row>
    <row r="3849" spans="15:16" x14ac:dyDescent="0.25">
      <c r="O3849" s="229"/>
      <c r="P3849" s="228"/>
    </row>
    <row r="3850" spans="15:16" x14ac:dyDescent="0.25">
      <c r="O3850" s="229"/>
      <c r="P3850" s="228"/>
    </row>
    <row r="3851" spans="15:16" x14ac:dyDescent="0.25">
      <c r="O3851" s="229"/>
      <c r="P3851" s="228"/>
    </row>
    <row r="3852" spans="15:16" x14ac:dyDescent="0.25">
      <c r="O3852" s="229"/>
      <c r="P3852" s="228"/>
    </row>
    <row r="3853" spans="15:16" x14ac:dyDescent="0.25">
      <c r="O3853" s="229"/>
      <c r="P3853" s="228"/>
    </row>
    <row r="3854" spans="15:16" x14ac:dyDescent="0.25">
      <c r="O3854" s="229"/>
      <c r="P3854" s="228"/>
    </row>
    <row r="3855" spans="15:16" x14ac:dyDescent="0.25">
      <c r="O3855" s="229"/>
      <c r="P3855" s="228"/>
    </row>
    <row r="3856" spans="15:16" x14ac:dyDescent="0.25">
      <c r="O3856" s="229"/>
      <c r="P3856" s="228"/>
    </row>
    <row r="3857" spans="15:16" x14ac:dyDescent="0.25">
      <c r="O3857" s="229"/>
      <c r="P3857" s="228"/>
    </row>
    <row r="3858" spans="15:16" x14ac:dyDescent="0.25">
      <c r="O3858" s="229"/>
      <c r="P3858" s="228"/>
    </row>
    <row r="3859" spans="15:16" x14ac:dyDescent="0.25">
      <c r="O3859" s="229"/>
      <c r="P3859" s="228"/>
    </row>
    <row r="3860" spans="15:16" x14ac:dyDescent="0.25">
      <c r="O3860" s="229"/>
      <c r="P3860" s="228"/>
    </row>
    <row r="3861" spans="15:16" x14ac:dyDescent="0.25">
      <c r="O3861" s="229"/>
      <c r="P3861" s="228"/>
    </row>
    <row r="3862" spans="15:16" x14ac:dyDescent="0.25">
      <c r="O3862" s="229"/>
      <c r="P3862" s="228"/>
    </row>
    <row r="3863" spans="15:16" x14ac:dyDescent="0.25">
      <c r="O3863" s="229"/>
      <c r="P3863" s="228"/>
    </row>
    <row r="3864" spans="15:16" x14ac:dyDescent="0.25">
      <c r="O3864" s="229"/>
      <c r="P3864" s="228"/>
    </row>
    <row r="3865" spans="15:16" x14ac:dyDescent="0.25">
      <c r="O3865" s="229"/>
      <c r="P3865" s="228"/>
    </row>
    <row r="3866" spans="15:16" x14ac:dyDescent="0.25">
      <c r="O3866" s="229"/>
      <c r="P3866" s="228"/>
    </row>
    <row r="3867" spans="15:16" x14ac:dyDescent="0.25">
      <c r="O3867" s="229"/>
      <c r="P3867" s="228"/>
    </row>
    <row r="3868" spans="15:16" x14ac:dyDescent="0.25">
      <c r="O3868" s="229"/>
      <c r="P3868" s="228"/>
    </row>
    <row r="3869" spans="15:16" x14ac:dyDescent="0.25">
      <c r="O3869" s="229"/>
      <c r="P3869" s="228"/>
    </row>
    <row r="3870" spans="15:16" x14ac:dyDescent="0.25">
      <c r="O3870" s="229"/>
      <c r="P3870" s="228"/>
    </row>
    <row r="3871" spans="15:16" x14ac:dyDescent="0.25">
      <c r="O3871" s="229"/>
      <c r="P3871" s="228"/>
    </row>
    <row r="3872" spans="15:16" x14ac:dyDescent="0.25">
      <c r="O3872" s="229"/>
      <c r="P3872" s="228"/>
    </row>
    <row r="3873" spans="15:16" x14ac:dyDescent="0.25">
      <c r="O3873" s="229"/>
      <c r="P3873" s="228"/>
    </row>
    <row r="3874" spans="15:16" x14ac:dyDescent="0.25">
      <c r="O3874" s="229"/>
      <c r="P3874" s="228"/>
    </row>
    <row r="3875" spans="15:16" x14ac:dyDescent="0.25">
      <c r="O3875" s="229"/>
      <c r="P3875" s="228"/>
    </row>
    <row r="3876" spans="15:16" x14ac:dyDescent="0.25">
      <c r="O3876" s="229"/>
      <c r="P3876" s="228"/>
    </row>
    <row r="3877" spans="15:16" x14ac:dyDescent="0.25">
      <c r="O3877" s="229"/>
      <c r="P3877" s="228"/>
    </row>
    <row r="3878" spans="15:16" x14ac:dyDescent="0.25">
      <c r="O3878" s="229"/>
      <c r="P3878" s="228"/>
    </row>
    <row r="3879" spans="15:16" x14ac:dyDescent="0.25">
      <c r="O3879" s="229"/>
      <c r="P3879" s="228"/>
    </row>
    <row r="3880" spans="15:16" x14ac:dyDescent="0.25">
      <c r="O3880" s="229"/>
      <c r="P3880" s="228"/>
    </row>
    <row r="3881" spans="15:16" x14ac:dyDescent="0.25">
      <c r="O3881" s="229"/>
      <c r="P3881" s="228"/>
    </row>
    <row r="3882" spans="15:16" x14ac:dyDescent="0.25">
      <c r="O3882" s="229"/>
      <c r="P3882" s="228"/>
    </row>
    <row r="3883" spans="15:16" x14ac:dyDescent="0.25">
      <c r="O3883" s="229"/>
      <c r="P3883" s="228"/>
    </row>
    <row r="3884" spans="15:16" x14ac:dyDescent="0.25">
      <c r="O3884" s="229"/>
      <c r="P3884" s="228"/>
    </row>
    <row r="3885" spans="15:16" x14ac:dyDescent="0.25">
      <c r="O3885" s="229"/>
      <c r="P3885" s="228"/>
    </row>
    <row r="3886" spans="15:16" x14ac:dyDescent="0.25">
      <c r="O3886" s="229"/>
      <c r="P3886" s="228"/>
    </row>
    <row r="3887" spans="15:16" x14ac:dyDescent="0.25">
      <c r="O3887" s="229"/>
      <c r="P3887" s="228"/>
    </row>
    <row r="3888" spans="15:16" x14ac:dyDescent="0.25">
      <c r="O3888" s="229"/>
      <c r="P3888" s="228"/>
    </row>
    <row r="3889" spans="15:16" x14ac:dyDescent="0.25">
      <c r="O3889" s="229"/>
      <c r="P3889" s="228"/>
    </row>
    <row r="3890" spans="15:16" x14ac:dyDescent="0.25">
      <c r="O3890" s="229"/>
      <c r="P3890" s="228"/>
    </row>
    <row r="3891" spans="15:16" x14ac:dyDescent="0.25">
      <c r="O3891" s="229"/>
      <c r="P3891" s="228"/>
    </row>
    <row r="3892" spans="15:16" x14ac:dyDescent="0.25">
      <c r="O3892" s="229"/>
      <c r="P3892" s="228"/>
    </row>
    <row r="3893" spans="15:16" x14ac:dyDescent="0.25">
      <c r="O3893" s="229"/>
      <c r="P3893" s="228"/>
    </row>
    <row r="3894" spans="15:16" x14ac:dyDescent="0.25">
      <c r="O3894" s="229"/>
      <c r="P3894" s="228"/>
    </row>
    <row r="3895" spans="15:16" x14ac:dyDescent="0.25">
      <c r="O3895" s="229"/>
      <c r="P3895" s="228"/>
    </row>
    <row r="3896" spans="15:16" x14ac:dyDescent="0.25">
      <c r="O3896" s="229"/>
      <c r="P3896" s="228"/>
    </row>
    <row r="3897" spans="15:16" x14ac:dyDescent="0.25">
      <c r="O3897" s="229"/>
      <c r="P3897" s="228"/>
    </row>
    <row r="3898" spans="15:16" x14ac:dyDescent="0.25">
      <c r="O3898" s="229"/>
      <c r="P3898" s="228"/>
    </row>
    <row r="3899" spans="15:16" x14ac:dyDescent="0.25">
      <c r="O3899" s="229"/>
      <c r="P3899" s="228"/>
    </row>
    <row r="3900" spans="15:16" x14ac:dyDescent="0.25">
      <c r="O3900" s="229"/>
      <c r="P3900" s="228"/>
    </row>
    <row r="3901" spans="15:16" x14ac:dyDescent="0.25">
      <c r="O3901" s="229"/>
      <c r="P3901" s="228"/>
    </row>
    <row r="3902" spans="15:16" x14ac:dyDescent="0.25">
      <c r="O3902" s="229"/>
      <c r="P3902" s="228"/>
    </row>
    <row r="3903" spans="15:16" x14ac:dyDescent="0.25">
      <c r="O3903" s="229"/>
      <c r="P3903" s="228"/>
    </row>
    <row r="3904" spans="15:16" x14ac:dyDescent="0.25">
      <c r="O3904" s="229"/>
      <c r="P3904" s="228"/>
    </row>
    <row r="3905" spans="15:16" x14ac:dyDescent="0.25">
      <c r="O3905" s="229"/>
      <c r="P3905" s="228"/>
    </row>
    <row r="3906" spans="15:16" x14ac:dyDescent="0.25">
      <c r="O3906" s="229"/>
      <c r="P3906" s="228"/>
    </row>
    <row r="3907" spans="15:16" x14ac:dyDescent="0.25">
      <c r="O3907" s="229"/>
      <c r="P3907" s="228"/>
    </row>
    <row r="3908" spans="15:16" x14ac:dyDescent="0.25">
      <c r="O3908" s="229"/>
      <c r="P3908" s="228"/>
    </row>
    <row r="3909" spans="15:16" x14ac:dyDescent="0.25">
      <c r="O3909" s="229"/>
      <c r="P3909" s="228"/>
    </row>
    <row r="3910" spans="15:16" x14ac:dyDescent="0.25">
      <c r="O3910" s="229"/>
      <c r="P3910" s="228"/>
    </row>
    <row r="3911" spans="15:16" x14ac:dyDescent="0.25">
      <c r="O3911" s="229"/>
      <c r="P3911" s="228"/>
    </row>
    <row r="3912" spans="15:16" x14ac:dyDescent="0.25">
      <c r="O3912" s="229"/>
      <c r="P3912" s="228"/>
    </row>
    <row r="3913" spans="15:16" x14ac:dyDescent="0.25">
      <c r="O3913" s="229"/>
      <c r="P3913" s="228"/>
    </row>
    <row r="3914" spans="15:16" x14ac:dyDescent="0.25">
      <c r="O3914" s="229"/>
      <c r="P3914" s="228"/>
    </row>
    <row r="3915" spans="15:16" x14ac:dyDescent="0.25">
      <c r="O3915" s="229"/>
      <c r="P3915" s="228"/>
    </row>
    <row r="3916" spans="15:16" x14ac:dyDescent="0.25">
      <c r="O3916" s="229"/>
      <c r="P3916" s="228"/>
    </row>
    <row r="3917" spans="15:16" x14ac:dyDescent="0.25">
      <c r="O3917" s="229"/>
      <c r="P3917" s="228"/>
    </row>
    <row r="3918" spans="15:16" x14ac:dyDescent="0.25">
      <c r="O3918" s="229"/>
      <c r="P3918" s="228"/>
    </row>
    <row r="3919" spans="15:16" x14ac:dyDescent="0.25">
      <c r="O3919" s="229"/>
      <c r="P3919" s="228"/>
    </row>
    <row r="3920" spans="15:16" x14ac:dyDescent="0.25">
      <c r="O3920" s="229"/>
      <c r="P3920" s="228"/>
    </row>
    <row r="3921" spans="15:16" x14ac:dyDescent="0.25">
      <c r="O3921" s="229"/>
      <c r="P3921" s="228"/>
    </row>
    <row r="3922" spans="15:16" x14ac:dyDescent="0.25">
      <c r="O3922" s="229"/>
      <c r="P3922" s="228"/>
    </row>
    <row r="3923" spans="15:16" x14ac:dyDescent="0.25">
      <c r="O3923" s="229"/>
      <c r="P3923" s="228"/>
    </row>
    <row r="3924" spans="15:16" x14ac:dyDescent="0.25">
      <c r="O3924" s="229"/>
      <c r="P3924" s="228"/>
    </row>
    <row r="3925" spans="15:16" x14ac:dyDescent="0.25">
      <c r="O3925" s="229"/>
      <c r="P3925" s="228"/>
    </row>
    <row r="3926" spans="15:16" x14ac:dyDescent="0.25">
      <c r="O3926" s="229"/>
      <c r="P3926" s="228"/>
    </row>
    <row r="3927" spans="15:16" x14ac:dyDescent="0.25">
      <c r="O3927" s="229"/>
      <c r="P3927" s="228"/>
    </row>
    <row r="3928" spans="15:16" x14ac:dyDescent="0.25">
      <c r="O3928" s="229"/>
      <c r="P3928" s="228"/>
    </row>
    <row r="3929" spans="15:16" x14ac:dyDescent="0.25">
      <c r="O3929" s="229"/>
      <c r="P3929" s="228"/>
    </row>
    <row r="3930" spans="15:16" x14ac:dyDescent="0.25">
      <c r="O3930" s="229"/>
      <c r="P3930" s="228"/>
    </row>
    <row r="3931" spans="15:16" x14ac:dyDescent="0.25">
      <c r="O3931" s="229"/>
      <c r="P3931" s="228"/>
    </row>
    <row r="3932" spans="15:16" x14ac:dyDescent="0.25">
      <c r="O3932" s="229"/>
      <c r="P3932" s="228"/>
    </row>
    <row r="3933" spans="15:16" x14ac:dyDescent="0.25">
      <c r="O3933" s="229"/>
      <c r="P3933" s="228"/>
    </row>
    <row r="3934" spans="15:16" x14ac:dyDescent="0.25">
      <c r="O3934" s="229"/>
      <c r="P3934" s="228"/>
    </row>
    <row r="3935" spans="15:16" x14ac:dyDescent="0.25">
      <c r="O3935" s="229"/>
      <c r="P3935" s="228"/>
    </row>
    <row r="3936" spans="15:16" x14ac:dyDescent="0.25">
      <c r="O3936" s="229"/>
      <c r="P3936" s="228"/>
    </row>
    <row r="3937" spans="15:16" x14ac:dyDescent="0.25">
      <c r="O3937" s="229"/>
      <c r="P3937" s="228"/>
    </row>
    <row r="3938" spans="15:16" x14ac:dyDescent="0.25">
      <c r="O3938" s="229"/>
      <c r="P3938" s="228"/>
    </row>
    <row r="3939" spans="15:16" x14ac:dyDescent="0.25">
      <c r="O3939" s="229"/>
      <c r="P3939" s="228"/>
    </row>
    <row r="3940" spans="15:16" x14ac:dyDescent="0.25">
      <c r="O3940" s="229"/>
      <c r="P3940" s="228"/>
    </row>
    <row r="3941" spans="15:16" x14ac:dyDescent="0.25">
      <c r="O3941" s="229"/>
      <c r="P3941" s="228"/>
    </row>
    <row r="3942" spans="15:16" x14ac:dyDescent="0.25">
      <c r="O3942" s="229"/>
      <c r="P3942" s="228"/>
    </row>
    <row r="3943" spans="15:16" x14ac:dyDescent="0.25">
      <c r="O3943" s="229"/>
      <c r="P3943" s="228"/>
    </row>
    <row r="3944" spans="15:16" x14ac:dyDescent="0.25">
      <c r="O3944" s="229"/>
      <c r="P3944" s="228"/>
    </row>
    <row r="3945" spans="15:16" x14ac:dyDescent="0.25">
      <c r="O3945" s="229"/>
      <c r="P3945" s="228"/>
    </row>
    <row r="3946" spans="15:16" x14ac:dyDescent="0.25">
      <c r="O3946" s="229"/>
      <c r="P3946" s="228"/>
    </row>
    <row r="3947" spans="15:16" x14ac:dyDescent="0.25">
      <c r="O3947" s="229"/>
      <c r="P3947" s="228"/>
    </row>
    <row r="3948" spans="15:16" x14ac:dyDescent="0.25">
      <c r="O3948" s="229"/>
      <c r="P3948" s="228"/>
    </row>
    <row r="3949" spans="15:16" x14ac:dyDescent="0.25">
      <c r="O3949" s="229"/>
      <c r="P3949" s="228"/>
    </row>
    <row r="3950" spans="15:16" x14ac:dyDescent="0.25">
      <c r="O3950" s="229"/>
      <c r="P3950" s="228"/>
    </row>
    <row r="3951" spans="15:16" x14ac:dyDescent="0.25">
      <c r="O3951" s="229"/>
      <c r="P3951" s="228"/>
    </row>
    <row r="3952" spans="15:16" x14ac:dyDescent="0.25">
      <c r="O3952" s="229"/>
      <c r="P3952" s="228"/>
    </row>
    <row r="3953" spans="15:16" x14ac:dyDescent="0.25">
      <c r="O3953" s="229"/>
      <c r="P3953" s="228"/>
    </row>
    <row r="3954" spans="15:16" x14ac:dyDescent="0.25">
      <c r="O3954" s="229"/>
      <c r="P3954" s="228"/>
    </row>
    <row r="3955" spans="15:16" x14ac:dyDescent="0.25">
      <c r="O3955" s="229"/>
      <c r="P3955" s="228"/>
    </row>
    <row r="3956" spans="15:16" x14ac:dyDescent="0.25">
      <c r="O3956" s="229"/>
      <c r="P3956" s="228"/>
    </row>
    <row r="3957" spans="15:16" x14ac:dyDescent="0.25">
      <c r="O3957" s="229"/>
      <c r="P3957" s="228"/>
    </row>
    <row r="3958" spans="15:16" x14ac:dyDescent="0.25">
      <c r="O3958" s="229"/>
      <c r="P3958" s="228"/>
    </row>
    <row r="3959" spans="15:16" x14ac:dyDescent="0.25">
      <c r="O3959" s="229"/>
      <c r="P3959" s="228"/>
    </row>
    <row r="3960" spans="15:16" x14ac:dyDescent="0.25">
      <c r="O3960" s="229"/>
      <c r="P3960" s="228"/>
    </row>
    <row r="3961" spans="15:16" x14ac:dyDescent="0.25">
      <c r="O3961" s="229"/>
      <c r="P3961" s="228"/>
    </row>
    <row r="3962" spans="15:16" x14ac:dyDescent="0.25">
      <c r="O3962" s="229"/>
      <c r="P3962" s="228"/>
    </row>
    <row r="3963" spans="15:16" x14ac:dyDescent="0.25">
      <c r="O3963" s="229"/>
      <c r="P3963" s="228"/>
    </row>
    <row r="3964" spans="15:16" x14ac:dyDescent="0.25">
      <c r="O3964" s="229"/>
      <c r="P3964" s="228"/>
    </row>
    <row r="3965" spans="15:16" x14ac:dyDescent="0.25">
      <c r="O3965" s="229"/>
      <c r="P3965" s="228"/>
    </row>
    <row r="3966" spans="15:16" x14ac:dyDescent="0.25">
      <c r="O3966" s="229"/>
      <c r="P3966" s="228"/>
    </row>
    <row r="3967" spans="15:16" x14ac:dyDescent="0.25">
      <c r="O3967" s="229"/>
      <c r="P3967" s="228"/>
    </row>
    <row r="3968" spans="15:16" x14ac:dyDescent="0.25">
      <c r="O3968" s="229"/>
      <c r="P3968" s="228"/>
    </row>
    <row r="3969" spans="15:16" x14ac:dyDescent="0.25">
      <c r="O3969" s="229"/>
      <c r="P3969" s="228"/>
    </row>
    <row r="3970" spans="15:16" x14ac:dyDescent="0.25">
      <c r="O3970" s="229"/>
      <c r="P3970" s="228"/>
    </row>
    <row r="3971" spans="15:16" x14ac:dyDescent="0.25">
      <c r="O3971" s="229"/>
      <c r="P3971" s="228"/>
    </row>
    <row r="3972" spans="15:16" x14ac:dyDescent="0.25">
      <c r="O3972" s="229"/>
      <c r="P3972" s="228"/>
    </row>
    <row r="3973" spans="15:16" x14ac:dyDescent="0.25">
      <c r="O3973" s="229"/>
      <c r="P3973" s="228"/>
    </row>
    <row r="3974" spans="15:16" x14ac:dyDescent="0.25">
      <c r="O3974" s="229"/>
      <c r="P3974" s="228"/>
    </row>
    <row r="3975" spans="15:16" x14ac:dyDescent="0.25">
      <c r="O3975" s="229"/>
      <c r="P3975" s="228"/>
    </row>
    <row r="3976" spans="15:16" x14ac:dyDescent="0.25">
      <c r="O3976" s="229"/>
      <c r="P3976" s="228"/>
    </row>
    <row r="3977" spans="15:16" x14ac:dyDescent="0.25">
      <c r="O3977" s="229"/>
      <c r="P3977" s="228"/>
    </row>
    <row r="3978" spans="15:16" x14ac:dyDescent="0.25">
      <c r="O3978" s="229"/>
      <c r="P3978" s="228"/>
    </row>
    <row r="3979" spans="15:16" x14ac:dyDescent="0.25">
      <c r="O3979" s="229"/>
      <c r="P3979" s="228"/>
    </row>
    <row r="3980" spans="15:16" x14ac:dyDescent="0.25">
      <c r="O3980" s="229"/>
      <c r="P3980" s="228"/>
    </row>
    <row r="3981" spans="15:16" x14ac:dyDescent="0.25">
      <c r="O3981" s="229"/>
      <c r="P3981" s="228"/>
    </row>
    <row r="3982" spans="15:16" x14ac:dyDescent="0.25">
      <c r="O3982" s="229"/>
      <c r="P3982" s="228"/>
    </row>
    <row r="3983" spans="15:16" x14ac:dyDescent="0.25">
      <c r="O3983" s="229"/>
      <c r="P3983" s="228"/>
    </row>
    <row r="3984" spans="15:16" x14ac:dyDescent="0.25">
      <c r="O3984" s="229"/>
      <c r="P3984" s="228"/>
    </row>
    <row r="3985" spans="15:16" x14ac:dyDescent="0.25">
      <c r="O3985" s="229"/>
      <c r="P3985" s="228"/>
    </row>
    <row r="3986" spans="15:16" x14ac:dyDescent="0.25">
      <c r="O3986" s="229"/>
      <c r="P3986" s="228"/>
    </row>
    <row r="3987" spans="15:16" x14ac:dyDescent="0.25">
      <c r="O3987" s="229"/>
      <c r="P3987" s="228"/>
    </row>
    <row r="3988" spans="15:16" x14ac:dyDescent="0.25">
      <c r="O3988" s="229"/>
      <c r="P3988" s="228"/>
    </row>
    <row r="3989" spans="15:16" x14ac:dyDescent="0.25">
      <c r="O3989" s="229"/>
      <c r="P3989" s="228"/>
    </row>
    <row r="3990" spans="15:16" x14ac:dyDescent="0.25">
      <c r="O3990" s="229"/>
      <c r="P3990" s="228"/>
    </row>
    <row r="3991" spans="15:16" x14ac:dyDescent="0.25">
      <c r="O3991" s="229"/>
      <c r="P3991" s="228"/>
    </row>
    <row r="3992" spans="15:16" x14ac:dyDescent="0.25">
      <c r="O3992" s="229"/>
      <c r="P3992" s="228"/>
    </row>
    <row r="3993" spans="15:16" x14ac:dyDescent="0.25">
      <c r="O3993" s="229"/>
      <c r="P3993" s="228"/>
    </row>
    <row r="3994" spans="15:16" x14ac:dyDescent="0.25">
      <c r="O3994" s="229"/>
      <c r="P3994" s="228"/>
    </row>
    <row r="3995" spans="15:16" x14ac:dyDescent="0.25">
      <c r="O3995" s="229"/>
      <c r="P3995" s="228"/>
    </row>
    <row r="3996" spans="15:16" x14ac:dyDescent="0.25">
      <c r="O3996" s="229"/>
      <c r="P3996" s="228"/>
    </row>
    <row r="3997" spans="15:16" x14ac:dyDescent="0.25">
      <c r="O3997" s="229"/>
      <c r="P3997" s="228"/>
    </row>
    <row r="3998" spans="15:16" x14ac:dyDescent="0.25">
      <c r="O3998" s="229"/>
      <c r="P3998" s="228"/>
    </row>
    <row r="3999" spans="15:16" x14ac:dyDescent="0.25">
      <c r="O3999" s="229"/>
      <c r="P3999" s="228"/>
    </row>
    <row r="4000" spans="15:16" x14ac:dyDescent="0.25">
      <c r="O4000" s="229"/>
      <c r="P4000" s="228"/>
    </row>
    <row r="4001" spans="15:16" x14ac:dyDescent="0.25">
      <c r="O4001" s="229"/>
      <c r="P4001" s="228"/>
    </row>
    <row r="4002" spans="15:16" x14ac:dyDescent="0.25">
      <c r="O4002" s="229"/>
      <c r="P4002" s="228"/>
    </row>
    <row r="4003" spans="15:16" x14ac:dyDescent="0.25">
      <c r="O4003" s="229"/>
      <c r="P4003" s="228"/>
    </row>
    <row r="4004" spans="15:16" x14ac:dyDescent="0.25">
      <c r="O4004" s="229"/>
      <c r="P4004" s="228"/>
    </row>
    <row r="4005" spans="15:16" x14ac:dyDescent="0.25">
      <c r="O4005" s="229"/>
      <c r="P4005" s="228"/>
    </row>
    <row r="4006" spans="15:16" x14ac:dyDescent="0.25">
      <c r="O4006" s="229"/>
      <c r="P4006" s="228"/>
    </row>
    <row r="4007" spans="15:16" x14ac:dyDescent="0.25">
      <c r="O4007" s="229"/>
      <c r="P4007" s="228"/>
    </row>
    <row r="4008" spans="15:16" x14ac:dyDescent="0.25">
      <c r="O4008" s="229"/>
      <c r="P4008" s="228"/>
    </row>
    <row r="4009" spans="15:16" x14ac:dyDescent="0.25">
      <c r="O4009" s="229"/>
      <c r="P4009" s="228"/>
    </row>
    <row r="4010" spans="15:16" x14ac:dyDescent="0.25">
      <c r="O4010" s="229"/>
      <c r="P4010" s="228"/>
    </row>
    <row r="4011" spans="15:16" x14ac:dyDescent="0.25">
      <c r="O4011" s="229"/>
      <c r="P4011" s="228"/>
    </row>
    <row r="4012" spans="15:16" x14ac:dyDescent="0.25">
      <c r="O4012" s="229"/>
      <c r="P4012" s="228"/>
    </row>
    <row r="4013" spans="15:16" x14ac:dyDescent="0.25">
      <c r="O4013" s="229"/>
      <c r="P4013" s="228"/>
    </row>
    <row r="4014" spans="15:16" x14ac:dyDescent="0.25">
      <c r="O4014" s="229"/>
      <c r="P4014" s="228"/>
    </row>
    <row r="4015" spans="15:16" x14ac:dyDescent="0.25">
      <c r="O4015" s="229"/>
      <c r="P4015" s="228"/>
    </row>
    <row r="4016" spans="15:16" x14ac:dyDescent="0.25">
      <c r="O4016" s="229"/>
      <c r="P4016" s="228"/>
    </row>
    <row r="4017" spans="15:16" x14ac:dyDescent="0.25">
      <c r="O4017" s="229"/>
      <c r="P4017" s="228"/>
    </row>
    <row r="4018" spans="15:16" x14ac:dyDescent="0.25">
      <c r="O4018" s="229"/>
      <c r="P4018" s="228"/>
    </row>
    <row r="4019" spans="15:16" x14ac:dyDescent="0.25">
      <c r="O4019" s="229"/>
      <c r="P4019" s="228"/>
    </row>
    <row r="4020" spans="15:16" x14ac:dyDescent="0.25">
      <c r="O4020" s="229"/>
      <c r="P4020" s="228"/>
    </row>
    <row r="4021" spans="15:16" x14ac:dyDescent="0.25">
      <c r="O4021" s="229"/>
      <c r="P4021" s="228"/>
    </row>
    <row r="4022" spans="15:16" x14ac:dyDescent="0.25">
      <c r="O4022" s="229"/>
      <c r="P4022" s="228"/>
    </row>
    <row r="4023" spans="15:16" x14ac:dyDescent="0.25">
      <c r="O4023" s="229"/>
      <c r="P4023" s="228"/>
    </row>
    <row r="4024" spans="15:16" x14ac:dyDescent="0.25">
      <c r="O4024" s="229"/>
      <c r="P4024" s="228"/>
    </row>
    <row r="4025" spans="15:16" x14ac:dyDescent="0.25">
      <c r="O4025" s="229"/>
      <c r="P4025" s="228"/>
    </row>
    <row r="4026" spans="15:16" x14ac:dyDescent="0.25">
      <c r="O4026" s="229"/>
      <c r="P4026" s="228"/>
    </row>
    <row r="4027" spans="15:16" x14ac:dyDescent="0.25">
      <c r="O4027" s="229"/>
      <c r="P4027" s="228"/>
    </row>
    <row r="4028" spans="15:16" x14ac:dyDescent="0.25">
      <c r="O4028" s="229"/>
      <c r="P4028" s="228"/>
    </row>
    <row r="4029" spans="15:16" x14ac:dyDescent="0.25">
      <c r="O4029" s="229"/>
      <c r="P4029" s="228"/>
    </row>
    <row r="4030" spans="15:16" x14ac:dyDescent="0.25">
      <c r="O4030" s="229"/>
      <c r="P4030" s="228"/>
    </row>
    <row r="4031" spans="15:16" x14ac:dyDescent="0.25">
      <c r="O4031" s="229"/>
      <c r="P4031" s="228"/>
    </row>
    <row r="4032" spans="15:16" x14ac:dyDescent="0.25">
      <c r="O4032" s="229"/>
      <c r="P4032" s="228"/>
    </row>
    <row r="4033" spans="15:16" x14ac:dyDescent="0.25">
      <c r="O4033" s="229"/>
      <c r="P4033" s="228"/>
    </row>
    <row r="4034" spans="15:16" x14ac:dyDescent="0.25">
      <c r="O4034" s="229"/>
      <c r="P4034" s="228"/>
    </row>
    <row r="4035" spans="15:16" x14ac:dyDescent="0.25">
      <c r="O4035" s="229"/>
      <c r="P4035" s="228"/>
    </row>
    <row r="4036" spans="15:16" x14ac:dyDescent="0.25">
      <c r="O4036" s="229"/>
      <c r="P4036" s="228"/>
    </row>
    <row r="4037" spans="15:16" x14ac:dyDescent="0.25">
      <c r="O4037" s="229"/>
      <c r="P4037" s="228"/>
    </row>
    <row r="4038" spans="15:16" x14ac:dyDescent="0.25">
      <c r="O4038" s="229"/>
      <c r="P4038" s="228"/>
    </row>
    <row r="4039" spans="15:16" x14ac:dyDescent="0.25">
      <c r="O4039" s="229"/>
      <c r="P4039" s="228"/>
    </row>
    <row r="4040" spans="15:16" x14ac:dyDescent="0.25">
      <c r="O4040" s="229"/>
      <c r="P4040" s="228"/>
    </row>
    <row r="4041" spans="15:16" x14ac:dyDescent="0.25">
      <c r="O4041" s="229"/>
      <c r="P4041" s="228"/>
    </row>
    <row r="4042" spans="15:16" x14ac:dyDescent="0.25">
      <c r="O4042" s="229"/>
      <c r="P4042" s="228"/>
    </row>
    <row r="4043" spans="15:16" x14ac:dyDescent="0.25">
      <c r="O4043" s="229"/>
      <c r="P4043" s="228"/>
    </row>
    <row r="4044" spans="15:16" x14ac:dyDescent="0.25">
      <c r="O4044" s="229"/>
      <c r="P4044" s="228"/>
    </row>
    <row r="4045" spans="15:16" x14ac:dyDescent="0.25">
      <c r="O4045" s="229"/>
      <c r="P4045" s="228"/>
    </row>
    <row r="4046" spans="15:16" x14ac:dyDescent="0.25">
      <c r="O4046" s="229"/>
      <c r="P4046" s="228"/>
    </row>
    <row r="4047" spans="15:16" x14ac:dyDescent="0.25">
      <c r="O4047" s="229"/>
      <c r="P4047" s="228"/>
    </row>
    <row r="4048" spans="15:16" x14ac:dyDescent="0.25">
      <c r="O4048" s="229"/>
      <c r="P4048" s="228"/>
    </row>
    <row r="4049" spans="15:16" x14ac:dyDescent="0.25">
      <c r="O4049" s="229"/>
      <c r="P4049" s="228"/>
    </row>
    <row r="4050" spans="15:16" x14ac:dyDescent="0.25">
      <c r="O4050" s="229"/>
      <c r="P4050" s="228"/>
    </row>
    <row r="4051" spans="15:16" x14ac:dyDescent="0.25">
      <c r="O4051" s="229"/>
      <c r="P4051" s="228"/>
    </row>
    <row r="4052" spans="15:16" x14ac:dyDescent="0.25">
      <c r="O4052" s="229"/>
      <c r="P4052" s="228"/>
    </row>
    <row r="4053" spans="15:16" x14ac:dyDescent="0.25">
      <c r="O4053" s="229"/>
      <c r="P4053" s="228"/>
    </row>
    <row r="4054" spans="15:16" x14ac:dyDescent="0.25">
      <c r="O4054" s="229"/>
      <c r="P4054" s="228"/>
    </row>
    <row r="4055" spans="15:16" x14ac:dyDescent="0.25">
      <c r="O4055" s="229"/>
      <c r="P4055" s="228"/>
    </row>
    <row r="4056" spans="15:16" x14ac:dyDescent="0.25">
      <c r="O4056" s="229"/>
      <c r="P4056" s="228"/>
    </row>
    <row r="4057" spans="15:16" x14ac:dyDescent="0.25">
      <c r="O4057" s="229"/>
      <c r="P4057" s="228"/>
    </row>
    <row r="4058" spans="15:16" x14ac:dyDescent="0.25">
      <c r="O4058" s="229"/>
      <c r="P4058" s="228"/>
    </row>
    <row r="4059" spans="15:16" x14ac:dyDescent="0.25">
      <c r="O4059" s="229"/>
      <c r="P4059" s="228"/>
    </row>
    <row r="4060" spans="15:16" x14ac:dyDescent="0.25">
      <c r="O4060" s="229"/>
      <c r="P4060" s="228"/>
    </row>
    <row r="4061" spans="15:16" x14ac:dyDescent="0.25">
      <c r="O4061" s="229"/>
      <c r="P4061" s="228"/>
    </row>
    <row r="4062" spans="15:16" x14ac:dyDescent="0.25">
      <c r="O4062" s="229"/>
      <c r="P4062" s="228"/>
    </row>
    <row r="4063" spans="15:16" x14ac:dyDescent="0.25">
      <c r="O4063" s="229"/>
      <c r="P4063" s="228"/>
    </row>
    <row r="4064" spans="15:16" x14ac:dyDescent="0.25">
      <c r="O4064" s="229"/>
      <c r="P4064" s="228"/>
    </row>
    <row r="4065" spans="15:16" x14ac:dyDescent="0.25">
      <c r="O4065" s="229"/>
      <c r="P4065" s="228"/>
    </row>
    <row r="4066" spans="15:16" x14ac:dyDescent="0.25">
      <c r="O4066" s="229"/>
      <c r="P4066" s="228"/>
    </row>
    <row r="4067" spans="15:16" x14ac:dyDescent="0.25">
      <c r="O4067" s="229"/>
      <c r="P4067" s="228"/>
    </row>
    <row r="4068" spans="15:16" x14ac:dyDescent="0.25">
      <c r="O4068" s="229"/>
      <c r="P4068" s="228"/>
    </row>
    <row r="4069" spans="15:16" x14ac:dyDescent="0.25">
      <c r="O4069" s="229"/>
      <c r="P4069" s="228"/>
    </row>
    <row r="4070" spans="15:16" x14ac:dyDescent="0.25">
      <c r="O4070" s="229"/>
      <c r="P4070" s="228"/>
    </row>
    <row r="4071" spans="15:16" x14ac:dyDescent="0.25">
      <c r="O4071" s="229"/>
      <c r="P4071" s="228"/>
    </row>
    <row r="4072" spans="15:16" x14ac:dyDescent="0.25">
      <c r="O4072" s="229"/>
      <c r="P4072" s="228"/>
    </row>
    <row r="4073" spans="15:16" x14ac:dyDescent="0.25">
      <c r="O4073" s="229"/>
      <c r="P4073" s="228"/>
    </row>
    <row r="4074" spans="15:16" x14ac:dyDescent="0.25">
      <c r="O4074" s="229"/>
      <c r="P4074" s="228"/>
    </row>
    <row r="4075" spans="15:16" x14ac:dyDescent="0.25">
      <c r="O4075" s="229"/>
      <c r="P4075" s="228"/>
    </row>
    <row r="4076" spans="15:16" x14ac:dyDescent="0.25">
      <c r="O4076" s="229"/>
      <c r="P4076" s="228"/>
    </row>
    <row r="4077" spans="15:16" x14ac:dyDescent="0.25">
      <c r="O4077" s="229"/>
      <c r="P4077" s="228"/>
    </row>
    <row r="4078" spans="15:16" x14ac:dyDescent="0.25">
      <c r="O4078" s="229"/>
      <c r="P4078" s="228"/>
    </row>
    <row r="4079" spans="15:16" x14ac:dyDescent="0.25">
      <c r="O4079" s="229"/>
      <c r="P4079" s="228"/>
    </row>
    <row r="4080" spans="15:16" x14ac:dyDescent="0.25">
      <c r="O4080" s="229"/>
      <c r="P4080" s="228"/>
    </row>
    <row r="4081" spans="15:16" x14ac:dyDescent="0.25">
      <c r="O4081" s="229"/>
      <c r="P4081" s="228"/>
    </row>
    <row r="4082" spans="15:16" x14ac:dyDescent="0.25">
      <c r="O4082" s="229"/>
      <c r="P4082" s="228"/>
    </row>
    <row r="4083" spans="15:16" x14ac:dyDescent="0.25">
      <c r="O4083" s="229"/>
      <c r="P4083" s="228"/>
    </row>
    <row r="4084" spans="15:16" x14ac:dyDescent="0.25">
      <c r="O4084" s="229"/>
      <c r="P4084" s="228"/>
    </row>
    <row r="4085" spans="15:16" x14ac:dyDescent="0.25">
      <c r="O4085" s="229"/>
      <c r="P4085" s="228"/>
    </row>
    <row r="4086" spans="15:16" x14ac:dyDescent="0.25">
      <c r="O4086" s="229"/>
      <c r="P4086" s="228"/>
    </row>
    <row r="4087" spans="15:16" x14ac:dyDescent="0.25">
      <c r="O4087" s="229"/>
      <c r="P4087" s="228"/>
    </row>
    <row r="4088" spans="15:16" x14ac:dyDescent="0.25">
      <c r="O4088" s="229"/>
      <c r="P4088" s="228"/>
    </row>
    <row r="4089" spans="15:16" x14ac:dyDescent="0.25">
      <c r="O4089" s="229"/>
      <c r="P4089" s="228"/>
    </row>
    <row r="4090" spans="15:16" x14ac:dyDescent="0.25">
      <c r="O4090" s="229"/>
      <c r="P4090" s="228"/>
    </row>
    <row r="4091" spans="15:16" x14ac:dyDescent="0.25">
      <c r="O4091" s="229"/>
      <c r="P4091" s="228"/>
    </row>
    <row r="4092" spans="15:16" x14ac:dyDescent="0.25">
      <c r="O4092" s="229"/>
      <c r="P4092" s="228"/>
    </row>
    <row r="4093" spans="15:16" x14ac:dyDescent="0.25">
      <c r="O4093" s="229"/>
      <c r="P4093" s="228"/>
    </row>
    <row r="4094" spans="15:16" x14ac:dyDescent="0.25">
      <c r="O4094" s="229"/>
      <c r="P4094" s="228"/>
    </row>
    <row r="4095" spans="15:16" x14ac:dyDescent="0.25">
      <c r="O4095" s="229"/>
      <c r="P4095" s="228"/>
    </row>
    <row r="4096" spans="15:16" x14ac:dyDescent="0.25">
      <c r="O4096" s="229"/>
      <c r="P4096" s="228"/>
    </row>
    <row r="4097" spans="15:16" x14ac:dyDescent="0.25">
      <c r="O4097" s="229"/>
      <c r="P4097" s="228"/>
    </row>
    <row r="4098" spans="15:16" x14ac:dyDescent="0.25">
      <c r="O4098" s="229"/>
      <c r="P4098" s="228"/>
    </row>
    <row r="4099" spans="15:16" x14ac:dyDescent="0.25">
      <c r="O4099" s="229"/>
      <c r="P4099" s="228"/>
    </row>
    <row r="4100" spans="15:16" x14ac:dyDescent="0.25">
      <c r="O4100" s="229"/>
      <c r="P4100" s="228"/>
    </row>
    <row r="4101" spans="15:16" x14ac:dyDescent="0.25">
      <c r="O4101" s="229"/>
      <c r="P4101" s="228"/>
    </row>
    <row r="4102" spans="15:16" x14ac:dyDescent="0.25">
      <c r="O4102" s="229"/>
      <c r="P4102" s="228"/>
    </row>
    <row r="4103" spans="15:16" x14ac:dyDescent="0.25">
      <c r="O4103" s="229"/>
      <c r="P4103" s="228"/>
    </row>
    <row r="4104" spans="15:16" x14ac:dyDescent="0.25">
      <c r="O4104" s="229"/>
      <c r="P4104" s="228"/>
    </row>
    <row r="4105" spans="15:16" x14ac:dyDescent="0.25">
      <c r="O4105" s="229"/>
      <c r="P4105" s="228"/>
    </row>
    <row r="4106" spans="15:16" x14ac:dyDescent="0.25">
      <c r="O4106" s="229"/>
      <c r="P4106" s="228"/>
    </row>
    <row r="4107" spans="15:16" x14ac:dyDescent="0.25">
      <c r="O4107" s="229"/>
      <c r="P4107" s="228"/>
    </row>
    <row r="4108" spans="15:16" x14ac:dyDescent="0.25">
      <c r="O4108" s="229"/>
      <c r="P4108" s="228"/>
    </row>
    <row r="4109" spans="15:16" x14ac:dyDescent="0.25">
      <c r="O4109" s="229"/>
      <c r="P4109" s="228"/>
    </row>
    <row r="4110" spans="15:16" x14ac:dyDescent="0.25">
      <c r="O4110" s="229"/>
      <c r="P4110" s="228"/>
    </row>
    <row r="4111" spans="15:16" x14ac:dyDescent="0.25">
      <c r="O4111" s="229"/>
      <c r="P4111" s="228"/>
    </row>
    <row r="4112" spans="15:16" x14ac:dyDescent="0.25">
      <c r="O4112" s="229"/>
      <c r="P4112" s="228"/>
    </row>
    <row r="4113" spans="15:16" x14ac:dyDescent="0.25">
      <c r="O4113" s="229"/>
      <c r="P4113" s="228"/>
    </row>
    <row r="4114" spans="15:16" x14ac:dyDescent="0.25">
      <c r="O4114" s="229"/>
      <c r="P4114" s="228"/>
    </row>
    <row r="4115" spans="15:16" x14ac:dyDescent="0.25">
      <c r="O4115" s="229"/>
      <c r="P4115" s="228"/>
    </row>
    <row r="4116" spans="15:16" x14ac:dyDescent="0.25">
      <c r="O4116" s="229"/>
      <c r="P4116" s="228"/>
    </row>
    <row r="4117" spans="15:16" x14ac:dyDescent="0.25">
      <c r="O4117" s="229"/>
      <c r="P4117" s="228"/>
    </row>
    <row r="4118" spans="15:16" x14ac:dyDescent="0.25">
      <c r="O4118" s="229"/>
      <c r="P4118" s="228"/>
    </row>
    <row r="4119" spans="15:16" x14ac:dyDescent="0.25">
      <c r="O4119" s="229"/>
      <c r="P4119" s="228"/>
    </row>
    <row r="4120" spans="15:16" x14ac:dyDescent="0.25">
      <c r="O4120" s="229"/>
      <c r="P4120" s="228"/>
    </row>
    <row r="4121" spans="15:16" x14ac:dyDescent="0.25">
      <c r="O4121" s="229"/>
      <c r="P4121" s="228"/>
    </row>
    <row r="4122" spans="15:16" x14ac:dyDescent="0.25">
      <c r="O4122" s="229"/>
      <c r="P4122" s="228"/>
    </row>
    <row r="4123" spans="15:16" x14ac:dyDescent="0.25">
      <c r="O4123" s="229"/>
      <c r="P4123" s="228"/>
    </row>
    <row r="4124" spans="15:16" x14ac:dyDescent="0.25">
      <c r="O4124" s="229"/>
      <c r="P4124" s="228"/>
    </row>
    <row r="4125" spans="15:16" x14ac:dyDescent="0.25">
      <c r="O4125" s="229"/>
      <c r="P4125" s="228"/>
    </row>
    <row r="4126" spans="15:16" x14ac:dyDescent="0.25">
      <c r="O4126" s="229"/>
      <c r="P4126" s="228"/>
    </row>
    <row r="4127" spans="15:16" x14ac:dyDescent="0.25">
      <c r="O4127" s="229"/>
      <c r="P4127" s="228"/>
    </row>
    <row r="4128" spans="15:16" x14ac:dyDescent="0.25">
      <c r="O4128" s="229"/>
      <c r="P4128" s="228"/>
    </row>
    <row r="4129" spans="15:16" x14ac:dyDescent="0.25">
      <c r="O4129" s="229"/>
      <c r="P4129" s="228"/>
    </row>
    <row r="4130" spans="15:16" x14ac:dyDescent="0.25">
      <c r="O4130" s="229"/>
      <c r="P4130" s="228"/>
    </row>
    <row r="4131" spans="15:16" x14ac:dyDescent="0.25">
      <c r="O4131" s="229"/>
      <c r="P4131" s="228"/>
    </row>
    <row r="4132" spans="15:16" x14ac:dyDescent="0.25">
      <c r="O4132" s="229"/>
      <c r="P4132" s="228"/>
    </row>
    <row r="4133" spans="15:16" x14ac:dyDescent="0.25">
      <c r="O4133" s="229"/>
      <c r="P4133" s="228"/>
    </row>
    <row r="4134" spans="15:16" x14ac:dyDescent="0.25">
      <c r="O4134" s="229"/>
      <c r="P4134" s="228"/>
    </row>
    <row r="4135" spans="15:16" x14ac:dyDescent="0.25">
      <c r="O4135" s="229"/>
      <c r="P4135" s="228"/>
    </row>
    <row r="4136" spans="15:16" x14ac:dyDescent="0.25">
      <c r="O4136" s="229"/>
      <c r="P4136" s="228"/>
    </row>
    <row r="4137" spans="15:16" x14ac:dyDescent="0.25">
      <c r="O4137" s="229"/>
      <c r="P4137" s="228"/>
    </row>
    <row r="4138" spans="15:16" x14ac:dyDescent="0.25">
      <c r="O4138" s="229"/>
      <c r="P4138" s="228"/>
    </row>
    <row r="4139" spans="15:16" x14ac:dyDescent="0.25">
      <c r="O4139" s="229"/>
      <c r="P4139" s="228"/>
    </row>
    <row r="4140" spans="15:16" x14ac:dyDescent="0.25">
      <c r="O4140" s="229"/>
      <c r="P4140" s="228"/>
    </row>
    <row r="4141" spans="15:16" x14ac:dyDescent="0.25">
      <c r="O4141" s="229"/>
      <c r="P4141" s="228"/>
    </row>
    <row r="4142" spans="15:16" x14ac:dyDescent="0.25">
      <c r="O4142" s="229"/>
      <c r="P4142" s="228"/>
    </row>
    <row r="4143" spans="15:16" x14ac:dyDescent="0.25">
      <c r="O4143" s="229"/>
      <c r="P4143" s="228"/>
    </row>
    <row r="4144" spans="15:16" x14ac:dyDescent="0.25">
      <c r="O4144" s="229"/>
      <c r="P4144" s="228"/>
    </row>
    <row r="4145" spans="15:16" x14ac:dyDescent="0.25">
      <c r="O4145" s="229"/>
      <c r="P4145" s="228"/>
    </row>
    <row r="4146" spans="15:16" x14ac:dyDescent="0.25">
      <c r="O4146" s="229"/>
      <c r="P4146" s="228"/>
    </row>
    <row r="4147" spans="15:16" x14ac:dyDescent="0.25">
      <c r="O4147" s="229"/>
      <c r="P4147" s="228"/>
    </row>
    <row r="4148" spans="15:16" x14ac:dyDescent="0.25">
      <c r="O4148" s="229"/>
      <c r="P4148" s="228"/>
    </row>
    <row r="4149" spans="15:16" x14ac:dyDescent="0.25">
      <c r="O4149" s="229"/>
      <c r="P4149" s="228"/>
    </row>
    <row r="4150" spans="15:16" x14ac:dyDescent="0.25">
      <c r="O4150" s="229"/>
      <c r="P4150" s="228"/>
    </row>
    <row r="4151" spans="15:16" x14ac:dyDescent="0.25">
      <c r="O4151" s="229"/>
      <c r="P4151" s="228"/>
    </row>
    <row r="4152" spans="15:16" x14ac:dyDescent="0.25">
      <c r="O4152" s="229"/>
      <c r="P4152" s="228"/>
    </row>
    <row r="4153" spans="15:16" x14ac:dyDescent="0.25">
      <c r="O4153" s="229"/>
      <c r="P4153" s="228"/>
    </row>
    <row r="4154" spans="15:16" x14ac:dyDescent="0.25">
      <c r="O4154" s="229"/>
      <c r="P4154" s="228"/>
    </row>
    <row r="4155" spans="15:16" x14ac:dyDescent="0.25">
      <c r="O4155" s="229"/>
      <c r="P4155" s="228"/>
    </row>
    <row r="4156" spans="15:16" x14ac:dyDescent="0.25">
      <c r="O4156" s="229"/>
      <c r="P4156" s="228"/>
    </row>
    <row r="4157" spans="15:16" x14ac:dyDescent="0.25">
      <c r="O4157" s="229"/>
      <c r="P4157" s="228"/>
    </row>
    <row r="4158" spans="15:16" x14ac:dyDescent="0.25">
      <c r="O4158" s="229"/>
      <c r="P4158" s="228"/>
    </row>
    <row r="4159" spans="15:16" x14ac:dyDescent="0.25">
      <c r="O4159" s="229"/>
      <c r="P4159" s="228"/>
    </row>
    <row r="4160" spans="15:16" x14ac:dyDescent="0.25">
      <c r="O4160" s="229"/>
      <c r="P4160" s="228"/>
    </row>
    <row r="4161" spans="15:16" x14ac:dyDescent="0.25">
      <c r="O4161" s="229"/>
      <c r="P4161" s="228"/>
    </row>
    <row r="4162" spans="15:16" x14ac:dyDescent="0.25">
      <c r="O4162" s="229"/>
      <c r="P4162" s="228"/>
    </row>
    <row r="4163" spans="15:16" x14ac:dyDescent="0.25">
      <c r="O4163" s="229"/>
      <c r="P4163" s="228"/>
    </row>
    <row r="4164" spans="15:16" x14ac:dyDescent="0.25">
      <c r="O4164" s="229"/>
      <c r="P4164" s="228"/>
    </row>
    <row r="4165" spans="15:16" x14ac:dyDescent="0.25">
      <c r="O4165" s="229"/>
      <c r="P4165" s="228"/>
    </row>
    <row r="4166" spans="15:16" x14ac:dyDescent="0.25">
      <c r="O4166" s="229"/>
      <c r="P4166" s="228"/>
    </row>
    <row r="4167" spans="15:16" x14ac:dyDescent="0.25">
      <c r="O4167" s="229"/>
      <c r="P4167" s="228"/>
    </row>
    <row r="4168" spans="15:16" x14ac:dyDescent="0.25">
      <c r="O4168" s="229"/>
      <c r="P4168" s="228"/>
    </row>
    <row r="4169" spans="15:16" x14ac:dyDescent="0.25">
      <c r="O4169" s="229"/>
      <c r="P4169" s="228"/>
    </row>
    <row r="4170" spans="15:16" x14ac:dyDescent="0.25">
      <c r="O4170" s="229"/>
      <c r="P4170" s="228"/>
    </row>
    <row r="4171" spans="15:16" x14ac:dyDescent="0.25">
      <c r="O4171" s="229"/>
      <c r="P4171" s="228"/>
    </row>
    <row r="4172" spans="15:16" x14ac:dyDescent="0.25">
      <c r="O4172" s="229"/>
      <c r="P4172" s="228"/>
    </row>
    <row r="4173" spans="15:16" x14ac:dyDescent="0.25">
      <c r="O4173" s="229"/>
      <c r="P4173" s="228"/>
    </row>
    <row r="4174" spans="15:16" x14ac:dyDescent="0.25">
      <c r="O4174" s="229"/>
      <c r="P4174" s="228"/>
    </row>
    <row r="4175" spans="15:16" x14ac:dyDescent="0.25">
      <c r="O4175" s="229"/>
      <c r="P4175" s="228"/>
    </row>
    <row r="4176" spans="15:16" x14ac:dyDescent="0.25">
      <c r="O4176" s="229"/>
      <c r="P4176" s="228"/>
    </row>
    <row r="4177" spans="15:16" x14ac:dyDescent="0.25">
      <c r="O4177" s="229"/>
      <c r="P4177" s="228"/>
    </row>
    <row r="4178" spans="15:16" x14ac:dyDescent="0.25">
      <c r="O4178" s="229"/>
      <c r="P4178" s="228"/>
    </row>
    <row r="4179" spans="15:16" x14ac:dyDescent="0.25">
      <c r="O4179" s="229"/>
      <c r="P4179" s="228"/>
    </row>
    <row r="4180" spans="15:16" x14ac:dyDescent="0.25">
      <c r="O4180" s="229"/>
      <c r="P4180" s="228"/>
    </row>
    <row r="4181" spans="15:16" x14ac:dyDescent="0.25">
      <c r="O4181" s="229"/>
      <c r="P4181" s="228"/>
    </row>
    <row r="4182" spans="15:16" x14ac:dyDescent="0.25">
      <c r="O4182" s="229"/>
      <c r="P4182" s="228"/>
    </row>
    <row r="4183" spans="15:16" x14ac:dyDescent="0.25">
      <c r="O4183" s="229"/>
      <c r="P4183" s="228"/>
    </row>
    <row r="4184" spans="15:16" x14ac:dyDescent="0.25">
      <c r="O4184" s="229"/>
      <c r="P4184" s="228"/>
    </row>
    <row r="4185" spans="15:16" x14ac:dyDescent="0.25">
      <c r="O4185" s="229"/>
      <c r="P4185" s="228"/>
    </row>
    <row r="4186" spans="15:16" x14ac:dyDescent="0.25">
      <c r="O4186" s="229"/>
      <c r="P4186" s="228"/>
    </row>
    <row r="4187" spans="15:16" x14ac:dyDescent="0.25">
      <c r="O4187" s="229"/>
      <c r="P4187" s="228"/>
    </row>
    <row r="4188" spans="15:16" x14ac:dyDescent="0.25">
      <c r="O4188" s="229"/>
      <c r="P4188" s="228"/>
    </row>
    <row r="4189" spans="15:16" x14ac:dyDescent="0.25">
      <c r="O4189" s="229"/>
      <c r="P4189" s="228"/>
    </row>
    <row r="4190" spans="15:16" x14ac:dyDescent="0.25">
      <c r="O4190" s="229"/>
      <c r="P4190" s="228"/>
    </row>
    <row r="4191" spans="15:16" x14ac:dyDescent="0.25">
      <c r="O4191" s="229"/>
      <c r="P4191" s="228"/>
    </row>
    <row r="4192" spans="15:16" x14ac:dyDescent="0.25">
      <c r="O4192" s="229"/>
      <c r="P4192" s="228"/>
    </row>
    <row r="4193" spans="15:16" x14ac:dyDescent="0.25">
      <c r="O4193" s="229"/>
      <c r="P4193" s="228"/>
    </row>
    <row r="4194" spans="15:16" x14ac:dyDescent="0.25">
      <c r="O4194" s="229"/>
      <c r="P4194" s="228"/>
    </row>
    <row r="4195" spans="15:16" x14ac:dyDescent="0.25">
      <c r="O4195" s="229"/>
      <c r="P4195" s="228"/>
    </row>
    <row r="4196" spans="15:16" x14ac:dyDescent="0.25">
      <c r="O4196" s="229"/>
      <c r="P4196" s="228"/>
    </row>
    <row r="4197" spans="15:16" x14ac:dyDescent="0.25">
      <c r="O4197" s="229"/>
      <c r="P4197" s="228"/>
    </row>
    <row r="4198" spans="15:16" x14ac:dyDescent="0.25">
      <c r="O4198" s="229"/>
      <c r="P4198" s="228"/>
    </row>
    <row r="4199" spans="15:16" x14ac:dyDescent="0.25">
      <c r="O4199" s="229"/>
      <c r="P4199" s="228"/>
    </row>
    <row r="4200" spans="15:16" x14ac:dyDescent="0.25">
      <c r="O4200" s="229"/>
      <c r="P4200" s="228"/>
    </row>
    <row r="4201" spans="15:16" x14ac:dyDescent="0.25">
      <c r="O4201" s="229"/>
      <c r="P4201" s="228"/>
    </row>
    <row r="4202" spans="15:16" x14ac:dyDescent="0.25">
      <c r="O4202" s="229"/>
      <c r="P4202" s="228"/>
    </row>
    <row r="4203" spans="15:16" x14ac:dyDescent="0.25">
      <c r="O4203" s="229"/>
      <c r="P4203" s="228"/>
    </row>
    <row r="4204" spans="15:16" x14ac:dyDescent="0.25">
      <c r="O4204" s="229"/>
      <c r="P4204" s="228"/>
    </row>
    <row r="4205" spans="15:16" x14ac:dyDescent="0.25">
      <c r="O4205" s="229"/>
      <c r="P4205" s="228"/>
    </row>
    <row r="4206" spans="15:16" x14ac:dyDescent="0.25">
      <c r="O4206" s="229"/>
      <c r="P4206" s="228"/>
    </row>
    <row r="4207" spans="15:16" x14ac:dyDescent="0.25">
      <c r="O4207" s="229"/>
      <c r="P4207" s="228"/>
    </row>
    <row r="4208" spans="15:16" x14ac:dyDescent="0.25">
      <c r="O4208" s="229"/>
      <c r="P4208" s="228"/>
    </row>
    <row r="4209" spans="15:16" x14ac:dyDescent="0.25">
      <c r="O4209" s="229"/>
      <c r="P4209" s="228"/>
    </row>
    <row r="4210" spans="15:16" x14ac:dyDescent="0.25">
      <c r="O4210" s="229"/>
      <c r="P4210" s="228"/>
    </row>
    <row r="4211" spans="15:16" x14ac:dyDescent="0.25">
      <c r="O4211" s="229"/>
      <c r="P4211" s="228"/>
    </row>
    <row r="4212" spans="15:16" x14ac:dyDescent="0.25">
      <c r="O4212" s="229"/>
      <c r="P4212" s="228"/>
    </row>
    <row r="4213" spans="15:16" x14ac:dyDescent="0.25">
      <c r="O4213" s="229"/>
      <c r="P4213" s="228"/>
    </row>
    <row r="4214" spans="15:16" x14ac:dyDescent="0.25">
      <c r="O4214" s="229"/>
      <c r="P4214" s="228"/>
    </row>
    <row r="4215" spans="15:16" x14ac:dyDescent="0.25">
      <c r="O4215" s="229"/>
      <c r="P4215" s="228"/>
    </row>
    <row r="4216" spans="15:16" x14ac:dyDescent="0.25">
      <c r="O4216" s="229"/>
      <c r="P4216" s="228"/>
    </row>
    <row r="4217" spans="15:16" x14ac:dyDescent="0.25">
      <c r="O4217" s="229"/>
      <c r="P4217" s="228"/>
    </row>
    <row r="4218" spans="15:16" x14ac:dyDescent="0.25">
      <c r="O4218" s="229"/>
      <c r="P4218" s="228"/>
    </row>
    <row r="4219" spans="15:16" x14ac:dyDescent="0.25">
      <c r="O4219" s="229"/>
      <c r="P4219" s="228"/>
    </row>
    <row r="4220" spans="15:16" x14ac:dyDescent="0.25">
      <c r="O4220" s="229"/>
      <c r="P4220" s="228"/>
    </row>
    <row r="4221" spans="15:16" x14ac:dyDescent="0.25">
      <c r="O4221" s="229"/>
      <c r="P4221" s="228"/>
    </row>
    <row r="4222" spans="15:16" x14ac:dyDescent="0.25">
      <c r="O4222" s="229"/>
      <c r="P4222" s="228"/>
    </row>
    <row r="4223" spans="15:16" x14ac:dyDescent="0.25">
      <c r="O4223" s="229"/>
      <c r="P4223" s="228"/>
    </row>
    <row r="4224" spans="15:16" x14ac:dyDescent="0.25">
      <c r="O4224" s="229"/>
      <c r="P4224" s="228"/>
    </row>
    <row r="4225" spans="15:16" x14ac:dyDescent="0.25">
      <c r="O4225" s="229"/>
      <c r="P4225" s="228"/>
    </row>
    <row r="4226" spans="15:16" x14ac:dyDescent="0.25">
      <c r="O4226" s="229"/>
      <c r="P4226" s="228"/>
    </row>
    <row r="4227" spans="15:16" x14ac:dyDescent="0.25">
      <c r="O4227" s="229"/>
      <c r="P4227" s="228"/>
    </row>
    <row r="4228" spans="15:16" x14ac:dyDescent="0.25">
      <c r="O4228" s="229"/>
      <c r="P4228" s="228"/>
    </row>
    <row r="4229" spans="15:16" x14ac:dyDescent="0.25">
      <c r="O4229" s="229"/>
      <c r="P4229" s="228"/>
    </row>
    <row r="4230" spans="15:16" x14ac:dyDescent="0.25">
      <c r="O4230" s="229"/>
      <c r="P4230" s="228"/>
    </row>
    <row r="4231" spans="15:16" x14ac:dyDescent="0.25">
      <c r="O4231" s="229"/>
      <c r="P4231" s="228"/>
    </row>
    <row r="4232" spans="15:16" x14ac:dyDescent="0.25">
      <c r="O4232" s="229"/>
      <c r="P4232" s="228"/>
    </row>
    <row r="4233" spans="15:16" x14ac:dyDescent="0.25">
      <c r="O4233" s="229"/>
      <c r="P4233" s="228"/>
    </row>
    <row r="4234" spans="15:16" x14ac:dyDescent="0.25">
      <c r="O4234" s="229"/>
      <c r="P4234" s="228"/>
    </row>
    <row r="4235" spans="15:16" x14ac:dyDescent="0.25">
      <c r="O4235" s="229"/>
      <c r="P4235" s="228"/>
    </row>
    <row r="4236" spans="15:16" x14ac:dyDescent="0.25">
      <c r="O4236" s="229"/>
      <c r="P4236" s="228"/>
    </row>
    <row r="4237" spans="15:16" x14ac:dyDescent="0.25">
      <c r="O4237" s="229"/>
      <c r="P4237" s="228"/>
    </row>
    <row r="4238" spans="15:16" x14ac:dyDescent="0.25">
      <c r="O4238" s="229"/>
      <c r="P4238" s="228"/>
    </row>
    <row r="4239" spans="15:16" x14ac:dyDescent="0.25">
      <c r="O4239" s="229"/>
      <c r="P4239" s="228"/>
    </row>
    <row r="4240" spans="15:16" x14ac:dyDescent="0.25">
      <c r="O4240" s="229"/>
      <c r="P4240" s="228"/>
    </row>
    <row r="4241" spans="15:16" x14ac:dyDescent="0.25">
      <c r="O4241" s="229"/>
      <c r="P4241" s="228"/>
    </row>
    <row r="4242" spans="15:16" x14ac:dyDescent="0.25">
      <c r="O4242" s="229"/>
      <c r="P4242" s="228"/>
    </row>
    <row r="4243" spans="15:16" x14ac:dyDescent="0.25">
      <c r="O4243" s="229"/>
      <c r="P4243" s="228"/>
    </row>
    <row r="4244" spans="15:16" x14ac:dyDescent="0.25">
      <c r="O4244" s="229"/>
      <c r="P4244" s="228"/>
    </row>
    <row r="4245" spans="15:16" x14ac:dyDescent="0.25">
      <c r="O4245" s="229"/>
      <c r="P4245" s="228"/>
    </row>
    <row r="4246" spans="15:16" x14ac:dyDescent="0.25">
      <c r="O4246" s="229"/>
      <c r="P4246" s="228"/>
    </row>
    <row r="4247" spans="15:16" x14ac:dyDescent="0.25">
      <c r="O4247" s="229"/>
      <c r="P4247" s="228"/>
    </row>
    <row r="4248" spans="15:16" x14ac:dyDescent="0.25">
      <c r="O4248" s="229"/>
      <c r="P4248" s="228"/>
    </row>
    <row r="4249" spans="15:16" x14ac:dyDescent="0.25">
      <c r="O4249" s="229"/>
      <c r="P4249" s="228"/>
    </row>
    <row r="4250" spans="15:16" x14ac:dyDescent="0.25">
      <c r="O4250" s="229"/>
      <c r="P4250" s="228"/>
    </row>
    <row r="4251" spans="15:16" x14ac:dyDescent="0.25">
      <c r="O4251" s="229"/>
      <c r="P4251" s="228"/>
    </row>
    <row r="4252" spans="15:16" x14ac:dyDescent="0.25">
      <c r="O4252" s="229"/>
      <c r="P4252" s="228"/>
    </row>
    <row r="4253" spans="15:16" x14ac:dyDescent="0.25">
      <c r="O4253" s="229"/>
      <c r="P4253" s="228"/>
    </row>
    <row r="4254" spans="15:16" x14ac:dyDescent="0.25">
      <c r="O4254" s="229"/>
      <c r="P4254" s="228"/>
    </row>
    <row r="4255" spans="15:16" x14ac:dyDescent="0.25">
      <c r="O4255" s="229"/>
      <c r="P4255" s="228"/>
    </row>
    <row r="4256" spans="15:16" x14ac:dyDescent="0.25">
      <c r="O4256" s="229"/>
      <c r="P4256" s="228"/>
    </row>
    <row r="4257" spans="15:16" x14ac:dyDescent="0.25">
      <c r="O4257" s="229"/>
      <c r="P4257" s="228"/>
    </row>
    <row r="4258" spans="15:16" x14ac:dyDescent="0.25">
      <c r="O4258" s="229"/>
      <c r="P4258" s="228"/>
    </row>
    <row r="4259" spans="15:16" x14ac:dyDescent="0.25">
      <c r="O4259" s="229"/>
      <c r="P4259" s="228"/>
    </row>
    <row r="4260" spans="15:16" x14ac:dyDescent="0.25">
      <c r="O4260" s="229"/>
      <c r="P4260" s="228"/>
    </row>
    <row r="4261" spans="15:16" x14ac:dyDescent="0.25">
      <c r="O4261" s="229"/>
      <c r="P4261" s="228"/>
    </row>
    <row r="4262" spans="15:16" x14ac:dyDescent="0.25">
      <c r="O4262" s="229"/>
      <c r="P4262" s="228"/>
    </row>
    <row r="4263" spans="15:16" x14ac:dyDescent="0.25">
      <c r="O4263" s="229"/>
      <c r="P4263" s="228"/>
    </row>
    <row r="4264" spans="15:16" x14ac:dyDescent="0.25">
      <c r="O4264" s="229"/>
      <c r="P4264" s="228"/>
    </row>
    <row r="4265" spans="15:16" x14ac:dyDescent="0.25">
      <c r="O4265" s="229"/>
      <c r="P4265" s="228"/>
    </row>
    <row r="4266" spans="15:16" x14ac:dyDescent="0.25">
      <c r="O4266" s="229"/>
      <c r="P4266" s="228"/>
    </row>
    <row r="4267" spans="15:16" x14ac:dyDescent="0.25">
      <c r="O4267" s="229"/>
      <c r="P4267" s="228"/>
    </row>
    <row r="4268" spans="15:16" x14ac:dyDescent="0.25">
      <c r="O4268" s="229"/>
      <c r="P4268" s="228"/>
    </row>
    <row r="4269" spans="15:16" x14ac:dyDescent="0.25">
      <c r="O4269" s="229"/>
      <c r="P4269" s="228"/>
    </row>
    <row r="4270" spans="15:16" x14ac:dyDescent="0.25">
      <c r="O4270" s="229"/>
      <c r="P4270" s="228"/>
    </row>
    <row r="4271" spans="15:16" x14ac:dyDescent="0.25">
      <c r="O4271" s="229"/>
      <c r="P4271" s="228"/>
    </row>
    <row r="4272" spans="15:16" x14ac:dyDescent="0.25">
      <c r="O4272" s="229"/>
      <c r="P4272" s="228"/>
    </row>
    <row r="4273" spans="15:16" x14ac:dyDescent="0.25">
      <c r="O4273" s="229"/>
      <c r="P4273" s="228"/>
    </row>
    <row r="4274" spans="15:16" x14ac:dyDescent="0.25">
      <c r="O4274" s="229"/>
      <c r="P4274" s="228"/>
    </row>
    <row r="4275" spans="15:16" x14ac:dyDescent="0.25">
      <c r="O4275" s="229"/>
      <c r="P4275" s="228"/>
    </row>
    <row r="4276" spans="15:16" x14ac:dyDescent="0.25">
      <c r="O4276" s="229"/>
      <c r="P4276" s="228"/>
    </row>
    <row r="4277" spans="15:16" x14ac:dyDescent="0.25">
      <c r="O4277" s="229"/>
      <c r="P4277" s="228"/>
    </row>
    <row r="4278" spans="15:16" x14ac:dyDescent="0.25">
      <c r="O4278" s="229"/>
      <c r="P4278" s="228"/>
    </row>
    <row r="4279" spans="15:16" x14ac:dyDescent="0.25">
      <c r="O4279" s="229"/>
      <c r="P4279" s="228"/>
    </row>
    <row r="4280" spans="15:16" x14ac:dyDescent="0.25">
      <c r="O4280" s="229"/>
      <c r="P4280" s="228"/>
    </row>
    <row r="4281" spans="15:16" x14ac:dyDescent="0.25">
      <c r="O4281" s="229"/>
      <c r="P4281" s="228"/>
    </row>
    <row r="4282" spans="15:16" x14ac:dyDescent="0.25">
      <c r="O4282" s="229"/>
      <c r="P4282" s="228"/>
    </row>
    <row r="4283" spans="15:16" x14ac:dyDescent="0.25">
      <c r="O4283" s="229"/>
      <c r="P4283" s="228"/>
    </row>
    <row r="4284" spans="15:16" x14ac:dyDescent="0.25">
      <c r="O4284" s="229"/>
      <c r="P4284" s="228"/>
    </row>
    <row r="4285" spans="15:16" x14ac:dyDescent="0.25">
      <c r="O4285" s="229"/>
      <c r="P4285" s="228"/>
    </row>
    <row r="4286" spans="15:16" x14ac:dyDescent="0.25">
      <c r="O4286" s="229"/>
      <c r="P4286" s="228"/>
    </row>
    <row r="4287" spans="15:16" x14ac:dyDescent="0.25">
      <c r="O4287" s="229"/>
      <c r="P4287" s="228"/>
    </row>
    <row r="4288" spans="15:16" x14ac:dyDescent="0.25">
      <c r="O4288" s="229"/>
      <c r="P4288" s="228"/>
    </row>
    <row r="4289" spans="15:16" x14ac:dyDescent="0.25">
      <c r="O4289" s="229"/>
      <c r="P4289" s="228"/>
    </row>
    <row r="4290" spans="15:16" x14ac:dyDescent="0.25">
      <c r="O4290" s="229"/>
      <c r="P4290" s="228"/>
    </row>
    <row r="4291" spans="15:16" x14ac:dyDescent="0.25">
      <c r="O4291" s="229"/>
      <c r="P4291" s="228"/>
    </row>
    <row r="4292" spans="15:16" x14ac:dyDescent="0.25">
      <c r="O4292" s="229"/>
      <c r="P4292" s="228"/>
    </row>
    <row r="4293" spans="15:16" x14ac:dyDescent="0.25">
      <c r="O4293" s="229"/>
      <c r="P4293" s="228"/>
    </row>
    <row r="4294" spans="15:16" x14ac:dyDescent="0.25">
      <c r="O4294" s="229"/>
      <c r="P4294" s="228"/>
    </row>
    <row r="4295" spans="15:16" x14ac:dyDescent="0.25">
      <c r="O4295" s="229"/>
      <c r="P4295" s="228"/>
    </row>
    <row r="4296" spans="15:16" x14ac:dyDescent="0.25">
      <c r="O4296" s="229"/>
      <c r="P4296" s="228"/>
    </row>
    <row r="4297" spans="15:16" x14ac:dyDescent="0.25">
      <c r="O4297" s="229"/>
      <c r="P4297" s="228"/>
    </row>
    <row r="4298" spans="15:16" x14ac:dyDescent="0.25">
      <c r="O4298" s="229"/>
      <c r="P4298" s="228"/>
    </row>
    <row r="4299" spans="15:16" x14ac:dyDescent="0.25">
      <c r="O4299" s="229"/>
      <c r="P4299" s="228"/>
    </row>
    <row r="4300" spans="15:16" x14ac:dyDescent="0.25">
      <c r="O4300" s="229"/>
      <c r="P4300" s="228"/>
    </row>
    <row r="4301" spans="15:16" x14ac:dyDescent="0.25">
      <c r="O4301" s="229"/>
      <c r="P4301" s="228"/>
    </row>
    <row r="4302" spans="15:16" x14ac:dyDescent="0.25">
      <c r="O4302" s="229"/>
      <c r="P4302" s="228"/>
    </row>
    <row r="4303" spans="15:16" x14ac:dyDescent="0.25">
      <c r="O4303" s="229"/>
      <c r="P4303" s="228"/>
    </row>
    <row r="4304" spans="15:16" x14ac:dyDescent="0.25">
      <c r="O4304" s="229"/>
      <c r="P4304" s="228"/>
    </row>
    <row r="4305" spans="15:16" x14ac:dyDescent="0.25">
      <c r="O4305" s="229"/>
      <c r="P4305" s="228"/>
    </row>
    <row r="4306" spans="15:16" x14ac:dyDescent="0.25">
      <c r="O4306" s="229"/>
      <c r="P4306" s="228"/>
    </row>
    <row r="4307" spans="15:16" x14ac:dyDescent="0.25">
      <c r="O4307" s="229"/>
      <c r="P4307" s="228"/>
    </row>
    <row r="4308" spans="15:16" x14ac:dyDescent="0.25">
      <c r="O4308" s="229"/>
      <c r="P4308" s="228"/>
    </row>
    <row r="4309" spans="15:16" x14ac:dyDescent="0.25">
      <c r="O4309" s="229"/>
      <c r="P4309" s="228"/>
    </row>
    <row r="4310" spans="15:16" x14ac:dyDescent="0.25">
      <c r="O4310" s="229"/>
      <c r="P4310" s="228"/>
    </row>
    <row r="4311" spans="15:16" x14ac:dyDescent="0.25">
      <c r="O4311" s="229"/>
      <c r="P4311" s="228"/>
    </row>
    <row r="4312" spans="15:16" x14ac:dyDescent="0.25">
      <c r="O4312" s="229"/>
      <c r="P4312" s="228"/>
    </row>
    <row r="4313" spans="15:16" x14ac:dyDescent="0.25">
      <c r="O4313" s="229"/>
      <c r="P4313" s="228"/>
    </row>
    <row r="4314" spans="15:16" x14ac:dyDescent="0.25">
      <c r="O4314" s="229"/>
      <c r="P4314" s="228"/>
    </row>
    <row r="4315" spans="15:16" x14ac:dyDescent="0.25">
      <c r="O4315" s="229"/>
      <c r="P4315" s="228"/>
    </row>
    <row r="4316" spans="15:16" x14ac:dyDescent="0.25">
      <c r="O4316" s="229"/>
      <c r="P4316" s="228"/>
    </row>
    <row r="4317" spans="15:16" x14ac:dyDescent="0.25">
      <c r="O4317" s="229"/>
      <c r="P4317" s="228"/>
    </row>
    <row r="4318" spans="15:16" x14ac:dyDescent="0.25">
      <c r="O4318" s="229"/>
      <c r="P4318" s="228"/>
    </row>
    <row r="4319" spans="15:16" x14ac:dyDescent="0.25">
      <c r="O4319" s="229"/>
      <c r="P4319" s="228"/>
    </row>
    <row r="4320" spans="15:16" x14ac:dyDescent="0.25">
      <c r="O4320" s="229"/>
      <c r="P4320" s="228"/>
    </row>
    <row r="4321" spans="15:16" x14ac:dyDescent="0.25">
      <c r="O4321" s="229"/>
      <c r="P4321" s="228"/>
    </row>
    <row r="4322" spans="15:16" x14ac:dyDescent="0.25">
      <c r="O4322" s="229"/>
      <c r="P4322" s="228"/>
    </row>
    <row r="4323" spans="15:16" x14ac:dyDescent="0.25">
      <c r="O4323" s="229"/>
      <c r="P4323" s="228"/>
    </row>
    <row r="4324" spans="15:16" x14ac:dyDescent="0.25">
      <c r="O4324" s="229"/>
      <c r="P4324" s="228"/>
    </row>
    <row r="4325" spans="15:16" x14ac:dyDescent="0.25">
      <c r="O4325" s="229"/>
      <c r="P4325" s="228"/>
    </row>
    <row r="4326" spans="15:16" x14ac:dyDescent="0.25">
      <c r="O4326" s="229"/>
      <c r="P4326" s="228"/>
    </row>
    <row r="4327" spans="15:16" x14ac:dyDescent="0.25">
      <c r="O4327" s="229"/>
      <c r="P4327" s="228"/>
    </row>
    <row r="4328" spans="15:16" x14ac:dyDescent="0.25">
      <c r="O4328" s="229"/>
      <c r="P4328" s="228"/>
    </row>
    <row r="4329" spans="15:16" x14ac:dyDescent="0.25">
      <c r="O4329" s="229"/>
      <c r="P4329" s="228"/>
    </row>
    <row r="4330" spans="15:16" x14ac:dyDescent="0.25">
      <c r="O4330" s="229"/>
      <c r="P4330" s="228"/>
    </row>
    <row r="4331" spans="15:16" x14ac:dyDescent="0.25">
      <c r="O4331" s="229"/>
      <c r="P4331" s="228"/>
    </row>
    <row r="4332" spans="15:16" x14ac:dyDescent="0.25">
      <c r="O4332" s="229"/>
      <c r="P4332" s="228"/>
    </row>
    <row r="4333" spans="15:16" x14ac:dyDescent="0.25">
      <c r="O4333" s="229"/>
      <c r="P4333" s="228"/>
    </row>
    <row r="4334" spans="15:16" x14ac:dyDescent="0.25">
      <c r="O4334" s="229"/>
      <c r="P4334" s="228"/>
    </row>
    <row r="4335" spans="15:16" x14ac:dyDescent="0.25">
      <c r="O4335" s="229"/>
      <c r="P4335" s="228"/>
    </row>
    <row r="4336" spans="15:16" x14ac:dyDescent="0.25">
      <c r="O4336" s="229"/>
      <c r="P4336" s="228"/>
    </row>
    <row r="4337" spans="15:16" x14ac:dyDescent="0.25">
      <c r="O4337" s="229"/>
      <c r="P4337" s="228"/>
    </row>
    <row r="4338" spans="15:16" x14ac:dyDescent="0.25">
      <c r="O4338" s="229"/>
      <c r="P4338" s="228"/>
    </row>
    <row r="4339" spans="15:16" x14ac:dyDescent="0.25">
      <c r="O4339" s="229"/>
      <c r="P4339" s="228"/>
    </row>
    <row r="4340" spans="15:16" x14ac:dyDescent="0.25">
      <c r="O4340" s="229"/>
      <c r="P4340" s="228"/>
    </row>
    <row r="4341" spans="15:16" x14ac:dyDescent="0.25">
      <c r="O4341" s="229"/>
      <c r="P4341" s="228"/>
    </row>
    <row r="4342" spans="15:16" x14ac:dyDescent="0.25">
      <c r="O4342" s="229"/>
      <c r="P4342" s="228"/>
    </row>
    <row r="4343" spans="15:16" x14ac:dyDescent="0.25">
      <c r="O4343" s="229"/>
      <c r="P4343" s="228"/>
    </row>
    <row r="4344" spans="15:16" x14ac:dyDescent="0.25">
      <c r="O4344" s="229"/>
      <c r="P4344" s="228"/>
    </row>
    <row r="4345" spans="15:16" x14ac:dyDescent="0.25">
      <c r="O4345" s="229"/>
      <c r="P4345" s="228"/>
    </row>
    <row r="4346" spans="15:16" x14ac:dyDescent="0.25">
      <c r="O4346" s="229"/>
      <c r="P4346" s="228"/>
    </row>
    <row r="4347" spans="15:16" x14ac:dyDescent="0.25">
      <c r="O4347" s="229"/>
      <c r="P4347" s="228"/>
    </row>
    <row r="4348" spans="15:16" x14ac:dyDescent="0.25">
      <c r="O4348" s="229"/>
      <c r="P4348" s="228"/>
    </row>
    <row r="4349" spans="15:16" x14ac:dyDescent="0.25">
      <c r="O4349" s="229"/>
      <c r="P4349" s="228"/>
    </row>
    <row r="4350" spans="15:16" x14ac:dyDescent="0.25">
      <c r="O4350" s="229"/>
      <c r="P4350" s="228"/>
    </row>
    <row r="4351" spans="15:16" x14ac:dyDescent="0.25">
      <c r="O4351" s="229"/>
      <c r="P4351" s="228"/>
    </row>
    <row r="4352" spans="15:16" x14ac:dyDescent="0.25">
      <c r="O4352" s="229"/>
      <c r="P4352" s="228"/>
    </row>
    <row r="4353" spans="15:16" x14ac:dyDescent="0.25">
      <c r="O4353" s="229"/>
      <c r="P4353" s="228"/>
    </row>
    <row r="4354" spans="15:16" x14ac:dyDescent="0.25">
      <c r="O4354" s="229"/>
      <c r="P4354" s="228"/>
    </row>
    <row r="4355" spans="15:16" x14ac:dyDescent="0.25">
      <c r="O4355" s="229"/>
      <c r="P4355" s="228"/>
    </row>
    <row r="4356" spans="15:16" x14ac:dyDescent="0.25">
      <c r="O4356" s="229"/>
      <c r="P4356" s="228"/>
    </row>
    <row r="4357" spans="15:16" x14ac:dyDescent="0.25">
      <c r="O4357" s="229"/>
      <c r="P4357" s="228"/>
    </row>
    <row r="4358" spans="15:16" x14ac:dyDescent="0.25">
      <c r="O4358" s="229"/>
      <c r="P4358" s="228"/>
    </row>
    <row r="4359" spans="15:16" x14ac:dyDescent="0.25">
      <c r="O4359" s="229"/>
      <c r="P4359" s="228"/>
    </row>
    <row r="4360" spans="15:16" x14ac:dyDescent="0.25">
      <c r="O4360" s="229"/>
      <c r="P4360" s="228"/>
    </row>
    <row r="4361" spans="15:16" x14ac:dyDescent="0.25">
      <c r="O4361" s="229"/>
      <c r="P4361" s="228"/>
    </row>
    <row r="4362" spans="15:16" x14ac:dyDescent="0.25">
      <c r="O4362" s="229"/>
      <c r="P4362" s="228"/>
    </row>
    <row r="4363" spans="15:16" x14ac:dyDescent="0.25">
      <c r="O4363" s="229"/>
      <c r="P4363" s="228"/>
    </row>
    <row r="4364" spans="15:16" x14ac:dyDescent="0.25">
      <c r="O4364" s="229"/>
      <c r="P4364" s="228"/>
    </row>
    <row r="4365" spans="15:16" x14ac:dyDescent="0.25">
      <c r="O4365" s="229"/>
      <c r="P4365" s="228"/>
    </row>
    <row r="4366" spans="15:16" x14ac:dyDescent="0.25">
      <c r="O4366" s="229"/>
      <c r="P4366" s="228"/>
    </row>
    <row r="4367" spans="15:16" x14ac:dyDescent="0.25">
      <c r="O4367" s="229"/>
      <c r="P4367" s="228"/>
    </row>
    <row r="4368" spans="15:16" x14ac:dyDescent="0.25">
      <c r="O4368" s="229"/>
      <c r="P4368" s="228"/>
    </row>
    <row r="4369" spans="15:16" x14ac:dyDescent="0.25">
      <c r="O4369" s="229"/>
      <c r="P4369" s="228"/>
    </row>
    <row r="4370" spans="15:16" x14ac:dyDescent="0.25">
      <c r="O4370" s="229"/>
      <c r="P4370" s="228"/>
    </row>
    <row r="4371" spans="15:16" x14ac:dyDescent="0.25">
      <c r="O4371" s="229"/>
      <c r="P4371" s="228"/>
    </row>
    <row r="4372" spans="15:16" x14ac:dyDescent="0.25">
      <c r="O4372" s="229"/>
      <c r="P4372" s="228"/>
    </row>
    <row r="4373" spans="15:16" x14ac:dyDescent="0.25">
      <c r="O4373" s="229"/>
      <c r="P4373" s="228"/>
    </row>
    <row r="4374" spans="15:16" x14ac:dyDescent="0.25">
      <c r="O4374" s="229"/>
      <c r="P4374" s="228"/>
    </row>
    <row r="4375" spans="15:16" x14ac:dyDescent="0.25">
      <c r="O4375" s="229"/>
      <c r="P4375" s="228"/>
    </row>
    <row r="4376" spans="15:16" x14ac:dyDescent="0.25">
      <c r="O4376" s="229"/>
      <c r="P4376" s="228"/>
    </row>
    <row r="4377" spans="15:16" x14ac:dyDescent="0.25">
      <c r="O4377" s="229"/>
      <c r="P4377" s="228"/>
    </row>
    <row r="4378" spans="15:16" x14ac:dyDescent="0.25">
      <c r="O4378" s="229"/>
      <c r="P4378" s="228"/>
    </row>
    <row r="4379" spans="15:16" x14ac:dyDescent="0.25">
      <c r="O4379" s="229"/>
      <c r="P4379" s="228"/>
    </row>
    <row r="4380" spans="15:16" x14ac:dyDescent="0.25">
      <c r="O4380" s="229"/>
      <c r="P4380" s="228"/>
    </row>
    <row r="4381" spans="15:16" x14ac:dyDescent="0.25">
      <c r="O4381" s="229"/>
      <c r="P4381" s="228"/>
    </row>
    <row r="4382" spans="15:16" x14ac:dyDescent="0.25">
      <c r="O4382" s="229"/>
      <c r="P4382" s="228"/>
    </row>
    <row r="4383" spans="15:16" x14ac:dyDescent="0.25">
      <c r="O4383" s="229"/>
      <c r="P4383" s="228"/>
    </row>
    <row r="4384" spans="15:16" x14ac:dyDescent="0.25">
      <c r="O4384" s="229"/>
      <c r="P4384" s="228"/>
    </row>
    <row r="4385" spans="15:16" x14ac:dyDescent="0.25">
      <c r="O4385" s="229"/>
      <c r="P4385" s="228"/>
    </row>
    <row r="4386" spans="15:16" x14ac:dyDescent="0.25">
      <c r="O4386" s="229"/>
      <c r="P4386" s="228"/>
    </row>
    <row r="4387" spans="15:16" x14ac:dyDescent="0.25">
      <c r="O4387" s="229"/>
      <c r="P4387" s="228"/>
    </row>
    <row r="4388" spans="15:16" x14ac:dyDescent="0.25">
      <c r="O4388" s="229"/>
      <c r="P4388" s="228"/>
    </row>
    <row r="4389" spans="15:16" x14ac:dyDescent="0.25">
      <c r="O4389" s="229"/>
      <c r="P4389" s="228"/>
    </row>
    <row r="4390" spans="15:16" x14ac:dyDescent="0.25">
      <c r="O4390" s="229"/>
      <c r="P4390" s="228"/>
    </row>
    <row r="4391" spans="15:16" x14ac:dyDescent="0.25">
      <c r="O4391" s="229"/>
      <c r="P4391" s="228"/>
    </row>
    <row r="4392" spans="15:16" x14ac:dyDescent="0.25">
      <c r="O4392" s="229"/>
      <c r="P4392" s="228"/>
    </row>
    <row r="4393" spans="15:16" x14ac:dyDescent="0.25">
      <c r="O4393" s="229"/>
      <c r="P4393" s="228"/>
    </row>
    <row r="4394" spans="15:16" x14ac:dyDescent="0.25">
      <c r="O4394" s="229"/>
      <c r="P4394" s="228"/>
    </row>
    <row r="4395" spans="15:16" x14ac:dyDescent="0.25">
      <c r="O4395" s="229"/>
      <c r="P4395" s="228"/>
    </row>
    <row r="4396" spans="15:16" x14ac:dyDescent="0.25">
      <c r="O4396" s="229"/>
      <c r="P4396" s="228"/>
    </row>
    <row r="4397" spans="15:16" x14ac:dyDescent="0.25">
      <c r="O4397" s="229"/>
      <c r="P4397" s="228"/>
    </row>
    <row r="4398" spans="15:16" x14ac:dyDescent="0.25">
      <c r="O4398" s="229"/>
      <c r="P4398" s="228"/>
    </row>
    <row r="4399" spans="15:16" x14ac:dyDescent="0.25">
      <c r="O4399" s="229"/>
      <c r="P4399" s="228"/>
    </row>
    <row r="4400" spans="15:16" x14ac:dyDescent="0.25">
      <c r="O4400" s="229"/>
      <c r="P4400" s="228"/>
    </row>
    <row r="4401" spans="15:16" x14ac:dyDescent="0.25">
      <c r="O4401" s="229"/>
      <c r="P4401" s="228"/>
    </row>
    <row r="4402" spans="15:16" x14ac:dyDescent="0.25">
      <c r="O4402" s="229"/>
      <c r="P4402" s="228"/>
    </row>
    <row r="4403" spans="15:16" x14ac:dyDescent="0.25">
      <c r="O4403" s="229"/>
      <c r="P4403" s="228"/>
    </row>
    <row r="4404" spans="15:16" x14ac:dyDescent="0.25">
      <c r="O4404" s="229"/>
      <c r="P4404" s="228"/>
    </row>
    <row r="4405" spans="15:16" x14ac:dyDescent="0.25">
      <c r="O4405" s="229"/>
      <c r="P4405" s="228"/>
    </row>
    <row r="4406" spans="15:16" x14ac:dyDescent="0.25">
      <c r="O4406" s="229"/>
      <c r="P4406" s="228"/>
    </row>
    <row r="4407" spans="15:16" x14ac:dyDescent="0.25">
      <c r="O4407" s="229"/>
      <c r="P4407" s="228"/>
    </row>
    <row r="4408" spans="15:16" x14ac:dyDescent="0.25">
      <c r="O4408" s="229"/>
      <c r="P4408" s="228"/>
    </row>
    <row r="4409" spans="15:16" x14ac:dyDescent="0.25">
      <c r="O4409" s="229"/>
      <c r="P4409" s="228"/>
    </row>
    <row r="4410" spans="15:16" x14ac:dyDescent="0.25">
      <c r="O4410" s="229"/>
      <c r="P4410" s="228"/>
    </row>
    <row r="4411" spans="15:16" x14ac:dyDescent="0.25">
      <c r="O4411" s="229"/>
      <c r="P4411" s="228"/>
    </row>
    <row r="4412" spans="15:16" x14ac:dyDescent="0.25">
      <c r="O4412" s="229"/>
      <c r="P4412" s="228"/>
    </row>
    <row r="4413" spans="15:16" x14ac:dyDescent="0.25">
      <c r="O4413" s="229"/>
      <c r="P4413" s="228"/>
    </row>
    <row r="4414" spans="15:16" x14ac:dyDescent="0.25">
      <c r="O4414" s="229"/>
      <c r="P4414" s="228"/>
    </row>
    <row r="4415" spans="15:16" x14ac:dyDescent="0.25">
      <c r="O4415" s="229"/>
      <c r="P4415" s="228"/>
    </row>
    <row r="4416" spans="15:16" x14ac:dyDescent="0.25">
      <c r="O4416" s="229"/>
      <c r="P4416" s="228"/>
    </row>
    <row r="4417" spans="15:16" x14ac:dyDescent="0.25">
      <c r="O4417" s="229"/>
      <c r="P4417" s="228"/>
    </row>
    <row r="4418" spans="15:16" x14ac:dyDescent="0.25">
      <c r="O4418" s="229"/>
      <c r="P4418" s="228"/>
    </row>
    <row r="4419" spans="15:16" x14ac:dyDescent="0.25">
      <c r="O4419" s="229"/>
      <c r="P4419" s="228"/>
    </row>
    <row r="4420" spans="15:16" x14ac:dyDescent="0.25">
      <c r="O4420" s="229"/>
      <c r="P4420" s="228"/>
    </row>
    <row r="4421" spans="15:16" x14ac:dyDescent="0.25">
      <c r="O4421" s="229"/>
      <c r="P4421" s="228"/>
    </row>
    <row r="4422" spans="15:16" x14ac:dyDescent="0.25">
      <c r="O4422" s="229"/>
      <c r="P4422" s="228"/>
    </row>
    <row r="4423" spans="15:16" x14ac:dyDescent="0.25">
      <c r="O4423" s="229"/>
      <c r="P4423" s="228"/>
    </row>
    <row r="4424" spans="15:16" x14ac:dyDescent="0.25">
      <c r="O4424" s="229"/>
      <c r="P4424" s="228"/>
    </row>
    <row r="4425" spans="15:16" x14ac:dyDescent="0.25">
      <c r="O4425" s="229"/>
      <c r="P4425" s="228"/>
    </row>
    <row r="4426" spans="15:16" x14ac:dyDescent="0.25">
      <c r="O4426" s="229"/>
      <c r="P4426" s="228"/>
    </row>
    <row r="4427" spans="15:16" x14ac:dyDescent="0.25">
      <c r="O4427" s="229"/>
      <c r="P4427" s="228"/>
    </row>
    <row r="4428" spans="15:16" x14ac:dyDescent="0.25">
      <c r="O4428" s="229"/>
      <c r="P4428" s="228"/>
    </row>
    <row r="4429" spans="15:16" x14ac:dyDescent="0.25">
      <c r="O4429" s="229"/>
      <c r="P4429" s="228"/>
    </row>
    <row r="4430" spans="15:16" x14ac:dyDescent="0.25">
      <c r="O4430" s="229"/>
      <c r="P4430" s="228"/>
    </row>
    <row r="4431" spans="15:16" x14ac:dyDescent="0.25">
      <c r="O4431" s="229"/>
      <c r="P4431" s="228"/>
    </row>
    <row r="4432" spans="15:16" x14ac:dyDescent="0.25">
      <c r="O4432" s="229"/>
      <c r="P4432" s="228"/>
    </row>
    <row r="4433" spans="15:16" x14ac:dyDescent="0.25">
      <c r="O4433" s="229"/>
      <c r="P4433" s="228"/>
    </row>
    <row r="4434" spans="15:16" x14ac:dyDescent="0.25">
      <c r="O4434" s="229"/>
      <c r="P4434" s="228"/>
    </row>
    <row r="4435" spans="15:16" x14ac:dyDescent="0.25">
      <c r="O4435" s="229"/>
      <c r="P4435" s="228"/>
    </row>
    <row r="4436" spans="15:16" x14ac:dyDescent="0.25">
      <c r="O4436" s="229"/>
      <c r="P4436" s="228"/>
    </row>
    <row r="4437" spans="15:16" x14ac:dyDescent="0.25">
      <c r="O4437" s="229"/>
      <c r="P4437" s="228"/>
    </row>
    <row r="4438" spans="15:16" x14ac:dyDescent="0.25">
      <c r="O4438" s="229"/>
      <c r="P4438" s="228"/>
    </row>
    <row r="4439" spans="15:16" x14ac:dyDescent="0.25">
      <c r="O4439" s="229"/>
      <c r="P4439" s="228"/>
    </row>
    <row r="4440" spans="15:16" x14ac:dyDescent="0.25">
      <c r="O4440" s="229"/>
      <c r="P4440" s="228"/>
    </row>
    <row r="4441" spans="15:16" x14ac:dyDescent="0.25">
      <c r="O4441" s="229"/>
      <c r="P4441" s="228"/>
    </row>
    <row r="4442" spans="15:16" x14ac:dyDescent="0.25">
      <c r="O4442" s="229"/>
      <c r="P4442" s="228"/>
    </row>
    <row r="4443" spans="15:16" x14ac:dyDescent="0.25">
      <c r="O4443" s="229"/>
      <c r="P4443" s="228"/>
    </row>
    <row r="4444" spans="15:16" x14ac:dyDescent="0.25">
      <c r="O4444" s="229"/>
      <c r="P4444" s="228"/>
    </row>
    <row r="4445" spans="15:16" x14ac:dyDescent="0.25">
      <c r="O4445" s="229"/>
      <c r="P4445" s="228"/>
    </row>
    <row r="4446" spans="15:16" x14ac:dyDescent="0.25">
      <c r="O4446" s="229"/>
      <c r="P4446" s="228"/>
    </row>
    <row r="4447" spans="15:16" x14ac:dyDescent="0.25">
      <c r="O4447" s="229"/>
      <c r="P4447" s="228"/>
    </row>
    <row r="4448" spans="15:16" x14ac:dyDescent="0.25">
      <c r="O4448" s="229"/>
      <c r="P4448" s="228"/>
    </row>
    <row r="4449" spans="15:16" x14ac:dyDescent="0.25">
      <c r="O4449" s="229"/>
      <c r="P4449" s="228"/>
    </row>
    <row r="4450" spans="15:16" x14ac:dyDescent="0.25">
      <c r="O4450" s="229"/>
      <c r="P4450" s="228"/>
    </row>
    <row r="4451" spans="15:16" x14ac:dyDescent="0.25">
      <c r="O4451" s="229"/>
      <c r="P4451" s="228"/>
    </row>
    <row r="4452" spans="15:16" x14ac:dyDescent="0.25">
      <c r="O4452" s="229"/>
      <c r="P4452" s="228"/>
    </row>
    <row r="4453" spans="15:16" x14ac:dyDescent="0.25">
      <c r="O4453" s="229"/>
      <c r="P4453" s="228"/>
    </row>
    <row r="4454" spans="15:16" x14ac:dyDescent="0.25">
      <c r="O4454" s="229"/>
      <c r="P4454" s="228"/>
    </row>
    <row r="4455" spans="15:16" x14ac:dyDescent="0.25">
      <c r="O4455" s="229"/>
      <c r="P4455" s="228"/>
    </row>
    <row r="4456" spans="15:16" x14ac:dyDescent="0.25">
      <c r="O4456" s="229"/>
      <c r="P4456" s="228"/>
    </row>
    <row r="4457" spans="15:16" x14ac:dyDescent="0.25">
      <c r="O4457" s="229"/>
      <c r="P4457" s="228"/>
    </row>
    <row r="4458" spans="15:16" x14ac:dyDescent="0.25">
      <c r="O4458" s="229"/>
      <c r="P4458" s="228"/>
    </row>
    <row r="4459" spans="15:16" x14ac:dyDescent="0.25">
      <c r="O4459" s="229"/>
      <c r="P4459" s="228"/>
    </row>
    <row r="4460" spans="15:16" x14ac:dyDescent="0.25">
      <c r="O4460" s="229"/>
      <c r="P4460" s="228"/>
    </row>
    <row r="4461" spans="15:16" x14ac:dyDescent="0.25">
      <c r="O4461" s="229"/>
      <c r="P4461" s="228"/>
    </row>
    <row r="4462" spans="15:16" x14ac:dyDescent="0.25">
      <c r="O4462" s="229"/>
      <c r="P4462" s="228"/>
    </row>
    <row r="4463" spans="15:16" x14ac:dyDescent="0.25">
      <c r="O4463" s="229"/>
      <c r="P4463" s="228"/>
    </row>
    <row r="4464" spans="15:16" x14ac:dyDescent="0.25">
      <c r="O4464" s="229"/>
      <c r="P4464" s="228"/>
    </row>
    <row r="4465" spans="15:16" x14ac:dyDescent="0.25">
      <c r="O4465" s="229"/>
      <c r="P4465" s="228"/>
    </row>
    <row r="4466" spans="15:16" x14ac:dyDescent="0.25">
      <c r="O4466" s="229"/>
      <c r="P4466" s="228"/>
    </row>
    <row r="4467" spans="15:16" x14ac:dyDescent="0.25">
      <c r="O4467" s="229"/>
      <c r="P4467" s="228"/>
    </row>
    <row r="4468" spans="15:16" x14ac:dyDescent="0.25">
      <c r="O4468" s="229"/>
      <c r="P4468" s="228"/>
    </row>
    <row r="4469" spans="15:16" x14ac:dyDescent="0.25">
      <c r="O4469" s="229"/>
      <c r="P4469" s="228"/>
    </row>
    <row r="4470" spans="15:16" x14ac:dyDescent="0.25">
      <c r="O4470" s="229"/>
      <c r="P4470" s="228"/>
    </row>
    <row r="4471" spans="15:16" x14ac:dyDescent="0.25">
      <c r="O4471" s="229"/>
      <c r="P4471" s="228"/>
    </row>
    <row r="4472" spans="15:16" x14ac:dyDescent="0.25">
      <c r="O4472" s="229"/>
      <c r="P4472" s="228"/>
    </row>
    <row r="4473" spans="15:16" x14ac:dyDescent="0.25">
      <c r="O4473" s="229"/>
      <c r="P4473" s="228"/>
    </row>
    <row r="4474" spans="15:16" x14ac:dyDescent="0.25">
      <c r="O4474" s="229"/>
      <c r="P4474" s="228"/>
    </row>
    <row r="4475" spans="15:16" x14ac:dyDescent="0.25">
      <c r="O4475" s="229"/>
      <c r="P4475" s="228"/>
    </row>
    <row r="4476" spans="15:16" x14ac:dyDescent="0.25">
      <c r="O4476" s="229"/>
      <c r="P4476" s="228"/>
    </row>
    <row r="4477" spans="15:16" x14ac:dyDescent="0.25">
      <c r="O4477" s="229"/>
      <c r="P4477" s="228"/>
    </row>
    <row r="4478" spans="15:16" x14ac:dyDescent="0.25">
      <c r="O4478" s="229"/>
      <c r="P4478" s="228"/>
    </row>
    <row r="4479" spans="15:16" x14ac:dyDescent="0.25">
      <c r="O4479" s="229"/>
      <c r="P4479" s="228"/>
    </row>
    <row r="4480" spans="15:16" x14ac:dyDescent="0.25">
      <c r="O4480" s="229"/>
      <c r="P4480" s="228"/>
    </row>
    <row r="4481" spans="15:16" x14ac:dyDescent="0.25">
      <c r="O4481" s="229"/>
      <c r="P4481" s="228"/>
    </row>
    <row r="4482" spans="15:16" x14ac:dyDescent="0.25">
      <c r="O4482" s="229"/>
      <c r="P4482" s="228"/>
    </row>
    <row r="4483" spans="15:16" x14ac:dyDescent="0.25">
      <c r="O4483" s="229"/>
      <c r="P4483" s="228"/>
    </row>
    <row r="4484" spans="15:16" x14ac:dyDescent="0.25">
      <c r="O4484" s="229"/>
      <c r="P4484" s="228"/>
    </row>
    <row r="4485" spans="15:16" x14ac:dyDescent="0.25">
      <c r="O4485" s="229"/>
      <c r="P4485" s="228"/>
    </row>
    <row r="4486" spans="15:16" x14ac:dyDescent="0.25">
      <c r="O4486" s="229"/>
      <c r="P4486" s="228"/>
    </row>
    <row r="4487" spans="15:16" x14ac:dyDescent="0.25">
      <c r="O4487" s="229"/>
      <c r="P4487" s="228"/>
    </row>
    <row r="4488" spans="15:16" x14ac:dyDescent="0.25">
      <c r="O4488" s="229"/>
      <c r="P4488" s="228"/>
    </row>
    <row r="4489" spans="15:16" x14ac:dyDescent="0.25">
      <c r="O4489" s="229"/>
      <c r="P4489" s="228"/>
    </row>
    <row r="4490" spans="15:16" x14ac:dyDescent="0.25">
      <c r="O4490" s="229"/>
      <c r="P4490" s="228"/>
    </row>
    <row r="4491" spans="15:16" x14ac:dyDescent="0.25">
      <c r="O4491" s="229"/>
      <c r="P4491" s="228"/>
    </row>
    <row r="4492" spans="15:16" x14ac:dyDescent="0.25">
      <c r="O4492" s="229"/>
      <c r="P4492" s="228"/>
    </row>
    <row r="4493" spans="15:16" x14ac:dyDescent="0.25">
      <c r="O4493" s="229"/>
      <c r="P4493" s="228"/>
    </row>
    <row r="4494" spans="15:16" x14ac:dyDescent="0.25">
      <c r="O4494" s="229"/>
      <c r="P4494" s="228"/>
    </row>
    <row r="4495" spans="15:16" x14ac:dyDescent="0.25">
      <c r="O4495" s="229"/>
      <c r="P4495" s="228"/>
    </row>
    <row r="4496" spans="15:16" x14ac:dyDescent="0.25">
      <c r="O4496" s="229"/>
      <c r="P4496" s="228"/>
    </row>
    <row r="4497" spans="15:16" x14ac:dyDescent="0.25">
      <c r="O4497" s="229"/>
      <c r="P4497" s="228"/>
    </row>
    <row r="4498" spans="15:16" x14ac:dyDescent="0.25">
      <c r="O4498" s="229"/>
      <c r="P4498" s="228"/>
    </row>
    <row r="4499" spans="15:16" x14ac:dyDescent="0.25">
      <c r="O4499" s="229"/>
      <c r="P4499" s="228"/>
    </row>
    <row r="4500" spans="15:16" x14ac:dyDescent="0.25">
      <c r="O4500" s="229"/>
      <c r="P4500" s="228"/>
    </row>
    <row r="4501" spans="15:16" x14ac:dyDescent="0.25">
      <c r="O4501" s="229"/>
      <c r="P4501" s="228"/>
    </row>
    <row r="4502" spans="15:16" x14ac:dyDescent="0.25">
      <c r="O4502" s="229"/>
      <c r="P4502" s="228"/>
    </row>
    <row r="4503" spans="15:16" x14ac:dyDescent="0.25">
      <c r="O4503" s="229"/>
      <c r="P4503" s="228"/>
    </row>
    <row r="4504" spans="15:16" x14ac:dyDescent="0.25">
      <c r="O4504" s="229"/>
      <c r="P4504" s="228"/>
    </row>
    <row r="4505" spans="15:16" x14ac:dyDescent="0.25">
      <c r="O4505" s="229"/>
      <c r="P4505" s="228"/>
    </row>
    <row r="4506" spans="15:16" x14ac:dyDescent="0.25">
      <c r="O4506" s="229"/>
      <c r="P4506" s="228"/>
    </row>
    <row r="4507" spans="15:16" x14ac:dyDescent="0.25">
      <c r="O4507" s="229"/>
      <c r="P4507" s="228"/>
    </row>
    <row r="4508" spans="15:16" x14ac:dyDescent="0.25">
      <c r="O4508" s="229"/>
      <c r="P4508" s="228"/>
    </row>
    <row r="4509" spans="15:16" x14ac:dyDescent="0.25">
      <c r="O4509" s="229"/>
      <c r="P4509" s="228"/>
    </row>
    <row r="4510" spans="15:16" x14ac:dyDescent="0.25">
      <c r="O4510" s="229"/>
      <c r="P4510" s="228"/>
    </row>
    <row r="4511" spans="15:16" x14ac:dyDescent="0.25">
      <c r="O4511" s="229"/>
      <c r="P4511" s="228"/>
    </row>
    <row r="4512" spans="15:16" x14ac:dyDescent="0.25">
      <c r="O4512" s="229"/>
      <c r="P4512" s="228"/>
    </row>
    <row r="4513" spans="15:16" x14ac:dyDescent="0.25">
      <c r="O4513" s="229"/>
      <c r="P4513" s="228"/>
    </row>
    <row r="4514" spans="15:16" x14ac:dyDescent="0.25">
      <c r="O4514" s="229"/>
      <c r="P4514" s="228"/>
    </row>
    <row r="4515" spans="15:16" x14ac:dyDescent="0.25">
      <c r="O4515" s="229"/>
      <c r="P4515" s="228"/>
    </row>
    <row r="4516" spans="15:16" x14ac:dyDescent="0.25">
      <c r="O4516" s="229"/>
      <c r="P4516" s="228"/>
    </row>
    <row r="4517" spans="15:16" x14ac:dyDescent="0.25">
      <c r="O4517" s="229"/>
      <c r="P4517" s="228"/>
    </row>
    <row r="4518" spans="15:16" x14ac:dyDescent="0.25">
      <c r="O4518" s="229"/>
      <c r="P4518" s="228"/>
    </row>
    <row r="4519" spans="15:16" x14ac:dyDescent="0.25">
      <c r="O4519" s="229"/>
      <c r="P4519" s="228"/>
    </row>
    <row r="4520" spans="15:16" x14ac:dyDescent="0.25">
      <c r="O4520" s="229"/>
      <c r="P4520" s="228"/>
    </row>
    <row r="4521" spans="15:16" x14ac:dyDescent="0.25">
      <c r="O4521" s="229"/>
      <c r="P4521" s="228"/>
    </row>
    <row r="4522" spans="15:16" x14ac:dyDescent="0.25">
      <c r="O4522" s="229"/>
      <c r="P4522" s="228"/>
    </row>
    <row r="4523" spans="15:16" x14ac:dyDescent="0.25">
      <c r="O4523" s="229"/>
      <c r="P4523" s="228"/>
    </row>
    <row r="4524" spans="15:16" x14ac:dyDescent="0.25">
      <c r="O4524" s="229"/>
      <c r="P4524" s="228"/>
    </row>
    <row r="4525" spans="15:16" x14ac:dyDescent="0.25">
      <c r="O4525" s="229"/>
      <c r="P4525" s="228"/>
    </row>
    <row r="4526" spans="15:16" x14ac:dyDescent="0.25">
      <c r="O4526" s="229"/>
      <c r="P4526" s="228"/>
    </row>
    <row r="4527" spans="15:16" x14ac:dyDescent="0.25">
      <c r="O4527" s="229"/>
      <c r="P4527" s="228"/>
    </row>
    <row r="4528" spans="15:16" x14ac:dyDescent="0.25">
      <c r="O4528" s="229"/>
      <c r="P4528" s="228"/>
    </row>
    <row r="4529" spans="15:16" x14ac:dyDescent="0.25">
      <c r="O4529" s="229"/>
      <c r="P4529" s="228"/>
    </row>
    <row r="4530" spans="15:16" x14ac:dyDescent="0.25">
      <c r="O4530" s="229"/>
      <c r="P4530" s="228"/>
    </row>
    <row r="4531" spans="15:16" x14ac:dyDescent="0.25">
      <c r="O4531" s="229"/>
      <c r="P4531" s="228"/>
    </row>
    <row r="4532" spans="15:16" x14ac:dyDescent="0.25">
      <c r="O4532" s="229"/>
      <c r="P4532" s="228"/>
    </row>
    <row r="4533" spans="15:16" x14ac:dyDescent="0.25">
      <c r="O4533" s="229"/>
      <c r="P4533" s="228"/>
    </row>
    <row r="4534" spans="15:16" x14ac:dyDescent="0.25">
      <c r="O4534" s="229"/>
      <c r="P4534" s="228"/>
    </row>
    <row r="4535" spans="15:16" x14ac:dyDescent="0.25">
      <c r="O4535" s="229"/>
      <c r="P4535" s="228"/>
    </row>
    <row r="4536" spans="15:16" x14ac:dyDescent="0.25">
      <c r="O4536" s="229"/>
      <c r="P4536" s="228"/>
    </row>
    <row r="4537" spans="15:16" x14ac:dyDescent="0.25">
      <c r="O4537" s="229"/>
      <c r="P4537" s="228"/>
    </row>
    <row r="4538" spans="15:16" x14ac:dyDescent="0.25">
      <c r="O4538" s="229"/>
      <c r="P4538" s="228"/>
    </row>
    <row r="4539" spans="15:16" x14ac:dyDescent="0.25">
      <c r="O4539" s="229"/>
      <c r="P4539" s="228"/>
    </row>
    <row r="4540" spans="15:16" x14ac:dyDescent="0.25">
      <c r="O4540" s="229"/>
      <c r="P4540" s="228"/>
    </row>
    <row r="4541" spans="15:16" x14ac:dyDescent="0.25">
      <c r="O4541" s="229"/>
      <c r="P4541" s="228"/>
    </row>
    <row r="4542" spans="15:16" x14ac:dyDescent="0.25">
      <c r="O4542" s="229"/>
      <c r="P4542" s="228"/>
    </row>
    <row r="4543" spans="15:16" x14ac:dyDescent="0.25">
      <c r="O4543" s="229"/>
      <c r="P4543" s="228"/>
    </row>
    <row r="4544" spans="15:16" x14ac:dyDescent="0.25">
      <c r="O4544" s="229"/>
      <c r="P4544" s="228"/>
    </row>
    <row r="4545" spans="15:16" x14ac:dyDescent="0.25">
      <c r="O4545" s="229"/>
      <c r="P4545" s="228"/>
    </row>
    <row r="4546" spans="15:16" x14ac:dyDescent="0.25">
      <c r="O4546" s="229"/>
      <c r="P4546" s="228"/>
    </row>
    <row r="4547" spans="15:16" x14ac:dyDescent="0.25">
      <c r="O4547" s="229"/>
      <c r="P4547" s="228"/>
    </row>
    <row r="4548" spans="15:16" x14ac:dyDescent="0.25">
      <c r="O4548" s="229"/>
      <c r="P4548" s="228"/>
    </row>
    <row r="4549" spans="15:16" x14ac:dyDescent="0.25">
      <c r="O4549" s="229"/>
      <c r="P4549" s="228"/>
    </row>
    <row r="4550" spans="15:16" x14ac:dyDescent="0.25">
      <c r="O4550" s="229"/>
      <c r="P4550" s="228"/>
    </row>
    <row r="4551" spans="15:16" x14ac:dyDescent="0.25">
      <c r="O4551" s="229"/>
      <c r="P4551" s="228"/>
    </row>
    <row r="4552" spans="15:16" x14ac:dyDescent="0.25">
      <c r="O4552" s="229"/>
      <c r="P4552" s="228"/>
    </row>
    <row r="4553" spans="15:16" x14ac:dyDescent="0.25">
      <c r="O4553" s="229"/>
      <c r="P4553" s="228"/>
    </row>
    <row r="4554" spans="15:16" x14ac:dyDescent="0.25">
      <c r="O4554" s="229"/>
      <c r="P4554" s="228"/>
    </row>
    <row r="4555" spans="15:16" x14ac:dyDescent="0.25">
      <c r="O4555" s="229"/>
      <c r="P4555" s="228"/>
    </row>
    <row r="4556" spans="15:16" x14ac:dyDescent="0.25">
      <c r="O4556" s="229"/>
      <c r="P4556" s="228"/>
    </row>
    <row r="4557" spans="15:16" x14ac:dyDescent="0.25">
      <c r="O4557" s="229"/>
      <c r="P4557" s="228"/>
    </row>
    <row r="4558" spans="15:16" x14ac:dyDescent="0.25">
      <c r="O4558" s="229"/>
      <c r="P4558" s="228"/>
    </row>
    <row r="4559" spans="15:16" x14ac:dyDescent="0.25">
      <c r="O4559" s="229"/>
      <c r="P4559" s="228"/>
    </row>
    <row r="4560" spans="15:16" x14ac:dyDescent="0.25">
      <c r="O4560" s="229"/>
      <c r="P4560" s="228"/>
    </row>
    <row r="4561" spans="15:16" x14ac:dyDescent="0.25">
      <c r="O4561" s="229"/>
      <c r="P4561" s="228"/>
    </row>
    <row r="4562" spans="15:16" x14ac:dyDescent="0.25">
      <c r="O4562" s="229"/>
      <c r="P4562" s="228"/>
    </row>
    <row r="4563" spans="15:16" x14ac:dyDescent="0.25">
      <c r="O4563" s="229"/>
      <c r="P4563" s="228"/>
    </row>
    <row r="4564" spans="15:16" x14ac:dyDescent="0.25">
      <c r="O4564" s="229"/>
      <c r="P4564" s="228"/>
    </row>
    <row r="4565" spans="15:16" x14ac:dyDescent="0.25">
      <c r="O4565" s="229"/>
      <c r="P4565" s="228"/>
    </row>
    <row r="4566" spans="15:16" x14ac:dyDescent="0.25">
      <c r="O4566" s="229"/>
      <c r="P4566" s="228"/>
    </row>
    <row r="4567" spans="15:16" x14ac:dyDescent="0.25">
      <c r="O4567" s="229"/>
      <c r="P4567" s="228"/>
    </row>
    <row r="4568" spans="15:16" x14ac:dyDescent="0.25">
      <c r="O4568" s="229"/>
      <c r="P4568" s="228"/>
    </row>
    <row r="4569" spans="15:16" x14ac:dyDescent="0.25">
      <c r="O4569" s="229"/>
      <c r="P4569" s="228"/>
    </row>
    <row r="4570" spans="15:16" x14ac:dyDescent="0.25">
      <c r="O4570" s="229"/>
      <c r="P4570" s="228"/>
    </row>
    <row r="4571" spans="15:16" x14ac:dyDescent="0.25">
      <c r="O4571" s="229"/>
      <c r="P4571" s="228"/>
    </row>
    <row r="4572" spans="15:16" x14ac:dyDescent="0.25">
      <c r="O4572" s="229"/>
      <c r="P4572" s="228"/>
    </row>
    <row r="4573" spans="15:16" x14ac:dyDescent="0.25">
      <c r="O4573" s="229"/>
      <c r="P4573" s="228"/>
    </row>
    <row r="4574" spans="15:16" x14ac:dyDescent="0.25">
      <c r="O4574" s="229"/>
      <c r="P4574" s="228"/>
    </row>
    <row r="4575" spans="15:16" x14ac:dyDescent="0.25">
      <c r="O4575" s="229"/>
      <c r="P4575" s="228"/>
    </row>
    <row r="4576" spans="15:16" x14ac:dyDescent="0.25">
      <c r="O4576" s="229"/>
      <c r="P4576" s="228"/>
    </row>
    <row r="4577" spans="15:16" x14ac:dyDescent="0.25">
      <c r="O4577" s="229"/>
      <c r="P4577" s="228"/>
    </row>
    <row r="4578" spans="15:16" x14ac:dyDescent="0.25">
      <c r="O4578" s="229"/>
      <c r="P4578" s="228"/>
    </row>
    <row r="4579" spans="15:16" x14ac:dyDescent="0.25">
      <c r="O4579" s="229"/>
      <c r="P4579" s="228"/>
    </row>
    <row r="4580" spans="15:16" x14ac:dyDescent="0.25">
      <c r="O4580" s="229"/>
      <c r="P4580" s="228"/>
    </row>
    <row r="4581" spans="15:16" x14ac:dyDescent="0.25">
      <c r="O4581" s="229"/>
      <c r="P4581" s="228"/>
    </row>
    <row r="4582" spans="15:16" x14ac:dyDescent="0.25">
      <c r="O4582" s="229"/>
      <c r="P4582" s="228"/>
    </row>
    <row r="4583" spans="15:16" x14ac:dyDescent="0.25">
      <c r="O4583" s="229"/>
      <c r="P4583" s="228"/>
    </row>
    <row r="4584" spans="15:16" x14ac:dyDescent="0.25">
      <c r="O4584" s="229"/>
      <c r="P4584" s="228"/>
    </row>
    <row r="4585" spans="15:16" x14ac:dyDescent="0.25">
      <c r="O4585" s="229"/>
      <c r="P4585" s="228"/>
    </row>
    <row r="4586" spans="15:16" x14ac:dyDescent="0.25">
      <c r="O4586" s="229"/>
      <c r="P4586" s="228"/>
    </row>
    <row r="4587" spans="15:16" x14ac:dyDescent="0.25">
      <c r="O4587" s="229"/>
      <c r="P4587" s="228"/>
    </row>
  </sheetData>
  <mergeCells count="8">
    <mergeCell ref="A1:F1"/>
    <mergeCell ref="Q2:T12"/>
    <mergeCell ref="I2:I3"/>
    <mergeCell ref="J2:J3"/>
    <mergeCell ref="K2:K3"/>
    <mergeCell ref="L2:L3"/>
    <mergeCell ref="O2:O3"/>
    <mergeCell ref="P2:P3"/>
  </mergeCells>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12DFE1-2246-40F4-B95B-845F92D43AB3}">
  <sheetPr codeName="Sheet2">
    <tabColor rgb="FF92D050"/>
  </sheetPr>
  <dimension ref="A1:AM857"/>
  <sheetViews>
    <sheetView showGridLines="0" zoomScale="190" zoomScaleNormal="190" workbookViewId="0">
      <selection sqref="A1:E1"/>
    </sheetView>
  </sheetViews>
  <sheetFormatPr defaultRowHeight="15" x14ac:dyDescent="0.25"/>
  <sheetData>
    <row r="1" spans="1:39" ht="15.75" thickBot="1" x14ac:dyDescent="0.3">
      <c r="A1" s="201" t="s">
        <v>137</v>
      </c>
      <c r="B1" s="202"/>
      <c r="C1" s="202"/>
      <c r="D1" s="203"/>
      <c r="F1" s="201" t="s">
        <v>149</v>
      </c>
      <c r="G1" s="202"/>
      <c r="H1" s="202"/>
      <c r="I1" s="203"/>
      <c r="K1" s="201" t="s">
        <v>150</v>
      </c>
      <c r="L1" s="202"/>
      <c r="M1" s="202"/>
      <c r="N1" s="203"/>
      <c r="P1" s="201" t="s">
        <v>151</v>
      </c>
      <c r="Q1" s="202"/>
      <c r="R1" s="202"/>
      <c r="S1" s="203"/>
      <c r="U1" s="201" t="s">
        <v>152</v>
      </c>
      <c r="V1" s="202"/>
      <c r="W1" s="202"/>
      <c r="X1" s="203"/>
      <c r="Z1" s="201" t="s">
        <v>153</v>
      </c>
      <c r="AA1" s="202"/>
      <c r="AB1" s="202"/>
      <c r="AC1" s="203"/>
      <c r="AE1" s="201" t="s">
        <v>154</v>
      </c>
      <c r="AF1" s="202"/>
      <c r="AG1" s="202"/>
      <c r="AH1" s="203"/>
      <c r="AJ1" s="201" t="s">
        <v>155</v>
      </c>
      <c r="AK1" s="202"/>
      <c r="AL1" s="202"/>
      <c r="AM1" s="203"/>
    </row>
    <row r="2" spans="1:39" ht="15" customHeight="1" x14ac:dyDescent="0.25">
      <c r="A2" s="198" t="s">
        <v>138</v>
      </c>
      <c r="B2" s="198" t="s">
        <v>139</v>
      </c>
      <c r="C2" s="198" t="s">
        <v>140</v>
      </c>
      <c r="D2" s="204" t="s">
        <v>134</v>
      </c>
      <c r="F2" s="198" t="s">
        <v>138</v>
      </c>
      <c r="G2" s="198" t="s">
        <v>139</v>
      </c>
      <c r="H2" s="198" t="s">
        <v>140</v>
      </c>
      <c r="I2" s="204" t="s">
        <v>134</v>
      </c>
      <c r="K2" s="198" t="s">
        <v>138</v>
      </c>
      <c r="L2" s="198" t="s">
        <v>139</v>
      </c>
      <c r="M2" s="198" t="s">
        <v>140</v>
      </c>
      <c r="N2" s="204" t="s">
        <v>134</v>
      </c>
      <c r="P2" s="198" t="s">
        <v>138</v>
      </c>
      <c r="Q2" s="198" t="s">
        <v>139</v>
      </c>
      <c r="R2" s="198" t="s">
        <v>140</v>
      </c>
      <c r="S2" s="204" t="s">
        <v>134</v>
      </c>
      <c r="U2" s="198" t="s">
        <v>138</v>
      </c>
      <c r="V2" s="198" t="s">
        <v>139</v>
      </c>
      <c r="W2" s="198" t="s">
        <v>140</v>
      </c>
      <c r="X2" s="204" t="s">
        <v>134</v>
      </c>
      <c r="Z2" s="198" t="s">
        <v>138</v>
      </c>
      <c r="AA2" s="198" t="s">
        <v>139</v>
      </c>
      <c r="AB2" s="198" t="s">
        <v>140</v>
      </c>
      <c r="AC2" s="204" t="s">
        <v>134</v>
      </c>
      <c r="AE2" s="198" t="s">
        <v>138</v>
      </c>
      <c r="AF2" s="198" t="s">
        <v>139</v>
      </c>
      <c r="AG2" s="198" t="s">
        <v>140</v>
      </c>
      <c r="AH2" s="204" t="s">
        <v>134</v>
      </c>
      <c r="AJ2" s="198" t="s">
        <v>138</v>
      </c>
      <c r="AK2" s="198" t="s">
        <v>139</v>
      </c>
      <c r="AL2" s="198" t="s">
        <v>140</v>
      </c>
      <c r="AM2" s="204" t="s">
        <v>134</v>
      </c>
    </row>
    <row r="3" spans="1:39" ht="15.75" customHeight="1" thickBot="1" x14ac:dyDescent="0.3">
      <c r="A3" s="199"/>
      <c r="B3" s="199"/>
      <c r="C3" s="199"/>
      <c r="D3" s="205"/>
      <c r="F3" s="199"/>
      <c r="G3" s="199"/>
      <c r="H3" s="199"/>
      <c r="I3" s="205"/>
      <c r="K3" s="199"/>
      <c r="L3" s="199"/>
      <c r="M3" s="199"/>
      <c r="N3" s="205"/>
      <c r="P3" s="199"/>
      <c r="Q3" s="199"/>
      <c r="R3" s="199"/>
      <c r="S3" s="205"/>
      <c r="U3" s="199"/>
      <c r="V3" s="199"/>
      <c r="W3" s="199"/>
      <c r="X3" s="205"/>
      <c r="Z3" s="199"/>
      <c r="AA3" s="199"/>
      <c r="AB3" s="199"/>
      <c r="AC3" s="205"/>
      <c r="AE3" s="199"/>
      <c r="AF3" s="199"/>
      <c r="AG3" s="199"/>
      <c r="AH3" s="205"/>
      <c r="AJ3" s="199"/>
      <c r="AK3" s="199"/>
      <c r="AL3" s="199"/>
      <c r="AM3" s="205"/>
    </row>
    <row r="4" spans="1:39" x14ac:dyDescent="0.25">
      <c r="A4" s="235">
        <v>7.1333219454000005</v>
      </c>
      <c r="B4">
        <v>0</v>
      </c>
      <c r="C4">
        <v>1187.7404507099372</v>
      </c>
      <c r="D4">
        <v>0.65</v>
      </c>
      <c r="F4" s="235">
        <v>0</v>
      </c>
      <c r="G4">
        <v>0</v>
      </c>
      <c r="H4">
        <v>1228.5022903979216</v>
      </c>
      <c r="I4">
        <v>0.65</v>
      </c>
      <c r="K4" s="235">
        <v>0</v>
      </c>
      <c r="L4">
        <v>0</v>
      </c>
      <c r="M4">
        <v>1228.5022903979216</v>
      </c>
      <c r="N4">
        <v>0.65</v>
      </c>
      <c r="P4" s="235">
        <v>0</v>
      </c>
      <c r="Q4">
        <v>0</v>
      </c>
      <c r="R4">
        <v>1228.5022903979216</v>
      </c>
      <c r="S4">
        <v>0.65</v>
      </c>
      <c r="U4" s="235">
        <v>0</v>
      </c>
      <c r="V4">
        <v>-0.36503140019999997</v>
      </c>
      <c r="W4">
        <v>1223.6352050620426</v>
      </c>
      <c r="X4">
        <v>0.65</v>
      </c>
      <c r="Z4" s="235">
        <v>-0.75960210859999999</v>
      </c>
      <c r="AA4">
        <v>-1.8484111199</v>
      </c>
      <c r="AB4">
        <v>1203.8568087986457</v>
      </c>
      <c r="AC4">
        <v>0.65</v>
      </c>
      <c r="AE4" s="235">
        <v>-1.4146278636</v>
      </c>
      <c r="AF4">
        <v>-1.4119652775</v>
      </c>
      <c r="AG4">
        <v>1209.6760866982133</v>
      </c>
      <c r="AH4">
        <v>0.65</v>
      </c>
      <c r="AJ4" s="235">
        <v>0</v>
      </c>
      <c r="AK4">
        <v>0</v>
      </c>
      <c r="AL4">
        <v>1228.5022903979216</v>
      </c>
      <c r="AM4">
        <v>0.65</v>
      </c>
    </row>
    <row r="5" spans="1:39" x14ac:dyDescent="0.25">
      <c r="A5">
        <v>15.0387435789</v>
      </c>
      <c r="B5">
        <v>0</v>
      </c>
      <c r="C5">
        <v>1146.4253429631492</v>
      </c>
      <c r="D5">
        <v>0.65</v>
      </c>
      <c r="F5">
        <v>0</v>
      </c>
      <c r="G5">
        <v>0</v>
      </c>
      <c r="H5">
        <v>1228.5022903979216</v>
      </c>
      <c r="I5">
        <v>0.65</v>
      </c>
      <c r="K5">
        <v>0</v>
      </c>
      <c r="L5">
        <v>0</v>
      </c>
      <c r="M5">
        <v>1228.5022903979216</v>
      </c>
      <c r="N5">
        <v>0.65</v>
      </c>
      <c r="P5">
        <v>0.90061298309999993</v>
      </c>
      <c r="Q5">
        <v>-2.1882594800000001</v>
      </c>
      <c r="R5">
        <v>1199.3254973313558</v>
      </c>
      <c r="S5">
        <v>0.65</v>
      </c>
      <c r="U5">
        <v>0</v>
      </c>
      <c r="V5">
        <v>-10.112674292000001</v>
      </c>
      <c r="W5">
        <v>1111.6740405790526</v>
      </c>
      <c r="X5">
        <v>0.65</v>
      </c>
      <c r="Z5">
        <v>0</v>
      </c>
      <c r="AA5">
        <v>0</v>
      </c>
      <c r="AB5">
        <v>1228.5022903979216</v>
      </c>
      <c r="AC5">
        <v>0.65</v>
      </c>
      <c r="AE5">
        <v>0</v>
      </c>
      <c r="AF5">
        <v>0</v>
      </c>
      <c r="AG5">
        <v>1228.5022903979216</v>
      </c>
      <c r="AH5">
        <v>0.65</v>
      </c>
      <c r="AJ5">
        <v>0</v>
      </c>
      <c r="AK5">
        <v>0</v>
      </c>
      <c r="AL5">
        <v>1228.5022903979216</v>
      </c>
      <c r="AM5">
        <v>0.65</v>
      </c>
    </row>
    <row r="6" spans="1:39" x14ac:dyDescent="0.25">
      <c r="A6">
        <v>0</v>
      </c>
      <c r="B6">
        <v>0</v>
      </c>
      <c r="C6">
        <v>1228.5022903979216</v>
      </c>
      <c r="D6">
        <v>0.65</v>
      </c>
      <c r="F6">
        <v>0</v>
      </c>
      <c r="G6">
        <v>0</v>
      </c>
      <c r="H6">
        <v>1228.5022903979216</v>
      </c>
      <c r="I6">
        <v>0.65</v>
      </c>
      <c r="K6">
        <v>0</v>
      </c>
      <c r="L6">
        <v>0</v>
      </c>
      <c r="M6">
        <v>1228.5022903979216</v>
      </c>
      <c r="N6">
        <v>0.65</v>
      </c>
      <c r="P6">
        <v>1.0429476547000001</v>
      </c>
      <c r="Q6">
        <v>-2.5276215472000003</v>
      </c>
      <c r="R6">
        <v>1194.8006697681838</v>
      </c>
      <c r="S6">
        <v>0.65</v>
      </c>
      <c r="U6">
        <v>0</v>
      </c>
      <c r="V6">
        <v>0</v>
      </c>
      <c r="W6">
        <v>1228.5022903979216</v>
      </c>
      <c r="X6">
        <v>0.65</v>
      </c>
      <c r="Z6">
        <v>-1.0666902149000002</v>
      </c>
      <c r="AA6">
        <v>-2.5841745026000003</v>
      </c>
      <c r="AB6">
        <v>1194.0466303632454</v>
      </c>
      <c r="AC6">
        <v>0.65</v>
      </c>
      <c r="AE6">
        <v>0</v>
      </c>
      <c r="AF6">
        <v>0</v>
      </c>
      <c r="AG6">
        <v>1228.5022903979216</v>
      </c>
      <c r="AH6">
        <v>0.65</v>
      </c>
      <c r="AJ6">
        <v>0</v>
      </c>
      <c r="AK6">
        <v>0</v>
      </c>
      <c r="AL6">
        <v>1228.5022903979216</v>
      </c>
      <c r="AM6">
        <v>0.65</v>
      </c>
    </row>
    <row r="7" spans="1:39" x14ac:dyDescent="0.25">
      <c r="A7">
        <v>22.322335680800002</v>
      </c>
      <c r="B7">
        <v>0</v>
      </c>
      <c r="C7">
        <v>1105.8571976186031</v>
      </c>
      <c r="D7">
        <v>0.65</v>
      </c>
      <c r="F7">
        <v>0</v>
      </c>
      <c r="G7">
        <v>0</v>
      </c>
      <c r="H7">
        <v>1228.5022903979216</v>
      </c>
      <c r="I7">
        <v>0.65</v>
      </c>
      <c r="K7">
        <v>0</v>
      </c>
      <c r="L7">
        <v>0</v>
      </c>
      <c r="M7">
        <v>1228.5022903979216</v>
      </c>
      <c r="N7">
        <v>0.65</v>
      </c>
      <c r="P7">
        <v>1.0619424513</v>
      </c>
      <c r="Q7">
        <v>-2.5728636366000002</v>
      </c>
      <c r="R7">
        <v>1194.197441910288</v>
      </c>
      <c r="S7">
        <v>0.65</v>
      </c>
      <c r="U7">
        <v>0</v>
      </c>
      <c r="V7">
        <v>-10.1518391193</v>
      </c>
      <c r="W7">
        <v>1111.1518428815573</v>
      </c>
      <c r="X7">
        <v>0.65</v>
      </c>
      <c r="Z7">
        <v>-0.6215820634</v>
      </c>
      <c r="AA7">
        <v>-1.5074640879000001</v>
      </c>
      <c r="AB7">
        <v>1208.40276922558</v>
      </c>
      <c r="AC7">
        <v>0.65</v>
      </c>
      <c r="AE7">
        <v>0</v>
      </c>
      <c r="AF7">
        <v>0</v>
      </c>
      <c r="AG7">
        <v>1228.5022903979216</v>
      </c>
      <c r="AH7">
        <v>0.65</v>
      </c>
      <c r="AJ7">
        <v>-2.2233755122000001</v>
      </c>
      <c r="AK7">
        <v>-0.90962924740000006</v>
      </c>
      <c r="AL7">
        <v>1214.6153285901146</v>
      </c>
      <c r="AM7">
        <v>0.65</v>
      </c>
    </row>
    <row r="8" spans="1:39" x14ac:dyDescent="0.25">
      <c r="A8">
        <v>7.6561956269999998</v>
      </c>
      <c r="B8">
        <v>0</v>
      </c>
      <c r="C8">
        <v>1184.7526011009672</v>
      </c>
      <c r="D8">
        <v>0.65</v>
      </c>
      <c r="F8">
        <v>0</v>
      </c>
      <c r="G8">
        <v>0</v>
      </c>
      <c r="H8">
        <v>1228.5022903979216</v>
      </c>
      <c r="I8">
        <v>0.65</v>
      </c>
      <c r="K8">
        <v>0</v>
      </c>
      <c r="L8">
        <v>0</v>
      </c>
      <c r="M8">
        <v>1228.5022903979216</v>
      </c>
      <c r="N8">
        <v>0.65</v>
      </c>
      <c r="P8">
        <v>0</v>
      </c>
      <c r="Q8">
        <v>0</v>
      </c>
      <c r="R8">
        <v>1228.5022903979216</v>
      </c>
      <c r="S8">
        <v>0.65</v>
      </c>
      <c r="U8">
        <v>0</v>
      </c>
      <c r="V8">
        <v>-1.344152083</v>
      </c>
      <c r="W8">
        <v>1210.5802626246596</v>
      </c>
      <c r="X8">
        <v>0.65</v>
      </c>
      <c r="Z8">
        <v>0</v>
      </c>
      <c r="AA8">
        <v>0</v>
      </c>
      <c r="AB8">
        <v>1228.5022903979216</v>
      </c>
      <c r="AC8">
        <v>0.65</v>
      </c>
      <c r="AE8">
        <v>-1.5582517849999999</v>
      </c>
      <c r="AF8">
        <v>-1.5550296062000002</v>
      </c>
      <c r="AG8">
        <v>1207.7685623154696</v>
      </c>
      <c r="AH8">
        <v>0.65</v>
      </c>
      <c r="AJ8">
        <v>0</v>
      </c>
      <c r="AK8">
        <v>0</v>
      </c>
      <c r="AL8">
        <v>1228.5022903979216</v>
      </c>
      <c r="AM8">
        <v>0.65</v>
      </c>
    </row>
    <row r="9" spans="1:39" x14ac:dyDescent="0.25">
      <c r="A9">
        <v>22.224296865500001</v>
      </c>
      <c r="B9">
        <v>0</v>
      </c>
      <c r="C9">
        <v>1106.4174194202851</v>
      </c>
      <c r="D9">
        <v>0.65</v>
      </c>
      <c r="F9">
        <v>0</v>
      </c>
      <c r="G9">
        <v>0</v>
      </c>
      <c r="H9">
        <v>1228.5022903979216</v>
      </c>
      <c r="I9">
        <v>0.65</v>
      </c>
      <c r="K9">
        <v>0.55364056859999999</v>
      </c>
      <c r="L9">
        <v>-0.55330150519999999</v>
      </c>
      <c r="M9">
        <v>1221.1249369947209</v>
      </c>
      <c r="N9">
        <v>0.65</v>
      </c>
      <c r="P9">
        <v>1.0761870401</v>
      </c>
      <c r="Q9">
        <v>-2.6067957578000001</v>
      </c>
      <c r="R9">
        <v>1193.7450136269488</v>
      </c>
      <c r="S9">
        <v>0.65</v>
      </c>
      <c r="U9">
        <v>0</v>
      </c>
      <c r="V9">
        <v>-10.1910039466</v>
      </c>
      <c r="W9">
        <v>1110.6296451840619</v>
      </c>
      <c r="X9">
        <v>0.65</v>
      </c>
      <c r="Z9">
        <v>-1.0619425223999999</v>
      </c>
      <c r="AA9">
        <v>-2.5728636104999998</v>
      </c>
      <c r="AB9">
        <v>1194.1974422585051</v>
      </c>
      <c r="AC9">
        <v>0.65</v>
      </c>
      <c r="AE9">
        <v>0</v>
      </c>
      <c r="AF9">
        <v>0</v>
      </c>
      <c r="AG9">
        <v>1228.5022903979216</v>
      </c>
      <c r="AH9">
        <v>0.65</v>
      </c>
      <c r="AJ9">
        <v>0</v>
      </c>
      <c r="AK9">
        <v>0</v>
      </c>
      <c r="AL9">
        <v>1228.5022903979216</v>
      </c>
      <c r="AM9">
        <v>0.65</v>
      </c>
    </row>
    <row r="10" spans="1:39" x14ac:dyDescent="0.25">
      <c r="A10">
        <v>6.1529337925000007</v>
      </c>
      <c r="B10">
        <v>0</v>
      </c>
      <c r="C10">
        <v>1193.3426687267558</v>
      </c>
      <c r="D10">
        <v>0.65</v>
      </c>
      <c r="F10">
        <v>0</v>
      </c>
      <c r="G10">
        <v>0</v>
      </c>
      <c r="H10">
        <v>1228.5022903979216</v>
      </c>
      <c r="I10">
        <v>0.65</v>
      </c>
      <c r="K10">
        <v>0</v>
      </c>
      <c r="L10">
        <v>0</v>
      </c>
      <c r="M10">
        <v>1228.5022903979216</v>
      </c>
      <c r="N10">
        <v>0.65</v>
      </c>
      <c r="P10">
        <v>0</v>
      </c>
      <c r="Q10">
        <v>0</v>
      </c>
      <c r="R10">
        <v>1228.5022903979216</v>
      </c>
      <c r="S10">
        <v>0.65</v>
      </c>
      <c r="U10">
        <v>0</v>
      </c>
      <c r="V10">
        <v>-6.6279600402999996</v>
      </c>
      <c r="W10">
        <v>1150.7702306015324</v>
      </c>
      <c r="X10">
        <v>0.65</v>
      </c>
      <c r="Z10">
        <v>-0.54436913050000002</v>
      </c>
      <c r="AA10">
        <v>-1.3400038859000001</v>
      </c>
      <c r="AB10">
        <v>1210.635571919219</v>
      </c>
      <c r="AC10">
        <v>0.65</v>
      </c>
      <c r="AE10">
        <v>0</v>
      </c>
      <c r="AF10">
        <v>0</v>
      </c>
      <c r="AG10">
        <v>1228.5022903979216</v>
      </c>
      <c r="AH10">
        <v>0.65</v>
      </c>
      <c r="AJ10">
        <v>0</v>
      </c>
      <c r="AK10">
        <v>0</v>
      </c>
      <c r="AL10">
        <v>1228.5022903979216</v>
      </c>
      <c r="AM10">
        <v>0.65</v>
      </c>
    </row>
    <row r="11" spans="1:39" x14ac:dyDescent="0.25">
      <c r="A11">
        <v>0.76079895129999997</v>
      </c>
      <c r="B11">
        <v>0</v>
      </c>
      <c r="C11">
        <v>1224.1548678192589</v>
      </c>
      <c r="D11">
        <v>0.65</v>
      </c>
      <c r="F11">
        <v>2.2141356562999999</v>
      </c>
      <c r="G11">
        <v>-0.91329585690000004</v>
      </c>
      <c r="H11">
        <v>1214.6172841151788</v>
      </c>
      <c r="I11">
        <v>0.65</v>
      </c>
      <c r="K11">
        <v>0</v>
      </c>
      <c r="L11">
        <v>0</v>
      </c>
      <c r="M11">
        <v>1228.5022903979216</v>
      </c>
      <c r="N11">
        <v>0.65</v>
      </c>
      <c r="P11">
        <v>0.97172329219999998</v>
      </c>
      <c r="Q11">
        <v>-2.3579614622</v>
      </c>
      <c r="R11">
        <v>1197.0628042352514</v>
      </c>
      <c r="S11">
        <v>0.65</v>
      </c>
      <c r="U11">
        <v>0</v>
      </c>
      <c r="V11">
        <v>-6.7454545222000002</v>
      </c>
      <c r="W11">
        <v>1149.2036375090463</v>
      </c>
      <c r="X11">
        <v>0.65</v>
      </c>
      <c r="Z11">
        <v>0</v>
      </c>
      <c r="AA11">
        <v>0</v>
      </c>
      <c r="AB11">
        <v>1228.5022903979216</v>
      </c>
      <c r="AC11">
        <v>0.65</v>
      </c>
      <c r="AE11">
        <v>0</v>
      </c>
      <c r="AF11">
        <v>0</v>
      </c>
      <c r="AG11">
        <v>1228.5022903979216</v>
      </c>
      <c r="AH11">
        <v>0.65</v>
      </c>
      <c r="AJ11">
        <v>0</v>
      </c>
      <c r="AK11">
        <v>0</v>
      </c>
      <c r="AL11">
        <v>1228.5022903979216</v>
      </c>
      <c r="AM11">
        <v>0.65</v>
      </c>
    </row>
    <row r="12" spans="1:39" x14ac:dyDescent="0.25">
      <c r="A12">
        <v>15.006063973800002</v>
      </c>
      <c r="B12">
        <v>0</v>
      </c>
      <c r="C12">
        <v>1146.6120835637096</v>
      </c>
      <c r="D12">
        <v>0.65</v>
      </c>
      <c r="F12">
        <v>0</v>
      </c>
      <c r="G12">
        <v>0</v>
      </c>
      <c r="H12">
        <v>1228.5022903979216</v>
      </c>
      <c r="I12">
        <v>0.65</v>
      </c>
      <c r="K12">
        <v>0</v>
      </c>
      <c r="L12">
        <v>0</v>
      </c>
      <c r="M12">
        <v>1228.5022903979216</v>
      </c>
      <c r="N12">
        <v>0.65</v>
      </c>
      <c r="P12">
        <v>0.75956356990000007</v>
      </c>
      <c r="Q12">
        <v>-1.848425277</v>
      </c>
      <c r="R12">
        <v>1203.8566200373123</v>
      </c>
      <c r="S12">
        <v>0.65</v>
      </c>
      <c r="U12">
        <v>0</v>
      </c>
      <c r="V12">
        <v>-6.6801798099999994</v>
      </c>
      <c r="W12">
        <v>1150.0739670048717</v>
      </c>
      <c r="X12">
        <v>0.65</v>
      </c>
      <c r="Z12">
        <v>-0.69019689029999998</v>
      </c>
      <c r="AA12">
        <v>-1.6780827779</v>
      </c>
      <c r="AB12">
        <v>1206.1278533595028</v>
      </c>
      <c r="AC12">
        <v>0.65</v>
      </c>
      <c r="AE12">
        <v>0</v>
      </c>
      <c r="AF12">
        <v>0</v>
      </c>
      <c r="AG12">
        <v>1228.5022903979216</v>
      </c>
      <c r="AH12">
        <v>0.65</v>
      </c>
      <c r="AJ12">
        <v>0</v>
      </c>
      <c r="AK12">
        <v>0</v>
      </c>
      <c r="AL12">
        <v>1228.5022903979216</v>
      </c>
      <c r="AM12">
        <v>0.65</v>
      </c>
    </row>
    <row r="13" spans="1:39" x14ac:dyDescent="0.25">
      <c r="A13">
        <v>3.7019634101000003</v>
      </c>
      <c r="B13">
        <v>0</v>
      </c>
      <c r="C13">
        <v>1207.3482137688027</v>
      </c>
      <c r="D13">
        <v>0.65</v>
      </c>
      <c r="F13">
        <v>0</v>
      </c>
      <c r="G13">
        <v>0</v>
      </c>
      <c r="H13">
        <v>1228.5022903979216</v>
      </c>
      <c r="I13">
        <v>0.65</v>
      </c>
      <c r="K13">
        <v>0</v>
      </c>
      <c r="L13">
        <v>0</v>
      </c>
      <c r="M13">
        <v>1228.5022903979216</v>
      </c>
      <c r="N13">
        <v>0.65</v>
      </c>
      <c r="P13">
        <v>0</v>
      </c>
      <c r="Q13">
        <v>0</v>
      </c>
      <c r="R13">
        <v>1228.5022903979216</v>
      </c>
      <c r="S13">
        <v>0.65</v>
      </c>
      <c r="U13">
        <v>0</v>
      </c>
      <c r="V13">
        <v>-6.6018501554000002</v>
      </c>
      <c r="W13">
        <v>1151.1183623998625</v>
      </c>
      <c r="X13">
        <v>0.65</v>
      </c>
      <c r="Z13">
        <v>0</v>
      </c>
      <c r="AA13">
        <v>0</v>
      </c>
      <c r="AB13">
        <v>1228.5022903979216</v>
      </c>
      <c r="AC13">
        <v>0.65</v>
      </c>
      <c r="AE13">
        <v>0</v>
      </c>
      <c r="AF13">
        <v>0</v>
      </c>
      <c r="AG13">
        <v>1228.5022903979216</v>
      </c>
      <c r="AH13">
        <v>0.65</v>
      </c>
      <c r="AJ13">
        <v>0</v>
      </c>
      <c r="AK13">
        <v>0</v>
      </c>
      <c r="AL13">
        <v>1228.5022903979216</v>
      </c>
      <c r="AM13">
        <v>0.65</v>
      </c>
    </row>
    <row r="14" spans="1:39" x14ac:dyDescent="0.25">
      <c r="A14">
        <v>7.7542344422999996</v>
      </c>
      <c r="B14">
        <v>0</v>
      </c>
      <c r="C14">
        <v>1184.1923792992854</v>
      </c>
      <c r="D14">
        <v>0.65</v>
      </c>
      <c r="F14">
        <v>0</v>
      </c>
      <c r="G14">
        <v>0</v>
      </c>
      <c r="H14">
        <v>1228.5022903979216</v>
      </c>
      <c r="I14">
        <v>0.65</v>
      </c>
      <c r="K14">
        <v>0</v>
      </c>
      <c r="L14">
        <v>0</v>
      </c>
      <c r="M14">
        <v>1228.5022903979216</v>
      </c>
      <c r="N14">
        <v>0.65</v>
      </c>
      <c r="P14">
        <v>0.82981034370000006</v>
      </c>
      <c r="Q14">
        <v>-2.0184444763</v>
      </c>
      <c r="R14">
        <v>1201.5896973807105</v>
      </c>
      <c r="S14">
        <v>0.65</v>
      </c>
      <c r="U14">
        <v>0</v>
      </c>
      <c r="V14">
        <v>0</v>
      </c>
      <c r="W14">
        <v>1228.5022903979216</v>
      </c>
      <c r="X14">
        <v>0.65</v>
      </c>
      <c r="Z14">
        <v>-1.0714390153</v>
      </c>
      <c r="AA14">
        <v>-2.5954849876999999</v>
      </c>
      <c r="AB14">
        <v>1193.8958238948251</v>
      </c>
      <c r="AC14">
        <v>0.65</v>
      </c>
      <c r="AE14">
        <v>0</v>
      </c>
      <c r="AF14">
        <v>0</v>
      </c>
      <c r="AG14">
        <v>1228.5022903979216</v>
      </c>
      <c r="AH14">
        <v>0.65</v>
      </c>
      <c r="AJ14">
        <v>0</v>
      </c>
      <c r="AK14">
        <v>0</v>
      </c>
      <c r="AL14">
        <v>1228.5022903979216</v>
      </c>
      <c r="AM14">
        <v>0.65</v>
      </c>
    </row>
    <row r="15" spans="1:39" x14ac:dyDescent="0.25">
      <c r="A15">
        <v>15.136782394199999</v>
      </c>
      <c r="B15">
        <v>0</v>
      </c>
      <c r="C15">
        <v>1145.8651211614672</v>
      </c>
      <c r="D15">
        <v>0.65</v>
      </c>
      <c r="F15">
        <v>1.7392835685000001</v>
      </c>
      <c r="G15">
        <v>-0.72098443160000003</v>
      </c>
      <c r="H15">
        <v>1218.5635271495485</v>
      </c>
      <c r="I15">
        <v>0.65</v>
      </c>
      <c r="K15">
        <v>0</v>
      </c>
      <c r="L15">
        <v>0</v>
      </c>
      <c r="M15">
        <v>1228.5022903979216</v>
      </c>
      <c r="N15">
        <v>0.65</v>
      </c>
      <c r="P15">
        <v>0.6215380788</v>
      </c>
      <c r="Q15">
        <v>-1.5074802455</v>
      </c>
      <c r="R15">
        <v>1208.4025537906869</v>
      </c>
      <c r="S15">
        <v>0.65</v>
      </c>
      <c r="U15">
        <v>0</v>
      </c>
      <c r="V15">
        <v>-1.7358003561000002</v>
      </c>
      <c r="W15">
        <v>1205.3582856497064</v>
      </c>
      <c r="X15">
        <v>0.65</v>
      </c>
      <c r="Z15">
        <v>-1.0761854786</v>
      </c>
      <c r="AA15">
        <v>-2.6067963314</v>
      </c>
      <c r="AB15">
        <v>1193.7450059790765</v>
      </c>
      <c r="AC15">
        <v>0.65</v>
      </c>
      <c r="AE15">
        <v>0</v>
      </c>
      <c r="AF15">
        <v>0</v>
      </c>
      <c r="AG15">
        <v>1228.5022903979216</v>
      </c>
      <c r="AH15">
        <v>0.65</v>
      </c>
      <c r="AJ15">
        <v>-1.9719140438</v>
      </c>
      <c r="AK15">
        <v>-0.81559963199999996</v>
      </c>
      <c r="AL15">
        <v>1217.2342101478166</v>
      </c>
      <c r="AM15">
        <v>0.65</v>
      </c>
    </row>
    <row r="16" spans="1:39" x14ac:dyDescent="0.25">
      <c r="A16">
        <v>15.3328600247</v>
      </c>
      <c r="B16">
        <v>0</v>
      </c>
      <c r="C16">
        <v>1144.7446775581034</v>
      </c>
      <c r="D16">
        <v>0.65</v>
      </c>
      <c r="F16">
        <v>2.6920118576999998</v>
      </c>
      <c r="G16">
        <v>-1.1134799264999999</v>
      </c>
      <c r="H16">
        <v>1208.9768323515393</v>
      </c>
      <c r="I16">
        <v>0.65</v>
      </c>
      <c r="K16">
        <v>1.2709434582000001</v>
      </c>
      <c r="L16">
        <v>-1.2689231673999999</v>
      </c>
      <c r="M16">
        <v>1211.5833148328945</v>
      </c>
      <c r="N16">
        <v>0.65</v>
      </c>
      <c r="P16">
        <v>0</v>
      </c>
      <c r="Q16">
        <v>0</v>
      </c>
      <c r="R16">
        <v>1228.5022903979216</v>
      </c>
      <c r="S16">
        <v>0.65</v>
      </c>
      <c r="U16">
        <v>0</v>
      </c>
      <c r="V16">
        <v>-6.6149050978000004</v>
      </c>
      <c r="W16">
        <v>1150.9442965006974</v>
      </c>
      <c r="X16">
        <v>0.65</v>
      </c>
      <c r="Z16">
        <v>0</v>
      </c>
      <c r="AA16">
        <v>0</v>
      </c>
      <c r="AB16">
        <v>1228.5022903979216</v>
      </c>
      <c r="AC16">
        <v>0.65</v>
      </c>
      <c r="AE16">
        <v>-1.1286072373</v>
      </c>
      <c r="AF16">
        <v>-1.1253858058999999</v>
      </c>
      <c r="AG16">
        <v>1213.4971463196484</v>
      </c>
      <c r="AH16">
        <v>0.65</v>
      </c>
      <c r="AJ16">
        <v>-2.4533279364</v>
      </c>
      <c r="AK16">
        <v>-1.0132870268</v>
      </c>
      <c r="AL16">
        <v>1211.7970044387757</v>
      </c>
      <c r="AM16">
        <v>0.65</v>
      </c>
    </row>
    <row r="17" spans="1:39" x14ac:dyDescent="0.25">
      <c r="A17">
        <v>0</v>
      </c>
      <c r="B17">
        <v>0</v>
      </c>
      <c r="C17">
        <v>1228.5022903979216</v>
      </c>
      <c r="D17">
        <v>0.65</v>
      </c>
      <c r="F17">
        <v>2.4544737664</v>
      </c>
      <c r="G17">
        <v>-1.0128323323999999</v>
      </c>
      <c r="H17">
        <v>1211.7967619350727</v>
      </c>
      <c r="I17">
        <v>0.65</v>
      </c>
      <c r="K17">
        <v>1.4146261487</v>
      </c>
      <c r="L17">
        <v>-1.4119659073999999</v>
      </c>
      <c r="M17">
        <v>1209.6760782989043</v>
      </c>
      <c r="N17">
        <v>0.65</v>
      </c>
      <c r="P17">
        <v>0</v>
      </c>
      <c r="Q17">
        <v>0</v>
      </c>
      <c r="R17">
        <v>1228.5022903979216</v>
      </c>
      <c r="S17">
        <v>0.65</v>
      </c>
      <c r="U17">
        <v>0</v>
      </c>
      <c r="V17">
        <v>-13.3909978154</v>
      </c>
      <c r="W17">
        <v>1072.0556528590776</v>
      </c>
      <c r="X17">
        <v>0.65</v>
      </c>
      <c r="Z17">
        <v>-0.97172495679999993</v>
      </c>
      <c r="AA17">
        <v>-2.3579608507000001</v>
      </c>
      <c r="AB17">
        <v>1197.0628123884403</v>
      </c>
      <c r="AC17">
        <v>0.65</v>
      </c>
      <c r="AE17">
        <v>-0.54952785120000003</v>
      </c>
      <c r="AF17">
        <v>-0.55481229939999999</v>
      </c>
      <c r="AG17">
        <v>1221.1047930726729</v>
      </c>
      <c r="AH17">
        <v>0.65</v>
      </c>
      <c r="AJ17">
        <v>-2.9387354646000001</v>
      </c>
      <c r="AK17">
        <v>-1.2104824748</v>
      </c>
      <c r="AL17">
        <v>1206.1549587435602</v>
      </c>
      <c r="AM17">
        <v>0.65</v>
      </c>
    </row>
    <row r="18" spans="1:39" x14ac:dyDescent="0.25">
      <c r="A18">
        <v>7.6235160218999996</v>
      </c>
      <c r="B18">
        <v>0</v>
      </c>
      <c r="C18">
        <v>1184.9393417015278</v>
      </c>
      <c r="D18">
        <v>0.65</v>
      </c>
      <c r="F18">
        <v>1.9718145944000001</v>
      </c>
      <c r="G18">
        <v>-0.81563616449999998</v>
      </c>
      <c r="H18">
        <v>1217.2347784301883</v>
      </c>
      <c r="I18">
        <v>0.65</v>
      </c>
      <c r="K18">
        <v>2.1457655861</v>
      </c>
      <c r="L18">
        <v>-2.1488610342000003</v>
      </c>
      <c r="M18">
        <v>1197.4598807473014</v>
      </c>
      <c r="N18">
        <v>0.65</v>
      </c>
      <c r="P18">
        <v>0.54427731410000002</v>
      </c>
      <c r="Q18">
        <v>-1.3400376144000001</v>
      </c>
      <c r="R18">
        <v>1210.6351222062342</v>
      </c>
      <c r="S18">
        <v>0.65</v>
      </c>
      <c r="U18">
        <v>0</v>
      </c>
      <c r="V18">
        <v>0</v>
      </c>
      <c r="W18">
        <v>1228.5022903979216</v>
      </c>
      <c r="X18">
        <v>0.65</v>
      </c>
      <c r="Z18">
        <v>0</v>
      </c>
      <c r="AA18">
        <v>0</v>
      </c>
      <c r="AB18">
        <v>1228.5022903979216</v>
      </c>
      <c r="AC18">
        <v>0.65</v>
      </c>
      <c r="AE18">
        <v>-1.2709900881</v>
      </c>
      <c r="AF18">
        <v>-1.2689060380999999</v>
      </c>
      <c r="AG18">
        <v>1211.5835432238321</v>
      </c>
      <c r="AH18">
        <v>0.65</v>
      </c>
      <c r="AJ18">
        <v>-3.4151686426999999</v>
      </c>
      <c r="AK18">
        <v>-1.4112391727</v>
      </c>
      <c r="AL18">
        <v>1200.5148123816841</v>
      </c>
      <c r="AM18">
        <v>0.65</v>
      </c>
    </row>
    <row r="19" spans="1:39" x14ac:dyDescent="0.25">
      <c r="A19">
        <v>22.191617260399997</v>
      </c>
      <c r="B19">
        <v>0</v>
      </c>
      <c r="C19">
        <v>1106.6041600208457</v>
      </c>
      <c r="D19">
        <v>0.65</v>
      </c>
      <c r="F19">
        <v>1.5122272373000001</v>
      </c>
      <c r="G19">
        <v>-0.62432158640000002</v>
      </c>
      <c r="H19">
        <v>1219.8609918988877</v>
      </c>
      <c r="I19">
        <v>0.65</v>
      </c>
      <c r="K19">
        <v>2.1447794880999997</v>
      </c>
      <c r="L19">
        <v>-2.1102705946000002</v>
      </c>
      <c r="M19">
        <v>1198.014020839604</v>
      </c>
      <c r="N19">
        <v>0.65</v>
      </c>
      <c r="P19">
        <v>0</v>
      </c>
      <c r="Q19">
        <v>0</v>
      </c>
      <c r="R19">
        <v>1228.5022903979216</v>
      </c>
      <c r="S19">
        <v>0.65</v>
      </c>
      <c r="U19">
        <v>0</v>
      </c>
      <c r="V19">
        <v>-10.204058889000001</v>
      </c>
      <c r="W19">
        <v>1110.4555792848969</v>
      </c>
      <c r="X19">
        <v>0.65</v>
      </c>
      <c r="Z19">
        <v>0</v>
      </c>
      <c r="AA19">
        <v>0</v>
      </c>
      <c r="AB19">
        <v>1228.5022903979216</v>
      </c>
      <c r="AC19">
        <v>0.65</v>
      </c>
      <c r="AE19">
        <v>-1.9871790820999999</v>
      </c>
      <c r="AF19">
        <v>-1.9779016967999998</v>
      </c>
      <c r="AG19">
        <v>1200.8170323944969</v>
      </c>
      <c r="AH19">
        <v>0.65</v>
      </c>
      <c r="AJ19">
        <v>-3.7408019061999997</v>
      </c>
      <c r="AK19">
        <v>-1.5289040295999998</v>
      </c>
      <c r="AL19">
        <v>1196.937663124839</v>
      </c>
      <c r="AM19">
        <v>0.65</v>
      </c>
    </row>
    <row r="20" spans="1:39" x14ac:dyDescent="0.25">
      <c r="A20">
        <v>7.7869140474000007</v>
      </c>
      <c r="B20">
        <v>0</v>
      </c>
      <c r="C20">
        <v>1184.0056386987246</v>
      </c>
      <c r="D20">
        <v>0.65</v>
      </c>
      <c r="F20">
        <v>2.9373666638999998</v>
      </c>
      <c r="G20">
        <v>-1.2110256497</v>
      </c>
      <c r="H20">
        <v>1206.1552484368315</v>
      </c>
      <c r="I20">
        <v>0.65</v>
      </c>
      <c r="K20">
        <v>1.8518644130000002</v>
      </c>
      <c r="L20">
        <v>-1.8366892526</v>
      </c>
      <c r="M20">
        <v>1203.6153273913226</v>
      </c>
      <c r="N20">
        <v>0.65</v>
      </c>
      <c r="P20">
        <v>0</v>
      </c>
      <c r="Q20">
        <v>0</v>
      </c>
      <c r="R20">
        <v>1228.5022903979216</v>
      </c>
      <c r="S20">
        <v>0.65</v>
      </c>
      <c r="U20">
        <v>0</v>
      </c>
      <c r="V20">
        <v>0</v>
      </c>
      <c r="W20">
        <v>1228.5022903979216</v>
      </c>
      <c r="X20">
        <v>0.65</v>
      </c>
      <c r="Z20">
        <v>0</v>
      </c>
      <c r="AA20">
        <v>0</v>
      </c>
      <c r="AB20">
        <v>1228.5022903979216</v>
      </c>
      <c r="AC20">
        <v>0.65</v>
      </c>
      <c r="AE20">
        <v>-2.1550853768999998</v>
      </c>
      <c r="AF20">
        <v>-2.1581566204999998</v>
      </c>
      <c r="AG20">
        <v>1197.2732645066867</v>
      </c>
      <c r="AH20">
        <v>0.65</v>
      </c>
      <c r="AJ20">
        <v>-2.6572817729000002</v>
      </c>
      <c r="AK20">
        <v>-1.1272617062000001</v>
      </c>
      <c r="AL20">
        <v>1208.9841826340478</v>
      </c>
      <c r="AM20">
        <v>0.65</v>
      </c>
    </row>
    <row r="21" spans="1:39" x14ac:dyDescent="0.25">
      <c r="A21">
        <v>22.453054101199999</v>
      </c>
      <c r="B21">
        <v>0</v>
      </c>
      <c r="C21">
        <v>1105.1102352163607</v>
      </c>
      <c r="D21">
        <v>0.65</v>
      </c>
      <c r="F21">
        <v>3.7410956487</v>
      </c>
      <c r="G21">
        <v>-1.5287874651000002</v>
      </c>
      <c r="H21">
        <v>1196.9376009570979</v>
      </c>
      <c r="I21">
        <v>0.65</v>
      </c>
      <c r="K21">
        <v>1.5579903895</v>
      </c>
      <c r="L21">
        <v>-1.555125629</v>
      </c>
      <c r="M21">
        <v>1207.7672820112195</v>
      </c>
      <c r="N21">
        <v>0.65</v>
      </c>
      <c r="P21">
        <v>1.0524448298</v>
      </c>
      <c r="Q21">
        <v>-2.5502426739000001</v>
      </c>
      <c r="R21">
        <v>1194.499054745778</v>
      </c>
      <c r="S21">
        <v>0.65</v>
      </c>
      <c r="U21">
        <v>0</v>
      </c>
      <c r="V21">
        <v>-2.5190969023999998</v>
      </c>
      <c r="W21">
        <v>1194.9143316998</v>
      </c>
      <c r="X21">
        <v>0.65</v>
      </c>
      <c r="Z21">
        <v>-1.0524443721999999</v>
      </c>
      <c r="AA21">
        <v>-2.5502428420000003</v>
      </c>
      <c r="AB21">
        <v>1194.499052504812</v>
      </c>
      <c r="AC21">
        <v>0.65</v>
      </c>
      <c r="AE21">
        <v>-2.1433196361000002</v>
      </c>
      <c r="AF21">
        <v>-2.1108499008999999</v>
      </c>
      <c r="AG21">
        <v>1198.014329803005</v>
      </c>
      <c r="AH21">
        <v>0.65</v>
      </c>
      <c r="AJ21">
        <v>-3.1812353782000002</v>
      </c>
      <c r="AK21">
        <v>-1.3091610918000001</v>
      </c>
      <c r="AL21">
        <v>1203.3339790388986</v>
      </c>
      <c r="AM21">
        <v>0.65</v>
      </c>
    </row>
    <row r="22" spans="1:39" x14ac:dyDescent="0.25">
      <c r="A22">
        <v>0</v>
      </c>
      <c r="B22">
        <v>0</v>
      </c>
      <c r="C22">
        <v>1228.5022903979216</v>
      </c>
      <c r="D22">
        <v>0.65</v>
      </c>
      <c r="F22">
        <v>3.7104738178999996</v>
      </c>
      <c r="G22">
        <v>-1.5149511530000002</v>
      </c>
      <c r="H22">
        <v>1197.3133693640677</v>
      </c>
      <c r="I22">
        <v>0.65</v>
      </c>
      <c r="K22">
        <v>1.1286072369</v>
      </c>
      <c r="L22">
        <v>-1.1253858059999999</v>
      </c>
      <c r="M22">
        <v>1213.4971463181184</v>
      </c>
      <c r="N22">
        <v>0.65</v>
      </c>
      <c r="P22">
        <v>0.69016349219999995</v>
      </c>
      <c r="Q22">
        <v>-1.6780950466</v>
      </c>
      <c r="R22">
        <v>1206.1276897770204</v>
      </c>
      <c r="S22">
        <v>0.65</v>
      </c>
      <c r="U22">
        <v>0</v>
      </c>
      <c r="V22">
        <v>-3.0021297725</v>
      </c>
      <c r="W22">
        <v>1188.4738934306911</v>
      </c>
      <c r="X22">
        <v>0.65</v>
      </c>
      <c r="Z22">
        <v>0</v>
      </c>
      <c r="AA22">
        <v>0</v>
      </c>
      <c r="AB22">
        <v>1228.5022903979216</v>
      </c>
      <c r="AC22">
        <v>0.65</v>
      </c>
      <c r="AE22">
        <v>-1.8526107867999999</v>
      </c>
      <c r="AF22">
        <v>-1.8363930724999999</v>
      </c>
      <c r="AG22">
        <v>1203.6151694286211</v>
      </c>
      <c r="AH22">
        <v>0.65</v>
      </c>
      <c r="AJ22">
        <v>-4.0642723186000005</v>
      </c>
      <c r="AK22">
        <v>-1.6653981957999999</v>
      </c>
      <c r="AL22">
        <v>1194.953087923506</v>
      </c>
      <c r="AM22">
        <v>0.65</v>
      </c>
    </row>
    <row r="23" spans="1:39" x14ac:dyDescent="0.25">
      <c r="A23">
        <v>3.2117693336000004</v>
      </c>
      <c r="B23">
        <v>0</v>
      </c>
      <c r="C23">
        <v>1210.1493227772121</v>
      </c>
      <c r="D23">
        <v>0.65</v>
      </c>
      <c r="F23">
        <v>3.6770414326000003</v>
      </c>
      <c r="G23">
        <v>-1.5022301404</v>
      </c>
      <c r="H23">
        <v>1197.6897325973921</v>
      </c>
      <c r="I23">
        <v>0.65</v>
      </c>
      <c r="K23">
        <v>2.1803814008</v>
      </c>
      <c r="L23">
        <v>-2.1481185159000002</v>
      </c>
      <c r="M23">
        <v>1197.2679108508532</v>
      </c>
      <c r="N23">
        <v>0.65</v>
      </c>
      <c r="P23">
        <v>0</v>
      </c>
      <c r="Q23">
        <v>0</v>
      </c>
      <c r="R23">
        <v>1228.5022903979216</v>
      </c>
      <c r="S23">
        <v>0.65</v>
      </c>
      <c r="U23">
        <v>0</v>
      </c>
      <c r="V23">
        <v>-10.073509464700001</v>
      </c>
      <c r="W23">
        <v>1112.196238276548</v>
      </c>
      <c r="X23">
        <v>0.65</v>
      </c>
      <c r="Z23">
        <v>0</v>
      </c>
      <c r="AA23">
        <v>0</v>
      </c>
      <c r="AB23">
        <v>1228.5022903979216</v>
      </c>
      <c r="AC23">
        <v>0.65</v>
      </c>
      <c r="AE23">
        <v>-2.1916640887000001</v>
      </c>
      <c r="AF23">
        <v>-2.1566351747999999</v>
      </c>
      <c r="AG23">
        <v>1197.0808791822874</v>
      </c>
      <c r="AH23">
        <v>0.65</v>
      </c>
      <c r="AJ23">
        <v>-3.7722678267999998</v>
      </c>
      <c r="AK23">
        <v>-1.5424053853000002</v>
      </c>
      <c r="AL23">
        <v>1196.5617160745276</v>
      </c>
      <c r="AM23">
        <v>0.65</v>
      </c>
    </row>
    <row r="24" spans="1:39" x14ac:dyDescent="0.25">
      <c r="A24">
        <v>15.2021416044</v>
      </c>
      <c r="B24">
        <v>0</v>
      </c>
      <c r="C24">
        <v>1145.491639960346</v>
      </c>
      <c r="D24">
        <v>0.65</v>
      </c>
      <c r="F24">
        <v>3.4148134528000003</v>
      </c>
      <c r="G24">
        <v>-1.4113801211000001</v>
      </c>
      <c r="H24">
        <v>1200.5148875541361</v>
      </c>
      <c r="I24">
        <v>0.65</v>
      </c>
      <c r="K24">
        <v>0.98628538359999995</v>
      </c>
      <c r="L24">
        <v>-0.98184316659999993</v>
      </c>
      <c r="M24">
        <v>1215.4110481768203</v>
      </c>
      <c r="N24">
        <v>0.65</v>
      </c>
      <c r="P24">
        <v>0</v>
      </c>
      <c r="Q24">
        <v>0</v>
      </c>
      <c r="R24">
        <v>1228.5022903979216</v>
      </c>
      <c r="S24">
        <v>0.65</v>
      </c>
      <c r="U24">
        <v>0</v>
      </c>
      <c r="V24">
        <v>-6.6540699252</v>
      </c>
      <c r="W24">
        <v>1150.4220988032021</v>
      </c>
      <c r="X24">
        <v>0.65</v>
      </c>
      <c r="Z24">
        <v>0.47938269459999999</v>
      </c>
      <c r="AA24">
        <v>1.1680523175999999</v>
      </c>
      <c r="AB24">
        <v>1212.9282594963772</v>
      </c>
      <c r="AC24">
        <v>0.65</v>
      </c>
      <c r="AE24">
        <v>-2.2034246501000001</v>
      </c>
      <c r="AF24">
        <v>-2.1779561176</v>
      </c>
      <c r="AG24">
        <v>1196.7091025783575</v>
      </c>
      <c r="AH24">
        <v>0.65</v>
      </c>
      <c r="AJ24">
        <v>-3.7876484564999999</v>
      </c>
      <c r="AK24">
        <v>-1.549295877</v>
      </c>
      <c r="AL24">
        <v>1196.373817116694</v>
      </c>
      <c r="AM24">
        <v>0.65</v>
      </c>
    </row>
    <row r="25" spans="1:39" x14ac:dyDescent="0.25">
      <c r="A25">
        <v>2.2313811806999997</v>
      </c>
      <c r="B25">
        <v>0</v>
      </c>
      <c r="C25">
        <v>1215.7515407940307</v>
      </c>
      <c r="D25">
        <v>0.65</v>
      </c>
      <c r="F25">
        <v>3.7231706487999996</v>
      </c>
      <c r="G25">
        <v>-1.5229066442000001</v>
      </c>
      <c r="H25">
        <v>1197.1260384059974</v>
      </c>
      <c r="I25">
        <v>0.65</v>
      </c>
      <c r="K25">
        <v>1.9872973940000001</v>
      </c>
      <c r="L25">
        <v>-1.9778547475999999</v>
      </c>
      <c r="M25">
        <v>1200.8170073549552</v>
      </c>
      <c r="N25">
        <v>0.65</v>
      </c>
      <c r="P25">
        <v>1.0476944283</v>
      </c>
      <c r="Q25">
        <v>-2.5389327768999999</v>
      </c>
      <c r="R25">
        <v>1194.6498533726892</v>
      </c>
      <c r="S25">
        <v>0.65</v>
      </c>
      <c r="U25">
        <v>0</v>
      </c>
      <c r="V25">
        <v>-2.3232727658000001</v>
      </c>
      <c r="W25">
        <v>1197.5253201872765</v>
      </c>
      <c r="X25">
        <v>0.65</v>
      </c>
      <c r="Z25">
        <v>-1.0429477671</v>
      </c>
      <c r="AA25">
        <v>-2.5276215059</v>
      </c>
      <c r="AB25">
        <v>1194.8006703189603</v>
      </c>
      <c r="AC25">
        <v>0.65</v>
      </c>
      <c r="AE25">
        <v>-1.7095648396000001</v>
      </c>
      <c r="AF25">
        <v>-1.6952693554</v>
      </c>
      <c r="AG25">
        <v>1205.89869899325</v>
      </c>
      <c r="AH25">
        <v>0.65</v>
      </c>
      <c r="AJ25">
        <v>-3.7250468429999999</v>
      </c>
      <c r="AK25">
        <v>-1.5221621227</v>
      </c>
      <c r="AL25">
        <v>1197.1256413278493</v>
      </c>
      <c r="AM25">
        <v>0.65</v>
      </c>
    </row>
    <row r="26" spans="1:39" x14ac:dyDescent="0.25">
      <c r="A26">
        <v>15.234821209500002</v>
      </c>
      <c r="B26">
        <v>0</v>
      </c>
      <c r="C26">
        <v>1145.3048993597854</v>
      </c>
      <c r="D26">
        <v>0.65</v>
      </c>
      <c r="F26">
        <v>3.6951674344999996</v>
      </c>
      <c r="G26">
        <v>-1.5080311986000001</v>
      </c>
      <c r="H26">
        <v>1197.5012526084058</v>
      </c>
      <c r="I26">
        <v>0.65</v>
      </c>
      <c r="K26">
        <v>2.1359468086</v>
      </c>
      <c r="L26">
        <v>-2.1397634583</v>
      </c>
      <c r="M26">
        <v>1197.6466025935531</v>
      </c>
      <c r="N26">
        <v>0.65</v>
      </c>
      <c r="P26">
        <v>1.057194789</v>
      </c>
      <c r="Q26">
        <v>-2.5615527334000001</v>
      </c>
      <c r="R26">
        <v>1194.3482539530207</v>
      </c>
      <c r="S26">
        <v>0.65</v>
      </c>
      <c r="U26">
        <v>0</v>
      </c>
      <c r="V26">
        <v>-6.7062896949000006</v>
      </c>
      <c r="W26">
        <v>1149.7258352065417</v>
      </c>
      <c r="X26">
        <v>0.65</v>
      </c>
      <c r="Z26">
        <v>-0.82981629150000003</v>
      </c>
      <c r="AA26">
        <v>-2.0184422914</v>
      </c>
      <c r="AB26">
        <v>1201.5897265127717</v>
      </c>
      <c r="AC26">
        <v>0.65</v>
      </c>
      <c r="AE26">
        <v>-0.98630253130000001</v>
      </c>
      <c r="AF26">
        <v>-0.98183686739999998</v>
      </c>
      <c r="AG26">
        <v>1215.4111321656846</v>
      </c>
      <c r="AH26">
        <v>0.65</v>
      </c>
      <c r="AJ26">
        <v>-3.756514686</v>
      </c>
      <c r="AK26">
        <v>-1.5356627156</v>
      </c>
      <c r="AL26">
        <v>1196.7496938706809</v>
      </c>
      <c r="AM26">
        <v>0.65</v>
      </c>
    </row>
    <row r="27" spans="1:39" x14ac:dyDescent="0.25">
      <c r="A27">
        <v>22.289656075699998</v>
      </c>
      <c r="B27">
        <v>0</v>
      </c>
      <c r="C27">
        <v>1106.0439382191639</v>
      </c>
      <c r="D27">
        <v>0.65</v>
      </c>
      <c r="F27">
        <v>4.0633583762000001</v>
      </c>
      <c r="G27">
        <v>-1.6657608714000001</v>
      </c>
      <c r="H27">
        <v>1194.9532813504791</v>
      </c>
      <c r="I27">
        <v>0.65</v>
      </c>
      <c r="K27">
        <v>2.1851890833000001</v>
      </c>
      <c r="L27">
        <v>-2.1592046214000002</v>
      </c>
      <c r="M27">
        <v>1197.0822495538</v>
      </c>
      <c r="N27">
        <v>0.65</v>
      </c>
      <c r="P27">
        <v>1.0666909775</v>
      </c>
      <c r="Q27">
        <v>-2.5841742224000002</v>
      </c>
      <c r="R27">
        <v>1194.0466340986436</v>
      </c>
      <c r="S27">
        <v>0.65</v>
      </c>
      <c r="U27">
        <v>0</v>
      </c>
      <c r="V27">
        <v>0</v>
      </c>
      <c r="W27">
        <v>1228.5022903979216</v>
      </c>
      <c r="X27">
        <v>0.65</v>
      </c>
      <c r="Z27">
        <v>0</v>
      </c>
      <c r="AA27">
        <v>0</v>
      </c>
      <c r="AB27">
        <v>1228.5022903979216</v>
      </c>
      <c r="AC27">
        <v>0.65</v>
      </c>
      <c r="AE27">
        <v>-2.1454057711000001</v>
      </c>
      <c r="AF27">
        <v>-2.1490038179000002</v>
      </c>
      <c r="AG27">
        <v>1197.4599568986255</v>
      </c>
      <c r="AH27">
        <v>0.65</v>
      </c>
      <c r="AJ27">
        <v>-3.6935325582000003</v>
      </c>
      <c r="AK27">
        <v>-1.5086799590000002</v>
      </c>
      <c r="AL27">
        <v>1197.5015986139604</v>
      </c>
      <c r="AM27">
        <v>0.65</v>
      </c>
    </row>
    <row r="28" spans="1:39" x14ac:dyDescent="0.25">
      <c r="A28">
        <v>1.7411871042000002</v>
      </c>
      <c r="B28">
        <v>0</v>
      </c>
      <c r="C28">
        <v>1218.5526498024401</v>
      </c>
      <c r="D28">
        <v>0.65</v>
      </c>
      <c r="F28">
        <v>4.6549669792000001</v>
      </c>
      <c r="G28">
        <v>-1.9330311546999999</v>
      </c>
      <c r="H28">
        <v>1191.1770206404115</v>
      </c>
      <c r="I28">
        <v>0.65</v>
      </c>
      <c r="K28">
        <v>2.1965759052</v>
      </c>
      <c r="L28">
        <v>-2.1676799573999999</v>
      </c>
      <c r="M28">
        <v>1196.8951958462912</v>
      </c>
      <c r="N28">
        <v>0.65</v>
      </c>
      <c r="P28">
        <v>0.48481001069999996</v>
      </c>
      <c r="Q28">
        <v>-1.1660586096999999</v>
      </c>
      <c r="R28">
        <v>1212.9548422690195</v>
      </c>
      <c r="S28">
        <v>0.65</v>
      </c>
      <c r="U28">
        <v>0</v>
      </c>
      <c r="V28">
        <v>-2.1274486291999999</v>
      </c>
      <c r="W28">
        <v>1200.1363086747533</v>
      </c>
      <c r="X28">
        <v>0.65</v>
      </c>
      <c r="Z28">
        <v>-0.27668826639999999</v>
      </c>
      <c r="AA28">
        <v>-0.65503908569999991</v>
      </c>
      <c r="AB28">
        <v>1219.7684359224043</v>
      </c>
      <c r="AC28">
        <v>0.65</v>
      </c>
      <c r="AE28">
        <v>-2.1359442827999997</v>
      </c>
      <c r="AF28">
        <v>-2.1397644605999999</v>
      </c>
      <c r="AG28">
        <v>1197.6466031281209</v>
      </c>
      <c r="AH28">
        <v>0.65</v>
      </c>
      <c r="AJ28">
        <v>-4.0882228024999998</v>
      </c>
      <c r="AK28">
        <v>-1.6818818676999998</v>
      </c>
      <c r="AL28">
        <v>1194.5787314418171</v>
      </c>
      <c r="AM28">
        <v>0.65</v>
      </c>
    </row>
    <row r="29" spans="1:39" x14ac:dyDescent="0.25">
      <c r="A29">
        <v>15.430898839999999</v>
      </c>
      <c r="B29">
        <v>0</v>
      </c>
      <c r="C29">
        <v>1144.1844557564216</v>
      </c>
      <c r="D29">
        <v>0.65</v>
      </c>
      <c r="F29">
        <v>3.7565557647999999</v>
      </c>
      <c r="G29">
        <v>-1.5356464145000002</v>
      </c>
      <c r="H29">
        <v>1196.7496851767567</v>
      </c>
      <c r="I29">
        <v>0.65</v>
      </c>
      <c r="K29">
        <v>2.1268270374</v>
      </c>
      <c r="L29">
        <v>-2.1303884989999999</v>
      </c>
      <c r="M29">
        <v>1197.8331765019632</v>
      </c>
      <c r="N29">
        <v>0.65</v>
      </c>
      <c r="P29">
        <v>1.1645337862</v>
      </c>
      <c r="Q29">
        <v>-2.7932792576000001</v>
      </c>
      <c r="R29">
        <v>1191.6132583209694</v>
      </c>
      <c r="S29">
        <v>0.65</v>
      </c>
      <c r="U29">
        <v>0</v>
      </c>
      <c r="V29">
        <v>0</v>
      </c>
      <c r="W29">
        <v>1228.5022903979216</v>
      </c>
      <c r="X29">
        <v>0.65</v>
      </c>
      <c r="Z29">
        <v>-1.0571935908999999</v>
      </c>
      <c r="AA29">
        <v>-2.5615531735000001</v>
      </c>
      <c r="AB29">
        <v>1194.3482480846542</v>
      </c>
      <c r="AC29">
        <v>0.65</v>
      </c>
      <c r="AE29">
        <v>-0.84047166489999992</v>
      </c>
      <c r="AF29">
        <v>-0.83958325320000005</v>
      </c>
      <c r="AG29">
        <v>1217.3078470219625</v>
      </c>
      <c r="AH29">
        <v>0.65</v>
      </c>
      <c r="AJ29">
        <v>-3.6781732734000001</v>
      </c>
      <c r="AK29">
        <v>-1.5017809972</v>
      </c>
      <c r="AL29">
        <v>1197.6894930543533</v>
      </c>
      <c r="AM29">
        <v>0.65</v>
      </c>
    </row>
    <row r="30" spans="1:39" x14ac:dyDescent="0.25">
      <c r="A30">
        <v>15.2675008145</v>
      </c>
      <c r="B30">
        <v>0</v>
      </c>
      <c r="C30">
        <v>1145.1181587592246</v>
      </c>
      <c r="D30">
        <v>0.65</v>
      </c>
      <c r="F30">
        <v>3.7898280161999995</v>
      </c>
      <c r="G30">
        <v>-1.5484309723</v>
      </c>
      <c r="H30">
        <v>1196.3733558342144</v>
      </c>
      <c r="I30">
        <v>0.65</v>
      </c>
      <c r="K30">
        <v>2.3613567456999998</v>
      </c>
      <c r="L30">
        <v>-2.3411583438000001</v>
      </c>
      <c r="M30">
        <v>1195.313493335753</v>
      </c>
      <c r="N30">
        <v>0.65</v>
      </c>
      <c r="P30">
        <v>1.1689177817</v>
      </c>
      <c r="Q30">
        <v>-2.8047237526999997</v>
      </c>
      <c r="R30">
        <v>1191.4606650529922</v>
      </c>
      <c r="S30">
        <v>0.65</v>
      </c>
      <c r="U30">
        <v>0</v>
      </c>
      <c r="V30">
        <v>-6.5757402705000008</v>
      </c>
      <c r="W30">
        <v>1151.4664941981928</v>
      </c>
      <c r="X30">
        <v>0.65</v>
      </c>
      <c r="Z30">
        <v>-1.0476964154999999</v>
      </c>
      <c r="AA30">
        <v>-2.5389320468999999</v>
      </c>
      <c r="AB30">
        <v>1194.649863105903</v>
      </c>
      <c r="AC30">
        <v>0.65</v>
      </c>
      <c r="AE30">
        <v>-2.3774756423999999</v>
      </c>
      <c r="AF30">
        <v>-2.3477558723</v>
      </c>
      <c r="AG30">
        <v>1195.1254381309348</v>
      </c>
      <c r="AH30">
        <v>0.65</v>
      </c>
      <c r="AJ30">
        <v>-4.7194209563999996</v>
      </c>
      <c r="AK30">
        <v>-1.9334420118</v>
      </c>
      <c r="AL30">
        <v>1190.7940919908258</v>
      </c>
      <c r="AM30">
        <v>0.65</v>
      </c>
    </row>
    <row r="31" spans="1:39" x14ac:dyDescent="0.25">
      <c r="A31">
        <v>15.169461999299999</v>
      </c>
      <c r="B31">
        <v>0</v>
      </c>
      <c r="C31">
        <v>1145.6783805609066</v>
      </c>
      <c r="D31">
        <v>0.65</v>
      </c>
      <c r="F31">
        <v>3.7718747595000002</v>
      </c>
      <c r="G31">
        <v>-1.5425613644</v>
      </c>
      <c r="H31">
        <v>1196.5617992633595</v>
      </c>
      <c r="I31">
        <v>0.65</v>
      </c>
      <c r="K31">
        <v>2.2072092016</v>
      </c>
      <c r="L31">
        <v>-2.1764543114000001</v>
      </c>
      <c r="M31">
        <v>1196.7083016150727</v>
      </c>
      <c r="N31">
        <v>0.65</v>
      </c>
      <c r="P31">
        <v>1.0714379018</v>
      </c>
      <c r="Q31">
        <v>-2.5954853967999996</v>
      </c>
      <c r="R31">
        <v>1193.8958184406997</v>
      </c>
      <c r="S31">
        <v>0.65</v>
      </c>
      <c r="U31">
        <v>0</v>
      </c>
      <c r="V31">
        <v>-6.588795213</v>
      </c>
      <c r="W31">
        <v>1151.2924282990275</v>
      </c>
      <c r="X31">
        <v>0.65</v>
      </c>
      <c r="Z31">
        <v>-0.90062136380000002</v>
      </c>
      <c r="AA31">
        <v>-2.1882564013999999</v>
      </c>
      <c r="AB31">
        <v>1199.3255383794685</v>
      </c>
      <c r="AC31">
        <v>0.65</v>
      </c>
      <c r="AE31">
        <v>-2.1268709674999999</v>
      </c>
      <c r="AF31">
        <v>-2.1303710665</v>
      </c>
      <c r="AG31">
        <v>1197.8331672045924</v>
      </c>
      <c r="AH31">
        <v>0.65</v>
      </c>
      <c r="AJ31">
        <v>-4.1212060685000003</v>
      </c>
      <c r="AK31">
        <v>-1.6947811022999999</v>
      </c>
      <c r="AL31">
        <v>1194.202463260202</v>
      </c>
      <c r="AM31">
        <v>0.65</v>
      </c>
    </row>
    <row r="32" spans="1:39" x14ac:dyDescent="0.25">
      <c r="A32">
        <v>4.6823515630000001</v>
      </c>
      <c r="B32">
        <v>0</v>
      </c>
      <c r="C32">
        <v>1201.7459957519841</v>
      </c>
      <c r="D32">
        <v>0.65</v>
      </c>
      <c r="F32">
        <v>4.6709208876000003</v>
      </c>
      <c r="G32">
        <v>-1.9396941547</v>
      </c>
      <c r="H32">
        <v>1190.9890003537482</v>
      </c>
      <c r="I32">
        <v>0.65</v>
      </c>
      <c r="K32">
        <v>2.3760623240999998</v>
      </c>
      <c r="L32">
        <v>-2.3483167129</v>
      </c>
      <c r="M32">
        <v>1195.1257372459222</v>
      </c>
      <c r="N32">
        <v>0.65</v>
      </c>
      <c r="P32">
        <v>0.41330569680000001</v>
      </c>
      <c r="Q32">
        <v>-0.99650136389999999</v>
      </c>
      <c r="R32">
        <v>1215.2156055454666</v>
      </c>
      <c r="S32">
        <v>0.65</v>
      </c>
      <c r="U32">
        <v>0</v>
      </c>
      <c r="V32">
        <v>-2.9629649452</v>
      </c>
      <c r="W32">
        <v>1188.9960911281864</v>
      </c>
      <c r="X32">
        <v>0.65</v>
      </c>
      <c r="Z32">
        <v>-1.1645335553</v>
      </c>
      <c r="AA32">
        <v>-2.7932793424</v>
      </c>
      <c r="AB32">
        <v>1191.613257190347</v>
      </c>
      <c r="AC32">
        <v>0.65</v>
      </c>
      <c r="AE32">
        <v>-2.1965758405</v>
      </c>
      <c r="AF32">
        <v>-2.1676799830999998</v>
      </c>
      <c r="AG32">
        <v>1196.8951958599794</v>
      </c>
      <c r="AH32">
        <v>0.65</v>
      </c>
      <c r="AJ32">
        <v>-4.0998883809000004</v>
      </c>
      <c r="AK32">
        <v>-1.7162344182</v>
      </c>
      <c r="AL32">
        <v>1194.0223311420077</v>
      </c>
      <c r="AM32">
        <v>0.65</v>
      </c>
    </row>
    <row r="33" spans="1:39" x14ac:dyDescent="0.25">
      <c r="A33">
        <v>5.1725456395</v>
      </c>
      <c r="B33">
        <v>0</v>
      </c>
      <c r="C33">
        <v>1198.9448867435747</v>
      </c>
      <c r="D33">
        <v>0.65</v>
      </c>
      <c r="F33">
        <v>4.0893170891999997</v>
      </c>
      <c r="G33">
        <v>-1.6814476270000001</v>
      </c>
      <c r="H33">
        <v>1194.5784998467452</v>
      </c>
      <c r="I33">
        <v>0.65</v>
      </c>
      <c r="K33">
        <v>1.7104561387999999</v>
      </c>
      <c r="L33">
        <v>-1.6949419393</v>
      </c>
      <c r="M33">
        <v>1205.9030645405903</v>
      </c>
      <c r="N33">
        <v>0.65</v>
      </c>
      <c r="P33">
        <v>1.2944532140999998</v>
      </c>
      <c r="Q33">
        <v>-3.1784426927</v>
      </c>
      <c r="R33">
        <v>1187.1871285696263</v>
      </c>
      <c r="S33">
        <v>0.65</v>
      </c>
      <c r="U33">
        <v>0</v>
      </c>
      <c r="V33">
        <v>-10.099619349499999</v>
      </c>
      <c r="W33">
        <v>1111.8481064782177</v>
      </c>
      <c r="X33">
        <v>0.65</v>
      </c>
      <c r="Z33">
        <v>-1.2401895907</v>
      </c>
      <c r="AA33">
        <v>-2.9914660730000002</v>
      </c>
      <c r="AB33">
        <v>1189.3254588077536</v>
      </c>
      <c r="AC33">
        <v>0.65</v>
      </c>
      <c r="AE33">
        <v>-2.5493443694</v>
      </c>
      <c r="AF33">
        <v>-2.5379132587999997</v>
      </c>
      <c r="AG33">
        <v>1193.1694833137624</v>
      </c>
      <c r="AH33">
        <v>0.65</v>
      </c>
      <c r="AJ33">
        <v>-4.3788695525999994</v>
      </c>
      <c r="AK33">
        <v>-1.824905118</v>
      </c>
      <c r="AL33">
        <v>1192.5976384186733</v>
      </c>
      <c r="AM33">
        <v>0.65</v>
      </c>
    </row>
    <row r="34" spans="1:39" x14ac:dyDescent="0.25">
      <c r="A34">
        <v>0</v>
      </c>
      <c r="B34">
        <v>0</v>
      </c>
      <c r="C34">
        <v>1228.5022903979216</v>
      </c>
      <c r="D34">
        <v>0.65</v>
      </c>
      <c r="F34">
        <v>4.7179002190999997</v>
      </c>
      <c r="G34">
        <v>-1.9730272273</v>
      </c>
      <c r="H34">
        <v>1190.2404824456521</v>
      </c>
      <c r="I34">
        <v>0.65</v>
      </c>
      <c r="K34">
        <v>2.4017884854</v>
      </c>
      <c r="L34">
        <v>-2.3640957509000002</v>
      </c>
      <c r="M34">
        <v>1194.7510049594819</v>
      </c>
      <c r="N34">
        <v>0.65</v>
      </c>
      <c r="P34">
        <v>1.2401895673000001</v>
      </c>
      <c r="Q34">
        <v>-2.9914660815</v>
      </c>
      <c r="R34">
        <v>1189.325458693417</v>
      </c>
      <c r="S34">
        <v>0.65</v>
      </c>
      <c r="U34">
        <v>0</v>
      </c>
      <c r="V34">
        <v>-10.1648940617</v>
      </c>
      <c r="W34">
        <v>1110.9777769823922</v>
      </c>
      <c r="X34">
        <v>0.65</v>
      </c>
      <c r="Z34">
        <v>-1.1689196828999999</v>
      </c>
      <c r="AA34">
        <v>-2.8047230543000001</v>
      </c>
      <c r="AB34">
        <v>1191.4606743648185</v>
      </c>
      <c r="AC34">
        <v>0.65</v>
      </c>
      <c r="AE34">
        <v>-2.3909855676</v>
      </c>
      <c r="AF34">
        <v>-2.3553887068999999</v>
      </c>
      <c r="AG34">
        <v>1194.937935089401</v>
      </c>
      <c r="AH34">
        <v>0.65</v>
      </c>
      <c r="AJ34">
        <v>-4.7204957501000004</v>
      </c>
      <c r="AK34">
        <v>-1.9719972546</v>
      </c>
      <c r="AL34">
        <v>1190.2399331269228</v>
      </c>
      <c r="AM34">
        <v>0.65</v>
      </c>
    </row>
    <row r="35" spans="1:39" x14ac:dyDescent="0.25">
      <c r="A35">
        <v>22.158937655300001</v>
      </c>
      <c r="B35">
        <v>0</v>
      </c>
      <c r="C35">
        <v>1106.7909006214063</v>
      </c>
      <c r="D35">
        <v>0.65</v>
      </c>
      <c r="F35">
        <v>3.1804974764000002</v>
      </c>
      <c r="G35">
        <v>-1.30945391</v>
      </c>
      <c r="H35">
        <v>1203.3341352085918</v>
      </c>
      <c r="I35">
        <v>0.65</v>
      </c>
      <c r="K35">
        <v>2.8750682787000001</v>
      </c>
      <c r="L35">
        <v>-2.8652154142000001</v>
      </c>
      <c r="M35">
        <v>1189.9999612622103</v>
      </c>
      <c r="N35">
        <v>0.65</v>
      </c>
      <c r="P35">
        <v>0.34397485359999996</v>
      </c>
      <c r="Q35">
        <v>-0.82614570040000002</v>
      </c>
      <c r="R35">
        <v>1217.4870143928651</v>
      </c>
      <c r="S35">
        <v>0.65</v>
      </c>
      <c r="U35">
        <v>0</v>
      </c>
      <c r="V35">
        <v>-1.9316244926999999</v>
      </c>
      <c r="W35">
        <v>1202.7472971622299</v>
      </c>
      <c r="X35">
        <v>0.65</v>
      </c>
      <c r="Z35">
        <v>-1.2944445444999999</v>
      </c>
      <c r="AA35">
        <v>-3.1784458774000002</v>
      </c>
      <c r="AB35">
        <v>1187.1870861063674</v>
      </c>
      <c r="AC35">
        <v>0.65</v>
      </c>
      <c r="AE35">
        <v>-2.5598686718999999</v>
      </c>
      <c r="AF35">
        <v>-2.5467308643999997</v>
      </c>
      <c r="AG35">
        <v>1192.9826121500382</v>
      </c>
      <c r="AH35">
        <v>0.65</v>
      </c>
      <c r="AJ35">
        <v>-4.0804560648999999</v>
      </c>
      <c r="AK35">
        <v>-1.6719699904000001</v>
      </c>
      <c r="AL35">
        <v>1194.7650189939088</v>
      </c>
      <c r="AM35">
        <v>0.65</v>
      </c>
    </row>
    <row r="36" spans="1:39" x14ac:dyDescent="0.25">
      <c r="A36">
        <v>22.0935784451</v>
      </c>
      <c r="B36">
        <v>0</v>
      </c>
      <c r="C36">
        <v>1107.1643818225275</v>
      </c>
      <c r="D36">
        <v>0.65</v>
      </c>
      <c r="F36">
        <v>4.1045521918999999</v>
      </c>
      <c r="G36">
        <v>-1.6883958673999999</v>
      </c>
      <c r="H36">
        <v>1194.3906316882831</v>
      </c>
      <c r="I36">
        <v>0.65</v>
      </c>
      <c r="K36">
        <v>2.3907877854000001</v>
      </c>
      <c r="L36">
        <v>-2.3554671918999999</v>
      </c>
      <c r="M36">
        <v>1194.9379769480652</v>
      </c>
      <c r="N36">
        <v>0.65</v>
      </c>
      <c r="P36">
        <v>2.0128606860999998</v>
      </c>
      <c r="Q36">
        <v>-4.7978496059999998</v>
      </c>
      <c r="R36">
        <v>1169.8513326885877</v>
      </c>
      <c r="S36">
        <v>0.65</v>
      </c>
      <c r="U36">
        <v>0</v>
      </c>
      <c r="V36">
        <v>-0.16920726359999999</v>
      </c>
      <c r="W36">
        <v>1226.2461935495191</v>
      </c>
      <c r="X36">
        <v>0.65</v>
      </c>
      <c r="Z36">
        <v>0.34278666229999999</v>
      </c>
      <c r="AA36">
        <v>0.82658217879999996</v>
      </c>
      <c r="AB36">
        <v>1217.4811946800421</v>
      </c>
      <c r="AC36">
        <v>0.65</v>
      </c>
      <c r="AE36">
        <v>-2.4040230091999999</v>
      </c>
      <c r="AF36">
        <v>-2.3632090351000001</v>
      </c>
      <c r="AG36">
        <v>1194.7505320444013</v>
      </c>
      <c r="AH36">
        <v>0.65</v>
      </c>
      <c r="AJ36">
        <v>-3.7092904587</v>
      </c>
      <c r="AK36">
        <v>-1.5154207400000002</v>
      </c>
      <c r="AL36">
        <v>1197.313619810468</v>
      </c>
      <c r="AM36">
        <v>0.65</v>
      </c>
    </row>
    <row r="37" spans="1:39" x14ac:dyDescent="0.25">
      <c r="A37">
        <v>5.6627397159999999</v>
      </c>
      <c r="B37">
        <v>0</v>
      </c>
      <c r="C37">
        <v>1196.1437777351653</v>
      </c>
      <c r="D37">
        <v>0.65</v>
      </c>
      <c r="F37">
        <v>4.0812423346000006</v>
      </c>
      <c r="G37">
        <v>-1.6716579785999999</v>
      </c>
      <c r="H37">
        <v>1194.7648525876218</v>
      </c>
      <c r="I37">
        <v>0.65</v>
      </c>
      <c r="K37">
        <v>2.8636457087999996</v>
      </c>
      <c r="L37">
        <v>-2.8827420961000003</v>
      </c>
      <c r="M37">
        <v>1189.8177349392067</v>
      </c>
      <c r="N37">
        <v>0.65</v>
      </c>
      <c r="P37">
        <v>3.4250304245000001</v>
      </c>
      <c r="Q37">
        <v>-8.2645859337999994</v>
      </c>
      <c r="R37">
        <v>1131.8406507869552</v>
      </c>
      <c r="S37">
        <v>0.65</v>
      </c>
      <c r="U37">
        <v>0</v>
      </c>
      <c r="V37">
        <v>-10.217113831499999</v>
      </c>
      <c r="W37">
        <v>1110.2815133857316</v>
      </c>
      <c r="X37">
        <v>0.65</v>
      </c>
      <c r="Z37">
        <v>-2.0245790799000001</v>
      </c>
      <c r="AA37">
        <v>-4.9222782147999995</v>
      </c>
      <c r="AB37">
        <v>1168.5469759292266</v>
      </c>
      <c r="AC37">
        <v>0.65</v>
      </c>
      <c r="AE37">
        <v>-2.5636386719000002</v>
      </c>
      <c r="AF37">
        <v>-2.5582287486999999</v>
      </c>
      <c r="AG37">
        <v>1192.7971704683225</v>
      </c>
      <c r="AH37">
        <v>0.65</v>
      </c>
      <c r="AJ37">
        <v>-4.6695100040000002</v>
      </c>
      <c r="AK37">
        <v>-1.9402540292000001</v>
      </c>
      <c r="AL37">
        <v>1190.9892989534635</v>
      </c>
      <c r="AM37">
        <v>0.65</v>
      </c>
    </row>
    <row r="38" spans="1:39" x14ac:dyDescent="0.25">
      <c r="A38">
        <v>0</v>
      </c>
      <c r="B38">
        <v>0</v>
      </c>
      <c r="C38">
        <v>1228.5022903979216</v>
      </c>
      <c r="D38">
        <v>0.65</v>
      </c>
      <c r="F38">
        <v>5.0059781386999997</v>
      </c>
      <c r="G38">
        <v>-2.0715919278000001</v>
      </c>
      <c r="H38">
        <v>1188.8103998560318</v>
      </c>
      <c r="I38">
        <v>0.65</v>
      </c>
      <c r="K38">
        <v>2.7396012768999998</v>
      </c>
      <c r="L38">
        <v>-2.7012836534</v>
      </c>
      <c r="M38">
        <v>1191.3908159876048</v>
      </c>
      <c r="N38">
        <v>0.65</v>
      </c>
      <c r="P38">
        <v>2.6644724309999996</v>
      </c>
      <c r="Q38">
        <v>-6.3874828405000006</v>
      </c>
      <c r="R38">
        <v>1152.7215315368417</v>
      </c>
      <c r="S38">
        <v>0.65</v>
      </c>
      <c r="U38">
        <v>0</v>
      </c>
      <c r="V38">
        <v>-2.7149210389</v>
      </c>
      <c r="W38">
        <v>1192.3033432123234</v>
      </c>
      <c r="X38">
        <v>0.65</v>
      </c>
      <c r="Z38">
        <v>-3.6445471729000003</v>
      </c>
      <c r="AA38">
        <v>-8.7230764303000008</v>
      </c>
      <c r="AB38">
        <v>1126.6005305869382</v>
      </c>
      <c r="AC38">
        <v>0.65</v>
      </c>
      <c r="AE38">
        <v>3.2362745127000001</v>
      </c>
      <c r="AF38">
        <v>3.1914327567999998</v>
      </c>
      <c r="AG38">
        <v>1186.4467128704373</v>
      </c>
      <c r="AH38">
        <v>0.65</v>
      </c>
      <c r="AJ38">
        <v>-4.1051609578999999</v>
      </c>
      <c r="AK38">
        <v>-1.6881542936</v>
      </c>
      <c r="AL38">
        <v>1194.3905028489203</v>
      </c>
      <c r="AM38">
        <v>0.65</v>
      </c>
    </row>
    <row r="39" spans="1:39" x14ac:dyDescent="0.25">
      <c r="A39">
        <v>22.420374496099999</v>
      </c>
      <c r="B39">
        <v>0</v>
      </c>
      <c r="C39">
        <v>1105.2969758169213</v>
      </c>
      <c r="D39">
        <v>0.65</v>
      </c>
      <c r="F39">
        <v>4.3781870084000003</v>
      </c>
      <c r="G39">
        <v>-1.8251759689</v>
      </c>
      <c r="H39">
        <v>1192.5977828724708</v>
      </c>
      <c r="I39">
        <v>0.65</v>
      </c>
      <c r="K39">
        <v>2.5495371359000001</v>
      </c>
      <c r="L39">
        <v>-2.5378367641000001</v>
      </c>
      <c r="M39">
        <v>1193.1694425165995</v>
      </c>
      <c r="N39">
        <v>0.65</v>
      </c>
      <c r="P39">
        <v>2.6927241690999999</v>
      </c>
      <c r="Q39">
        <v>-6.6253583841000001</v>
      </c>
      <c r="R39">
        <v>1150.150104536446</v>
      </c>
      <c r="S39">
        <v>0.65</v>
      </c>
      <c r="U39">
        <v>0</v>
      </c>
      <c r="V39">
        <v>-0.75667967329999997</v>
      </c>
      <c r="W39">
        <v>1218.4132280870895</v>
      </c>
      <c r="X39">
        <v>0.65</v>
      </c>
      <c r="Z39">
        <v>-3.8611212141999998</v>
      </c>
      <c r="AA39">
        <v>-9.4085176783999991</v>
      </c>
      <c r="AB39">
        <v>1118.7163756734126</v>
      </c>
      <c r="AC39">
        <v>0.65</v>
      </c>
      <c r="AE39">
        <v>-2.7396011423999997</v>
      </c>
      <c r="AF39">
        <v>-2.7012837068</v>
      </c>
      <c r="AG39">
        <v>1191.3908160160684</v>
      </c>
      <c r="AH39">
        <v>0.65</v>
      </c>
      <c r="AJ39">
        <v>-4.6528234844999998</v>
      </c>
      <c r="AK39">
        <v>-1.9338817478000001</v>
      </c>
      <c r="AL39">
        <v>1191.1774742900911</v>
      </c>
      <c r="AM39">
        <v>0.65</v>
      </c>
    </row>
    <row r="40" spans="1:39" x14ac:dyDescent="0.25">
      <c r="A40">
        <v>7.7215548372000002</v>
      </c>
      <c r="B40">
        <v>0</v>
      </c>
      <c r="C40">
        <v>1184.379119899846</v>
      </c>
      <c r="D40">
        <v>0.65</v>
      </c>
      <c r="F40">
        <v>4.1212798385999996</v>
      </c>
      <c r="G40">
        <v>-1.6947518284</v>
      </c>
      <c r="H40">
        <v>1194.2024476474746</v>
      </c>
      <c r="I40">
        <v>0.65</v>
      </c>
      <c r="K40">
        <v>2.5283434515000001</v>
      </c>
      <c r="L40">
        <v>-2.5722347884999999</v>
      </c>
      <c r="M40">
        <v>1192.8046403562437</v>
      </c>
      <c r="N40">
        <v>0.65</v>
      </c>
      <c r="P40">
        <v>2.0245852002999998</v>
      </c>
      <c r="Q40">
        <v>-4.9222759665</v>
      </c>
      <c r="R40">
        <v>1168.5470059068796</v>
      </c>
      <c r="S40">
        <v>0.65</v>
      </c>
      <c r="U40">
        <v>0</v>
      </c>
      <c r="V40">
        <v>0</v>
      </c>
      <c r="W40">
        <v>1228.5022903979216</v>
      </c>
      <c r="X40">
        <v>0.65</v>
      </c>
      <c r="Z40">
        <v>-3.7431603784999998</v>
      </c>
      <c r="AA40">
        <v>-9.1768438979999996</v>
      </c>
      <c r="AB40">
        <v>1121.4233841039825</v>
      </c>
      <c r="AC40">
        <v>0.65</v>
      </c>
      <c r="AE40">
        <v>-2.8646341539999995</v>
      </c>
      <c r="AF40">
        <v>-2.8823498559000003</v>
      </c>
      <c r="AG40">
        <v>1189.8175257444595</v>
      </c>
      <c r="AH40">
        <v>0.65</v>
      </c>
      <c r="AJ40">
        <v>-5.0053094300999996</v>
      </c>
      <c r="AK40">
        <v>-2.0718572882999999</v>
      </c>
      <c r="AL40">
        <v>1188.8105413816529</v>
      </c>
      <c r="AM40">
        <v>0.65</v>
      </c>
    </row>
    <row r="41" spans="1:39" x14ac:dyDescent="0.25">
      <c r="A41">
        <v>15.104102789100001</v>
      </c>
      <c r="B41">
        <v>0</v>
      </c>
      <c r="C41">
        <v>1146.0518617620278</v>
      </c>
      <c r="D41">
        <v>0.65</v>
      </c>
      <c r="F41">
        <v>4.7281916581000001</v>
      </c>
      <c r="G41">
        <v>-1.9559494068000001</v>
      </c>
      <c r="H41">
        <v>1190.4229481614348</v>
      </c>
      <c r="I41">
        <v>0.65</v>
      </c>
      <c r="K41">
        <v>2.5612606296</v>
      </c>
      <c r="L41">
        <v>-2.5461785001999999</v>
      </c>
      <c r="M41">
        <v>1192.9823175558083</v>
      </c>
      <c r="N41">
        <v>0.65</v>
      </c>
      <c r="P41">
        <v>3.4381718549999998</v>
      </c>
      <c r="Q41">
        <v>-8.4938134119999997</v>
      </c>
      <c r="R41">
        <v>1129.2753955221076</v>
      </c>
      <c r="S41">
        <v>0.65</v>
      </c>
      <c r="U41">
        <v>0</v>
      </c>
      <c r="V41">
        <v>-6.6671248676000001</v>
      </c>
      <c r="W41">
        <v>1150.248032904037</v>
      </c>
      <c r="X41">
        <v>0.65</v>
      </c>
      <c r="Z41">
        <v>-2.0795052469000002</v>
      </c>
      <c r="AA41">
        <v>-4.9282111404000002</v>
      </c>
      <c r="AB41">
        <v>1168.4678702549156</v>
      </c>
      <c r="AC41">
        <v>0.65</v>
      </c>
      <c r="AE41">
        <v>-2.5204095640999999</v>
      </c>
      <c r="AF41">
        <v>-2.5364014083000002</v>
      </c>
      <c r="AG41">
        <v>1193.3602508801812</v>
      </c>
      <c r="AH41">
        <v>0.65</v>
      </c>
      <c r="AJ41">
        <v>-4.7287666459000004</v>
      </c>
      <c r="AK41">
        <v>-1.9557212370999999</v>
      </c>
      <c r="AL41">
        <v>1190.4228264709063</v>
      </c>
      <c r="AM41">
        <v>0.65</v>
      </c>
    </row>
    <row r="42" spans="1:39" x14ac:dyDescent="0.25">
      <c r="A42">
        <v>15.300180419599998</v>
      </c>
      <c r="B42">
        <v>0</v>
      </c>
      <c r="C42">
        <v>1144.9314181586642</v>
      </c>
      <c r="D42">
        <v>0.65</v>
      </c>
      <c r="F42">
        <v>4.7566635600999998</v>
      </c>
      <c r="G42">
        <v>-1.9316571168999999</v>
      </c>
      <c r="H42">
        <v>1190.6015661601893</v>
      </c>
      <c r="I42">
        <v>0.65</v>
      </c>
      <c r="K42">
        <v>4.0326877006000004</v>
      </c>
      <c r="L42">
        <v>-4.0801090778999995</v>
      </c>
      <c r="M42">
        <v>1177.7023175077136</v>
      </c>
      <c r="N42">
        <v>0.65</v>
      </c>
      <c r="P42">
        <v>3.1193940445999999</v>
      </c>
      <c r="Q42">
        <v>-7.6951841219999997</v>
      </c>
      <c r="R42">
        <v>1138.3140329690532</v>
      </c>
      <c r="S42">
        <v>0.65</v>
      </c>
      <c r="U42">
        <v>0</v>
      </c>
      <c r="V42">
        <v>-2.9238001179000004</v>
      </c>
      <c r="W42">
        <v>1189.5182888256818</v>
      </c>
      <c r="X42">
        <v>0.65</v>
      </c>
      <c r="Z42">
        <v>-2.0128789900999999</v>
      </c>
      <c r="AA42">
        <v>-4.7978428821000003</v>
      </c>
      <c r="AB42">
        <v>1169.8514223407626</v>
      </c>
      <c r="AC42">
        <v>0.65</v>
      </c>
      <c r="AE42">
        <v>-2.3639035847000001</v>
      </c>
      <c r="AF42">
        <v>-2.3401476934000001</v>
      </c>
      <c r="AG42">
        <v>1195.3129543222151</v>
      </c>
      <c r="AH42">
        <v>0.65</v>
      </c>
      <c r="AJ42">
        <v>-4.7599478021000001</v>
      </c>
      <c r="AK42">
        <v>-1.9303538463000001</v>
      </c>
      <c r="AL42">
        <v>1190.6008710825101</v>
      </c>
      <c r="AM42">
        <v>0.65</v>
      </c>
    </row>
    <row r="43" spans="1:39" x14ac:dyDescent="0.25">
      <c r="A43">
        <v>22.387694891000002</v>
      </c>
      <c r="B43">
        <v>0</v>
      </c>
      <c r="C43">
        <v>1105.4837164174819</v>
      </c>
      <c r="D43">
        <v>0.65</v>
      </c>
      <c r="F43">
        <v>5.5997872579000001</v>
      </c>
      <c r="G43">
        <v>-2.2956307878</v>
      </c>
      <c r="H43">
        <v>1185.4029610244679</v>
      </c>
      <c r="I43">
        <v>0.65</v>
      </c>
      <c r="K43">
        <v>2.5208985580000003</v>
      </c>
      <c r="L43">
        <v>-2.5362073630999999</v>
      </c>
      <c r="M43">
        <v>1193.3601473893943</v>
      </c>
      <c r="N43">
        <v>0.65</v>
      </c>
      <c r="P43">
        <v>2.0794144719999998</v>
      </c>
      <c r="Q43">
        <v>-4.9282444861999997</v>
      </c>
      <c r="R43">
        <v>1168.467425643468</v>
      </c>
      <c r="S43">
        <v>0.65</v>
      </c>
      <c r="U43">
        <v>0</v>
      </c>
      <c r="V43">
        <v>-1.1483279464</v>
      </c>
      <c r="W43">
        <v>1213.1912511121363</v>
      </c>
      <c r="X43">
        <v>0.65</v>
      </c>
      <c r="Z43">
        <v>-3.0619738571999999</v>
      </c>
      <c r="AA43">
        <v>-7.2138722971</v>
      </c>
      <c r="AB43">
        <v>1143.6401659430476</v>
      </c>
      <c r="AC43">
        <v>0.65</v>
      </c>
      <c r="AE43">
        <v>-2.8734385263000002</v>
      </c>
      <c r="AF43">
        <v>-2.8658621412999996</v>
      </c>
      <c r="AG43">
        <v>1190.0003061833527</v>
      </c>
      <c r="AH43">
        <v>0.65</v>
      </c>
      <c r="AJ43">
        <v>-5.5153768828</v>
      </c>
      <c r="AK43">
        <v>-2.2771513039999998</v>
      </c>
      <c r="AL43">
        <v>1186.1594008465431</v>
      </c>
      <c r="AM43">
        <v>0.65</v>
      </c>
    </row>
    <row r="44" spans="1:39" x14ac:dyDescent="0.25">
      <c r="A44">
        <v>22.126258050200001</v>
      </c>
      <c r="B44">
        <v>0</v>
      </c>
      <c r="C44">
        <v>1106.9776412219669</v>
      </c>
      <c r="D44">
        <v>0.65</v>
      </c>
      <c r="F44">
        <v>4.7177931687000001</v>
      </c>
      <c r="G44">
        <v>-1.9340879593</v>
      </c>
      <c r="H44">
        <v>1190.7944364961581</v>
      </c>
      <c r="I44">
        <v>0.65</v>
      </c>
      <c r="K44">
        <v>2.8876508788000002</v>
      </c>
      <c r="L44">
        <v>-2.8862101510999998</v>
      </c>
      <c r="M44">
        <v>1189.6280106818463</v>
      </c>
      <c r="N44">
        <v>0.65</v>
      </c>
      <c r="P44">
        <v>2.9250467672</v>
      </c>
      <c r="Q44">
        <v>-7.0944873296000006</v>
      </c>
      <c r="R44">
        <v>1144.9864099536012</v>
      </c>
      <c r="S44">
        <v>0.65</v>
      </c>
      <c r="U44">
        <v>0</v>
      </c>
      <c r="V44">
        <v>0</v>
      </c>
      <c r="W44">
        <v>1228.5022903979216</v>
      </c>
      <c r="X44">
        <v>0.65</v>
      </c>
      <c r="Z44">
        <v>-2.0737208587999998</v>
      </c>
      <c r="AA44">
        <v>-5.0530557370999993</v>
      </c>
      <c r="AB44">
        <v>1167.1579669902101</v>
      </c>
      <c r="AC44">
        <v>0.65</v>
      </c>
      <c r="AE44">
        <v>3.3348271943999999</v>
      </c>
      <c r="AF44">
        <v>3.3522135276</v>
      </c>
      <c r="AG44">
        <v>1185.049812184966</v>
      </c>
      <c r="AH44">
        <v>0.65</v>
      </c>
      <c r="AJ44">
        <v>-5.5855914033999996</v>
      </c>
      <c r="AK44">
        <v>-2.2882701473</v>
      </c>
      <c r="AL44">
        <v>1185.5906092362161</v>
      </c>
      <c r="AM44">
        <v>0.65</v>
      </c>
    </row>
    <row r="45" spans="1:39" x14ac:dyDescent="0.25">
      <c r="A45">
        <v>22.485733706300003</v>
      </c>
      <c r="B45">
        <v>0</v>
      </c>
      <c r="C45">
        <v>1104.9234946158001</v>
      </c>
      <c r="D45">
        <v>0.65</v>
      </c>
      <c r="F45">
        <v>5.5900266520000006</v>
      </c>
      <c r="G45">
        <v>-2.2865101279999998</v>
      </c>
      <c r="H45">
        <v>1185.5896705592638</v>
      </c>
      <c r="I45">
        <v>0.65</v>
      </c>
      <c r="K45">
        <v>-4.8720399908000003</v>
      </c>
      <c r="L45">
        <v>4.8739215646999998</v>
      </c>
      <c r="M45">
        <v>1168.5914843506514</v>
      </c>
      <c r="N45">
        <v>0.65</v>
      </c>
      <c r="P45">
        <v>2.9470386478999999</v>
      </c>
      <c r="Q45">
        <v>-7.0994636219999991</v>
      </c>
      <c r="R45">
        <v>1144.9200593881967</v>
      </c>
      <c r="S45">
        <v>0.65</v>
      </c>
      <c r="U45">
        <v>0</v>
      </c>
      <c r="V45">
        <v>-1.5399762196</v>
      </c>
      <c r="W45">
        <v>1207.969274137183</v>
      </c>
      <c r="X45">
        <v>0.65</v>
      </c>
      <c r="Z45">
        <v>-2.6645260487</v>
      </c>
      <c r="AA45">
        <v>-6.3874631441999998</v>
      </c>
      <c r="AB45">
        <v>1152.7217941546305</v>
      </c>
      <c r="AC45">
        <v>0.65</v>
      </c>
      <c r="AE45">
        <v>-3.0351645228000002</v>
      </c>
      <c r="AF45">
        <v>-3.0340581472999997</v>
      </c>
      <c r="AG45">
        <v>1188.2242125166104</v>
      </c>
      <c r="AH45">
        <v>0.65</v>
      </c>
      <c r="AJ45">
        <v>-5.5976527874999995</v>
      </c>
      <c r="AK45">
        <v>-2.2964777998999999</v>
      </c>
      <c r="AL45">
        <v>1185.4034127642351</v>
      </c>
      <c r="AM45">
        <v>0.65</v>
      </c>
    </row>
    <row r="46" spans="1:39" x14ac:dyDescent="0.25">
      <c r="A46">
        <v>0</v>
      </c>
      <c r="B46">
        <v>0</v>
      </c>
      <c r="C46">
        <v>1228.5022903979216</v>
      </c>
      <c r="D46">
        <v>0.65</v>
      </c>
      <c r="F46">
        <v>4.1000354278</v>
      </c>
      <c r="G46">
        <v>-1.7161760663000001</v>
      </c>
      <c r="H46">
        <v>1194.0223000209676</v>
      </c>
      <c r="I46">
        <v>0.65</v>
      </c>
      <c r="K46">
        <v>-4.9283948150999999</v>
      </c>
      <c r="L46">
        <v>4.8662747349000002</v>
      </c>
      <c r="M46">
        <v>1168.6934420807802</v>
      </c>
      <c r="N46">
        <v>0.65</v>
      </c>
      <c r="P46">
        <v>3.0620234958999997</v>
      </c>
      <c r="Q46">
        <v>-7.2138540624999994</v>
      </c>
      <c r="R46">
        <v>1143.640409071116</v>
      </c>
      <c r="S46">
        <v>0.65</v>
      </c>
      <c r="U46">
        <v>0</v>
      </c>
      <c r="V46">
        <v>-0.95250380989999994</v>
      </c>
      <c r="W46">
        <v>1215.8022395996129</v>
      </c>
      <c r="X46">
        <v>0.65</v>
      </c>
      <c r="Z46">
        <v>-2.8502586595000001</v>
      </c>
      <c r="AA46">
        <v>-6.7421591598999999</v>
      </c>
      <c r="AB46">
        <v>1148.8383164134084</v>
      </c>
      <c r="AC46">
        <v>0.65</v>
      </c>
      <c r="AE46">
        <v>3.3686450249000002</v>
      </c>
      <c r="AF46">
        <v>3.3517876696000002</v>
      </c>
      <c r="AG46">
        <v>1184.8580111740516</v>
      </c>
      <c r="AH46">
        <v>0.65</v>
      </c>
      <c r="AJ46">
        <v>-5.5288598245000005</v>
      </c>
      <c r="AK46">
        <v>-2.2847948465000001</v>
      </c>
      <c r="AL46">
        <v>1185.9719035158125</v>
      </c>
      <c r="AM46">
        <v>0.65</v>
      </c>
    </row>
    <row r="47" spans="1:39" x14ac:dyDescent="0.25">
      <c r="A47">
        <v>0</v>
      </c>
      <c r="B47">
        <v>0</v>
      </c>
      <c r="C47">
        <v>1228.5022903979216</v>
      </c>
      <c r="D47">
        <v>0.65</v>
      </c>
      <c r="F47">
        <v>5.6514245400000007</v>
      </c>
      <c r="G47">
        <v>-2.2881337189000002</v>
      </c>
      <c r="H47">
        <v>1185.2073887010347</v>
      </c>
      <c r="I47">
        <v>0.65</v>
      </c>
      <c r="K47">
        <v>3.0351645223999997</v>
      </c>
      <c r="L47">
        <v>-3.0340581474999997</v>
      </c>
      <c r="M47">
        <v>1188.2242125166736</v>
      </c>
      <c r="N47">
        <v>0.65</v>
      </c>
      <c r="P47">
        <v>3.7433341950000001</v>
      </c>
      <c r="Q47">
        <v>-9.1767800469999994</v>
      </c>
      <c r="R47">
        <v>1121.424235450175</v>
      </c>
      <c r="S47">
        <v>0.65</v>
      </c>
      <c r="U47">
        <v>0</v>
      </c>
      <c r="V47">
        <v>-2.9368550604000001</v>
      </c>
      <c r="W47">
        <v>1189.3442229265165</v>
      </c>
      <c r="X47">
        <v>0.65</v>
      </c>
      <c r="Z47">
        <v>-2.9250244049999998</v>
      </c>
      <c r="AA47">
        <v>-7.0944955443</v>
      </c>
      <c r="AB47">
        <v>1144.9863004243493</v>
      </c>
      <c r="AC47">
        <v>0.65</v>
      </c>
      <c r="AE47">
        <v>4.8170717825999994</v>
      </c>
      <c r="AF47">
        <v>4.8941139677000001</v>
      </c>
      <c r="AG47">
        <v>1168.3222523104616</v>
      </c>
      <c r="AH47">
        <v>0.65</v>
      </c>
      <c r="AJ47">
        <v>-6.5870258574000005</v>
      </c>
      <c r="AK47">
        <v>-2.7062821100999996</v>
      </c>
      <c r="AL47">
        <v>1179.909139822689</v>
      </c>
      <c r="AM47">
        <v>0.65</v>
      </c>
    </row>
    <row r="48" spans="1:39" x14ac:dyDescent="0.25">
      <c r="A48">
        <v>6.6431278688999997</v>
      </c>
      <c r="B48">
        <v>0</v>
      </c>
      <c r="C48">
        <v>1190.5415597183464</v>
      </c>
      <c r="D48">
        <v>0.65</v>
      </c>
      <c r="F48">
        <v>5.8623154289000006</v>
      </c>
      <c r="G48">
        <v>-2.4108320148</v>
      </c>
      <c r="H48">
        <v>1183.7901773622634</v>
      </c>
      <c r="I48">
        <v>0.65</v>
      </c>
      <c r="K48">
        <v>5.0374871604999996</v>
      </c>
      <c r="L48">
        <v>-5.0040698957999998</v>
      </c>
      <c r="M48">
        <v>1167.2108646273471</v>
      </c>
      <c r="N48">
        <v>0.65</v>
      </c>
      <c r="P48">
        <v>2.0737203206000001</v>
      </c>
      <c r="Q48">
        <v>-5.0530559348000006</v>
      </c>
      <c r="R48">
        <v>1167.1579643540056</v>
      </c>
      <c r="S48">
        <v>0.65</v>
      </c>
      <c r="U48">
        <v>0</v>
      </c>
      <c r="V48">
        <v>0</v>
      </c>
      <c r="W48">
        <v>1228.5022903979216</v>
      </c>
      <c r="X48">
        <v>0.65</v>
      </c>
      <c r="Z48">
        <v>-3.1192697003000003</v>
      </c>
      <c r="AA48">
        <v>-7.6952297995000007</v>
      </c>
      <c r="AB48">
        <v>1138.313423935778</v>
      </c>
      <c r="AC48">
        <v>0.65</v>
      </c>
      <c r="AE48">
        <v>-2.8876206062000001</v>
      </c>
      <c r="AF48">
        <v>-2.8862221640000003</v>
      </c>
      <c r="AG48">
        <v>1189.6280170887555</v>
      </c>
      <c r="AH48">
        <v>0.65</v>
      </c>
      <c r="AJ48">
        <v>-5.8628296570999998</v>
      </c>
      <c r="AK48">
        <v>-2.4106279559999999</v>
      </c>
      <c r="AL48">
        <v>1183.7900685309028</v>
      </c>
      <c r="AM48">
        <v>0.65</v>
      </c>
    </row>
    <row r="49" spans="1:39" x14ac:dyDescent="0.25">
      <c r="A49">
        <v>0</v>
      </c>
      <c r="B49">
        <v>0</v>
      </c>
      <c r="C49">
        <v>1228.5022903979216</v>
      </c>
      <c r="D49">
        <v>0.65</v>
      </c>
      <c r="F49">
        <v>7.8945115470999996</v>
      </c>
      <c r="G49">
        <v>-3.2349629873999999</v>
      </c>
      <c r="H49">
        <v>1171.8636356952463</v>
      </c>
      <c r="I49">
        <v>0.65</v>
      </c>
      <c r="K49">
        <v>-3.1986849835999998</v>
      </c>
      <c r="L49">
        <v>3.1933553204999998</v>
      </c>
      <c r="M49">
        <v>1186.6393121244419</v>
      </c>
      <c r="N49">
        <v>0.65</v>
      </c>
      <c r="P49">
        <v>3.8489335328999998</v>
      </c>
      <c r="Q49">
        <v>-9.3999398434000003</v>
      </c>
      <c r="R49">
        <v>1118.8307468072489</v>
      </c>
      <c r="S49">
        <v>0.65</v>
      </c>
      <c r="U49">
        <v>0</v>
      </c>
      <c r="V49">
        <v>-6.6410149826999998</v>
      </c>
      <c r="W49">
        <v>1150.5961647023673</v>
      </c>
      <c r="X49">
        <v>0.65</v>
      </c>
      <c r="Z49">
        <v>-2.9470150036000002</v>
      </c>
      <c r="AA49">
        <v>-7.0994723077000002</v>
      </c>
      <c r="AB49">
        <v>1144.9199435793573</v>
      </c>
      <c r="AC49">
        <v>0.65</v>
      </c>
      <c r="AE49">
        <v>-3.5067181240999998</v>
      </c>
      <c r="AF49">
        <v>-3.5016929074000003</v>
      </c>
      <c r="AG49">
        <v>1183.4596756363685</v>
      </c>
      <c r="AH49">
        <v>0.65</v>
      </c>
      <c r="AJ49">
        <v>-5.6533690538999997</v>
      </c>
      <c r="AK49">
        <v>-2.2873620864999999</v>
      </c>
      <c r="AL49">
        <v>1185.2069771637098</v>
      </c>
      <c r="AM49">
        <v>0.65</v>
      </c>
    </row>
    <row r="50" spans="1:39" x14ac:dyDescent="0.25">
      <c r="A50">
        <v>7.8522732576000003</v>
      </c>
      <c r="B50">
        <v>0</v>
      </c>
      <c r="C50">
        <v>1183.6321574976037</v>
      </c>
      <c r="D50">
        <v>0.65</v>
      </c>
      <c r="F50">
        <v>6.5939097806999998</v>
      </c>
      <c r="G50">
        <v>-2.7165443105999998</v>
      </c>
      <c r="H50">
        <v>1179.7230391096002</v>
      </c>
      <c r="I50">
        <v>0.65</v>
      </c>
      <c r="K50">
        <v>5.3155298588999997</v>
      </c>
      <c r="L50">
        <v>-5.2480736277999993</v>
      </c>
      <c r="M50">
        <v>1164.3394568424173</v>
      </c>
      <c r="N50">
        <v>0.65</v>
      </c>
      <c r="P50">
        <v>2.1426997198</v>
      </c>
      <c r="Q50">
        <v>-5.0668813908999999</v>
      </c>
      <c r="R50">
        <v>1166.9736249385173</v>
      </c>
      <c r="S50">
        <v>0.65</v>
      </c>
      <c r="U50">
        <v>0</v>
      </c>
      <c r="V50">
        <v>-6.7193446372999999</v>
      </c>
      <c r="W50">
        <v>1149.5517693073766</v>
      </c>
      <c r="X50">
        <v>0.65</v>
      </c>
      <c r="Z50">
        <v>-3.4249291907000003</v>
      </c>
      <c r="AA50">
        <v>-8.2646231216999997</v>
      </c>
      <c r="AB50">
        <v>1131.8401549476114</v>
      </c>
      <c r="AC50">
        <v>0.65</v>
      </c>
      <c r="AE50">
        <v>4.4576607059000004</v>
      </c>
      <c r="AF50">
        <v>4.4840899440999999</v>
      </c>
      <c r="AG50">
        <v>1173.0525726252799</v>
      </c>
      <c r="AH50">
        <v>0.65</v>
      </c>
      <c r="AJ50">
        <v>-6.6660693626</v>
      </c>
      <c r="AK50">
        <v>-2.7138973880999999</v>
      </c>
      <c r="AL50">
        <v>1179.3384796441878</v>
      </c>
      <c r="AM50">
        <v>0.65</v>
      </c>
    </row>
    <row r="51" spans="1:39" x14ac:dyDescent="0.25">
      <c r="A51">
        <v>1.2509930276999999</v>
      </c>
      <c r="B51">
        <v>0</v>
      </c>
      <c r="C51">
        <v>1221.3537588108495</v>
      </c>
      <c r="D51">
        <v>0.65</v>
      </c>
      <c r="F51">
        <v>6.6013548555000003</v>
      </c>
      <c r="G51">
        <v>-2.7005959997000004</v>
      </c>
      <c r="H51">
        <v>1179.9061072304953</v>
      </c>
      <c r="I51">
        <v>0.65</v>
      </c>
      <c r="K51">
        <v>-3.2374316011000004</v>
      </c>
      <c r="L51">
        <v>3.1909735947</v>
      </c>
      <c r="M51">
        <v>1186.4464679840046</v>
      </c>
      <c r="N51">
        <v>0.65</v>
      </c>
      <c r="P51">
        <v>2.850208855</v>
      </c>
      <c r="Q51">
        <v>-6.7421774555000002</v>
      </c>
      <c r="R51">
        <v>1148.8380724732217</v>
      </c>
      <c r="S51">
        <v>0.65</v>
      </c>
      <c r="U51">
        <v>0</v>
      </c>
      <c r="V51">
        <v>-10.1387841768</v>
      </c>
      <c r="W51">
        <v>1111.3259087807223</v>
      </c>
      <c r="X51">
        <v>0.65</v>
      </c>
      <c r="Z51">
        <v>-3.4335769671000005</v>
      </c>
      <c r="AA51">
        <v>-8.4955013299999997</v>
      </c>
      <c r="AB51">
        <v>1129.2528899490876</v>
      </c>
      <c r="AC51">
        <v>0.65</v>
      </c>
      <c r="AE51">
        <v>-5.0373985480999997</v>
      </c>
      <c r="AF51">
        <v>-5.0041024473000002</v>
      </c>
      <c r="AG51">
        <v>1167.2104306072815</v>
      </c>
      <c r="AH51">
        <v>0.65</v>
      </c>
      <c r="AJ51">
        <v>-9.2405658096999996</v>
      </c>
      <c r="AK51">
        <v>-3.8488300842000003</v>
      </c>
      <c r="AL51">
        <v>1163.1690364955937</v>
      </c>
      <c r="AM51">
        <v>0.65</v>
      </c>
    </row>
    <row r="52" spans="1:39" x14ac:dyDescent="0.25">
      <c r="A52">
        <v>28.755341015600003</v>
      </c>
      <c r="B52">
        <v>0</v>
      </c>
      <c r="C52">
        <v>1067.3431988802242</v>
      </c>
      <c r="D52">
        <v>0.65</v>
      </c>
      <c r="F52">
        <v>7.8944511603</v>
      </c>
      <c r="G52">
        <v>-3.2609747826</v>
      </c>
      <c r="H52">
        <v>1171.4943608793099</v>
      </c>
      <c r="I52">
        <v>0.65</v>
      </c>
      <c r="K52">
        <v>4.9367118514000001</v>
      </c>
      <c r="L52">
        <v>-4.8762744394999995</v>
      </c>
      <c r="M52">
        <v>1168.5601126856593</v>
      </c>
      <c r="N52">
        <v>0.65</v>
      </c>
      <c r="P52">
        <v>3.6445402260999997</v>
      </c>
      <c r="Q52">
        <v>-8.7230789820999988</v>
      </c>
      <c r="R52">
        <v>1126.6004965618495</v>
      </c>
      <c r="S52">
        <v>0.65</v>
      </c>
      <c r="U52">
        <v>0</v>
      </c>
      <c r="V52">
        <v>-2.9499100027999998</v>
      </c>
      <c r="W52">
        <v>1189.1701570273515</v>
      </c>
      <c r="X52">
        <v>0.65</v>
      </c>
      <c r="Z52">
        <v>-2.2759239918</v>
      </c>
      <c r="AA52">
        <v>-5.4299828215000003</v>
      </c>
      <c r="AB52">
        <v>1163.0872108022816</v>
      </c>
      <c r="AC52">
        <v>0.65</v>
      </c>
      <c r="AE52">
        <v>3.2025517910000003</v>
      </c>
      <c r="AF52">
        <v>3.1918208730999997</v>
      </c>
      <c r="AG52">
        <v>1186.6384937525083</v>
      </c>
      <c r="AH52">
        <v>0.65</v>
      </c>
      <c r="AJ52">
        <v>-6.7002836294999994</v>
      </c>
      <c r="AK52">
        <v>-2.7133142141000004</v>
      </c>
      <c r="AL52">
        <v>1179.146594731402</v>
      </c>
      <c r="AM52">
        <v>0.65</v>
      </c>
    </row>
    <row r="53" spans="1:39" x14ac:dyDescent="0.25">
      <c r="A53">
        <v>0</v>
      </c>
      <c r="B53">
        <v>0</v>
      </c>
      <c r="C53">
        <v>1228.5022903979216</v>
      </c>
      <c r="D53">
        <v>0.65</v>
      </c>
      <c r="F53">
        <v>5.5314611075000002</v>
      </c>
      <c r="G53">
        <v>-2.2837625912999999</v>
      </c>
      <c r="H53">
        <v>1185.9713529797175</v>
      </c>
      <c r="I53">
        <v>0.65</v>
      </c>
      <c r="K53">
        <v>3.7901062944000001</v>
      </c>
      <c r="L53">
        <v>-3.7921334057</v>
      </c>
      <c r="M53">
        <v>1180.6580072398492</v>
      </c>
      <c r="N53">
        <v>0.65</v>
      </c>
      <c r="P53">
        <v>2.2759287822999998</v>
      </c>
      <c r="Q53">
        <v>-5.4299810618000004</v>
      </c>
      <c r="R53">
        <v>1163.0872342657669</v>
      </c>
      <c r="S53">
        <v>0.65</v>
      </c>
      <c r="U53">
        <v>0</v>
      </c>
      <c r="V53">
        <v>-0.5608555368</v>
      </c>
      <c r="W53">
        <v>1221.024216574566</v>
      </c>
      <c r="X53">
        <v>0.65</v>
      </c>
      <c r="Z53">
        <v>-3.8605124209000001</v>
      </c>
      <c r="AA53">
        <v>-9.3956863743000003</v>
      </c>
      <c r="AB53">
        <v>1118.8874597276547</v>
      </c>
      <c r="AC53">
        <v>0.65</v>
      </c>
      <c r="AE53">
        <v>-4.9373282586</v>
      </c>
      <c r="AF53">
        <v>-4.8760480042000003</v>
      </c>
      <c r="AG53">
        <v>1168.5631318232297</v>
      </c>
      <c r="AH53">
        <v>0.65</v>
      </c>
      <c r="AJ53">
        <v>-6.5957531308000004</v>
      </c>
      <c r="AK53">
        <v>-2.7158128225000002</v>
      </c>
      <c r="AL53">
        <v>1179.7226489825919</v>
      </c>
      <c r="AM53">
        <v>0.65</v>
      </c>
    </row>
    <row r="54" spans="1:39" x14ac:dyDescent="0.25">
      <c r="A54">
        <v>15.398219234900001</v>
      </c>
      <c r="B54">
        <v>0</v>
      </c>
      <c r="C54">
        <v>1144.3711963569822</v>
      </c>
      <c r="D54">
        <v>0.65</v>
      </c>
      <c r="F54">
        <v>5.5135727587999996</v>
      </c>
      <c r="G54">
        <v>-2.2778672263000002</v>
      </c>
      <c r="H54">
        <v>1186.1597826717395</v>
      </c>
      <c r="I54">
        <v>0.65</v>
      </c>
      <c r="K54">
        <v>-3.0676463568999996</v>
      </c>
      <c r="L54">
        <v>3.0341624467000003</v>
      </c>
      <c r="M54">
        <v>1188.0326942562472</v>
      </c>
      <c r="N54">
        <v>0.65</v>
      </c>
      <c r="P54">
        <v>4.8776675987999996</v>
      </c>
      <c r="Q54">
        <v>-11.7045710427</v>
      </c>
      <c r="R54">
        <v>1091.185417236464</v>
      </c>
      <c r="S54">
        <v>0.65</v>
      </c>
      <c r="U54">
        <v>0</v>
      </c>
      <c r="V54">
        <v>-2.9107451754999998</v>
      </c>
      <c r="W54">
        <v>1189.6923547248468</v>
      </c>
      <c r="X54">
        <v>0.65</v>
      </c>
      <c r="Z54">
        <v>-2.1427223924000001</v>
      </c>
      <c r="AA54">
        <v>-5.0668730623</v>
      </c>
      <c r="AB54">
        <v>1166.9737359875501</v>
      </c>
      <c r="AC54">
        <v>0.65</v>
      </c>
      <c r="AE54">
        <v>-4.2527506298999995</v>
      </c>
      <c r="AF54">
        <v>-4.2088780076000001</v>
      </c>
      <c r="AG54">
        <v>1176.1218181975755</v>
      </c>
      <c r="AH54">
        <v>0.65</v>
      </c>
      <c r="AJ54">
        <v>-9.3084458900999998</v>
      </c>
      <c r="AK54">
        <v>-3.8608752926999999</v>
      </c>
      <c r="AL54">
        <v>1162.6007389466952</v>
      </c>
      <c r="AM54">
        <v>0.65</v>
      </c>
    </row>
    <row r="55" spans="1:39" x14ac:dyDescent="0.25">
      <c r="A55">
        <v>2.7215752572</v>
      </c>
      <c r="B55">
        <v>0</v>
      </c>
      <c r="C55">
        <v>1212.9504317856215</v>
      </c>
      <c r="D55">
        <v>0.65</v>
      </c>
      <c r="F55">
        <v>6.6116406778999997</v>
      </c>
      <c r="G55">
        <v>-2.7614839046999999</v>
      </c>
      <c r="H55">
        <v>1178.9807113463287</v>
      </c>
      <c r="I55">
        <v>0.65</v>
      </c>
      <c r="K55">
        <v>4.0482623160000006</v>
      </c>
      <c r="L55">
        <v>-4.0874427329999996</v>
      </c>
      <c r="M55">
        <v>1177.6045354395412</v>
      </c>
      <c r="N55">
        <v>0.65</v>
      </c>
      <c r="P55">
        <v>3.9607734590000003</v>
      </c>
      <c r="Q55">
        <v>-9.6348898527999989</v>
      </c>
      <c r="R55">
        <v>1116.0800553234874</v>
      </c>
      <c r="S55">
        <v>0.65</v>
      </c>
      <c r="U55">
        <v>0</v>
      </c>
      <c r="V55">
        <v>0</v>
      </c>
      <c r="W55">
        <v>1228.5022903979216</v>
      </c>
      <c r="X55">
        <v>0.65</v>
      </c>
      <c r="Z55">
        <v>-3.9427652588000002</v>
      </c>
      <c r="AA55">
        <v>-9.6284501676000005</v>
      </c>
      <c r="AB55">
        <v>1116.1659177934278</v>
      </c>
      <c r="AC55">
        <v>0.65</v>
      </c>
      <c r="AE55">
        <v>-3.8909026347000002</v>
      </c>
      <c r="AF55">
        <v>-3.9493376138999996</v>
      </c>
      <c r="AG55">
        <v>1179.0912456693191</v>
      </c>
      <c r="AH55">
        <v>0.65</v>
      </c>
      <c r="AJ55">
        <v>-6.6119825725999997</v>
      </c>
      <c r="AK55">
        <v>-2.7613482322</v>
      </c>
      <c r="AL55">
        <v>1178.9806389876546</v>
      </c>
      <c r="AM55">
        <v>0.65</v>
      </c>
    </row>
    <row r="56" spans="1:39" x14ac:dyDescent="0.25">
      <c r="A56">
        <v>22.5184133114</v>
      </c>
      <c r="B56">
        <v>0</v>
      </c>
      <c r="C56">
        <v>1104.7367540152395</v>
      </c>
      <c r="D56">
        <v>0.65</v>
      </c>
      <c r="F56">
        <v>6.7034561558999997</v>
      </c>
      <c r="G56">
        <v>-2.7120552751000004</v>
      </c>
      <c r="H56">
        <v>1179.1459232972391</v>
      </c>
      <c r="I56">
        <v>0.65</v>
      </c>
      <c r="K56">
        <v>4.4421198002000004</v>
      </c>
      <c r="L56">
        <v>-4.4897988481999995</v>
      </c>
      <c r="M56">
        <v>1172.9764539036878</v>
      </c>
      <c r="N56">
        <v>0.65</v>
      </c>
      <c r="P56">
        <v>4.5378606788000004</v>
      </c>
      <c r="Q56">
        <v>-10.950866748499999</v>
      </c>
      <c r="R56">
        <v>1100.389005355632</v>
      </c>
      <c r="S56">
        <v>0.65</v>
      </c>
      <c r="U56">
        <v>0</v>
      </c>
      <c r="V56">
        <v>-2.9890748301000003</v>
      </c>
      <c r="W56">
        <v>1188.6479593298563</v>
      </c>
      <c r="X56">
        <v>0.65</v>
      </c>
      <c r="Z56">
        <v>-2.6928351473999999</v>
      </c>
      <c r="AA56">
        <v>-6.6253176165000003</v>
      </c>
      <c r="AB56">
        <v>1150.1506481038484</v>
      </c>
      <c r="AC56">
        <v>0.65</v>
      </c>
      <c r="AE56">
        <v>-4.0512714360000004</v>
      </c>
      <c r="AF56">
        <v>-4.0732823996</v>
      </c>
      <c r="AG56">
        <v>1177.7933398853027</v>
      </c>
      <c r="AH56">
        <v>0.65</v>
      </c>
      <c r="AJ56">
        <v>-9.3576296092</v>
      </c>
      <c r="AK56">
        <v>-3.8283640277000002</v>
      </c>
      <c r="AL56">
        <v>1162.7749734920828</v>
      </c>
      <c r="AM56">
        <v>0.65</v>
      </c>
    </row>
    <row r="57" spans="1:39" x14ac:dyDescent="0.25">
      <c r="A57">
        <v>7.8195936525</v>
      </c>
      <c r="B57">
        <v>0</v>
      </c>
      <c r="C57">
        <v>1183.8188980981643</v>
      </c>
      <c r="D57">
        <v>0.65</v>
      </c>
      <c r="F57">
        <v>7.8460560180000005</v>
      </c>
      <c r="G57">
        <v>-3.2282035398</v>
      </c>
      <c r="H57">
        <v>1172.2431784299026</v>
      </c>
      <c r="I57">
        <v>0.65</v>
      </c>
      <c r="K57">
        <v>5.5717125489999999</v>
      </c>
      <c r="L57">
        <v>-5.4940939613999999</v>
      </c>
      <c r="M57">
        <v>1161.4411610354102</v>
      </c>
      <c r="N57">
        <v>0.65</v>
      </c>
      <c r="P57">
        <v>3.8612244519000001</v>
      </c>
      <c r="Q57">
        <v>-9.4084797543000001</v>
      </c>
      <c r="R57">
        <v>1118.7168813276578</v>
      </c>
      <c r="S57">
        <v>0.65</v>
      </c>
      <c r="U57">
        <v>0</v>
      </c>
      <c r="V57">
        <v>-13.377942873</v>
      </c>
      <c r="W57">
        <v>1072.2297187582426</v>
      </c>
      <c r="X57">
        <v>0.65</v>
      </c>
      <c r="Z57">
        <v>-4.84857622</v>
      </c>
      <c r="AA57">
        <v>-11.702202729200001</v>
      </c>
      <c r="AB57">
        <v>1091.216994749502</v>
      </c>
      <c r="AC57">
        <v>0.65</v>
      </c>
      <c r="AE57">
        <v>-5.3151882551999998</v>
      </c>
      <c r="AF57">
        <v>-5.2481991147999993</v>
      </c>
      <c r="AG57">
        <v>1164.3377836814564</v>
      </c>
      <c r="AH57">
        <v>0.65</v>
      </c>
      <c r="AJ57">
        <v>-9.2464566921999989</v>
      </c>
      <c r="AK57">
        <v>-3.8334985162999997</v>
      </c>
      <c r="AL57">
        <v>1163.3524335460822</v>
      </c>
      <c r="AM57">
        <v>0.65</v>
      </c>
    </row>
    <row r="58" spans="1:39" x14ac:dyDescent="0.25">
      <c r="A58">
        <v>7.6888752321</v>
      </c>
      <c r="B58">
        <v>0</v>
      </c>
      <c r="C58">
        <v>1184.5658605004066</v>
      </c>
      <c r="D58">
        <v>0.65</v>
      </c>
      <c r="F58">
        <v>7.8833839306000009</v>
      </c>
      <c r="G58">
        <v>-3.2523726243</v>
      </c>
      <c r="H58">
        <v>1171.6813469482593</v>
      </c>
      <c r="I58">
        <v>0.65</v>
      </c>
      <c r="K58">
        <v>3.8954323577000003</v>
      </c>
      <c r="L58">
        <v>-3.947673634</v>
      </c>
      <c r="M58">
        <v>1179.1134320678823</v>
      </c>
      <c r="N58">
        <v>0.65</v>
      </c>
      <c r="P58">
        <v>4.5945697095</v>
      </c>
      <c r="Q58">
        <v>-11.1717738536</v>
      </c>
      <c r="R58">
        <v>1097.7164167946255</v>
      </c>
      <c r="S58">
        <v>0.65</v>
      </c>
      <c r="U58">
        <v>0</v>
      </c>
      <c r="V58">
        <v>-6.6932347525000004</v>
      </c>
      <c r="W58">
        <v>1149.8999011057067</v>
      </c>
      <c r="X58">
        <v>0.65</v>
      </c>
      <c r="Z58">
        <v>-4.8772279756000003</v>
      </c>
      <c r="AA58">
        <v>-11.704732536900002</v>
      </c>
      <c r="AB58">
        <v>1091.1832639797901</v>
      </c>
      <c r="AC58">
        <v>0.65</v>
      </c>
      <c r="AE58">
        <v>-4.6835847483999995</v>
      </c>
      <c r="AF58">
        <v>-4.7526101958</v>
      </c>
      <c r="AG58">
        <v>1170.0725495160623</v>
      </c>
      <c r="AH58">
        <v>0.65</v>
      </c>
      <c r="AJ58">
        <v>-7.8985659209000003</v>
      </c>
      <c r="AK58">
        <v>-3.2593419411000002</v>
      </c>
      <c r="AL58">
        <v>1171.4934900304993</v>
      </c>
      <c r="AM58">
        <v>0.65</v>
      </c>
    </row>
    <row r="59" spans="1:39" x14ac:dyDescent="0.25">
      <c r="A59">
        <v>0</v>
      </c>
      <c r="B59">
        <v>0</v>
      </c>
      <c r="C59">
        <v>1228.5022903979216</v>
      </c>
      <c r="D59">
        <v>0.65</v>
      </c>
      <c r="F59">
        <v>5.5538486732000001</v>
      </c>
      <c r="G59">
        <v>-2.2878725527000001</v>
      </c>
      <c r="H59">
        <v>1185.7819710724577</v>
      </c>
      <c r="I59">
        <v>0.65</v>
      </c>
      <c r="K59">
        <v>-3.3685408423000003</v>
      </c>
      <c r="L59">
        <v>3.3518290120000001</v>
      </c>
      <c r="M59">
        <v>1184.858033223285</v>
      </c>
      <c r="N59">
        <v>0.65</v>
      </c>
      <c r="P59">
        <v>3.9441633066000001</v>
      </c>
      <c r="Q59">
        <v>-9.6279365989999999</v>
      </c>
      <c r="R59">
        <v>1116.1727653741293</v>
      </c>
      <c r="S59">
        <v>0.65</v>
      </c>
      <c r="U59">
        <v>0</v>
      </c>
      <c r="V59">
        <v>-13.3518329881</v>
      </c>
      <c r="W59">
        <v>1072.5778505565729</v>
      </c>
      <c r="X59">
        <v>0.65</v>
      </c>
      <c r="Z59">
        <v>-4.3802343954000005</v>
      </c>
      <c r="AA59">
        <v>-10.624600305700001</v>
      </c>
      <c r="AB59">
        <v>1104.3299653346082</v>
      </c>
      <c r="AC59">
        <v>0.65</v>
      </c>
      <c r="AE59">
        <v>-3.8115906599999998</v>
      </c>
      <c r="AF59">
        <v>-3.7836078637000004</v>
      </c>
      <c r="AG59">
        <v>1180.6534602841625</v>
      </c>
      <c r="AH59">
        <v>0.65</v>
      </c>
      <c r="AJ59">
        <v>-7.8627499997999992</v>
      </c>
      <c r="AK59">
        <v>-3.2345728599000001</v>
      </c>
      <c r="AL59">
        <v>1172.0550015139418</v>
      </c>
      <c r="AM59">
        <v>0.65</v>
      </c>
    </row>
    <row r="60" spans="1:39" x14ac:dyDescent="0.25">
      <c r="A60">
        <v>0.27060487480000001</v>
      </c>
      <c r="B60">
        <v>0</v>
      </c>
      <c r="C60">
        <v>1226.9559768276683</v>
      </c>
      <c r="D60">
        <v>0.65</v>
      </c>
      <c r="F60">
        <v>7.9637303927999996</v>
      </c>
      <c r="G60">
        <v>-3.2594708558999996</v>
      </c>
      <c r="H60">
        <v>1171.1104110116596</v>
      </c>
      <c r="I60">
        <v>0.65</v>
      </c>
      <c r="K60">
        <v>-3.3358307975999999</v>
      </c>
      <c r="L60">
        <v>3.3518152722999996</v>
      </c>
      <c r="M60">
        <v>1185.0495997821758</v>
      </c>
      <c r="N60">
        <v>0.65</v>
      </c>
      <c r="P60">
        <v>5.0364136056</v>
      </c>
      <c r="Q60">
        <v>-11.916919355899999</v>
      </c>
      <c r="R60">
        <v>1088.5178100971511</v>
      </c>
      <c r="S60">
        <v>0.65</v>
      </c>
      <c r="U60">
        <v>0</v>
      </c>
      <c r="V60">
        <v>-2.9760198876999997</v>
      </c>
      <c r="W60">
        <v>1188.8220252290214</v>
      </c>
      <c r="X60">
        <v>0.65</v>
      </c>
      <c r="Z60">
        <v>-4.6177033440000006</v>
      </c>
      <c r="AA60">
        <v>-11.274611006699999</v>
      </c>
      <c r="AB60">
        <v>1096.4816745056196</v>
      </c>
      <c r="AC60">
        <v>0.65</v>
      </c>
      <c r="AE60">
        <v>-4.0531810672999997</v>
      </c>
      <c r="AF60">
        <v>-4.0856358447999996</v>
      </c>
      <c r="AG60">
        <v>1177.6286272825123</v>
      </c>
      <c r="AH60">
        <v>0.65</v>
      </c>
      <c r="AJ60">
        <v>-7.8897404144999994</v>
      </c>
      <c r="AK60">
        <v>-3.2368562939999999</v>
      </c>
      <c r="AL60">
        <v>1171.8646454587517</v>
      </c>
      <c r="AM60">
        <v>0.65</v>
      </c>
    </row>
    <row r="61" spans="1:39" x14ac:dyDescent="0.25">
      <c r="A61">
        <v>15.365539629800001</v>
      </c>
      <c r="B61">
        <v>0</v>
      </c>
      <c r="C61">
        <v>1144.5579369575428</v>
      </c>
      <c r="D61">
        <v>0.65</v>
      </c>
      <c r="F61">
        <v>6.6463422112000003</v>
      </c>
      <c r="G61">
        <v>-2.7087317066999996</v>
      </c>
      <c r="H61">
        <v>1179.5272985007987</v>
      </c>
      <c r="I61">
        <v>0.65</v>
      </c>
      <c r="K61">
        <v>4.6748953540000002</v>
      </c>
      <c r="L61">
        <v>-4.7558022182000004</v>
      </c>
      <c r="M61">
        <v>1170.0299892169803</v>
      </c>
      <c r="N61">
        <v>0.65</v>
      </c>
      <c r="P61">
        <v>4.3806770479999999</v>
      </c>
      <c r="Q61">
        <v>-10.6244376986</v>
      </c>
      <c r="R61">
        <v>1104.3321334289835</v>
      </c>
      <c r="S61">
        <v>0.65</v>
      </c>
      <c r="U61">
        <v>0</v>
      </c>
      <c r="V61">
        <v>-10.243223716299999</v>
      </c>
      <c r="W61">
        <v>1109.9333815874015</v>
      </c>
      <c r="X61">
        <v>0.65</v>
      </c>
      <c r="Z61">
        <v>-4.0884326754</v>
      </c>
      <c r="AA61">
        <v>-9.7424528231000007</v>
      </c>
      <c r="AB61">
        <v>1114.7823021398406</v>
      </c>
      <c r="AC61">
        <v>0.65</v>
      </c>
      <c r="AE61">
        <v>-4.5104277184999999</v>
      </c>
      <c r="AF61">
        <v>-4.4777610859000001</v>
      </c>
      <c r="AG61">
        <v>1173.1369574003247</v>
      </c>
      <c r="AH61">
        <v>0.65</v>
      </c>
      <c r="AJ61">
        <v>-9.2234747918000011</v>
      </c>
      <c r="AK61">
        <v>-3.9075878985999997</v>
      </c>
      <c r="AL61">
        <v>1162.4340784498063</v>
      </c>
      <c r="AM61">
        <v>0.65</v>
      </c>
    </row>
    <row r="62" spans="1:39" x14ac:dyDescent="0.25">
      <c r="A62">
        <v>15.071423184</v>
      </c>
      <c r="B62">
        <v>0</v>
      </c>
      <c r="C62">
        <v>1146.2386023625884</v>
      </c>
      <c r="D62">
        <v>0.65</v>
      </c>
      <c r="F62">
        <v>9.2017688174999996</v>
      </c>
      <c r="G62">
        <v>-3.8772196321000001</v>
      </c>
      <c r="H62">
        <v>1162.9926037011292</v>
      </c>
      <c r="I62">
        <v>0.65</v>
      </c>
      <c r="K62">
        <v>4.4886672694999996</v>
      </c>
      <c r="L62">
        <v>-4.4857547203000001</v>
      </c>
      <c r="M62">
        <v>1173.0303756092233</v>
      </c>
      <c r="N62">
        <v>0.65</v>
      </c>
      <c r="P62">
        <v>4.0884417013999999</v>
      </c>
      <c r="Q62">
        <v>-9.7424495073999999</v>
      </c>
      <c r="R62">
        <v>1114.7823463485329</v>
      </c>
      <c r="S62">
        <v>0.65</v>
      </c>
      <c r="U62">
        <v>0</v>
      </c>
      <c r="V62">
        <v>0</v>
      </c>
      <c r="W62">
        <v>1228.5022903979216</v>
      </c>
      <c r="X62">
        <v>0.65</v>
      </c>
      <c r="Z62">
        <v>-5.0367627704000002</v>
      </c>
      <c r="AA62">
        <v>-11.916791091299999</v>
      </c>
      <c r="AB62">
        <v>1088.5195202921766</v>
      </c>
      <c r="AC62">
        <v>0.65</v>
      </c>
      <c r="AE62">
        <v>-5.6914240969000005</v>
      </c>
      <c r="AF62">
        <v>-5.6187752739999999</v>
      </c>
      <c r="AG62">
        <v>1160.0242990900831</v>
      </c>
      <c r="AH62">
        <v>0.65</v>
      </c>
      <c r="AJ62">
        <v>-7.8824652465999998</v>
      </c>
      <c r="AK62">
        <v>-3.2527371814000001</v>
      </c>
      <c r="AL62">
        <v>1171.6815413787219</v>
      </c>
      <c r="AM62">
        <v>0.65</v>
      </c>
    </row>
    <row r="63" spans="1:39" x14ac:dyDescent="0.25">
      <c r="A63">
        <v>22.355015285899999</v>
      </c>
      <c r="B63">
        <v>0</v>
      </c>
      <c r="C63">
        <v>1105.6704570180425</v>
      </c>
      <c r="D63">
        <v>0.65</v>
      </c>
      <c r="F63">
        <v>7.9454459781000004</v>
      </c>
      <c r="G63">
        <v>-3.2537326598999998</v>
      </c>
      <c r="H63">
        <v>1171.2989245271663</v>
      </c>
      <c r="I63">
        <v>0.65</v>
      </c>
      <c r="K63">
        <v>4.2535278620000003</v>
      </c>
      <c r="L63">
        <v>-4.2085924938000003</v>
      </c>
      <c r="M63">
        <v>1176.1256250488641</v>
      </c>
      <c r="N63">
        <v>0.65</v>
      </c>
      <c r="P63">
        <v>4.1110115925000006</v>
      </c>
      <c r="Q63">
        <v>-9.7472134694000001</v>
      </c>
      <c r="R63">
        <v>1114.7188268548241</v>
      </c>
      <c r="S63">
        <v>0.65</v>
      </c>
      <c r="U63">
        <v>0</v>
      </c>
      <c r="V63">
        <v>-13.338778045700002</v>
      </c>
      <c r="W63">
        <v>1072.751916455738</v>
      </c>
      <c r="X63">
        <v>0.65</v>
      </c>
      <c r="Z63">
        <v>-4.9964455030000003</v>
      </c>
      <c r="AA63">
        <v>-12.137258877199999</v>
      </c>
      <c r="AB63">
        <v>1085.8527893191608</v>
      </c>
      <c r="AC63">
        <v>0.65</v>
      </c>
      <c r="AE63">
        <v>-3.6580607081999998</v>
      </c>
      <c r="AF63">
        <v>-3.6350291255</v>
      </c>
      <c r="AG63">
        <v>1182.0481378561215</v>
      </c>
      <c r="AH63">
        <v>0.65</v>
      </c>
      <c r="AJ63">
        <v>-6.8049241521999999</v>
      </c>
      <c r="AK63">
        <v>-2.8846730910999998</v>
      </c>
      <c r="AL63">
        <v>1177.5637618158532</v>
      </c>
      <c r="AM63">
        <v>0.65</v>
      </c>
    </row>
    <row r="64" spans="1:39" x14ac:dyDescent="0.25">
      <c r="A64">
        <v>4.1921574865999993</v>
      </c>
      <c r="B64">
        <v>0</v>
      </c>
      <c r="C64">
        <v>1204.5471047603933</v>
      </c>
      <c r="D64">
        <v>0.65</v>
      </c>
      <c r="F64">
        <v>6.8047140191999995</v>
      </c>
      <c r="G64">
        <v>-2.8847564771999998</v>
      </c>
      <c r="H64">
        <v>1177.5638062884461</v>
      </c>
      <c r="I64">
        <v>0.65</v>
      </c>
      <c r="K64">
        <v>5.9231627484000002</v>
      </c>
      <c r="L64">
        <v>-6.0014806438000008</v>
      </c>
      <c r="M64">
        <v>1155.6582274926845</v>
      </c>
      <c r="N64">
        <v>0.65</v>
      </c>
      <c r="P64">
        <v>4.9908757516</v>
      </c>
      <c r="Q64">
        <v>-12.245654257399998</v>
      </c>
      <c r="R64">
        <v>1084.5439373360139</v>
      </c>
      <c r="S64">
        <v>0.65</v>
      </c>
      <c r="U64">
        <v>0</v>
      </c>
      <c r="V64">
        <v>-10.1257292344</v>
      </c>
      <c r="W64">
        <v>1111.4999746798874</v>
      </c>
      <c r="X64">
        <v>0.65</v>
      </c>
      <c r="Z64">
        <v>-4.5380031489999997</v>
      </c>
      <c r="AA64">
        <v>-10.9508144126</v>
      </c>
      <c r="AB64">
        <v>1100.3897031684662</v>
      </c>
      <c r="AC64">
        <v>0.65</v>
      </c>
      <c r="AE64">
        <v>-6.1804078801000006</v>
      </c>
      <c r="AF64">
        <v>-6.2421248189000007</v>
      </c>
      <c r="AG64">
        <v>1152.831613799762</v>
      </c>
      <c r="AH64">
        <v>0.65</v>
      </c>
      <c r="AJ64">
        <v>-5.5571565877999998</v>
      </c>
      <c r="AK64">
        <v>-2.2865598882000002</v>
      </c>
      <c r="AL64">
        <v>1185.781270984713</v>
      </c>
      <c r="AM64">
        <v>0.65</v>
      </c>
    </row>
    <row r="65" spans="1:39" x14ac:dyDescent="0.25">
      <c r="A65">
        <v>22.256976470599998</v>
      </c>
      <c r="B65">
        <v>0</v>
      </c>
      <c r="C65">
        <v>1106.2306788197245</v>
      </c>
      <c r="D65">
        <v>0.65</v>
      </c>
      <c r="F65">
        <v>9.2164589953</v>
      </c>
      <c r="G65">
        <v>-3.8454023642999999</v>
      </c>
      <c r="H65">
        <v>1163.358782265007</v>
      </c>
      <c r="I65">
        <v>0.65</v>
      </c>
      <c r="K65">
        <v>6.4709184727000002</v>
      </c>
      <c r="L65">
        <v>-6.4645354234000001</v>
      </c>
      <c r="M65">
        <v>1150.2481143824859</v>
      </c>
      <c r="N65">
        <v>0.65</v>
      </c>
      <c r="P65">
        <v>4.9951299153000006</v>
      </c>
      <c r="Q65">
        <v>-12.1377421543</v>
      </c>
      <c r="R65">
        <v>1085.8463456244613</v>
      </c>
      <c r="S65">
        <v>0.65</v>
      </c>
      <c r="U65">
        <v>0</v>
      </c>
      <c r="V65">
        <v>-10.086564407099999</v>
      </c>
      <c r="W65">
        <v>1112.0221723773827</v>
      </c>
      <c r="X65">
        <v>0.65</v>
      </c>
      <c r="Z65">
        <v>-4.6785161826000001</v>
      </c>
      <c r="AA65">
        <v>-11.495038322000001</v>
      </c>
      <c r="AB65">
        <v>1093.8154831413653</v>
      </c>
      <c r="AC65">
        <v>0.65</v>
      </c>
      <c r="AE65">
        <v>-3.0443209771999999</v>
      </c>
      <c r="AF65">
        <v>-3.0434185498000002</v>
      </c>
      <c r="AG65">
        <v>1188.0376308445354</v>
      </c>
      <c r="AH65">
        <v>0.65</v>
      </c>
      <c r="AJ65">
        <v>-7.9638016045999995</v>
      </c>
      <c r="AK65">
        <v>-3.2594425972000001</v>
      </c>
      <c r="AL65">
        <v>1171.1103959403758</v>
      </c>
      <c r="AM65">
        <v>0.65</v>
      </c>
    </row>
    <row r="66" spans="1:39" x14ac:dyDescent="0.25">
      <c r="A66">
        <v>28.722661410499999</v>
      </c>
      <c r="B66">
        <v>0</v>
      </c>
      <c r="C66">
        <v>1067.5299394807848</v>
      </c>
      <c r="D66">
        <v>0.65</v>
      </c>
      <c r="F66">
        <v>9.3103019743999997</v>
      </c>
      <c r="G66">
        <v>-3.8601387512999996</v>
      </c>
      <c r="H66">
        <v>1162.600346124621</v>
      </c>
      <c r="I66">
        <v>0.65</v>
      </c>
      <c r="K66">
        <v>5.6916504851000003</v>
      </c>
      <c r="L66">
        <v>-5.6186921110000005</v>
      </c>
      <c r="M66">
        <v>1160.0254079301976</v>
      </c>
      <c r="N66">
        <v>0.65</v>
      </c>
      <c r="P66">
        <v>4.6781954166000004</v>
      </c>
      <c r="Q66">
        <v>-11.4951561544</v>
      </c>
      <c r="R66">
        <v>1093.8139120424182</v>
      </c>
      <c r="S66">
        <v>0.65</v>
      </c>
      <c r="U66">
        <v>0</v>
      </c>
      <c r="V66">
        <v>-6.7323995798</v>
      </c>
      <c r="W66">
        <v>1149.3777034082116</v>
      </c>
      <c r="X66">
        <v>0.65</v>
      </c>
      <c r="Z66">
        <v>-4.9905273767000002</v>
      </c>
      <c r="AA66">
        <v>-12.2457822319</v>
      </c>
      <c r="AB66">
        <v>1084.5422310099345</v>
      </c>
      <c r="AC66">
        <v>0.65</v>
      </c>
      <c r="AE66">
        <v>4.9322221575</v>
      </c>
      <c r="AF66">
        <v>5.0166287875000002</v>
      </c>
      <c r="AG66">
        <v>1167.0434127374831</v>
      </c>
      <c r="AH66">
        <v>0.65</v>
      </c>
      <c r="AJ66">
        <v>-9.2089799688999996</v>
      </c>
      <c r="AK66">
        <v>-3.8743580640999999</v>
      </c>
      <c r="AL66">
        <v>1162.9910775315218</v>
      </c>
      <c r="AM66">
        <v>0.65</v>
      </c>
    </row>
    <row r="67" spans="1:39" x14ac:dyDescent="0.25">
      <c r="A67">
        <v>28.689981805399999</v>
      </c>
      <c r="B67">
        <v>0</v>
      </c>
      <c r="C67">
        <v>1067.7166800813454</v>
      </c>
      <c r="D67">
        <v>0.65</v>
      </c>
      <c r="F67">
        <v>7.8566614303999991</v>
      </c>
      <c r="G67">
        <v>-3.2110011266999998</v>
      </c>
      <c r="H67">
        <v>1172.4255776962762</v>
      </c>
      <c r="I67">
        <v>0.65</v>
      </c>
      <c r="K67">
        <v>6.3860049207999996</v>
      </c>
      <c r="L67">
        <v>-6.3390983844000006</v>
      </c>
      <c r="M67">
        <v>1151.6750526804192</v>
      </c>
      <c r="N67">
        <v>0.65</v>
      </c>
      <c r="P67">
        <v>4.2059316314000004</v>
      </c>
      <c r="Q67">
        <v>-10.299474042899998</v>
      </c>
      <c r="R67">
        <v>1108.2557229116933</v>
      </c>
      <c r="S67">
        <v>0.65</v>
      </c>
      <c r="U67">
        <v>0</v>
      </c>
      <c r="V67">
        <v>-10.1779490042</v>
      </c>
      <c r="W67">
        <v>1110.803711083227</v>
      </c>
      <c r="X67">
        <v>0.65</v>
      </c>
      <c r="Z67">
        <v>-4.2033922218999997</v>
      </c>
      <c r="AA67">
        <v>-10.300406887300001</v>
      </c>
      <c r="AB67">
        <v>1108.2432849872898</v>
      </c>
      <c r="AC67">
        <v>0.65</v>
      </c>
      <c r="AE67">
        <v>-5.9194323805</v>
      </c>
      <c r="AF67">
        <v>-6.0028509829999992</v>
      </c>
      <c r="AG67">
        <v>1155.6399563032476</v>
      </c>
      <c r="AH67">
        <v>0.65</v>
      </c>
      <c r="AJ67">
        <v>-9.2007381489999993</v>
      </c>
      <c r="AK67">
        <v>-3.8386468793000001</v>
      </c>
      <c r="AL67">
        <v>1163.546753226359</v>
      </c>
      <c r="AM67">
        <v>0.65</v>
      </c>
    </row>
    <row r="68" spans="1:39" x14ac:dyDescent="0.25">
      <c r="A68">
        <v>29.082137066599998</v>
      </c>
      <c r="B68">
        <v>0</v>
      </c>
      <c r="C68">
        <v>1065.4757928746178</v>
      </c>
      <c r="D68">
        <v>0.65</v>
      </c>
      <c r="F68">
        <v>6.6725683666000002</v>
      </c>
      <c r="G68">
        <v>-2.7113184181999999</v>
      </c>
      <c r="H68">
        <v>1179.3371041935993</v>
      </c>
      <c r="I68">
        <v>0.65</v>
      </c>
      <c r="K68">
        <v>6.5072271907000001</v>
      </c>
      <c r="L68">
        <v>-6.5919580627000007</v>
      </c>
      <c r="M68">
        <v>1148.903837215712</v>
      </c>
      <c r="N68">
        <v>0.65</v>
      </c>
      <c r="P68">
        <v>4.6350196661999998</v>
      </c>
      <c r="Q68">
        <v>-11.2813048512</v>
      </c>
      <c r="R68">
        <v>1096.3924232460151</v>
      </c>
      <c r="S68">
        <v>0.65</v>
      </c>
      <c r="U68">
        <v>0</v>
      </c>
      <c r="V68">
        <v>-16.3976558984</v>
      </c>
      <c r="W68">
        <v>1032.7853969374328</v>
      </c>
      <c r="X68">
        <v>0.65</v>
      </c>
      <c r="Z68">
        <v>-4.4155095550999999</v>
      </c>
      <c r="AA68">
        <v>-10.6246970262</v>
      </c>
      <c r="AB68">
        <v>1104.3286757280976</v>
      </c>
      <c r="AC68">
        <v>0.65</v>
      </c>
      <c r="AE68">
        <v>-5.5721105362000003</v>
      </c>
      <c r="AF68">
        <v>-5.4939477621000004</v>
      </c>
      <c r="AG68">
        <v>1161.443110360688</v>
      </c>
      <c r="AH68">
        <v>0.65</v>
      </c>
      <c r="AJ68">
        <v>-7.8495481796000002</v>
      </c>
      <c r="AK68">
        <v>-3.2268177613</v>
      </c>
      <c r="AL68">
        <v>1172.2424393480692</v>
      </c>
      <c r="AM68">
        <v>0.65</v>
      </c>
    </row>
    <row r="69" spans="1:39" x14ac:dyDescent="0.25">
      <c r="A69">
        <v>28.788020620699999</v>
      </c>
      <c r="B69">
        <v>0</v>
      </c>
      <c r="C69">
        <v>1067.1564582796636</v>
      </c>
      <c r="D69">
        <v>0.65</v>
      </c>
      <c r="F69">
        <v>9.3569073578999991</v>
      </c>
      <c r="G69">
        <v>-3.8286506353999998</v>
      </c>
      <c r="H69">
        <v>1162.7751263495068</v>
      </c>
      <c r="I69">
        <v>0.65</v>
      </c>
      <c r="K69">
        <v>6.7006825669000003</v>
      </c>
      <c r="L69">
        <v>-6.7032474626000003</v>
      </c>
      <c r="M69">
        <v>1147.4472625015392</v>
      </c>
      <c r="N69">
        <v>0.65</v>
      </c>
      <c r="P69">
        <v>5.1090070425</v>
      </c>
      <c r="Q69">
        <v>-12.3485320968</v>
      </c>
      <c r="R69">
        <v>1083.1995167620689</v>
      </c>
      <c r="S69">
        <v>0.65</v>
      </c>
      <c r="U69">
        <v>0</v>
      </c>
      <c r="V69">
        <v>-13.3257231032</v>
      </c>
      <c r="W69">
        <v>1072.925982354903</v>
      </c>
      <c r="X69">
        <v>0.65</v>
      </c>
      <c r="Z69">
        <v>-5.1083498546000001</v>
      </c>
      <c r="AA69">
        <v>-12.348773512699999</v>
      </c>
      <c r="AB69">
        <v>1083.1962978825195</v>
      </c>
      <c r="AC69">
        <v>0.65</v>
      </c>
      <c r="AE69">
        <v>-6.8773768264999999</v>
      </c>
      <c r="AF69">
        <v>-6.8048247706999998</v>
      </c>
      <c r="AG69">
        <v>1146.2293181459816</v>
      </c>
      <c r="AH69">
        <v>0.65</v>
      </c>
      <c r="AJ69">
        <v>-7.8587159670000002</v>
      </c>
      <c r="AK69">
        <v>-3.2101858343999998</v>
      </c>
      <c r="AL69">
        <v>1172.425142873713</v>
      </c>
      <c r="AM69">
        <v>0.65</v>
      </c>
    </row>
    <row r="70" spans="1:39" x14ac:dyDescent="0.25">
      <c r="A70">
        <v>28.918739041099997</v>
      </c>
      <c r="B70">
        <v>0</v>
      </c>
      <c r="C70">
        <v>1066.409495877421</v>
      </c>
      <c r="D70">
        <v>0.65</v>
      </c>
      <c r="F70">
        <v>-13.873932492900002</v>
      </c>
      <c r="G70">
        <v>5.8631135171999995</v>
      </c>
      <c r="H70">
        <v>1131.6085600582642</v>
      </c>
      <c r="I70">
        <v>0.65</v>
      </c>
      <c r="K70">
        <v>5.9931059009999998</v>
      </c>
      <c r="L70">
        <v>-5.9888421832999992</v>
      </c>
      <c r="M70">
        <v>1155.8267403002285</v>
      </c>
      <c r="N70">
        <v>0.65</v>
      </c>
      <c r="P70">
        <v>4.4166037249999999</v>
      </c>
      <c r="Q70">
        <v>-10.6242950862</v>
      </c>
      <c r="R70">
        <v>1104.3340349276075</v>
      </c>
      <c r="S70">
        <v>0.65</v>
      </c>
      <c r="U70">
        <v>0</v>
      </c>
      <c r="V70">
        <v>-13.443217585199999</v>
      </c>
      <c r="W70">
        <v>1071.3593892624172</v>
      </c>
      <c r="X70">
        <v>0.65</v>
      </c>
      <c r="Z70">
        <v>-4.1118101847999995</v>
      </c>
      <c r="AA70">
        <v>-9.7469201089999995</v>
      </c>
      <c r="AB70">
        <v>1114.7227383271368</v>
      </c>
      <c r="AC70">
        <v>0.65</v>
      </c>
      <c r="AE70">
        <v>-6.4711795265000003</v>
      </c>
      <c r="AF70">
        <v>-6.4644395260999996</v>
      </c>
      <c r="AG70">
        <v>1150.2493930135456</v>
      </c>
      <c r="AH70">
        <v>0.65</v>
      </c>
      <c r="AJ70">
        <v>-7.9459849357999994</v>
      </c>
      <c r="AK70">
        <v>-3.2535187878</v>
      </c>
      <c r="AL70">
        <v>1171.2988104620558</v>
      </c>
      <c r="AM70">
        <v>0.65</v>
      </c>
    </row>
    <row r="71" spans="1:39" x14ac:dyDescent="0.25">
      <c r="A71">
        <v>29.114816671700002</v>
      </c>
      <c r="B71">
        <v>0</v>
      </c>
      <c r="C71">
        <v>1065.2890522740574</v>
      </c>
      <c r="D71">
        <v>0.65</v>
      </c>
      <c r="F71">
        <v>9.2592838338999996</v>
      </c>
      <c r="G71">
        <v>-3.8414022968000001</v>
      </c>
      <c r="H71">
        <v>1163.1650750089887</v>
      </c>
      <c r="I71">
        <v>0.65</v>
      </c>
      <c r="K71">
        <v>7.1521136675000001</v>
      </c>
      <c r="L71">
        <v>-7.1525502227000004</v>
      </c>
      <c r="M71">
        <v>1142.2205096502341</v>
      </c>
      <c r="N71">
        <v>0.65</v>
      </c>
      <c r="P71">
        <v>5.2261589460000009</v>
      </c>
      <c r="Q71">
        <v>-12.7665907155</v>
      </c>
      <c r="R71">
        <v>1077.9528092529756</v>
      </c>
      <c r="S71">
        <v>0.65</v>
      </c>
      <c r="U71">
        <v>0</v>
      </c>
      <c r="V71">
        <v>-16.436820725699999</v>
      </c>
      <c r="W71">
        <v>1032.2631992399374</v>
      </c>
      <c r="X71">
        <v>0.65</v>
      </c>
      <c r="Z71">
        <v>-4.6345372988999998</v>
      </c>
      <c r="AA71">
        <v>-11.281482047399999</v>
      </c>
      <c r="AB71">
        <v>1096.3900606304599</v>
      </c>
      <c r="AC71">
        <v>0.65</v>
      </c>
      <c r="AE71">
        <v>-6.7006323569000008</v>
      </c>
      <c r="AF71">
        <v>-6.7032659071000005</v>
      </c>
      <c r="AG71">
        <v>1147.4470165750654</v>
      </c>
      <c r="AH71">
        <v>0.65</v>
      </c>
      <c r="AJ71">
        <v>-6.6537338914999999</v>
      </c>
      <c r="AK71">
        <v>-2.7057985001999998</v>
      </c>
      <c r="AL71">
        <v>1179.5257341240163</v>
      </c>
      <c r="AM71">
        <v>0.65</v>
      </c>
    </row>
    <row r="72" spans="1:39" x14ac:dyDescent="0.25">
      <c r="A72">
        <v>28.886059436</v>
      </c>
      <c r="B72">
        <v>0</v>
      </c>
      <c r="C72">
        <v>1066.5962364779818</v>
      </c>
      <c r="D72">
        <v>0.65</v>
      </c>
      <c r="F72">
        <v>9.2200505686999996</v>
      </c>
      <c r="G72">
        <v>-3.9089467173000001</v>
      </c>
      <c r="H72">
        <v>1162.4348031531215</v>
      </c>
      <c r="I72">
        <v>0.65</v>
      </c>
      <c r="K72">
        <v>6.8770294037999999</v>
      </c>
      <c r="L72">
        <v>-6.8049523953999991</v>
      </c>
      <c r="M72">
        <v>1146.2276164837008</v>
      </c>
      <c r="N72">
        <v>0.65</v>
      </c>
      <c r="P72">
        <v>5.0119239274999998</v>
      </c>
      <c r="Q72">
        <v>-11.912860621699998</v>
      </c>
      <c r="R72">
        <v>1088.571926552557</v>
      </c>
      <c r="S72">
        <v>0.65</v>
      </c>
      <c r="U72">
        <v>0</v>
      </c>
      <c r="V72">
        <v>-13.417107700300001</v>
      </c>
      <c r="W72">
        <v>1071.7075210607472</v>
      </c>
      <c r="X72">
        <v>0.65</v>
      </c>
      <c r="Z72">
        <v>-3.9602398645000001</v>
      </c>
      <c r="AA72">
        <v>-9.6350858671000008</v>
      </c>
      <c r="AB72">
        <v>1116.0774417995162</v>
      </c>
      <c r="AC72">
        <v>0.65</v>
      </c>
      <c r="AE72">
        <v>-7.7306124397999998</v>
      </c>
      <c r="AF72">
        <v>-7.7173173067</v>
      </c>
      <c r="AG72">
        <v>1135.3723806300686</v>
      </c>
      <c r="AH72">
        <v>0.65</v>
      </c>
      <c r="AJ72">
        <v>-10.7731742723</v>
      </c>
      <c r="AK72">
        <v>-4.5134593297999999</v>
      </c>
      <c r="AL72">
        <v>1153.2366264913362</v>
      </c>
      <c r="AM72">
        <v>0.65</v>
      </c>
    </row>
    <row r="73" spans="1:39" x14ac:dyDescent="0.25">
      <c r="A73">
        <v>28.8207002258</v>
      </c>
      <c r="B73">
        <v>0</v>
      </c>
      <c r="C73">
        <v>1066.9697176791028</v>
      </c>
      <c r="D73">
        <v>0.65</v>
      </c>
      <c r="F73">
        <v>10.785484888900001</v>
      </c>
      <c r="G73">
        <v>-4.5085741645000006</v>
      </c>
      <c r="H73">
        <v>1153.2340210698246</v>
      </c>
      <c r="I73">
        <v>0.65</v>
      </c>
      <c r="K73">
        <v>6.1798949808999994</v>
      </c>
      <c r="L73">
        <v>-6.2423132309000007</v>
      </c>
      <c r="M73">
        <v>1152.8291016403332</v>
      </c>
      <c r="N73">
        <v>0.65</v>
      </c>
      <c r="P73">
        <v>5.9316828180000005</v>
      </c>
      <c r="Q73">
        <v>-13.9791436995</v>
      </c>
      <c r="R73">
        <v>1062.2219793428822</v>
      </c>
      <c r="S73">
        <v>0.65</v>
      </c>
      <c r="U73">
        <v>0</v>
      </c>
      <c r="V73">
        <v>-13.469327470000001</v>
      </c>
      <c r="W73">
        <v>1071.0112574640868</v>
      </c>
      <c r="X73">
        <v>0.65</v>
      </c>
      <c r="Z73">
        <v>-5.7252259088000006</v>
      </c>
      <c r="AA73">
        <v>-13.885801432099999</v>
      </c>
      <c r="AB73">
        <v>1063.5483947605842</v>
      </c>
      <c r="AC73">
        <v>0.65</v>
      </c>
      <c r="AE73">
        <v>-7.1521136494999995</v>
      </c>
      <c r="AF73">
        <v>-7.1525502293000001</v>
      </c>
      <c r="AG73">
        <v>1142.2205095623472</v>
      </c>
      <c r="AH73">
        <v>0.65</v>
      </c>
      <c r="AJ73">
        <v>-9.6348354082000007</v>
      </c>
      <c r="AK73">
        <v>-3.9211121403</v>
      </c>
      <c r="AL73">
        <v>1160.9848335414267</v>
      </c>
      <c r="AM73">
        <v>0.65</v>
      </c>
    </row>
    <row r="74" spans="1:39" x14ac:dyDescent="0.25">
      <c r="A74">
        <v>34.9913516851</v>
      </c>
      <c r="B74">
        <v>0</v>
      </c>
      <c r="C74">
        <v>1027.1485347367998</v>
      </c>
      <c r="D74">
        <v>0.65</v>
      </c>
      <c r="F74">
        <v>7.8599179174999998</v>
      </c>
      <c r="G74">
        <v>-3.2356967021000003</v>
      </c>
      <c r="H74">
        <v>1172.0556008964547</v>
      </c>
      <c r="I74">
        <v>0.65</v>
      </c>
      <c r="K74">
        <v>8.3674607030000008</v>
      </c>
      <c r="L74">
        <v>-8.379026443699999</v>
      </c>
      <c r="M74">
        <v>1127.3681106546617</v>
      </c>
      <c r="N74">
        <v>0.65</v>
      </c>
      <c r="P74">
        <v>4.8498228755000001</v>
      </c>
      <c r="Q74">
        <v>-11.7017447741</v>
      </c>
      <c r="R74">
        <v>1091.2231008173612</v>
      </c>
      <c r="S74">
        <v>0.65</v>
      </c>
      <c r="U74">
        <v>0</v>
      </c>
      <c r="V74">
        <v>-16.489040495499999</v>
      </c>
      <c r="W74">
        <v>1031.566935643277</v>
      </c>
      <c r="X74">
        <v>0.65</v>
      </c>
      <c r="Z74">
        <v>-5.1805124981999997</v>
      </c>
      <c r="AA74">
        <v>-12.555818595200002</v>
      </c>
      <c r="AB74">
        <v>1080.5994004871152</v>
      </c>
      <c r="AC74">
        <v>0.65</v>
      </c>
      <c r="AE74">
        <v>-8.1070407989</v>
      </c>
      <c r="AF74">
        <v>-8.0392127679000005</v>
      </c>
      <c r="AG74">
        <v>1131.3805646041524</v>
      </c>
      <c r="AH74">
        <v>0.65</v>
      </c>
      <c r="AJ74">
        <v>-10.843086509800001</v>
      </c>
      <c r="AK74">
        <v>-4.4987102944999995</v>
      </c>
      <c r="AL74">
        <v>1153.0371864524695</v>
      </c>
      <c r="AM74">
        <v>0.65</v>
      </c>
    </row>
    <row r="75" spans="1:39" x14ac:dyDescent="0.25">
      <c r="A75">
        <v>28.8533798309</v>
      </c>
      <c r="B75">
        <v>0</v>
      </c>
      <c r="C75">
        <v>1066.7829770785422</v>
      </c>
      <c r="D75">
        <v>0.65</v>
      </c>
      <c r="F75">
        <v>10.8418636661</v>
      </c>
      <c r="G75">
        <v>-4.4991955498999996</v>
      </c>
      <c r="H75">
        <v>1153.0374452553665</v>
      </c>
      <c r="I75">
        <v>0.65</v>
      </c>
      <c r="K75">
        <v>6.9654201491000007</v>
      </c>
      <c r="L75">
        <v>-6.9230984925999994</v>
      </c>
      <c r="M75">
        <v>1144.8978907429862</v>
      </c>
      <c r="N75">
        <v>0.65</v>
      </c>
      <c r="P75">
        <v>5.7377970293000002</v>
      </c>
      <c r="Q75">
        <v>-13.8811834694</v>
      </c>
      <c r="R75">
        <v>1063.6099675956893</v>
      </c>
      <c r="S75">
        <v>0.65</v>
      </c>
      <c r="U75">
        <v>0</v>
      </c>
      <c r="V75">
        <v>-13.364887930499998</v>
      </c>
      <c r="W75">
        <v>1072.4037846574079</v>
      </c>
      <c r="X75">
        <v>0.65</v>
      </c>
      <c r="Z75">
        <v>-5.2273594791999995</v>
      </c>
      <c r="AA75">
        <v>-12.7661497033</v>
      </c>
      <c r="AB75">
        <v>1077.9586894156539</v>
      </c>
      <c r="AC75">
        <v>0.65</v>
      </c>
      <c r="AE75">
        <v>-5.9930519754000002</v>
      </c>
      <c r="AF75">
        <v>-5.9888619927000004</v>
      </c>
      <c r="AG75">
        <v>1155.8264761747878</v>
      </c>
      <c r="AH75">
        <v>0.65</v>
      </c>
      <c r="AJ75">
        <v>-10.4579069317</v>
      </c>
      <c r="AK75">
        <v>-4.2794550990999998</v>
      </c>
      <c r="AL75">
        <v>1155.8811857759849</v>
      </c>
      <c r="AM75">
        <v>0.65</v>
      </c>
    </row>
    <row r="76" spans="1:39" x14ac:dyDescent="0.25">
      <c r="A76">
        <v>29.049457461500001</v>
      </c>
      <c r="B76">
        <v>0</v>
      </c>
      <c r="C76">
        <v>1065.6625334751786</v>
      </c>
      <c r="D76">
        <v>0.65</v>
      </c>
      <c r="F76">
        <v>9.1984685381000002</v>
      </c>
      <c r="G76">
        <v>-3.8395475184999999</v>
      </c>
      <c r="H76">
        <v>1163.5472335672807</v>
      </c>
      <c r="I76">
        <v>0.65</v>
      </c>
      <c r="K76">
        <v>7.1734503303999997</v>
      </c>
      <c r="L76">
        <v>-7.1577672074000001</v>
      </c>
      <c r="M76">
        <v>1142.1509498553355</v>
      </c>
      <c r="N76">
        <v>0.65</v>
      </c>
      <c r="P76">
        <v>5.1806707093000002</v>
      </c>
      <c r="Q76">
        <v>-12.555760476800002</v>
      </c>
      <c r="R76">
        <v>1080.6001753987425</v>
      </c>
      <c r="S76">
        <v>0.65</v>
      </c>
      <c r="U76">
        <v>0</v>
      </c>
      <c r="V76">
        <v>-10.230168773899999</v>
      </c>
      <c r="W76">
        <v>1110.1074474865666</v>
      </c>
      <c r="X76">
        <v>0.65</v>
      </c>
      <c r="Z76">
        <v>-5.5257345095000003</v>
      </c>
      <c r="AA76">
        <v>-13.2677515943</v>
      </c>
      <c r="AB76">
        <v>1071.5162197575301</v>
      </c>
      <c r="AC76">
        <v>0.65</v>
      </c>
      <c r="AE76">
        <v>-7.1737742815000001</v>
      </c>
      <c r="AF76">
        <v>-7.1576482049000001</v>
      </c>
      <c r="AG76">
        <v>1142.1525365545351</v>
      </c>
      <c r="AH76">
        <v>0.65</v>
      </c>
      <c r="AJ76">
        <v>-10.893988052199999</v>
      </c>
      <c r="AK76">
        <v>-4.4915051857999995</v>
      </c>
      <c r="AL76">
        <v>1152.8417698411556</v>
      </c>
      <c r="AM76">
        <v>0.65</v>
      </c>
    </row>
    <row r="77" spans="1:39" x14ac:dyDescent="0.25">
      <c r="A77">
        <v>34.925992474899999</v>
      </c>
      <c r="B77">
        <v>0</v>
      </c>
      <c r="C77">
        <v>1027.522015937921</v>
      </c>
      <c r="D77">
        <v>0.65</v>
      </c>
      <c r="F77">
        <v>-13.749426660399999</v>
      </c>
      <c r="G77">
        <v>5.5861510162000005</v>
      </c>
      <c r="H77">
        <v>1134.2127465369711</v>
      </c>
      <c r="I77">
        <v>0.65</v>
      </c>
      <c r="K77">
        <v>7.3219289921999993</v>
      </c>
      <c r="L77">
        <v>-7.3952434426</v>
      </c>
      <c r="M77">
        <v>1139.3665753608559</v>
      </c>
      <c r="N77">
        <v>0.65</v>
      </c>
      <c r="P77">
        <v>5.4950208492000003</v>
      </c>
      <c r="Q77">
        <v>-13.265979221</v>
      </c>
      <c r="R77">
        <v>1071.5398514023202</v>
      </c>
      <c r="S77">
        <v>0.65</v>
      </c>
      <c r="U77">
        <v>0</v>
      </c>
      <c r="V77">
        <v>-13.404052757899999</v>
      </c>
      <c r="W77">
        <v>1071.8815869599123</v>
      </c>
      <c r="X77">
        <v>0.65</v>
      </c>
      <c r="Z77">
        <v>-5.0084883799000002</v>
      </c>
      <c r="AA77">
        <v>-11.9141226596</v>
      </c>
      <c r="AB77">
        <v>1088.5550993809074</v>
      </c>
      <c r="AC77">
        <v>0.65</v>
      </c>
      <c r="AE77">
        <v>-6.3859348024999996</v>
      </c>
      <c r="AF77">
        <v>-6.3391241420999993</v>
      </c>
      <c r="AG77">
        <v>1151.6747092438954</v>
      </c>
      <c r="AH77">
        <v>0.65</v>
      </c>
      <c r="AJ77">
        <v>13.625223958500001</v>
      </c>
      <c r="AK77">
        <v>5.6354378025999994</v>
      </c>
      <c r="AL77">
        <v>1134.2390328230952</v>
      </c>
      <c r="AM77">
        <v>0.65</v>
      </c>
    </row>
    <row r="78" spans="1:39" x14ac:dyDescent="0.25">
      <c r="A78">
        <v>28.9514186462</v>
      </c>
      <c r="B78">
        <v>0</v>
      </c>
      <c r="C78">
        <v>1066.2227552768604</v>
      </c>
      <c r="D78">
        <v>0.65</v>
      </c>
      <c r="F78">
        <v>-13.194756657999999</v>
      </c>
      <c r="G78">
        <v>5.4866446083999998</v>
      </c>
      <c r="H78">
        <v>1136.8941145370534</v>
      </c>
      <c r="I78">
        <v>0.65</v>
      </c>
      <c r="K78">
        <v>7.6055302053</v>
      </c>
      <c r="L78">
        <v>-7.4772600709000008</v>
      </c>
      <c r="M78">
        <v>1138.1911684643464</v>
      </c>
      <c r="N78">
        <v>0.65</v>
      </c>
      <c r="P78">
        <v>5.7076693256999995</v>
      </c>
      <c r="Q78">
        <v>-13.5725600274</v>
      </c>
      <c r="R78">
        <v>1067.5339591680017</v>
      </c>
      <c r="S78">
        <v>0.65</v>
      </c>
      <c r="U78">
        <v>0</v>
      </c>
      <c r="V78">
        <v>-16.358491071100001</v>
      </c>
      <c r="W78">
        <v>1033.3075946349281</v>
      </c>
      <c r="X78">
        <v>0.65</v>
      </c>
      <c r="Z78">
        <v>-5.7023750757000009</v>
      </c>
      <c r="AA78">
        <v>-13.881140673200001</v>
      </c>
      <c r="AB78">
        <v>1063.6105382118119</v>
      </c>
      <c r="AC78">
        <v>0.65</v>
      </c>
      <c r="AE78">
        <v>-6.5071107521</v>
      </c>
      <c r="AF78">
        <v>-6.5920008360999995</v>
      </c>
      <c r="AG78">
        <v>1148.903266903993</v>
      </c>
      <c r="AH78">
        <v>0.65</v>
      </c>
      <c r="AJ78">
        <v>13.898344722300001</v>
      </c>
      <c r="AK78">
        <v>5.6958937906999996</v>
      </c>
      <c r="AL78">
        <v>1132.8017218831392</v>
      </c>
      <c r="AM78">
        <v>0.65</v>
      </c>
    </row>
    <row r="79" spans="1:39" x14ac:dyDescent="0.25">
      <c r="A79">
        <v>35.0240312902</v>
      </c>
      <c r="B79">
        <v>0</v>
      </c>
      <c r="C79">
        <v>1026.9617941362392</v>
      </c>
      <c r="D79">
        <v>0.65</v>
      </c>
      <c r="F79">
        <v>10.4604384301</v>
      </c>
      <c r="G79">
        <v>-4.2784505362000003</v>
      </c>
      <c r="H79">
        <v>1155.8806500091125</v>
      </c>
      <c r="I79">
        <v>0.65</v>
      </c>
      <c r="K79">
        <v>8.1072454116999992</v>
      </c>
      <c r="L79">
        <v>-8.0391376040000004</v>
      </c>
      <c r="M79">
        <v>1131.381566789345</v>
      </c>
      <c r="N79">
        <v>0.65</v>
      </c>
      <c r="P79">
        <v>5.7023718984</v>
      </c>
      <c r="Q79">
        <v>-13.8811418404</v>
      </c>
      <c r="R79">
        <v>1063.6105226496081</v>
      </c>
      <c r="S79">
        <v>0.65</v>
      </c>
      <c r="U79">
        <v>0</v>
      </c>
      <c r="V79">
        <v>-13.482382412500002</v>
      </c>
      <c r="W79">
        <v>1070.8371915649218</v>
      </c>
      <c r="X79">
        <v>0.65</v>
      </c>
      <c r="Z79">
        <v>-5.4939898516999994</v>
      </c>
      <c r="AA79">
        <v>-13.2663579547</v>
      </c>
      <c r="AB79">
        <v>1071.5348016187233</v>
      </c>
      <c r="AC79">
        <v>0.65</v>
      </c>
      <c r="AE79">
        <v>-7.6055573411999999</v>
      </c>
      <c r="AF79">
        <v>-7.4772501025999993</v>
      </c>
      <c r="AG79">
        <v>1138.1913013751951</v>
      </c>
      <c r="AH79">
        <v>0.65</v>
      </c>
      <c r="AJ79">
        <v>12.578067547600002</v>
      </c>
      <c r="AK79">
        <v>5.2451188563000004</v>
      </c>
      <c r="AL79">
        <v>1141.1215780182206</v>
      </c>
      <c r="AM79">
        <v>0.65</v>
      </c>
    </row>
    <row r="80" spans="1:39" x14ac:dyDescent="0.25">
      <c r="A80">
        <v>35.0567108953</v>
      </c>
      <c r="B80">
        <v>0</v>
      </c>
      <c r="C80">
        <v>1026.7750535356784</v>
      </c>
      <c r="D80">
        <v>0.65</v>
      </c>
      <c r="F80">
        <v>-12.580538402499998</v>
      </c>
      <c r="G80">
        <v>5.2441383583000007</v>
      </c>
      <c r="H80">
        <v>1141.1210550859623</v>
      </c>
      <c r="I80">
        <v>0.65</v>
      </c>
      <c r="K80">
        <v>7.8468199902000002</v>
      </c>
      <c r="L80">
        <v>-7.8290870113999995</v>
      </c>
      <c r="M80">
        <v>1134.018537653458</v>
      </c>
      <c r="N80">
        <v>0.65</v>
      </c>
      <c r="P80">
        <v>5.5250783484000001</v>
      </c>
      <c r="Q80">
        <v>-13.2679926331</v>
      </c>
      <c r="R80">
        <v>1071.5130059072769</v>
      </c>
      <c r="S80">
        <v>0.65</v>
      </c>
      <c r="U80">
        <v>0</v>
      </c>
      <c r="V80">
        <v>-16.3715460136</v>
      </c>
      <c r="W80">
        <v>1033.1335287357631</v>
      </c>
      <c r="X80">
        <v>0.65</v>
      </c>
      <c r="Z80">
        <v>-6.0297703436999992</v>
      </c>
      <c r="AA80">
        <v>-14.2917264879</v>
      </c>
      <c r="AB80">
        <v>1058.1360606831238</v>
      </c>
      <c r="AC80">
        <v>0.65</v>
      </c>
      <c r="AE80">
        <v>-6.9652105714000001</v>
      </c>
      <c r="AF80">
        <v>-6.9231754804000003</v>
      </c>
      <c r="AG80">
        <v>1144.8968642396658</v>
      </c>
      <c r="AH80">
        <v>0.65</v>
      </c>
      <c r="AJ80">
        <v>13.0793300319</v>
      </c>
      <c r="AK80">
        <v>5.3686786009</v>
      </c>
      <c r="AL80">
        <v>1138.2876571703837</v>
      </c>
      <c r="AM80">
        <v>0.65</v>
      </c>
    </row>
    <row r="81" spans="1:39" x14ac:dyDescent="0.25">
      <c r="A81">
        <v>29.016777856399997</v>
      </c>
      <c r="B81">
        <v>0</v>
      </c>
      <c r="C81">
        <v>1065.8492740757392</v>
      </c>
      <c r="D81">
        <v>0.65</v>
      </c>
      <c r="F81">
        <v>9.6211730822000003</v>
      </c>
      <c r="G81">
        <v>-3.9265336982999997</v>
      </c>
      <c r="H81">
        <v>1160.9877250390009</v>
      </c>
      <c r="I81">
        <v>0.65</v>
      </c>
      <c r="K81">
        <v>8.3329938472000009</v>
      </c>
      <c r="L81">
        <v>-8.3786327951999997</v>
      </c>
      <c r="M81">
        <v>1127.3733593007919</v>
      </c>
      <c r="N81">
        <v>0.65</v>
      </c>
      <c r="P81">
        <v>6.8685486784999998</v>
      </c>
      <c r="Q81">
        <v>-16.598901893699999</v>
      </c>
      <c r="R81">
        <v>1026.7189071234511</v>
      </c>
      <c r="S81">
        <v>0.65</v>
      </c>
      <c r="U81">
        <v>0</v>
      </c>
      <c r="V81">
        <v>-16.475985553000001</v>
      </c>
      <c r="W81">
        <v>1031.7410015424421</v>
      </c>
      <c r="X81">
        <v>0.65</v>
      </c>
      <c r="Z81">
        <v>-5.7076693823999998</v>
      </c>
      <c r="AA81">
        <v>-13.5725600066</v>
      </c>
      <c r="AB81">
        <v>1067.5339594453803</v>
      </c>
      <c r="AC81">
        <v>0.65</v>
      </c>
      <c r="AE81">
        <v>-8.5966652220000004</v>
      </c>
      <c r="AF81">
        <v>-8.5885187284000004</v>
      </c>
      <c r="AG81">
        <v>1124.7385838963332</v>
      </c>
      <c r="AH81">
        <v>0.65</v>
      </c>
      <c r="AJ81">
        <v>-14.585313686399999</v>
      </c>
      <c r="AK81">
        <v>-6.0921398544000001</v>
      </c>
      <c r="AL81">
        <v>1127.1348365826841</v>
      </c>
      <c r="AM81">
        <v>0.65</v>
      </c>
    </row>
    <row r="82" spans="1:39" x14ac:dyDescent="0.25">
      <c r="A82">
        <v>29.180175881899999</v>
      </c>
      <c r="B82">
        <v>0</v>
      </c>
      <c r="C82">
        <v>1064.915571072936</v>
      </c>
      <c r="D82">
        <v>0.65</v>
      </c>
      <c r="F82">
        <v>10.8947573231</v>
      </c>
      <c r="G82">
        <v>-4.4911999195999996</v>
      </c>
      <c r="H82">
        <v>1152.8416070325143</v>
      </c>
      <c r="I82">
        <v>0.65</v>
      </c>
      <c r="K82">
        <v>9.392993001999999</v>
      </c>
      <c r="L82">
        <v>-9.3253882159000003</v>
      </c>
      <c r="M82">
        <v>1115.4320524574721</v>
      </c>
      <c r="N82">
        <v>0.65</v>
      </c>
      <c r="P82">
        <v>10.9245432608</v>
      </c>
      <c r="Q82">
        <v>-27.0186100733</v>
      </c>
      <c r="R82">
        <v>837.87750139726211</v>
      </c>
      <c r="S82">
        <v>0.65</v>
      </c>
      <c r="U82">
        <v>0</v>
      </c>
      <c r="V82">
        <v>-16.423765783299999</v>
      </c>
      <c r="W82">
        <v>1032.4372651391025</v>
      </c>
      <c r="X82">
        <v>0.65</v>
      </c>
      <c r="Z82">
        <v>-6.8686956542999997</v>
      </c>
      <c r="AA82">
        <v>-16.598847902700001</v>
      </c>
      <c r="AB82">
        <v>1026.7196270045101</v>
      </c>
      <c r="AC82">
        <v>0.65</v>
      </c>
      <c r="AE82">
        <v>-8.3328380517000014</v>
      </c>
      <c r="AF82">
        <v>-8.3786900262999993</v>
      </c>
      <c r="AG82">
        <v>1127.3725962207598</v>
      </c>
      <c r="AH82">
        <v>0.65</v>
      </c>
      <c r="AJ82">
        <v>-21.131390853599999</v>
      </c>
      <c r="AK82">
        <v>-8.9361925303999996</v>
      </c>
      <c r="AL82">
        <v>1075.8466865347405</v>
      </c>
      <c r="AM82">
        <v>0.65</v>
      </c>
    </row>
    <row r="83" spans="1:39" x14ac:dyDescent="0.25">
      <c r="A83">
        <v>34.893312869799999</v>
      </c>
      <c r="B83">
        <v>0</v>
      </c>
      <c r="C83">
        <v>1027.7087565384816</v>
      </c>
      <c r="D83">
        <v>0.65</v>
      </c>
      <c r="F83">
        <v>14.571503231399999</v>
      </c>
      <c r="G83">
        <v>-6.0976201936999992</v>
      </c>
      <c r="H83">
        <v>1127.1377594302944</v>
      </c>
      <c r="I83">
        <v>0.65</v>
      </c>
      <c r="K83">
        <v>7.7293334343</v>
      </c>
      <c r="L83">
        <v>-7.7177871454</v>
      </c>
      <c r="M83">
        <v>1135.3661161131058</v>
      </c>
      <c r="N83">
        <v>0.65</v>
      </c>
      <c r="P83">
        <v>5.9074652045000002</v>
      </c>
      <c r="Q83">
        <v>-13.974985023199999</v>
      </c>
      <c r="R83">
        <v>1062.2774283597259</v>
      </c>
      <c r="S83">
        <v>0.65</v>
      </c>
      <c r="U83">
        <v>0</v>
      </c>
      <c r="V83">
        <v>-13.5084922973</v>
      </c>
      <c r="W83">
        <v>1070.4890597665915</v>
      </c>
      <c r="X83">
        <v>0.65</v>
      </c>
      <c r="Z83">
        <v>-6.0184036788000004</v>
      </c>
      <c r="AA83">
        <v>-14.282847055</v>
      </c>
      <c r="AB83">
        <v>1058.2544531211963</v>
      </c>
      <c r="AC83">
        <v>0.65</v>
      </c>
      <c r="AE83">
        <v>-7.8468199420999998</v>
      </c>
      <c r="AF83">
        <v>-7.8290870291000001</v>
      </c>
      <c r="AG83">
        <v>1134.0185374177754</v>
      </c>
      <c r="AH83">
        <v>0.65</v>
      </c>
      <c r="AJ83">
        <v>-15.146966418699998</v>
      </c>
      <c r="AK83">
        <v>-6.1657489413999995</v>
      </c>
      <c r="AL83">
        <v>1124.465849270789</v>
      </c>
      <c r="AM83">
        <v>0.65</v>
      </c>
    </row>
    <row r="84" spans="1:39" x14ac:dyDescent="0.25">
      <c r="A84">
        <v>35.220108920800001</v>
      </c>
      <c r="B84">
        <v>0</v>
      </c>
      <c r="C84">
        <v>1025.8413505328754</v>
      </c>
      <c r="D84">
        <v>0.65</v>
      </c>
      <c r="F84">
        <v>10.8669088771</v>
      </c>
      <c r="G84">
        <v>-4.5152448063000001</v>
      </c>
      <c r="H84">
        <v>1152.6628570853959</v>
      </c>
      <c r="I84">
        <v>0.65</v>
      </c>
      <c r="K84">
        <v>8.5966421511999993</v>
      </c>
      <c r="L84">
        <v>-8.5885272034</v>
      </c>
      <c r="M84">
        <v>1124.7384708962575</v>
      </c>
      <c r="N84">
        <v>0.65</v>
      </c>
      <c r="P84">
        <v>5.8657879810999995</v>
      </c>
      <c r="Q84">
        <v>-14.1887949312</v>
      </c>
      <c r="R84">
        <v>1059.5903332904861</v>
      </c>
      <c r="S84">
        <v>0.65</v>
      </c>
      <c r="U84">
        <v>0</v>
      </c>
      <c r="V84">
        <v>-13.430162642699999</v>
      </c>
      <c r="W84">
        <v>1071.5334551615822</v>
      </c>
      <c r="X84">
        <v>0.65</v>
      </c>
      <c r="Z84">
        <v>-5.9306283694999999</v>
      </c>
      <c r="AA84">
        <v>-13.9795310479</v>
      </c>
      <c r="AB84">
        <v>1062.2168146971151</v>
      </c>
      <c r="AC84">
        <v>0.65</v>
      </c>
      <c r="AE84">
        <v>-8.3671523488999995</v>
      </c>
      <c r="AF84">
        <v>-8.379139716600001</v>
      </c>
      <c r="AG84">
        <v>1127.3666003489545</v>
      </c>
      <c r="AH84">
        <v>0.65</v>
      </c>
      <c r="AJ84">
        <v>-12.608281824799999</v>
      </c>
      <c r="AK84">
        <v>-5.2201351477000006</v>
      </c>
      <c r="AL84">
        <v>1141.2998272603197</v>
      </c>
      <c r="AM84">
        <v>0.65</v>
      </c>
    </row>
    <row r="85" spans="1:39" x14ac:dyDescent="0.25">
      <c r="A85">
        <v>35.318147736100002</v>
      </c>
      <c r="B85">
        <v>0</v>
      </c>
      <c r="C85">
        <v>1025.2811287311936</v>
      </c>
      <c r="D85">
        <v>0.65</v>
      </c>
      <c r="F85">
        <v>-13.089916737999999</v>
      </c>
      <c r="G85">
        <v>5.3644775271</v>
      </c>
      <c r="H85">
        <v>1138.2854165976596</v>
      </c>
      <c r="I85">
        <v>0.65</v>
      </c>
      <c r="K85">
        <v>8.7879639098000002</v>
      </c>
      <c r="L85">
        <v>-8.6896009017999987</v>
      </c>
      <c r="M85">
        <v>1123.418105534432</v>
      </c>
      <c r="N85">
        <v>0.65</v>
      </c>
      <c r="P85">
        <v>9.6250756123999999</v>
      </c>
      <c r="Q85">
        <v>-23.413350728800001</v>
      </c>
      <c r="R85">
        <v>916.29411390728808</v>
      </c>
      <c r="S85">
        <v>0.65</v>
      </c>
      <c r="U85">
        <v>0</v>
      </c>
      <c r="V85">
        <v>-13.5215472398</v>
      </c>
      <c r="W85">
        <v>1070.3149938674264</v>
      </c>
      <c r="X85">
        <v>0.65</v>
      </c>
      <c r="Z85">
        <v>-5.8649896289000001</v>
      </c>
      <c r="AA85">
        <v>-14.189088203500001</v>
      </c>
      <c r="AB85">
        <v>1059.5864229938293</v>
      </c>
      <c r="AC85">
        <v>0.65</v>
      </c>
      <c r="AE85">
        <v>-8.2295144945000001</v>
      </c>
      <c r="AF85">
        <v>-8.2682010315000003</v>
      </c>
      <c r="AG85">
        <v>1128.7093630643469</v>
      </c>
      <c r="AH85">
        <v>0.65</v>
      </c>
      <c r="AJ85">
        <v>-24.182447392</v>
      </c>
      <c r="AK85">
        <v>-10.049811934199999</v>
      </c>
      <c r="AL85">
        <v>1050.8995024101869</v>
      </c>
      <c r="AM85">
        <v>0.65</v>
      </c>
    </row>
    <row r="86" spans="1:39" x14ac:dyDescent="0.25">
      <c r="A86">
        <v>35.0893905004</v>
      </c>
      <c r="B86">
        <v>0</v>
      </c>
      <c r="C86">
        <v>1026.588312935118</v>
      </c>
      <c r="D86">
        <v>0.65</v>
      </c>
      <c r="F86">
        <v>12.5760016928</v>
      </c>
      <c r="G86">
        <v>-5.2329447238000002</v>
      </c>
      <c r="H86">
        <v>1141.3066590342685</v>
      </c>
      <c r="I86">
        <v>0.65</v>
      </c>
      <c r="K86">
        <v>9.3786973932999995</v>
      </c>
      <c r="L86">
        <v>-9.3175847214999994</v>
      </c>
      <c r="M86">
        <v>1115.536099049046</v>
      </c>
      <c r="N86">
        <v>0.65</v>
      </c>
      <c r="P86">
        <v>7.5991712026000009</v>
      </c>
      <c r="Q86">
        <v>-18.507566509</v>
      </c>
      <c r="R86">
        <v>998.89634188320304</v>
      </c>
      <c r="S86">
        <v>0.65</v>
      </c>
      <c r="U86">
        <v>0</v>
      </c>
      <c r="V86">
        <v>-16.515150380400001</v>
      </c>
      <c r="W86">
        <v>1031.2188038449467</v>
      </c>
      <c r="X86">
        <v>0.65</v>
      </c>
      <c r="Z86">
        <v>-5.9069407629999997</v>
      </c>
      <c r="AA86">
        <v>-13.975177675199999</v>
      </c>
      <c r="AB86">
        <v>1062.2748596666031</v>
      </c>
      <c r="AC86">
        <v>0.65</v>
      </c>
      <c r="AE86">
        <v>-7.3217612529</v>
      </c>
      <c r="AF86">
        <v>-7.3953050611000002</v>
      </c>
      <c r="AG86">
        <v>1139.3657537806835</v>
      </c>
      <c r="AH86">
        <v>0.65</v>
      </c>
      <c r="AJ86">
        <v>-10.881295187000001</v>
      </c>
      <c r="AK86">
        <v>-4.5225298693000004</v>
      </c>
      <c r="AL86">
        <v>1152.4751685656163</v>
      </c>
      <c r="AM86">
        <v>0.65</v>
      </c>
    </row>
    <row r="87" spans="1:39" x14ac:dyDescent="0.25">
      <c r="A87">
        <v>35.252788525900002</v>
      </c>
      <c r="B87">
        <v>0</v>
      </c>
      <c r="C87">
        <v>1025.6546099323148</v>
      </c>
      <c r="D87">
        <v>0.65</v>
      </c>
      <c r="F87">
        <v>14.859463075399999</v>
      </c>
      <c r="G87">
        <v>-6.1372464467999999</v>
      </c>
      <c r="H87">
        <v>1125.7111664588481</v>
      </c>
      <c r="I87">
        <v>0.65</v>
      </c>
      <c r="K87">
        <v>25.256947533799998</v>
      </c>
      <c r="L87">
        <v>-25.211905442799999</v>
      </c>
      <c r="M87">
        <v>801.88005377953505</v>
      </c>
      <c r="N87">
        <v>0.65</v>
      </c>
      <c r="P87">
        <v>12.813800880900001</v>
      </c>
      <c r="Q87">
        <v>-30.783670892</v>
      </c>
      <c r="R87">
        <v>721.93342813438608</v>
      </c>
      <c r="S87">
        <v>0.65</v>
      </c>
      <c r="U87">
        <v>0</v>
      </c>
      <c r="V87">
        <v>-16.384600956</v>
      </c>
      <c r="W87">
        <v>1032.9594628365978</v>
      </c>
      <c r="X87">
        <v>0.65</v>
      </c>
      <c r="Z87">
        <v>-7.5990097204999998</v>
      </c>
      <c r="AA87">
        <v>-18.5076258289</v>
      </c>
      <c r="AB87">
        <v>998.89555095032074</v>
      </c>
      <c r="AC87">
        <v>0.65</v>
      </c>
      <c r="AE87">
        <v>-8.7625911514999988</v>
      </c>
      <c r="AF87">
        <v>-8.6858665643999995</v>
      </c>
      <c r="AG87">
        <v>1123.4678966995264</v>
      </c>
      <c r="AH87">
        <v>0.65</v>
      </c>
      <c r="AJ87">
        <v>-10.868853359800001</v>
      </c>
      <c r="AK87">
        <v>-4.5144731862</v>
      </c>
      <c r="AL87">
        <v>1152.6624455546812</v>
      </c>
      <c r="AM87">
        <v>0.65</v>
      </c>
    </row>
    <row r="88" spans="1:39" x14ac:dyDescent="0.25">
      <c r="A88">
        <v>34.860633264699999</v>
      </c>
      <c r="B88">
        <v>0</v>
      </c>
      <c r="C88">
        <v>1027.8954971390424</v>
      </c>
      <c r="D88">
        <v>0.65</v>
      </c>
      <c r="F88">
        <v>12.310069108299999</v>
      </c>
      <c r="G88">
        <v>-4.9793616502999996</v>
      </c>
      <c r="H88">
        <v>1144.1323501561224</v>
      </c>
      <c r="I88">
        <v>0.65</v>
      </c>
      <c r="K88">
        <v>8.7625271571999992</v>
      </c>
      <c r="L88">
        <v>-8.6858900725999995</v>
      </c>
      <c r="M88">
        <v>1123.4675832576108</v>
      </c>
      <c r="N88">
        <v>0.65</v>
      </c>
      <c r="P88">
        <v>10.0873533362</v>
      </c>
      <c r="Q88">
        <v>-24.8423470872</v>
      </c>
      <c r="R88">
        <v>887.70738267705974</v>
      </c>
      <c r="S88">
        <v>0.65</v>
      </c>
      <c r="U88">
        <v>0</v>
      </c>
      <c r="V88">
        <v>-19.210978195599999</v>
      </c>
      <c r="W88">
        <v>992.81887741912749</v>
      </c>
      <c r="X88">
        <v>0.65</v>
      </c>
      <c r="Z88">
        <v>-12.237508105700002</v>
      </c>
      <c r="AA88">
        <v>-29.591987226400001</v>
      </c>
      <c r="AB88">
        <v>764.37607270610317</v>
      </c>
      <c r="AC88">
        <v>0.65</v>
      </c>
      <c r="AE88">
        <v>-8.9754897012000008</v>
      </c>
      <c r="AF88">
        <v>-9.0218969366999993</v>
      </c>
      <c r="AG88">
        <v>1119.3967509945332</v>
      </c>
      <c r="AH88">
        <v>0.65</v>
      </c>
      <c r="AJ88">
        <v>-10.806509938300001</v>
      </c>
      <c r="AK88">
        <v>-4.5781943875</v>
      </c>
      <c r="AL88">
        <v>1152.121708535278</v>
      </c>
      <c r="AM88">
        <v>0.65</v>
      </c>
    </row>
    <row r="89" spans="1:39" x14ac:dyDescent="0.25">
      <c r="A89">
        <v>35.154749710600001</v>
      </c>
      <c r="B89">
        <v>0</v>
      </c>
      <c r="C89">
        <v>1026.2148317339966</v>
      </c>
      <c r="D89">
        <v>0.65</v>
      </c>
      <c r="F89">
        <v>24.1740296579</v>
      </c>
      <c r="G89">
        <v>-10.053152304799999</v>
      </c>
      <c r="H89">
        <v>1050.9012839412092</v>
      </c>
      <c r="I89">
        <v>0.65</v>
      </c>
      <c r="K89">
        <v>8.9753996035999997</v>
      </c>
      <c r="L89">
        <v>-9.0219300338000004</v>
      </c>
      <c r="M89">
        <v>1119.3963097001488</v>
      </c>
      <c r="N89">
        <v>0.65</v>
      </c>
      <c r="P89">
        <v>6.0177046570000003</v>
      </c>
      <c r="Q89">
        <v>-14.283103838500001</v>
      </c>
      <c r="R89">
        <v>1058.2510293413393</v>
      </c>
      <c r="S89">
        <v>0.65</v>
      </c>
      <c r="U89">
        <v>0</v>
      </c>
      <c r="V89">
        <v>-13.4954373549</v>
      </c>
      <c r="W89">
        <v>1070.6631256657565</v>
      </c>
      <c r="X89">
        <v>0.65</v>
      </c>
      <c r="Z89">
        <v>-10.0888940852</v>
      </c>
      <c r="AA89">
        <v>-24.841735678900001</v>
      </c>
      <c r="AB89">
        <v>887.70705659261364</v>
      </c>
      <c r="AC89">
        <v>0.65</v>
      </c>
      <c r="AE89">
        <v>-9.0051140066000013</v>
      </c>
      <c r="AF89">
        <v>-9.0240694811999997</v>
      </c>
      <c r="AG89">
        <v>1119.3677837344089</v>
      </c>
      <c r="AH89">
        <v>0.65</v>
      </c>
      <c r="AJ89">
        <v>13.207312260399998</v>
      </c>
      <c r="AK89">
        <v>5.4816622265000001</v>
      </c>
      <c r="AL89">
        <v>1136.8914572667052</v>
      </c>
      <c r="AM89">
        <v>0.65</v>
      </c>
    </row>
    <row r="90" spans="1:39" x14ac:dyDescent="0.25">
      <c r="A90">
        <v>46.414874557200001</v>
      </c>
      <c r="B90">
        <v>0</v>
      </c>
      <c r="C90">
        <v>944.33157864266229</v>
      </c>
      <c r="D90">
        <v>0.65</v>
      </c>
      <c r="F90">
        <v>10.8814538931</v>
      </c>
      <c r="G90">
        <v>-4.5224668906999996</v>
      </c>
      <c r="H90">
        <v>1152.4751349770227</v>
      </c>
      <c r="I90">
        <v>0.65</v>
      </c>
      <c r="K90">
        <v>17.210271693599999</v>
      </c>
      <c r="L90">
        <v>-17.242288339599998</v>
      </c>
      <c r="M90">
        <v>992.42434078529436</v>
      </c>
      <c r="N90">
        <v>0.65</v>
      </c>
      <c r="P90">
        <v>12.2366593496</v>
      </c>
      <c r="Q90">
        <v>-29.592324034399997</v>
      </c>
      <c r="R90">
        <v>764.37625233703761</v>
      </c>
      <c r="S90">
        <v>0.65</v>
      </c>
      <c r="U90">
        <v>0</v>
      </c>
      <c r="V90">
        <v>-16.410710840900002</v>
      </c>
      <c r="W90">
        <v>1032.6113310382675</v>
      </c>
      <c r="X90">
        <v>0.65</v>
      </c>
      <c r="Z90">
        <v>-8.4477742051</v>
      </c>
      <c r="AA90">
        <v>-20.1912303589</v>
      </c>
      <c r="AB90">
        <v>972.51860166170729</v>
      </c>
      <c r="AC90">
        <v>0.65</v>
      </c>
      <c r="AE90">
        <v>-8.7878726878000002</v>
      </c>
      <c r="AF90">
        <v>-8.6896344119000002</v>
      </c>
      <c r="AG90">
        <v>1123.4176587329098</v>
      </c>
      <c r="AH90">
        <v>0.65</v>
      </c>
      <c r="AJ90">
        <v>14.0804139701</v>
      </c>
      <c r="AK90">
        <v>5.9533916796000002</v>
      </c>
      <c r="AL90">
        <v>1130.1784234137338</v>
      </c>
      <c r="AM90">
        <v>0.65</v>
      </c>
    </row>
    <row r="91" spans="1:39" x14ac:dyDescent="0.25">
      <c r="A91">
        <v>35.187429315700001</v>
      </c>
      <c r="B91">
        <v>0</v>
      </c>
      <c r="C91">
        <v>1026.028091133436</v>
      </c>
      <c r="D91">
        <v>0.65</v>
      </c>
      <c r="F91">
        <v>10.8084692475</v>
      </c>
      <c r="G91">
        <v>-4.5774168838000007</v>
      </c>
      <c r="H91">
        <v>1152.121293866657</v>
      </c>
      <c r="I91">
        <v>0.65</v>
      </c>
      <c r="K91">
        <v>10.1326964155</v>
      </c>
      <c r="L91">
        <v>-10.029683068199999</v>
      </c>
      <c r="M91">
        <v>1106.0648236401626</v>
      </c>
      <c r="N91">
        <v>0.65</v>
      </c>
      <c r="P91">
        <v>9.086584245400001</v>
      </c>
      <c r="Q91">
        <v>-21.944778093700002</v>
      </c>
      <c r="R91">
        <v>943.29919976604901</v>
      </c>
      <c r="S91">
        <v>0.65</v>
      </c>
      <c r="U91">
        <v>0</v>
      </c>
      <c r="V91">
        <v>-19.1718133683</v>
      </c>
      <c r="W91">
        <v>993.34107511662273</v>
      </c>
      <c r="X91">
        <v>0.65</v>
      </c>
      <c r="Z91">
        <v>-13.402184508200001</v>
      </c>
      <c r="AA91">
        <v>-32.145132302500002</v>
      </c>
      <c r="AB91">
        <v>660.74879499780707</v>
      </c>
      <c r="AC91">
        <v>0.65</v>
      </c>
      <c r="AE91">
        <v>-9.1122631499000004</v>
      </c>
      <c r="AF91">
        <v>-9.2505019870999998</v>
      </c>
      <c r="AG91">
        <v>1116.621523162642</v>
      </c>
      <c r="AH91">
        <v>0.65</v>
      </c>
      <c r="AJ91">
        <v>14.2290287324</v>
      </c>
      <c r="AK91">
        <v>5.9074114836999998</v>
      </c>
      <c r="AL91">
        <v>1129.9623267558832</v>
      </c>
      <c r="AM91">
        <v>0.65</v>
      </c>
    </row>
    <row r="92" spans="1:39" x14ac:dyDescent="0.25">
      <c r="A92">
        <v>55.743234564399998</v>
      </c>
      <c r="B92">
        <v>0</v>
      </c>
      <c r="C92">
        <v>862.26158495076766</v>
      </c>
      <c r="D92">
        <v>0.65</v>
      </c>
      <c r="F92">
        <v>-14.091187878400001</v>
      </c>
      <c r="G92">
        <v>5.9491163191999998</v>
      </c>
      <c r="H92">
        <v>1130.1761432214885</v>
      </c>
      <c r="I92">
        <v>0.65</v>
      </c>
      <c r="K92">
        <v>18.6606670181</v>
      </c>
      <c r="L92">
        <v>-18.759501993499999</v>
      </c>
      <c r="M92">
        <v>963.80171556940934</v>
      </c>
      <c r="N92">
        <v>0.65</v>
      </c>
      <c r="P92">
        <v>12.170639297200001</v>
      </c>
      <c r="Q92">
        <v>-28.703902086199999</v>
      </c>
      <c r="R92">
        <v>790.50325041321219</v>
      </c>
      <c r="S92">
        <v>0.65</v>
      </c>
      <c r="U92">
        <v>0</v>
      </c>
      <c r="V92">
        <v>-16.449875668200001</v>
      </c>
      <c r="W92">
        <v>1032.0891333407724</v>
      </c>
      <c r="X92">
        <v>0.65</v>
      </c>
      <c r="Z92">
        <v>-13.5976044494</v>
      </c>
      <c r="AA92">
        <v>-33.450738055500004</v>
      </c>
      <c r="AB92">
        <v>573.12665681102419</v>
      </c>
      <c r="AC92">
        <v>0.65</v>
      </c>
      <c r="AE92">
        <v>-10.150256479799999</v>
      </c>
      <c r="AF92">
        <v>-10.1542639664</v>
      </c>
      <c r="AG92">
        <v>1104.6573472201771</v>
      </c>
      <c r="AH92">
        <v>0.65</v>
      </c>
      <c r="AJ92">
        <v>-10.7992950708</v>
      </c>
      <c r="AK92">
        <v>-4.5680635139999994</v>
      </c>
      <c r="AL92">
        <v>1152.3078792894594</v>
      </c>
      <c r="AM92">
        <v>0.65</v>
      </c>
    </row>
    <row r="93" spans="1:39" x14ac:dyDescent="0.25">
      <c r="A93">
        <v>51.0795130781</v>
      </c>
      <c r="B93">
        <v>0</v>
      </c>
      <c r="C93">
        <v>904.69713630091985</v>
      </c>
      <c r="D93">
        <v>0.65</v>
      </c>
      <c r="F93">
        <v>-14.5605659412</v>
      </c>
      <c r="G93">
        <v>5.9280561252999995</v>
      </c>
      <c r="H93">
        <v>1128.5299756903796</v>
      </c>
      <c r="I93">
        <v>0.65</v>
      </c>
      <c r="K93">
        <v>10.149838705500001</v>
      </c>
      <c r="L93">
        <v>-10.1544297498</v>
      </c>
      <c r="M93">
        <v>1104.6574356380029</v>
      </c>
      <c r="N93">
        <v>0.65</v>
      </c>
      <c r="P93">
        <v>12.983485250700001</v>
      </c>
      <c r="Q93">
        <v>-31.7914352005</v>
      </c>
      <c r="R93">
        <v>680.74052039938795</v>
      </c>
      <c r="S93">
        <v>0.65</v>
      </c>
      <c r="U93">
        <v>0</v>
      </c>
      <c r="V93">
        <v>-19.1587584259</v>
      </c>
      <c r="W93">
        <v>993.51514101578789</v>
      </c>
      <c r="X93">
        <v>0.65</v>
      </c>
      <c r="Z93">
        <v>-12.8131909202</v>
      </c>
      <c r="AA93">
        <v>-30.783912939900002</v>
      </c>
      <c r="AB93">
        <v>721.93355722660033</v>
      </c>
      <c r="AC93">
        <v>0.65</v>
      </c>
      <c r="AE93">
        <v>-9.3931403067999995</v>
      </c>
      <c r="AF93">
        <v>-9.3253341038999995</v>
      </c>
      <c r="AG93">
        <v>1115.43277395051</v>
      </c>
      <c r="AH93">
        <v>0.65</v>
      </c>
      <c r="AJ93">
        <v>-11.6887874175</v>
      </c>
      <c r="AK93">
        <v>-4.8735461528000004</v>
      </c>
      <c r="AL93">
        <v>1147.0193889234183</v>
      </c>
      <c r="AM93">
        <v>0.65</v>
      </c>
    </row>
    <row r="94" spans="1:39" x14ac:dyDescent="0.25">
      <c r="A94">
        <v>35.383506946300002</v>
      </c>
      <c r="B94">
        <v>0</v>
      </c>
      <c r="C94">
        <v>1024.9076475300722</v>
      </c>
      <c r="D94">
        <v>0.65</v>
      </c>
      <c r="F94">
        <v>12.2375339974</v>
      </c>
      <c r="G94">
        <v>-5.1608690275000004</v>
      </c>
      <c r="H94">
        <v>1143.1340168661843</v>
      </c>
      <c r="I94">
        <v>0.65</v>
      </c>
      <c r="K94">
        <v>9.6196877496000006</v>
      </c>
      <c r="L94">
        <v>-9.5276172722000005</v>
      </c>
      <c r="M94">
        <v>1112.7902329411727</v>
      </c>
      <c r="N94">
        <v>0.65</v>
      </c>
      <c r="P94">
        <v>11.5662561343</v>
      </c>
      <c r="Q94">
        <v>-28.084593659199999</v>
      </c>
      <c r="R94">
        <v>809.28051150316162</v>
      </c>
      <c r="S94">
        <v>0.65</v>
      </c>
      <c r="U94">
        <v>0</v>
      </c>
      <c r="V94">
        <v>-16.5543152077</v>
      </c>
      <c r="W94">
        <v>1030.6966061474516</v>
      </c>
      <c r="X94">
        <v>0.65</v>
      </c>
      <c r="Z94">
        <v>-12.983485137299999</v>
      </c>
      <c r="AA94">
        <v>-31.791435245500001</v>
      </c>
      <c r="AB94">
        <v>680.74052042339918</v>
      </c>
      <c r="AC94">
        <v>0.65</v>
      </c>
      <c r="AE94">
        <v>-9.9000267290000004</v>
      </c>
      <c r="AF94">
        <v>-9.9610921947999991</v>
      </c>
      <c r="AG94">
        <v>1107.4471105168579</v>
      </c>
      <c r="AH94">
        <v>0.65</v>
      </c>
      <c r="AJ94">
        <v>-32.547620919400003</v>
      </c>
      <c r="AK94">
        <v>-13.297355835799999</v>
      </c>
      <c r="AL94">
        <v>968.75065154051151</v>
      </c>
      <c r="AM94">
        <v>0.65</v>
      </c>
    </row>
    <row r="95" spans="1:39" x14ac:dyDescent="0.25">
      <c r="A95">
        <v>40.703571638499994</v>
      </c>
      <c r="B95">
        <v>0</v>
      </c>
      <c r="C95">
        <v>987.14061119393568</v>
      </c>
      <c r="D95">
        <v>0.65</v>
      </c>
      <c r="F95">
        <v>12.5496121559</v>
      </c>
      <c r="G95">
        <v>-5.2694045945000001</v>
      </c>
      <c r="H95">
        <v>1140.9429565252303</v>
      </c>
      <c r="I95">
        <v>0.65</v>
      </c>
      <c r="K95">
        <v>8.2293418163999998</v>
      </c>
      <c r="L95">
        <v>-8.2682644642999996</v>
      </c>
      <c r="M95">
        <v>1128.7085172941077</v>
      </c>
      <c r="N95">
        <v>0.65</v>
      </c>
      <c r="P95">
        <v>6.0270859507000001</v>
      </c>
      <c r="Q95">
        <v>-14.292712591399999</v>
      </c>
      <c r="R95">
        <v>1058.1229126357698</v>
      </c>
      <c r="S95">
        <v>0.65</v>
      </c>
      <c r="U95">
        <v>0</v>
      </c>
      <c r="V95">
        <v>-16.5020954379</v>
      </c>
      <c r="W95">
        <v>1031.3928697441117</v>
      </c>
      <c r="X95">
        <v>0.65</v>
      </c>
      <c r="Z95">
        <v>-12.7861306287</v>
      </c>
      <c r="AA95">
        <v>-30.1843117803</v>
      </c>
      <c r="AB95">
        <v>743.1550572542161</v>
      </c>
      <c r="AC95">
        <v>0.65</v>
      </c>
      <c r="AE95">
        <v>-25.284763141899997</v>
      </c>
      <c r="AF95">
        <v>-25.200867502999998</v>
      </c>
      <c r="AG95">
        <v>801.87416687834161</v>
      </c>
      <c r="AH95">
        <v>0.65</v>
      </c>
      <c r="AJ95">
        <v>-12.240132410599999</v>
      </c>
      <c r="AK95">
        <v>-5.1598379110999995</v>
      </c>
      <c r="AL95">
        <v>1143.1334669374701</v>
      </c>
      <c r="AM95">
        <v>0.65</v>
      </c>
    </row>
    <row r="96" spans="1:39" x14ac:dyDescent="0.25">
      <c r="A96">
        <v>29.147496276799998</v>
      </c>
      <c r="B96">
        <v>0</v>
      </c>
      <c r="C96">
        <v>1065.1023116734966</v>
      </c>
      <c r="D96">
        <v>0.65</v>
      </c>
      <c r="F96">
        <v>12.558717470300001</v>
      </c>
      <c r="G96">
        <v>-5.2268096261999997</v>
      </c>
      <c r="H96">
        <v>1141.4949608688894</v>
      </c>
      <c r="I96">
        <v>0.65</v>
      </c>
      <c r="K96">
        <v>9.0053216078000009</v>
      </c>
      <c r="L96">
        <v>-9.0239932195999994</v>
      </c>
      <c r="M96">
        <v>1119.3688005566999</v>
      </c>
      <c r="N96">
        <v>0.65</v>
      </c>
      <c r="P96">
        <v>12.786317196400001</v>
      </c>
      <c r="Q96">
        <v>-30.184237745499999</v>
      </c>
      <c r="R96">
        <v>743.1550177689893</v>
      </c>
      <c r="S96">
        <v>0.65</v>
      </c>
      <c r="U96">
        <v>0</v>
      </c>
      <c r="V96">
        <v>-16.462930610599997</v>
      </c>
      <c r="W96">
        <v>1031.9150674416073</v>
      </c>
      <c r="X96">
        <v>0.65</v>
      </c>
      <c r="Z96">
        <v>-11.697388772</v>
      </c>
      <c r="AA96">
        <v>-28.8732507661</v>
      </c>
      <c r="AB96">
        <v>788.06816724001021</v>
      </c>
      <c r="AC96">
        <v>0.65</v>
      </c>
      <c r="AE96">
        <v>-26.689484549700001</v>
      </c>
      <c r="AF96">
        <v>-26.567783192699999</v>
      </c>
      <c r="AG96">
        <v>752.01425346020528</v>
      </c>
      <c r="AH96">
        <v>0.65</v>
      </c>
      <c r="AJ96">
        <v>-34.997074647799998</v>
      </c>
      <c r="AK96">
        <v>-14.356598929600001</v>
      </c>
      <c r="AL96">
        <v>938.91574079136956</v>
      </c>
      <c r="AM96">
        <v>0.65</v>
      </c>
    </row>
    <row r="97" spans="1:39" x14ac:dyDescent="0.25">
      <c r="A97">
        <v>35.285468130999995</v>
      </c>
      <c r="B97">
        <v>0</v>
      </c>
      <c r="C97">
        <v>1025.4678693317542</v>
      </c>
      <c r="D97">
        <v>0.65</v>
      </c>
      <c r="F97">
        <v>11.6918255612</v>
      </c>
      <c r="G97">
        <v>-4.8723405401999997</v>
      </c>
      <c r="H97">
        <v>1147.0187459300455</v>
      </c>
      <c r="I97">
        <v>0.65</v>
      </c>
      <c r="K97">
        <v>20.170158176400001</v>
      </c>
      <c r="L97">
        <v>-20.041294608000001</v>
      </c>
      <c r="M97">
        <v>936.39262876222517</v>
      </c>
      <c r="N97">
        <v>0.65</v>
      </c>
      <c r="P97">
        <v>13.8514906431</v>
      </c>
      <c r="Q97">
        <v>-32.732652524400002</v>
      </c>
      <c r="R97">
        <v>623.22681387339003</v>
      </c>
      <c r="S97">
        <v>0.65</v>
      </c>
      <c r="U97">
        <v>0</v>
      </c>
      <c r="V97">
        <v>-19.197923253199999</v>
      </c>
      <c r="W97">
        <v>992.99294331829265</v>
      </c>
      <c r="X97">
        <v>0.65</v>
      </c>
      <c r="Z97">
        <v>-9.0823877745000008</v>
      </c>
      <c r="AA97">
        <v>-21.9463196544</v>
      </c>
      <c r="AB97">
        <v>943.27864562296031</v>
      </c>
      <c r="AC97">
        <v>0.65</v>
      </c>
      <c r="AE97">
        <v>-18.660615383899998</v>
      </c>
      <c r="AF97">
        <v>-18.759522483200001</v>
      </c>
      <c r="AG97">
        <v>963.80172649729343</v>
      </c>
      <c r="AH97">
        <v>0.65</v>
      </c>
      <c r="AJ97">
        <v>-12.5280861734</v>
      </c>
      <c r="AK97">
        <v>-5.2389649026999994</v>
      </c>
      <c r="AL97">
        <v>1141.5014436830597</v>
      </c>
      <c r="AM97">
        <v>0.65</v>
      </c>
    </row>
    <row r="98" spans="1:39" x14ac:dyDescent="0.25">
      <c r="A98">
        <v>35.122070105500001</v>
      </c>
      <c r="B98">
        <v>0</v>
      </c>
      <c r="C98">
        <v>1026.4015723345572</v>
      </c>
      <c r="D98">
        <v>0.65</v>
      </c>
      <c r="F98">
        <v>36.942445736099998</v>
      </c>
      <c r="G98">
        <v>-15.3806481857</v>
      </c>
      <c r="H98">
        <v>910.3269439460737</v>
      </c>
      <c r="I98">
        <v>0.65</v>
      </c>
      <c r="K98">
        <v>27.4929398162</v>
      </c>
      <c r="L98">
        <v>-27.117449250499998</v>
      </c>
      <c r="M98">
        <v>725.85937569928979</v>
      </c>
      <c r="N98">
        <v>0.65</v>
      </c>
      <c r="P98">
        <v>13.402479876199999</v>
      </c>
      <c r="Q98">
        <v>-32.145015093000005</v>
      </c>
      <c r="R98">
        <v>660.74873248607958</v>
      </c>
      <c r="S98">
        <v>0.65</v>
      </c>
      <c r="U98">
        <v>0</v>
      </c>
      <c r="V98">
        <v>-19.184868310799999</v>
      </c>
      <c r="W98">
        <v>993.16700921745769</v>
      </c>
      <c r="X98">
        <v>0.65</v>
      </c>
      <c r="Z98">
        <v>-11.0913020991</v>
      </c>
      <c r="AA98">
        <v>-26.944575554899998</v>
      </c>
      <c r="AB98">
        <v>839.10290027137353</v>
      </c>
      <c r="AC98">
        <v>0.65</v>
      </c>
      <c r="AE98">
        <v>-27.492942000799999</v>
      </c>
      <c r="AF98">
        <v>-27.117448383599999</v>
      </c>
      <c r="AG98">
        <v>725.85937523694656</v>
      </c>
      <c r="AH98">
        <v>0.65</v>
      </c>
      <c r="AJ98">
        <v>-13.147992204100001</v>
      </c>
      <c r="AK98">
        <v>-5.3284377910999998</v>
      </c>
      <c r="AL98">
        <v>1138.4577692918258</v>
      </c>
      <c r="AM98">
        <v>0.65</v>
      </c>
    </row>
    <row r="99" spans="1:39" x14ac:dyDescent="0.25">
      <c r="A99">
        <v>40.605532823200001</v>
      </c>
      <c r="B99">
        <v>0</v>
      </c>
      <c r="C99">
        <v>987.7008329956177</v>
      </c>
      <c r="D99">
        <v>0.65</v>
      </c>
      <c r="F99">
        <v>10.7925669132</v>
      </c>
      <c r="G99">
        <v>-4.5707334178000005</v>
      </c>
      <c r="H99">
        <v>1152.3093032381573</v>
      </c>
      <c r="I99">
        <v>0.65</v>
      </c>
      <c r="K99">
        <v>26.536225755</v>
      </c>
      <c r="L99">
        <v>-26.649452908399997</v>
      </c>
      <c r="M99">
        <v>750.79292669129757</v>
      </c>
      <c r="N99">
        <v>0.65</v>
      </c>
      <c r="P99">
        <v>13.593178416799999</v>
      </c>
      <c r="Q99">
        <v>-33.6075815835</v>
      </c>
      <c r="R99">
        <v>556.8333255527466</v>
      </c>
      <c r="S99">
        <v>0.65</v>
      </c>
      <c r="U99">
        <v>0</v>
      </c>
      <c r="V99">
        <v>-16.541260265200002</v>
      </c>
      <c r="W99">
        <v>1030.8706720466166</v>
      </c>
      <c r="X99">
        <v>0.65</v>
      </c>
      <c r="Z99">
        <v>-11.5676780541</v>
      </c>
      <c r="AA99">
        <v>-28.084029405299997</v>
      </c>
      <c r="AB99">
        <v>809.2802105677506</v>
      </c>
      <c r="AC99">
        <v>0.65</v>
      </c>
      <c r="AE99">
        <v>-17.145375339499999</v>
      </c>
      <c r="AF99">
        <v>-17.3394338652</v>
      </c>
      <c r="AG99">
        <v>991.19817148534753</v>
      </c>
      <c r="AH99">
        <v>0.65</v>
      </c>
      <c r="AJ99">
        <v>29.850556047000001</v>
      </c>
      <c r="AK99">
        <v>12.374698586899999</v>
      </c>
      <c r="AL99">
        <v>996.13737103655183</v>
      </c>
      <c r="AM99">
        <v>0.65</v>
      </c>
    </row>
    <row r="100" spans="1:39" x14ac:dyDescent="0.25">
      <c r="A100">
        <v>59.425650863100003</v>
      </c>
      <c r="B100">
        <v>0</v>
      </c>
      <c r="C100">
        <v>822.62714260902487</v>
      </c>
      <c r="D100">
        <v>0.65</v>
      </c>
      <c r="F100">
        <v>32.675622945699999</v>
      </c>
      <c r="G100">
        <v>-13.3338050611</v>
      </c>
      <c r="H100">
        <v>967.51830347300836</v>
      </c>
      <c r="I100">
        <v>0.65</v>
      </c>
      <c r="K100">
        <v>12.096761735600001</v>
      </c>
      <c r="L100">
        <v>-12.181784173799999</v>
      </c>
      <c r="M100">
        <v>1075.8490202548317</v>
      </c>
      <c r="N100">
        <v>0.65</v>
      </c>
      <c r="P100">
        <v>13.616281209</v>
      </c>
      <c r="Q100">
        <v>-32.439963282000001</v>
      </c>
      <c r="R100">
        <v>643.20742247910175</v>
      </c>
      <c r="S100">
        <v>0.65</v>
      </c>
      <c r="U100">
        <v>0</v>
      </c>
      <c r="V100">
        <v>-19.224033138100001</v>
      </c>
      <c r="W100">
        <v>992.64481151996245</v>
      </c>
      <c r="X100">
        <v>0.65</v>
      </c>
      <c r="Z100">
        <v>-9.6246077292999992</v>
      </c>
      <c r="AA100">
        <v>-23.4135363967</v>
      </c>
      <c r="AB100">
        <v>916.29421293015423</v>
      </c>
      <c r="AC100">
        <v>0.65</v>
      </c>
      <c r="AE100">
        <v>-29.484339872300001</v>
      </c>
      <c r="AF100">
        <v>-29.639173462899997</v>
      </c>
      <c r="AG100">
        <v>536.03382057567956</v>
      </c>
      <c r="AH100">
        <v>0.65</v>
      </c>
      <c r="AJ100">
        <v>-45.844897477000004</v>
      </c>
      <c r="AK100">
        <v>-19.152957527399998</v>
      </c>
      <c r="AL100">
        <v>747.30439739758094</v>
      </c>
      <c r="AM100">
        <v>0.65</v>
      </c>
    </row>
    <row r="101" spans="1:39" x14ac:dyDescent="0.25">
      <c r="A101">
        <v>28.984098251300001</v>
      </c>
      <c r="B101">
        <v>0</v>
      </c>
      <c r="C101">
        <v>1066.0360146762998</v>
      </c>
      <c r="D101">
        <v>0.65</v>
      </c>
      <c r="F101">
        <v>44.6217474778</v>
      </c>
      <c r="G101">
        <v>-18.682788203600001</v>
      </c>
      <c r="H101">
        <v>775.91357465120404</v>
      </c>
      <c r="I101">
        <v>0.65</v>
      </c>
      <c r="K101">
        <v>28.310384643199999</v>
      </c>
      <c r="L101">
        <v>-28.0723406557</v>
      </c>
      <c r="M101">
        <v>678.47537031708282</v>
      </c>
      <c r="N101">
        <v>0.65</v>
      </c>
      <c r="P101">
        <v>14.243725944299999</v>
      </c>
      <c r="Q101">
        <v>-33.608518789899996</v>
      </c>
      <c r="R101">
        <v>541.73482450320512</v>
      </c>
      <c r="S101">
        <v>0.65</v>
      </c>
      <c r="U101">
        <v>0</v>
      </c>
      <c r="V101">
        <v>-16.5673701501</v>
      </c>
      <c r="W101">
        <v>1030.5225402482863</v>
      </c>
      <c r="X101">
        <v>0.65</v>
      </c>
      <c r="Z101">
        <v>-13.7988343714</v>
      </c>
      <c r="AA101">
        <v>-33.002050086099999</v>
      </c>
      <c r="AB101">
        <v>606.93676081582328</v>
      </c>
      <c r="AC101">
        <v>0.65</v>
      </c>
      <c r="AE101">
        <v>-28.008836924799997</v>
      </c>
      <c r="AF101">
        <v>-28.163419262399998</v>
      </c>
      <c r="AG101">
        <v>678.48029125296966</v>
      </c>
      <c r="AH101">
        <v>0.65</v>
      </c>
      <c r="AJ101">
        <v>17.9848946316</v>
      </c>
      <c r="AK101">
        <v>7.3554330833999995</v>
      </c>
      <c r="AL101">
        <v>1103.2141910312907</v>
      </c>
      <c r="AM101">
        <v>0.65</v>
      </c>
    </row>
    <row r="102" spans="1:39" x14ac:dyDescent="0.25">
      <c r="A102">
        <v>34.958672079999999</v>
      </c>
      <c r="B102">
        <v>0</v>
      </c>
      <c r="C102">
        <v>1027.3352753373604</v>
      </c>
      <c r="D102">
        <v>0.65</v>
      </c>
      <c r="F102">
        <v>-14.231734852600001</v>
      </c>
      <c r="G102">
        <v>5.9063376265</v>
      </c>
      <c r="H102">
        <v>1129.9617540320137</v>
      </c>
      <c r="I102">
        <v>0.65</v>
      </c>
      <c r="K102">
        <v>29.598805201099999</v>
      </c>
      <c r="L102">
        <v>-29.5943353694</v>
      </c>
      <c r="M102">
        <v>534.79740816041021</v>
      </c>
      <c r="N102">
        <v>0.65</v>
      </c>
      <c r="P102">
        <v>13.0382514231</v>
      </c>
      <c r="Q102">
        <v>-31.317155403000001</v>
      </c>
      <c r="R102">
        <v>700.72905107936617</v>
      </c>
      <c r="S102">
        <v>0.65</v>
      </c>
      <c r="U102">
        <v>0</v>
      </c>
      <c r="V102">
        <v>-16.528205322799998</v>
      </c>
      <c r="W102">
        <v>1031.0447379457817</v>
      </c>
      <c r="X102">
        <v>0.65</v>
      </c>
      <c r="Z102">
        <v>-13.0374422792</v>
      </c>
      <c r="AA102">
        <v>-31.317476491799997</v>
      </c>
      <c r="AB102">
        <v>700.72922232675512</v>
      </c>
      <c r="AC102">
        <v>0.65</v>
      </c>
      <c r="AE102">
        <v>-20.1686106734</v>
      </c>
      <c r="AF102">
        <v>-20.041908696499998</v>
      </c>
      <c r="AG102">
        <v>936.39295627608851</v>
      </c>
      <c r="AH102">
        <v>0.65</v>
      </c>
      <c r="AJ102">
        <v>-12.391710224399999</v>
      </c>
      <c r="AK102">
        <v>-5.1126819011000002</v>
      </c>
      <c r="AL102">
        <v>1142.9167431787641</v>
      </c>
      <c r="AM102">
        <v>0.65</v>
      </c>
    </row>
    <row r="103" spans="1:39" x14ac:dyDescent="0.25">
      <c r="A103">
        <v>40.768930848700002</v>
      </c>
      <c r="B103">
        <v>0</v>
      </c>
      <c r="C103">
        <v>986.76712999281449</v>
      </c>
      <c r="D103">
        <v>0.65</v>
      </c>
      <c r="F103">
        <v>-30.078155608100001</v>
      </c>
      <c r="G103">
        <v>12.2494318593</v>
      </c>
      <c r="H103">
        <v>996.12731273241275</v>
      </c>
      <c r="I103">
        <v>0.65</v>
      </c>
      <c r="K103">
        <v>28.758573448000003</v>
      </c>
      <c r="L103">
        <v>-28.403032205399999</v>
      </c>
      <c r="M103">
        <v>656.01145429996291</v>
      </c>
      <c r="N103">
        <v>0.65</v>
      </c>
      <c r="P103">
        <v>13.5965457006</v>
      </c>
      <c r="Q103">
        <v>-33.4511581939</v>
      </c>
      <c r="R103">
        <v>573.12688088483731</v>
      </c>
      <c r="S103">
        <v>0.65</v>
      </c>
      <c r="U103">
        <v>0</v>
      </c>
      <c r="V103">
        <v>-24.244560490200001</v>
      </c>
      <c r="W103">
        <v>910.97111349170086</v>
      </c>
      <c r="X103">
        <v>0.65</v>
      </c>
      <c r="Z103">
        <v>-13.991605929699999</v>
      </c>
      <c r="AA103">
        <v>-33.821386837199995</v>
      </c>
      <c r="AB103">
        <v>511.60669802143559</v>
      </c>
      <c r="AC103">
        <v>0.65</v>
      </c>
      <c r="AE103">
        <v>-10.3289722164</v>
      </c>
      <c r="AF103">
        <v>-10.474611426199999</v>
      </c>
      <c r="AG103">
        <v>1100.7983191391941</v>
      </c>
      <c r="AH103">
        <v>0.65</v>
      </c>
      <c r="AJ103">
        <v>14.5627775559</v>
      </c>
      <c r="AK103">
        <v>5.9271785004000002</v>
      </c>
      <c r="AL103">
        <v>1128.5295076237721</v>
      </c>
      <c r="AM103">
        <v>0.65</v>
      </c>
    </row>
    <row r="104" spans="1:39" x14ac:dyDescent="0.25">
      <c r="A104">
        <v>40.670892033400001</v>
      </c>
      <c r="B104">
        <v>0</v>
      </c>
      <c r="C104">
        <v>987.32735179449628</v>
      </c>
      <c r="D104">
        <v>0.65</v>
      </c>
      <c r="F104">
        <v>40.743349787600003</v>
      </c>
      <c r="G104">
        <v>-16.8038652955</v>
      </c>
      <c r="H104">
        <v>855.56848511247915</v>
      </c>
      <c r="I104">
        <v>0.65</v>
      </c>
      <c r="K104">
        <v>9.5628726626000002</v>
      </c>
      <c r="L104">
        <v>-9.6591806290999997</v>
      </c>
      <c r="M104">
        <v>1111.3907462076759</v>
      </c>
      <c r="N104">
        <v>0.65</v>
      </c>
      <c r="P104">
        <v>15.001326650799999</v>
      </c>
      <c r="Q104">
        <v>-35.889135213499998</v>
      </c>
      <c r="R104">
        <v>439.27264803737523</v>
      </c>
      <c r="S104">
        <v>0.71333495514285328</v>
      </c>
      <c r="U104">
        <v>0</v>
      </c>
      <c r="V104">
        <v>-26.282051293399999</v>
      </c>
      <c r="W104">
        <v>871.52679167089093</v>
      </c>
      <c r="X104">
        <v>0.65</v>
      </c>
      <c r="Z104">
        <v>-13.5938904919</v>
      </c>
      <c r="AA104">
        <v>-33.607299013999999</v>
      </c>
      <c r="AB104">
        <v>556.83317484903228</v>
      </c>
      <c r="AC104">
        <v>0.65</v>
      </c>
      <c r="AE104">
        <v>-27.898150201</v>
      </c>
      <c r="AF104">
        <v>-27.609410896300002</v>
      </c>
      <c r="AG104">
        <v>703.39416175814188</v>
      </c>
      <c r="AH104">
        <v>0.65</v>
      </c>
      <c r="AJ104">
        <v>-27.418611475300001</v>
      </c>
      <c r="AK104">
        <v>-11.1157008307</v>
      </c>
      <c r="AL104">
        <v>1023.4887681879482</v>
      </c>
      <c r="AM104">
        <v>0.65</v>
      </c>
    </row>
    <row r="105" spans="1:39" x14ac:dyDescent="0.25">
      <c r="A105">
        <v>71.204981252600007</v>
      </c>
      <c r="B105">
        <v>0</v>
      </c>
      <c r="C105">
        <v>652.88493720841689</v>
      </c>
      <c r="D105">
        <v>0.65</v>
      </c>
      <c r="F105">
        <v>21.164863076500001</v>
      </c>
      <c r="G105">
        <v>-8.7814880916</v>
      </c>
      <c r="H105">
        <v>1077.0552540439107</v>
      </c>
      <c r="I105">
        <v>0.65</v>
      </c>
      <c r="K105">
        <v>9.8175581037999997</v>
      </c>
      <c r="L105">
        <v>-9.7374852772999994</v>
      </c>
      <c r="M105">
        <v>1110.1304387646123</v>
      </c>
      <c r="N105">
        <v>0.65</v>
      </c>
      <c r="P105">
        <v>8.4480464045999994</v>
      </c>
      <c r="Q105">
        <v>-20.191130367300001</v>
      </c>
      <c r="R105">
        <v>972.51993488374444</v>
      </c>
      <c r="S105">
        <v>0.65</v>
      </c>
      <c r="U105">
        <v>0</v>
      </c>
      <c r="V105">
        <v>-26.477875429999997</v>
      </c>
      <c r="W105">
        <v>868.91580318341425</v>
      </c>
      <c r="X105">
        <v>0.65</v>
      </c>
      <c r="Z105">
        <v>-13.752833251</v>
      </c>
      <c r="AA105">
        <v>-34.006003431700002</v>
      </c>
      <c r="AB105">
        <v>502.71230746035923</v>
      </c>
      <c r="AC105">
        <v>0.65</v>
      </c>
      <c r="AE105">
        <v>-9.6196362259000008</v>
      </c>
      <c r="AF105">
        <v>-9.5276361992999998</v>
      </c>
      <c r="AG105">
        <v>1112.7899805804475</v>
      </c>
      <c r="AH105">
        <v>0.65</v>
      </c>
      <c r="AJ105">
        <v>-36.942901204899997</v>
      </c>
      <c r="AK105">
        <v>-15.380467444099999</v>
      </c>
      <c r="AL105">
        <v>910.32684755057994</v>
      </c>
      <c r="AM105">
        <v>0.65</v>
      </c>
    </row>
    <row r="106" spans="1:39" x14ac:dyDescent="0.25">
      <c r="A106">
        <v>40.572853218100001</v>
      </c>
      <c r="B106">
        <v>0</v>
      </c>
      <c r="C106">
        <v>987.88757359617819</v>
      </c>
      <c r="D106">
        <v>0.65</v>
      </c>
      <c r="F106">
        <v>35.037460772000003</v>
      </c>
      <c r="G106">
        <v>-14.2415059644</v>
      </c>
      <c r="H106">
        <v>940.13670355559577</v>
      </c>
      <c r="I106">
        <v>0.65</v>
      </c>
      <c r="K106">
        <v>28.7810662636</v>
      </c>
      <c r="L106">
        <v>-28.798971722600001</v>
      </c>
      <c r="M106">
        <v>633.56487547045776</v>
      </c>
      <c r="N106">
        <v>0.65</v>
      </c>
      <c r="P106">
        <v>10.750304614599999</v>
      </c>
      <c r="Q106">
        <v>-25.9351769851</v>
      </c>
      <c r="R106">
        <v>862.78403427282717</v>
      </c>
      <c r="S106">
        <v>0.65</v>
      </c>
      <c r="U106">
        <v>0</v>
      </c>
      <c r="V106">
        <v>-31.704486916</v>
      </c>
      <c r="W106">
        <v>742.74987225855466</v>
      </c>
      <c r="X106">
        <v>0.65</v>
      </c>
      <c r="Z106">
        <v>-14.243995351700001</v>
      </c>
      <c r="AA106">
        <v>-33.608411882300004</v>
      </c>
      <c r="AB106">
        <v>541.73476748576832</v>
      </c>
      <c r="AC106">
        <v>0.65</v>
      </c>
      <c r="AE106">
        <v>-9.5629608685999994</v>
      </c>
      <c r="AF106">
        <v>-9.6591482269000011</v>
      </c>
      <c r="AG106">
        <v>1111.3911782372227</v>
      </c>
      <c r="AH106">
        <v>0.65</v>
      </c>
      <c r="AJ106">
        <v>-49.416183001400007</v>
      </c>
      <c r="AK106">
        <v>-20.6215002183</v>
      </c>
      <c r="AL106">
        <v>620.24017125666956</v>
      </c>
      <c r="AM106">
        <v>0.65</v>
      </c>
    </row>
    <row r="107" spans="1:39" x14ac:dyDescent="0.25">
      <c r="A107">
        <v>75.128367933700005</v>
      </c>
      <c r="B107">
        <v>0</v>
      </c>
      <c r="C107">
        <v>562.41161649129401</v>
      </c>
      <c r="D107">
        <v>0.65</v>
      </c>
      <c r="F107">
        <v>49.4103833526</v>
      </c>
      <c r="G107">
        <v>-20.623801666200002</v>
      </c>
      <c r="H107">
        <v>620.24139869556529</v>
      </c>
      <c r="I107">
        <v>0.65</v>
      </c>
      <c r="K107">
        <v>-14.038824354099999</v>
      </c>
      <c r="L107">
        <v>13.9321848215</v>
      </c>
      <c r="M107">
        <v>1048.4453935344366</v>
      </c>
      <c r="N107">
        <v>0.65</v>
      </c>
      <c r="P107">
        <v>13.799325990299998</v>
      </c>
      <c r="Q107">
        <v>-33.001854999300001</v>
      </c>
      <c r="R107">
        <v>606.93665676950775</v>
      </c>
      <c r="S107">
        <v>0.65</v>
      </c>
      <c r="U107">
        <v>0</v>
      </c>
      <c r="V107">
        <v>-30.012014506300002</v>
      </c>
      <c r="W107">
        <v>787.41617105431783</v>
      </c>
      <c r="X107">
        <v>0.65</v>
      </c>
      <c r="Z107">
        <v>-13.7400684638</v>
      </c>
      <c r="AA107">
        <v>-33.224176339400003</v>
      </c>
      <c r="AB107">
        <v>589.40463219620597</v>
      </c>
      <c r="AC107">
        <v>0.65</v>
      </c>
      <c r="AE107">
        <v>-10.0992515038</v>
      </c>
      <c r="AF107">
        <v>-10.0429548585</v>
      </c>
      <c r="AG107">
        <v>1106.0719019283486</v>
      </c>
      <c r="AH107">
        <v>0.65</v>
      </c>
      <c r="AJ107">
        <v>-38.937156851300003</v>
      </c>
      <c r="AK107">
        <v>-16.0480963141</v>
      </c>
      <c r="AL107">
        <v>884.16940180800668</v>
      </c>
      <c r="AM107">
        <v>0.65</v>
      </c>
    </row>
    <row r="108" spans="1:39" x14ac:dyDescent="0.25">
      <c r="A108">
        <v>40.638212428300001</v>
      </c>
      <c r="B108">
        <v>0</v>
      </c>
      <c r="C108">
        <v>987.51409239505699</v>
      </c>
      <c r="D108">
        <v>0.65</v>
      </c>
      <c r="F108">
        <v>50.969058865099996</v>
      </c>
      <c r="G108">
        <v>-20.8161846028</v>
      </c>
      <c r="H108">
        <v>506.66347253757448</v>
      </c>
      <c r="I108">
        <v>0.65</v>
      </c>
      <c r="K108">
        <v>9.901835888199999</v>
      </c>
      <c r="L108">
        <v>-9.9604276056999996</v>
      </c>
      <c r="M108">
        <v>1107.455971705029</v>
      </c>
      <c r="N108">
        <v>0.65</v>
      </c>
      <c r="P108">
        <v>13.740749431599999</v>
      </c>
      <c r="Q108">
        <v>-33.223906114100004</v>
      </c>
      <c r="R108">
        <v>589.40448807604753</v>
      </c>
      <c r="S108">
        <v>0.65</v>
      </c>
      <c r="U108">
        <v>0</v>
      </c>
      <c r="V108">
        <v>-33.765292659000004</v>
      </c>
      <c r="W108">
        <v>661.25024012945823</v>
      </c>
      <c r="X108">
        <v>0.65</v>
      </c>
      <c r="Z108">
        <v>-13.616330871499999</v>
      </c>
      <c r="AA108">
        <v>-32.439943574700003</v>
      </c>
      <c r="AB108">
        <v>643.20741196851952</v>
      </c>
      <c r="AC108">
        <v>0.65</v>
      </c>
      <c r="AE108">
        <v>-24.706338390900001</v>
      </c>
      <c r="AF108">
        <v>-24.299198154300001</v>
      </c>
      <c r="AG108">
        <v>828.03338856308869</v>
      </c>
      <c r="AH108">
        <v>0.65</v>
      </c>
      <c r="AJ108">
        <v>-48.402669075000006</v>
      </c>
      <c r="AK108">
        <v>-20.1581556338</v>
      </c>
      <c r="AL108">
        <v>668.86746580748957</v>
      </c>
      <c r="AM108">
        <v>0.65</v>
      </c>
    </row>
    <row r="109" spans="1:39" x14ac:dyDescent="0.25">
      <c r="A109">
        <v>65.807344203599996</v>
      </c>
      <c r="B109">
        <v>0</v>
      </c>
      <c r="C109">
        <v>740.55714891713023</v>
      </c>
      <c r="D109">
        <v>0.65</v>
      </c>
      <c r="F109">
        <v>27.1012922902</v>
      </c>
      <c r="G109">
        <v>-11.1597043286</v>
      </c>
      <c r="H109">
        <v>1024.7334663497968</v>
      </c>
      <c r="I109">
        <v>0.65</v>
      </c>
      <c r="K109">
        <v>27.617960340899998</v>
      </c>
      <c r="L109">
        <v>-27.720532386999999</v>
      </c>
      <c r="M109">
        <v>702.1754463062324</v>
      </c>
      <c r="N109">
        <v>0.65</v>
      </c>
      <c r="P109">
        <v>14.634393043499999</v>
      </c>
      <c r="Q109">
        <v>-35.313808961599996</v>
      </c>
      <c r="R109">
        <v>457.41349985100447</v>
      </c>
      <c r="S109">
        <v>0.69069206033482422</v>
      </c>
      <c r="U109">
        <v>0</v>
      </c>
      <c r="V109">
        <v>-35.431348589499997</v>
      </c>
      <c r="W109">
        <v>571.9176425379319</v>
      </c>
      <c r="X109">
        <v>0.65</v>
      </c>
      <c r="Z109">
        <v>-13.8505743214</v>
      </c>
      <c r="AA109">
        <v>-32.733016144099999</v>
      </c>
      <c r="AB109">
        <v>623.2270078038996</v>
      </c>
      <c r="AC109">
        <v>0.65</v>
      </c>
      <c r="AE109">
        <v>-28.755334936400001</v>
      </c>
      <c r="AF109">
        <v>-28.404317329000001</v>
      </c>
      <c r="AG109">
        <v>656.01213969925038</v>
      </c>
      <c r="AH109">
        <v>0.65</v>
      </c>
      <c r="AJ109">
        <v>-50.077454829499999</v>
      </c>
      <c r="AK109">
        <v>-21.082120632000002</v>
      </c>
      <c r="AL109">
        <v>549.17631427984236</v>
      </c>
      <c r="AM109">
        <v>0.65</v>
      </c>
    </row>
    <row r="110" spans="1:39" x14ac:dyDescent="0.25">
      <c r="A110">
        <v>35.350827341200002</v>
      </c>
      <c r="B110">
        <v>0</v>
      </c>
      <c r="C110">
        <v>1025.094388130633</v>
      </c>
      <c r="D110">
        <v>0.65</v>
      </c>
      <c r="F110">
        <v>38.937492476700001</v>
      </c>
      <c r="G110">
        <v>-16.047963129499998</v>
      </c>
      <c r="H110">
        <v>884.16933077617853</v>
      </c>
      <c r="I110">
        <v>0.65</v>
      </c>
      <c r="K110">
        <v>24.706500912900001</v>
      </c>
      <c r="L110">
        <v>-24.299133661400003</v>
      </c>
      <c r="M110">
        <v>828.03335416687969</v>
      </c>
      <c r="N110">
        <v>0.65</v>
      </c>
      <c r="P110">
        <v>13.752782369199998</v>
      </c>
      <c r="Q110">
        <v>-34.006023622900003</v>
      </c>
      <c r="R110">
        <v>502.71231822899807</v>
      </c>
      <c r="S110">
        <v>0.65</v>
      </c>
      <c r="U110">
        <v>0</v>
      </c>
      <c r="V110">
        <v>-28.269810677599999</v>
      </c>
      <c r="W110">
        <v>829.47148136260432</v>
      </c>
      <c r="X110">
        <v>0.65</v>
      </c>
      <c r="Z110">
        <v>-14.7266061633</v>
      </c>
      <c r="AA110">
        <v>-35.7401803976</v>
      </c>
      <c r="AB110">
        <v>445.54136366253726</v>
      </c>
      <c r="AC110">
        <v>0.70576835813695193</v>
      </c>
      <c r="AE110">
        <v>-9.9112026613000008</v>
      </c>
      <c r="AF110">
        <v>-9.8364386105000001</v>
      </c>
      <c r="AG110">
        <v>1108.8636027512446</v>
      </c>
      <c r="AH110">
        <v>0.65</v>
      </c>
      <c r="AJ110">
        <v>-52.0129017533</v>
      </c>
      <c r="AK110">
        <v>-21.598024311899998</v>
      </c>
      <c r="AL110">
        <v>396.83265273756109</v>
      </c>
      <c r="AM110">
        <v>0.70878057245422654</v>
      </c>
    </row>
    <row r="111" spans="1:39" x14ac:dyDescent="0.25">
      <c r="A111">
        <v>71.695175329099996</v>
      </c>
      <c r="B111">
        <v>0</v>
      </c>
      <c r="C111">
        <v>650.08382820000759</v>
      </c>
      <c r="D111">
        <v>0.65</v>
      </c>
      <c r="F111">
        <v>50.2843673916</v>
      </c>
      <c r="G111">
        <v>-20.522301691399999</v>
      </c>
      <c r="H111">
        <v>595.31842744565938</v>
      </c>
      <c r="I111">
        <v>0.65</v>
      </c>
      <c r="K111">
        <v>-21.3110521746</v>
      </c>
      <c r="L111">
        <v>21.290321251400002</v>
      </c>
      <c r="M111">
        <v>908.99225936301571</v>
      </c>
      <c r="N111">
        <v>0.65</v>
      </c>
      <c r="P111">
        <v>14.001171443600001</v>
      </c>
      <c r="Q111">
        <v>-33.817590998300005</v>
      </c>
      <c r="R111">
        <v>511.6046735740349</v>
      </c>
      <c r="S111">
        <v>0.65</v>
      </c>
      <c r="U111">
        <v>0</v>
      </c>
      <c r="V111">
        <v>-35.8229968626</v>
      </c>
      <c r="W111">
        <v>566.69566556297866</v>
      </c>
      <c r="X111">
        <v>0.65</v>
      </c>
      <c r="Z111">
        <v>-14.634694573599999</v>
      </c>
      <c r="AA111">
        <v>-35.3137005014</v>
      </c>
      <c r="AB111">
        <v>457.41372827412158</v>
      </c>
      <c r="AC111">
        <v>0.69069240525256814</v>
      </c>
      <c r="AE111">
        <v>15.8097567934</v>
      </c>
      <c r="AF111">
        <v>15.6666286032</v>
      </c>
      <c r="AG111">
        <v>1019.8207577201099</v>
      </c>
      <c r="AH111">
        <v>0.65</v>
      </c>
      <c r="AJ111">
        <v>-40.4106633464</v>
      </c>
      <c r="AK111">
        <v>-16.979278198300001</v>
      </c>
      <c r="AL111">
        <v>855.58346088289363</v>
      </c>
      <c r="AM111">
        <v>0.65</v>
      </c>
    </row>
    <row r="112" spans="1:39" x14ac:dyDescent="0.25">
      <c r="A112">
        <v>66.297538280099999</v>
      </c>
      <c r="B112">
        <v>0</v>
      </c>
      <c r="C112">
        <v>737.75603990872094</v>
      </c>
      <c r="D112">
        <v>0.65</v>
      </c>
      <c r="F112">
        <v>51.042770115100005</v>
      </c>
      <c r="G112">
        <v>-20.794363130400001</v>
      </c>
      <c r="H112">
        <v>486.63735698278902</v>
      </c>
      <c r="I112">
        <v>0.65</v>
      </c>
      <c r="K112">
        <v>-15.812452025899999</v>
      </c>
      <c r="L112">
        <v>15.6655590665</v>
      </c>
      <c r="M112">
        <v>1019.8201873005338</v>
      </c>
      <c r="N112">
        <v>0.65</v>
      </c>
      <c r="P112">
        <v>15.185705005699999</v>
      </c>
      <c r="Q112">
        <v>-36.817780171400003</v>
      </c>
      <c r="R112">
        <v>402.32037413678273</v>
      </c>
      <c r="S112">
        <v>0.75844833308019677</v>
      </c>
      <c r="U112">
        <v>0</v>
      </c>
      <c r="V112">
        <v>-13.456272527599999</v>
      </c>
      <c r="W112">
        <v>1071.1853233632521</v>
      </c>
      <c r="X112">
        <v>0.65</v>
      </c>
      <c r="Z112">
        <v>-14.342780982700001</v>
      </c>
      <c r="AA112">
        <v>-34.000243514200001</v>
      </c>
      <c r="AB112">
        <v>489.3076941886834</v>
      </c>
      <c r="AC112">
        <v>0.65317737353506433</v>
      </c>
      <c r="AE112">
        <v>-26.069053257</v>
      </c>
      <c r="AF112">
        <v>-25.952894217600001</v>
      </c>
      <c r="AG112">
        <v>775.72680986276691</v>
      </c>
      <c r="AH112">
        <v>0.65</v>
      </c>
      <c r="AJ112">
        <v>-51.3155710841</v>
      </c>
      <c r="AK112">
        <v>-21.312862509999999</v>
      </c>
      <c r="AL112">
        <v>448.74161308747557</v>
      </c>
      <c r="AM112">
        <v>0.67035112705635147</v>
      </c>
    </row>
    <row r="113" spans="1:39" x14ac:dyDescent="0.25">
      <c r="A113">
        <v>69.487009398399991</v>
      </c>
      <c r="B113">
        <v>0</v>
      </c>
      <c r="C113">
        <v>692.51937955015967</v>
      </c>
      <c r="D113">
        <v>0.65</v>
      </c>
      <c r="F113">
        <v>50.0767223637</v>
      </c>
      <c r="G113">
        <v>-21.082411293</v>
      </c>
      <c r="H113">
        <v>549.17646929905334</v>
      </c>
      <c r="I113">
        <v>0.65</v>
      </c>
      <c r="K113">
        <v>25.9203321323</v>
      </c>
      <c r="L113">
        <v>-26.034452277099998</v>
      </c>
      <c r="M113">
        <v>774.50105811176923</v>
      </c>
      <c r="N113">
        <v>0.65</v>
      </c>
      <c r="P113">
        <v>14.3009782485</v>
      </c>
      <c r="Q113">
        <v>-34.015058047899998</v>
      </c>
      <c r="R113">
        <v>489.2699005734529</v>
      </c>
      <c r="S113">
        <v>0.65312692279695994</v>
      </c>
      <c r="U113">
        <v>0</v>
      </c>
      <c r="V113">
        <v>-21.765689994799999</v>
      </c>
      <c r="W113">
        <v>953.02642379998724</v>
      </c>
      <c r="X113">
        <v>0.65</v>
      </c>
      <c r="Z113">
        <v>-14.855725547800001</v>
      </c>
      <c r="AA113">
        <v>-35.462605391499999</v>
      </c>
      <c r="AB113">
        <v>450.33810350344078</v>
      </c>
      <c r="AC113">
        <v>0.69832763663203856</v>
      </c>
      <c r="AE113">
        <v>21.309511782800001</v>
      </c>
      <c r="AF113">
        <v>21.290932517999998</v>
      </c>
      <c r="AG113">
        <v>908.99258537184778</v>
      </c>
      <c r="AH113">
        <v>0.65</v>
      </c>
      <c r="AJ113">
        <v>-52.3667896543</v>
      </c>
      <c r="AK113">
        <v>-21.330185182099999</v>
      </c>
      <c r="AL113">
        <v>419.00498341119265</v>
      </c>
      <c r="AM113">
        <v>0.69363487940352841</v>
      </c>
    </row>
    <row r="114" spans="1:39" x14ac:dyDescent="0.25">
      <c r="A114">
        <v>75.618562010100007</v>
      </c>
      <c r="B114">
        <v>0</v>
      </c>
      <c r="C114">
        <v>559.6105074828846</v>
      </c>
      <c r="D114">
        <v>0.65</v>
      </c>
      <c r="F114">
        <v>52.012977511099997</v>
      </c>
      <c r="G114">
        <v>-21.597996788700002</v>
      </c>
      <c r="H114">
        <v>396.83269744443169</v>
      </c>
      <c r="I114">
        <v>0.70878065230492071</v>
      </c>
      <c r="K114">
        <v>10.294526938599999</v>
      </c>
      <c r="L114">
        <v>-10.358421574599999</v>
      </c>
      <c r="M114">
        <v>1102.0143314652714</v>
      </c>
      <c r="N114">
        <v>0.65</v>
      </c>
      <c r="P114">
        <v>14.8554389745</v>
      </c>
      <c r="Q114">
        <v>-35.462708784599997</v>
      </c>
      <c r="R114">
        <v>450.33789438187131</v>
      </c>
      <c r="S114">
        <v>0.69832731235263767</v>
      </c>
      <c r="U114">
        <v>0</v>
      </c>
      <c r="V114">
        <v>-35.6271727261</v>
      </c>
      <c r="W114">
        <v>569.30665405045522</v>
      </c>
      <c r="X114">
        <v>0.65</v>
      </c>
      <c r="Z114">
        <v>-14.699029054</v>
      </c>
      <c r="AA114">
        <v>-36.1242208181</v>
      </c>
      <c r="AB114">
        <v>432.68681915572438</v>
      </c>
      <c r="AC114">
        <v>0.72076364451803787</v>
      </c>
      <c r="AE114">
        <v>-29.1186030418</v>
      </c>
      <c r="AF114">
        <v>-29.010128949999999</v>
      </c>
      <c r="AG114">
        <v>613.56261028397489</v>
      </c>
      <c r="AH114">
        <v>0.65</v>
      </c>
      <c r="AJ114">
        <v>-51.5478710091</v>
      </c>
      <c r="AK114">
        <v>-21.442952994300001</v>
      </c>
      <c r="AL114">
        <v>439.60978274557272</v>
      </c>
      <c r="AM114">
        <v>0.67813602969639619</v>
      </c>
    </row>
    <row r="115" spans="1:39" x14ac:dyDescent="0.25">
      <c r="A115">
        <v>55.253040487899995</v>
      </c>
      <c r="B115">
        <v>0</v>
      </c>
      <c r="C115">
        <v>865.06269395917707</v>
      </c>
      <c r="D115">
        <v>0.65</v>
      </c>
      <c r="F115">
        <v>50.913144364899999</v>
      </c>
      <c r="G115">
        <v>-21.032811323300002</v>
      </c>
      <c r="H115">
        <v>471.14239448173481</v>
      </c>
      <c r="I115">
        <v>0.65502855470711996</v>
      </c>
      <c r="K115">
        <v>22.3947407285</v>
      </c>
      <c r="L115">
        <v>-22.3828188972</v>
      </c>
      <c r="M115">
        <v>882.83004239959121</v>
      </c>
      <c r="N115">
        <v>0.65</v>
      </c>
      <c r="P115">
        <v>15.071134536500001</v>
      </c>
      <c r="Q115">
        <v>-36.566415092200003</v>
      </c>
      <c r="R115">
        <v>414.52714969416678</v>
      </c>
      <c r="S115">
        <v>0.74335647812912231</v>
      </c>
      <c r="U115">
        <v>0</v>
      </c>
      <c r="V115">
        <v>-29.816190369800001</v>
      </c>
      <c r="W115">
        <v>790.02715954179439</v>
      </c>
      <c r="X115">
        <v>0.65</v>
      </c>
      <c r="Z115">
        <v>-15.002075183699999</v>
      </c>
      <c r="AA115">
        <v>-35.888863643800001</v>
      </c>
      <c r="AB115">
        <v>439.27315905679706</v>
      </c>
      <c r="AC115">
        <v>0.71333578498740868</v>
      </c>
      <c r="AE115">
        <v>-12.096767804700001</v>
      </c>
      <c r="AF115">
        <v>-12.1817817654</v>
      </c>
      <c r="AG115">
        <v>1075.8490189703555</v>
      </c>
      <c r="AH115">
        <v>0.65</v>
      </c>
      <c r="AJ115">
        <v>-50.550789155099999</v>
      </c>
      <c r="AK115">
        <v>-20.654946946500001</v>
      </c>
      <c r="AL115">
        <v>571.61496575044987</v>
      </c>
      <c r="AM115">
        <v>0.65</v>
      </c>
    </row>
    <row r="116" spans="1:39" x14ac:dyDescent="0.25">
      <c r="A116">
        <v>40.736251243600002</v>
      </c>
      <c r="B116">
        <v>0</v>
      </c>
      <c r="C116">
        <v>986.9538705933752</v>
      </c>
      <c r="D116">
        <v>0.65</v>
      </c>
      <c r="F116">
        <v>-18.236721142900002</v>
      </c>
      <c r="G116">
        <v>7.3800336741999999</v>
      </c>
      <c r="H116">
        <v>1101.979889124153</v>
      </c>
      <c r="I116">
        <v>0.65</v>
      </c>
      <c r="K116">
        <v>29.5536830269</v>
      </c>
      <c r="L116">
        <v>-29.675861963599999</v>
      </c>
      <c r="M116">
        <v>516.04327577199501</v>
      </c>
      <c r="N116">
        <v>0.65</v>
      </c>
      <c r="P116">
        <v>14.218838086799998</v>
      </c>
      <c r="Q116">
        <v>-34.320446646100002</v>
      </c>
      <c r="R116">
        <v>482.16268541173582</v>
      </c>
      <c r="S116">
        <v>0.66062603443114143</v>
      </c>
      <c r="U116">
        <v>0</v>
      </c>
      <c r="V116">
        <v>-32.955579633600003</v>
      </c>
      <c r="W116">
        <v>700.69456195026828</v>
      </c>
      <c r="X116">
        <v>0.65</v>
      </c>
      <c r="Z116">
        <v>-10.751388047800001</v>
      </c>
      <c r="AA116">
        <v>-25.9347470513</v>
      </c>
      <c r="AB116">
        <v>862.78380497479827</v>
      </c>
      <c r="AC116">
        <v>0.65</v>
      </c>
      <c r="AE116">
        <v>-29.469904342099998</v>
      </c>
      <c r="AF116">
        <v>-29.3711710786</v>
      </c>
      <c r="AG116">
        <v>572.33472973202959</v>
      </c>
      <c r="AH116">
        <v>0.65</v>
      </c>
      <c r="AJ116">
        <v>-50.976319990100002</v>
      </c>
      <c r="AK116">
        <v>-20.813303204</v>
      </c>
      <c r="AL116">
        <v>506.66193579155259</v>
      </c>
      <c r="AM116">
        <v>0.65</v>
      </c>
    </row>
    <row r="117" spans="1:39" x14ac:dyDescent="0.25">
      <c r="A117">
        <v>68.996815321900002</v>
      </c>
      <c r="B117">
        <v>0</v>
      </c>
      <c r="C117">
        <v>695.32048855856897</v>
      </c>
      <c r="D117">
        <v>0.65</v>
      </c>
      <c r="F117">
        <v>52.173388173100001</v>
      </c>
      <c r="G117">
        <v>-21.437016809199999</v>
      </c>
      <c r="H117">
        <v>406.13598579029923</v>
      </c>
      <c r="I117">
        <v>0.70127092066491337</v>
      </c>
      <c r="K117">
        <v>31.070362897599999</v>
      </c>
      <c r="L117">
        <v>-30.747488583799999</v>
      </c>
      <c r="M117">
        <v>404.40583825174139</v>
      </c>
      <c r="N117">
        <v>0.71841688786784841</v>
      </c>
      <c r="P117">
        <v>14.6677933014</v>
      </c>
      <c r="Q117">
        <v>-35.026007802599999</v>
      </c>
      <c r="R117">
        <v>461.74707149987046</v>
      </c>
      <c r="S117">
        <v>0.68321024249462337</v>
      </c>
      <c r="U117">
        <v>0</v>
      </c>
      <c r="V117">
        <v>-34.916922538600005</v>
      </c>
      <c r="W117">
        <v>613.9729528462185</v>
      </c>
      <c r="X117">
        <v>0.65</v>
      </c>
      <c r="Z117">
        <v>-14.068972715400001</v>
      </c>
      <c r="AA117">
        <v>-34.635264569300006</v>
      </c>
      <c r="AB117">
        <v>476.01169495096656</v>
      </c>
      <c r="AC117">
        <v>0.66810143397847066</v>
      </c>
      <c r="AE117">
        <v>-23.831363303700002</v>
      </c>
      <c r="AF117">
        <v>-23.552690461500003</v>
      </c>
      <c r="AG117">
        <v>850.52873103227296</v>
      </c>
      <c r="AH117">
        <v>0.65</v>
      </c>
      <c r="AJ117">
        <v>-52.197221304199999</v>
      </c>
      <c r="AK117">
        <v>-21.428385221100001</v>
      </c>
      <c r="AL117">
        <v>406.15066156001126</v>
      </c>
      <c r="AM117">
        <v>0.7012962611688236</v>
      </c>
    </row>
    <row r="118" spans="1:39" x14ac:dyDescent="0.25">
      <c r="A118">
        <v>45.924680480699998</v>
      </c>
      <c r="B118">
        <v>0</v>
      </c>
      <c r="C118">
        <v>947.13268765107171</v>
      </c>
      <c r="D118">
        <v>0.65</v>
      </c>
      <c r="F118">
        <v>51.163475866600002</v>
      </c>
      <c r="G118">
        <v>-21.362358625699997</v>
      </c>
      <c r="H118">
        <v>447.46905259524181</v>
      </c>
      <c r="I118">
        <v>0.67034162672723407</v>
      </c>
      <c r="K118">
        <v>29.181757012899997</v>
      </c>
      <c r="L118">
        <v>-29.258970125099999</v>
      </c>
      <c r="M118">
        <v>591.10742591891437</v>
      </c>
      <c r="N118">
        <v>0.65</v>
      </c>
      <c r="P118">
        <v>14.726971734199999</v>
      </c>
      <c r="Q118">
        <v>-35.740048129500003</v>
      </c>
      <c r="R118">
        <v>445.54162223718117</v>
      </c>
      <c r="S118">
        <v>0.7057687677370873</v>
      </c>
      <c r="U118">
        <v>0</v>
      </c>
      <c r="V118">
        <v>-19.237088080500001</v>
      </c>
      <c r="W118">
        <v>992.47074562079717</v>
      </c>
      <c r="X118">
        <v>0.65</v>
      </c>
      <c r="Z118">
        <v>-14.5736063299</v>
      </c>
      <c r="AA118">
        <v>-34.7947948845</v>
      </c>
      <c r="AB118">
        <v>468.41273412364717</v>
      </c>
      <c r="AC118">
        <v>0.67570357543081072</v>
      </c>
      <c r="AE118">
        <v>14.031227663499999</v>
      </c>
      <c r="AF118">
        <v>13.935199381299999</v>
      </c>
      <c r="AG118">
        <v>1048.4470012996535</v>
      </c>
      <c r="AH118">
        <v>0.65</v>
      </c>
      <c r="AJ118">
        <v>-50.271824867200003</v>
      </c>
      <c r="AK118">
        <v>-20.527278883600001</v>
      </c>
      <c r="AL118">
        <v>595.32108194817874</v>
      </c>
      <c r="AM118">
        <v>0.65</v>
      </c>
    </row>
    <row r="119" spans="1:39" x14ac:dyDescent="0.25">
      <c r="A119">
        <v>73.902424225200008</v>
      </c>
      <c r="B119">
        <v>0</v>
      </c>
      <c r="C119">
        <v>604.84716784144609</v>
      </c>
      <c r="D119">
        <v>0.65</v>
      </c>
      <c r="F119">
        <v>50.556234045299995</v>
      </c>
      <c r="G119">
        <v>-20.6527862758</v>
      </c>
      <c r="H119">
        <v>571.61381339271952</v>
      </c>
      <c r="I119">
        <v>0.65</v>
      </c>
      <c r="K119">
        <v>29.4936444135</v>
      </c>
      <c r="L119">
        <v>-29.361750415400003</v>
      </c>
      <c r="M119">
        <v>572.32970537828544</v>
      </c>
      <c r="N119">
        <v>0.65</v>
      </c>
      <c r="P119">
        <v>15.7023944559</v>
      </c>
      <c r="Q119">
        <v>-37.148134006599996</v>
      </c>
      <c r="R119">
        <v>385.68962634019238</v>
      </c>
      <c r="S119">
        <v>0.78836659849955615</v>
      </c>
      <c r="U119">
        <v>0</v>
      </c>
      <c r="V119">
        <v>-34.721098401999996</v>
      </c>
      <c r="W119">
        <v>616.58394133369507</v>
      </c>
      <c r="X119">
        <v>0.65</v>
      </c>
      <c r="Z119">
        <v>-15.224270998</v>
      </c>
      <c r="AA119">
        <v>-36.691915422299999</v>
      </c>
      <c r="AB119">
        <v>408.51568955509077</v>
      </c>
      <c r="AC119">
        <v>0.75088280922108219</v>
      </c>
      <c r="AE119">
        <v>-29.173275563500003</v>
      </c>
      <c r="AF119">
        <v>-29.262335779599997</v>
      </c>
      <c r="AG119">
        <v>591.10922093466263</v>
      </c>
      <c r="AH119">
        <v>0.65</v>
      </c>
      <c r="AJ119">
        <v>-50.411915025199995</v>
      </c>
      <c r="AK119">
        <v>-21.261075074099999</v>
      </c>
      <c r="AL119">
        <v>469.82653190233776</v>
      </c>
      <c r="AM119">
        <v>0.65491900844461426</v>
      </c>
    </row>
    <row r="120" spans="1:39" x14ac:dyDescent="0.25">
      <c r="A120">
        <v>74.392618301599995</v>
      </c>
      <c r="B120">
        <v>0</v>
      </c>
      <c r="C120">
        <v>602.04605883303668</v>
      </c>
      <c r="D120">
        <v>0.65</v>
      </c>
      <c r="F120">
        <v>51.552025357599994</v>
      </c>
      <c r="G120">
        <v>-21.441464503000002</v>
      </c>
      <c r="H120">
        <v>439.61273075667123</v>
      </c>
      <c r="I120">
        <v>0.67814057725794175</v>
      </c>
      <c r="K120">
        <v>30.808402409500001</v>
      </c>
      <c r="L120">
        <v>-30.695888989899998</v>
      </c>
      <c r="M120">
        <v>422.99403565837872</v>
      </c>
      <c r="N120">
        <v>0.70330636498600385</v>
      </c>
      <c r="P120">
        <v>14.5732055818</v>
      </c>
      <c r="Q120">
        <v>-34.794938201099995</v>
      </c>
      <c r="R120">
        <v>468.41240961132451</v>
      </c>
      <c r="S120">
        <v>0.67570310730917393</v>
      </c>
      <c r="U120">
        <v>0</v>
      </c>
      <c r="V120">
        <v>-37.044200618700003</v>
      </c>
      <c r="W120">
        <v>487.35368773946362</v>
      </c>
      <c r="X120">
        <v>0.66156609195402394</v>
      </c>
      <c r="Z120">
        <v>-14.224660647</v>
      </c>
      <c r="AA120">
        <v>-34.3183766159</v>
      </c>
      <c r="AB120">
        <v>482.16776008975529</v>
      </c>
      <c r="AC120">
        <v>0.66063298740472631</v>
      </c>
      <c r="AE120">
        <v>22.205588030099999</v>
      </c>
      <c r="AF120">
        <v>22.491984430000002</v>
      </c>
      <c r="AG120">
        <v>881.60591833810952</v>
      </c>
      <c r="AH120">
        <v>0.65</v>
      </c>
      <c r="AJ120">
        <v>-51.673569677499998</v>
      </c>
      <c r="AK120">
        <v>-21.488540021099997</v>
      </c>
      <c r="AL120">
        <v>427.4676444961932</v>
      </c>
      <c r="AM120">
        <v>0.68577696977998881</v>
      </c>
    </row>
    <row r="121" spans="1:39" x14ac:dyDescent="0.25">
      <c r="A121">
        <v>66.787732356500001</v>
      </c>
      <c r="B121">
        <v>0</v>
      </c>
      <c r="C121">
        <v>734.95493090031152</v>
      </c>
      <c r="D121">
        <v>0.65</v>
      </c>
      <c r="F121">
        <v>52.375213018799997</v>
      </c>
      <c r="G121">
        <v>-21.327145425399998</v>
      </c>
      <c r="H121">
        <v>419.01044202439471</v>
      </c>
      <c r="I121">
        <v>0.69364391577460116</v>
      </c>
      <c r="K121">
        <v>29.582782223899997</v>
      </c>
      <c r="L121">
        <v>-29.489650619499997</v>
      </c>
      <c r="M121">
        <v>553.56101669294503</v>
      </c>
      <c r="N121">
        <v>0.65</v>
      </c>
      <c r="P121">
        <v>15.0613926289</v>
      </c>
      <c r="Q121">
        <v>-36.340258899600002</v>
      </c>
      <c r="R121">
        <v>419.0035288563638</v>
      </c>
      <c r="S121">
        <v>0.73593459190887134</v>
      </c>
      <c r="U121">
        <v>0</v>
      </c>
      <c r="V121">
        <v>-36.287691494500002</v>
      </c>
      <c r="W121">
        <v>522.02936676721538</v>
      </c>
      <c r="X121">
        <v>0.65</v>
      </c>
      <c r="Z121">
        <v>-15.5352917613</v>
      </c>
      <c r="AA121">
        <v>-37.502093927499999</v>
      </c>
      <c r="AB121">
        <v>377.66647754987923</v>
      </c>
      <c r="AC121">
        <v>0.8105205611970222</v>
      </c>
      <c r="AE121">
        <v>-29.574958310900001</v>
      </c>
      <c r="AF121">
        <v>-29.492755346899997</v>
      </c>
      <c r="AG121">
        <v>553.56267254754312</v>
      </c>
      <c r="AH121">
        <v>0.65</v>
      </c>
      <c r="AJ121">
        <v>-50.573327939500004</v>
      </c>
      <c r="AK121">
        <v>-20.955527698400001</v>
      </c>
      <c r="AL121">
        <v>526.6780539457344</v>
      </c>
      <c r="AM121">
        <v>0.65</v>
      </c>
    </row>
    <row r="122" spans="1:39" x14ac:dyDescent="0.25">
      <c r="A122">
        <v>73.412230148700004</v>
      </c>
      <c r="B122">
        <v>0</v>
      </c>
      <c r="C122">
        <v>607.64827684985539</v>
      </c>
      <c r="D122">
        <v>0.65</v>
      </c>
      <c r="F122">
        <v>51.481394748599996</v>
      </c>
      <c r="G122">
        <v>-20.993438766300002</v>
      </c>
      <c r="H122">
        <v>458.97437648060964</v>
      </c>
      <c r="I122">
        <v>0.66282434098288701</v>
      </c>
      <c r="K122">
        <v>-29.628205320100001</v>
      </c>
      <c r="L122">
        <v>29.707377084899999</v>
      </c>
      <c r="M122">
        <v>500.95235207951043</v>
      </c>
      <c r="N122">
        <v>0.65</v>
      </c>
      <c r="P122">
        <v>14.324701695000002</v>
      </c>
      <c r="Q122">
        <v>-34.566801695999999</v>
      </c>
      <c r="R122">
        <v>474.80195845283845</v>
      </c>
      <c r="S122">
        <v>0.66817493978217135</v>
      </c>
      <c r="U122">
        <v>0</v>
      </c>
      <c r="V122">
        <v>-21.961514131399998</v>
      </c>
      <c r="W122">
        <v>950.41543531251057</v>
      </c>
      <c r="X122">
        <v>0.65</v>
      </c>
      <c r="Z122">
        <v>-15.262879290799999</v>
      </c>
      <c r="AA122">
        <v>-37.059467687100003</v>
      </c>
      <c r="AB122">
        <v>393.79348074181138</v>
      </c>
      <c r="AC122">
        <v>0.77341471076815294</v>
      </c>
      <c r="AE122">
        <v>-28.964456419100003</v>
      </c>
      <c r="AF122">
        <v>-28.728211666699998</v>
      </c>
      <c r="AG122">
        <v>634.78328986043539</v>
      </c>
      <c r="AH122">
        <v>0.65</v>
      </c>
      <c r="AJ122">
        <v>49.444116502200004</v>
      </c>
      <c r="AK122">
        <v>20.1962607225</v>
      </c>
      <c r="AL122">
        <v>641.46735552969972</v>
      </c>
      <c r="AM122">
        <v>0.65</v>
      </c>
    </row>
    <row r="123" spans="1:39" x14ac:dyDescent="0.25">
      <c r="A123">
        <v>81.868610131300002</v>
      </c>
      <c r="B123">
        <v>0</v>
      </c>
      <c r="C123">
        <v>516.61925287356269</v>
      </c>
      <c r="D123">
        <v>0.70129310344827622</v>
      </c>
      <c r="F123">
        <v>50.572674918899999</v>
      </c>
      <c r="G123">
        <v>-20.955786833600001</v>
      </c>
      <c r="H123">
        <v>526.67819215115207</v>
      </c>
      <c r="I123">
        <v>0.65</v>
      </c>
      <c r="K123">
        <v>28.867873102200001</v>
      </c>
      <c r="L123">
        <v>-29.093189625700003</v>
      </c>
      <c r="M123">
        <v>612.33765992826466</v>
      </c>
      <c r="N123">
        <v>0.65</v>
      </c>
      <c r="P123">
        <v>15.012712967600001</v>
      </c>
      <c r="Q123">
        <v>-36.253404736600004</v>
      </c>
      <c r="R123">
        <v>427.37042753965864</v>
      </c>
      <c r="S123">
        <v>0.72840370662969478</v>
      </c>
      <c r="U123">
        <v>0</v>
      </c>
      <c r="V123">
        <v>-39.122660507500001</v>
      </c>
      <c r="W123">
        <v>453.8869731800765</v>
      </c>
      <c r="X123">
        <v>0.72816091954023099</v>
      </c>
      <c r="Z123">
        <v>-15.184562826300001</v>
      </c>
      <c r="AA123">
        <v>-36.818201479000003</v>
      </c>
      <c r="AB123">
        <v>402.31974085832394</v>
      </c>
      <c r="AC123">
        <v>0.75844713923314422</v>
      </c>
      <c r="AE123">
        <v>-31.012544492299998</v>
      </c>
      <c r="AF123">
        <v>-30.6315762666</v>
      </c>
      <c r="AG123">
        <v>411.18211424909936</v>
      </c>
      <c r="AH123">
        <v>0.71089987959778767</v>
      </c>
      <c r="AJ123">
        <v>-45.409172471399998</v>
      </c>
      <c r="AK123">
        <v>-18.365121025099999</v>
      </c>
      <c r="AL123">
        <v>773.41955956340769</v>
      </c>
      <c r="AM123">
        <v>0.65</v>
      </c>
    </row>
    <row r="124" spans="1:39" x14ac:dyDescent="0.25">
      <c r="A124">
        <v>76.108756086599996</v>
      </c>
      <c r="B124">
        <v>0</v>
      </c>
      <c r="C124">
        <v>556.8093984744753</v>
      </c>
      <c r="D124">
        <v>0.65</v>
      </c>
      <c r="F124">
        <v>51.6736555409</v>
      </c>
      <c r="G124">
        <v>-21.488509146000002</v>
      </c>
      <c r="H124">
        <v>427.46770252663049</v>
      </c>
      <c r="I124">
        <v>0.68577706287695006</v>
      </c>
      <c r="K124">
        <v>-30.599709011400002</v>
      </c>
      <c r="L124">
        <v>30.438919352500001</v>
      </c>
      <c r="M124">
        <v>437.83102046796097</v>
      </c>
      <c r="N124">
        <v>0.68821607326129519</v>
      </c>
      <c r="P124">
        <v>14.140993460899999</v>
      </c>
      <c r="Q124">
        <v>-33.730121491599995</v>
      </c>
      <c r="R124">
        <v>526.67448579185225</v>
      </c>
      <c r="S124">
        <v>0.65</v>
      </c>
      <c r="U124">
        <v>0</v>
      </c>
      <c r="V124">
        <v>-35.1127466752</v>
      </c>
      <c r="W124">
        <v>611.36196435874183</v>
      </c>
      <c r="X124">
        <v>0.65</v>
      </c>
      <c r="Z124">
        <v>-15.702394489200001</v>
      </c>
      <c r="AA124">
        <v>-37.148133995999999</v>
      </c>
      <c r="AB124">
        <v>385.68962618974331</v>
      </c>
      <c r="AC124">
        <v>0.78836659856517866</v>
      </c>
      <c r="AE124">
        <v>29.7514387079</v>
      </c>
      <c r="AF124">
        <v>30.175871938599997</v>
      </c>
      <c r="AG124">
        <v>465.58623514713645</v>
      </c>
      <c r="AH124">
        <v>0.66547018392595969</v>
      </c>
      <c r="AJ124">
        <v>-51.694192101600002</v>
      </c>
      <c r="AK124">
        <v>-20.904327743600003</v>
      </c>
      <c r="AL124">
        <v>460.2295767086303</v>
      </c>
      <c r="AM124">
        <v>0.66282894778736567</v>
      </c>
    </row>
    <row r="125" spans="1:39" x14ac:dyDescent="0.25">
      <c r="A125">
        <v>82.367363934799997</v>
      </c>
      <c r="B125">
        <v>0</v>
      </c>
      <c r="C125">
        <v>487.67528735632129</v>
      </c>
      <c r="D125">
        <v>0.71716954022988544</v>
      </c>
      <c r="F125">
        <v>46.806845362900006</v>
      </c>
      <c r="G125">
        <v>-19.6112764258</v>
      </c>
      <c r="H125">
        <v>718.70199621338099</v>
      </c>
      <c r="I125">
        <v>0.65</v>
      </c>
      <c r="K125">
        <v>-30.084249939299998</v>
      </c>
      <c r="L125">
        <v>29.8384680305</v>
      </c>
      <c r="M125">
        <v>474.28419897591499</v>
      </c>
      <c r="N125">
        <v>0.65800987279275425</v>
      </c>
      <c r="P125">
        <v>15.225033422199999</v>
      </c>
      <c r="Q125">
        <v>-36.691634974799996</v>
      </c>
      <c r="R125">
        <v>408.51612727147199</v>
      </c>
      <c r="S125">
        <v>0.75088361377697976</v>
      </c>
      <c r="U125">
        <v>0</v>
      </c>
      <c r="V125">
        <v>-31.312838642900001</v>
      </c>
      <c r="W125">
        <v>747.9718492335079</v>
      </c>
      <c r="X125">
        <v>0.65</v>
      </c>
      <c r="Z125">
        <v>-14.140226091600001</v>
      </c>
      <c r="AA125">
        <v>-33.730426003200002</v>
      </c>
      <c r="AB125">
        <v>526.67464819805059</v>
      </c>
      <c r="AC125">
        <v>0.65</v>
      </c>
      <c r="AE125">
        <v>-30.808402979799997</v>
      </c>
      <c r="AF125">
        <v>-30.695888784499999</v>
      </c>
      <c r="AG125">
        <v>422.9940360343731</v>
      </c>
      <c r="AH125">
        <v>0.70330636561116244</v>
      </c>
      <c r="AJ125">
        <v>-51.0320952589</v>
      </c>
      <c r="AK125">
        <v>-20.798599184499999</v>
      </c>
      <c r="AL125">
        <v>486.63961621160371</v>
      </c>
      <c r="AM125">
        <v>0.65</v>
      </c>
    </row>
    <row r="126" spans="1:39" x14ac:dyDescent="0.25">
      <c r="A126">
        <v>80.941906441499995</v>
      </c>
      <c r="B126">
        <v>0</v>
      </c>
      <c r="C126">
        <v>510.77143199233672</v>
      </c>
      <c r="D126">
        <v>0.69335488505747167</v>
      </c>
      <c r="F126">
        <v>-49.041733433799997</v>
      </c>
      <c r="G126">
        <v>20.3733463023</v>
      </c>
      <c r="H126">
        <v>643.93877895000878</v>
      </c>
      <c r="I126">
        <v>0.65</v>
      </c>
      <c r="K126">
        <v>-30.303243359</v>
      </c>
      <c r="L126">
        <v>30.164380361200003</v>
      </c>
      <c r="M126">
        <v>454.16217098936602</v>
      </c>
      <c r="N126">
        <v>0.67312563945316306</v>
      </c>
      <c r="P126">
        <v>15.191392424</v>
      </c>
      <c r="Q126">
        <v>-37.211253630800002</v>
      </c>
      <c r="R126">
        <v>391.44786253915316</v>
      </c>
      <c r="S126">
        <v>0.78082110582500985</v>
      </c>
      <c r="U126">
        <v>0</v>
      </c>
      <c r="V126">
        <v>-34.156940932099999</v>
      </c>
      <c r="W126">
        <v>656.028263154505</v>
      </c>
      <c r="X126">
        <v>0.65</v>
      </c>
      <c r="Z126">
        <v>-15.1918684826</v>
      </c>
      <c r="AA126">
        <v>-37.211102746800002</v>
      </c>
      <c r="AB126">
        <v>391.4457234939448</v>
      </c>
      <c r="AC126">
        <v>0.78082205486297152</v>
      </c>
      <c r="AE126">
        <v>-29.336552254899999</v>
      </c>
      <c r="AF126">
        <v>-29.7503968085</v>
      </c>
      <c r="AG126">
        <v>517.27369929420752</v>
      </c>
      <c r="AH126">
        <v>0.65</v>
      </c>
      <c r="AJ126">
        <v>-42.608012698800003</v>
      </c>
      <c r="AK126">
        <v>-17.296528025699999</v>
      </c>
      <c r="AL126">
        <v>828.18816853982003</v>
      </c>
      <c r="AM126">
        <v>0.65</v>
      </c>
    </row>
    <row r="127" spans="1:39" x14ac:dyDescent="0.25">
      <c r="A127">
        <v>72.185369405599999</v>
      </c>
      <c r="B127">
        <v>0</v>
      </c>
      <c r="C127">
        <v>647.28271919159818</v>
      </c>
      <c r="D127">
        <v>0.65</v>
      </c>
      <c r="F127">
        <v>45.794269381100001</v>
      </c>
      <c r="G127">
        <v>-19.1730480417</v>
      </c>
      <c r="H127">
        <v>747.31511233850551</v>
      </c>
      <c r="I127">
        <v>0.65</v>
      </c>
      <c r="K127">
        <v>-29.747706008599998</v>
      </c>
      <c r="L127">
        <v>30.177193814199999</v>
      </c>
      <c r="M127">
        <v>465.58322152089335</v>
      </c>
      <c r="N127">
        <v>0.66546587649962374</v>
      </c>
      <c r="P127">
        <v>14.698990909399999</v>
      </c>
      <c r="Q127">
        <v>-36.124234700000002</v>
      </c>
      <c r="R127">
        <v>432.68679400743702</v>
      </c>
      <c r="S127">
        <v>0.72076360262637551</v>
      </c>
      <c r="U127">
        <v>0</v>
      </c>
      <c r="V127">
        <v>-31.508662779400002</v>
      </c>
      <c r="W127">
        <v>745.36086074603122</v>
      </c>
      <c r="X127">
        <v>0.65</v>
      </c>
      <c r="Z127">
        <v>-15.0625060698</v>
      </c>
      <c r="AA127">
        <v>-36.339851379300001</v>
      </c>
      <c r="AB127">
        <v>419.00421097537861</v>
      </c>
      <c r="AC127">
        <v>0.73593578997748643</v>
      </c>
      <c r="AE127">
        <v>-30.7478927911</v>
      </c>
      <c r="AF127">
        <v>-30.5654302887</v>
      </c>
      <c r="AG127">
        <v>430.55993521786098</v>
      </c>
      <c r="AH127">
        <v>0.69578760026507791</v>
      </c>
      <c r="AJ127">
        <v>-52.310947113599994</v>
      </c>
      <c r="AK127">
        <v>-21.6114036313</v>
      </c>
      <c r="AL127">
        <v>352.08605742664508</v>
      </c>
      <c r="AM127">
        <v>0.74732783322611473</v>
      </c>
    </row>
    <row r="128" spans="1:39" x14ac:dyDescent="0.25">
      <c r="A128">
        <v>84.190782489300005</v>
      </c>
      <c r="B128">
        <v>0</v>
      </c>
      <c r="C128">
        <v>498.47126436781554</v>
      </c>
      <c r="D128">
        <v>0.73304597701149465</v>
      </c>
      <c r="F128">
        <v>47.705244709999995</v>
      </c>
      <c r="G128">
        <v>-19.859391481700001</v>
      </c>
      <c r="H128">
        <v>695.00336779461702</v>
      </c>
      <c r="I128">
        <v>0.65</v>
      </c>
      <c r="K128">
        <v>-30.1503856223</v>
      </c>
      <c r="L128">
        <v>30.437180728200001</v>
      </c>
      <c r="M128">
        <v>447.35523858419765</v>
      </c>
      <c r="N128">
        <v>0.68056070778528888</v>
      </c>
      <c r="P128">
        <v>15.280914039700001</v>
      </c>
      <c r="Q128">
        <v>-37.053782738700001</v>
      </c>
      <c r="R128">
        <v>393.71297730384157</v>
      </c>
      <c r="S128">
        <v>0.7734509725083516</v>
      </c>
      <c r="U128">
        <v>0</v>
      </c>
      <c r="V128">
        <v>-33.961116795599999</v>
      </c>
      <c r="W128">
        <v>658.63925164198156</v>
      </c>
      <c r="X128">
        <v>0.65</v>
      </c>
      <c r="Z128">
        <v>-15.829755820699999</v>
      </c>
      <c r="AA128">
        <v>-37.345856428099999</v>
      </c>
      <c r="AB128">
        <v>369.88681935414166</v>
      </c>
      <c r="AC128">
        <v>0.8180043769711528</v>
      </c>
      <c r="AE128">
        <v>-30.6965950562</v>
      </c>
      <c r="AF128">
        <v>-31.216079475800001</v>
      </c>
      <c r="AG128">
        <v>376.35131845472722</v>
      </c>
      <c r="AH128">
        <v>0.74841466718066252</v>
      </c>
      <c r="AJ128">
        <v>-44.040739881600004</v>
      </c>
      <c r="AK128">
        <v>-17.881730213099999</v>
      </c>
      <c r="AL128">
        <v>800.80918659124677</v>
      </c>
      <c r="AM128">
        <v>0.65</v>
      </c>
    </row>
    <row r="129" spans="1:39" x14ac:dyDescent="0.25">
      <c r="A129">
        <v>80.015202751800004</v>
      </c>
      <c r="B129">
        <v>0</v>
      </c>
      <c r="C129">
        <v>504.92361111111063</v>
      </c>
      <c r="D129">
        <v>0.68541666666666701</v>
      </c>
      <c r="F129">
        <v>52.423066139700005</v>
      </c>
      <c r="G129">
        <v>-21.555342275399997</v>
      </c>
      <c r="H129">
        <v>344.01848983811425</v>
      </c>
      <c r="I129">
        <v>0.75501847443317038</v>
      </c>
      <c r="K129">
        <v>31.268814811199999</v>
      </c>
      <c r="L129">
        <v>-30.800031360900004</v>
      </c>
      <c r="M129">
        <v>397.41809018885613</v>
      </c>
      <c r="N129">
        <v>0.72597283673624635</v>
      </c>
      <c r="P129">
        <v>15.629745503700001</v>
      </c>
      <c r="Q129">
        <v>-37.7849947988</v>
      </c>
      <c r="R129">
        <v>369.93404049816502</v>
      </c>
      <c r="S129">
        <v>0.83277518107724802</v>
      </c>
      <c r="U129">
        <v>0</v>
      </c>
      <c r="V129">
        <v>-36.483515631099998</v>
      </c>
      <c r="W129">
        <v>519.41837827973882</v>
      </c>
      <c r="X129">
        <v>0.65</v>
      </c>
      <c r="Z129">
        <v>-15.070637575499999</v>
      </c>
      <c r="AA129">
        <v>-36.566597421200001</v>
      </c>
      <c r="AB129">
        <v>414.52685435586113</v>
      </c>
      <c r="AC129">
        <v>0.74335594850966502</v>
      </c>
      <c r="AE129">
        <v>30.306992593300002</v>
      </c>
      <c r="AF129">
        <v>30.163047808000002</v>
      </c>
      <c r="AG129">
        <v>454.16505754567345</v>
      </c>
      <c r="AH129">
        <v>0.67312991769381147</v>
      </c>
      <c r="AJ129">
        <v>-52.567339560600004</v>
      </c>
      <c r="AK129">
        <v>-21.507805502</v>
      </c>
      <c r="AL129">
        <v>370.30513776007172</v>
      </c>
      <c r="AM129">
        <v>0.73201240307854143</v>
      </c>
    </row>
    <row r="130" spans="1:39" x14ac:dyDescent="0.25">
      <c r="A130">
        <v>87.596585726300006</v>
      </c>
      <c r="B130">
        <v>0</v>
      </c>
      <c r="C130">
        <v>486.6209291187734</v>
      </c>
      <c r="D130">
        <v>0.7806752873563223</v>
      </c>
      <c r="F130">
        <v>48.829565918</v>
      </c>
      <c r="G130">
        <v>-19.9281427773</v>
      </c>
      <c r="H130">
        <v>670.06206141977589</v>
      </c>
      <c r="I130">
        <v>0.65</v>
      </c>
      <c r="K130">
        <v>31.015468412300002</v>
      </c>
      <c r="L130">
        <v>-30.630519178099998</v>
      </c>
      <c r="M130">
        <v>411.18394929110104</v>
      </c>
      <c r="N130">
        <v>0.71090305223369221</v>
      </c>
      <c r="P130">
        <v>15.211128734700001</v>
      </c>
      <c r="Q130">
        <v>-36.964556643099996</v>
      </c>
      <c r="R130">
        <v>397.44209234109388</v>
      </c>
      <c r="S130">
        <v>0.76602107737905478</v>
      </c>
      <c r="U130">
        <v>0</v>
      </c>
      <c r="V130">
        <v>-37.641409151299996</v>
      </c>
      <c r="W130">
        <v>464.95977011494244</v>
      </c>
      <c r="X130">
        <v>0.68376436781609296</v>
      </c>
      <c r="Z130">
        <v>-14.6691836612</v>
      </c>
      <c r="AA130">
        <v>-35.025509098900002</v>
      </c>
      <c r="AB130">
        <v>461.74815751222098</v>
      </c>
      <c r="AC130">
        <v>0.68321184938031088</v>
      </c>
      <c r="AE130">
        <v>30.591087743399999</v>
      </c>
      <c r="AF130">
        <v>30.442004185599998</v>
      </c>
      <c r="AG130">
        <v>437.8248882902742</v>
      </c>
      <c r="AH130">
        <v>0.68820643423836148</v>
      </c>
      <c r="AJ130">
        <v>-52.423073713900003</v>
      </c>
      <c r="AK130">
        <v>-21.555339470099998</v>
      </c>
      <c r="AL130">
        <v>344.01849328271118</v>
      </c>
      <c r="AM130">
        <v>0.75501848199303312</v>
      </c>
    </row>
    <row r="131" spans="1:39" x14ac:dyDescent="0.25">
      <c r="A131">
        <v>79.088499061999997</v>
      </c>
      <c r="B131">
        <v>0</v>
      </c>
      <c r="C131">
        <v>499.0757902298846</v>
      </c>
      <c r="D131">
        <v>0.67747844827586245</v>
      </c>
      <c r="F131">
        <v>52.234798601999998</v>
      </c>
      <c r="G131">
        <v>-21.522850833299998</v>
      </c>
      <c r="H131">
        <v>376.25349892309924</v>
      </c>
      <c r="I131">
        <v>0.72430537952443874</v>
      </c>
      <c r="K131">
        <v>30.7401607336</v>
      </c>
      <c r="L131">
        <v>-30.568206002699998</v>
      </c>
      <c r="M131">
        <v>430.55463948009628</v>
      </c>
      <c r="N131">
        <v>0.69577904231909016</v>
      </c>
      <c r="P131">
        <v>16.161372599</v>
      </c>
      <c r="Q131">
        <v>-38.209695973300001</v>
      </c>
      <c r="R131">
        <v>351.06853558161419</v>
      </c>
      <c r="S131">
        <v>0.88464604790951751</v>
      </c>
      <c r="U131">
        <v>0</v>
      </c>
      <c r="V131">
        <v>-37.458529282400001</v>
      </c>
      <c r="W131">
        <v>492.80459770114948</v>
      </c>
      <c r="X131">
        <v>0.66896551724138031</v>
      </c>
      <c r="Z131">
        <v>-15.528843189900002</v>
      </c>
      <c r="AA131">
        <v>-37.896013185699999</v>
      </c>
      <c r="AB131">
        <v>363.19588144734382</v>
      </c>
      <c r="AC131">
        <v>0.84760314052300922</v>
      </c>
      <c r="AE131">
        <v>-29.8638646112</v>
      </c>
      <c r="AF131">
        <v>-29.623800646700001</v>
      </c>
      <c r="AG131">
        <v>499.72147180626689</v>
      </c>
      <c r="AH131">
        <v>0.65</v>
      </c>
      <c r="AJ131">
        <v>-52.2341098355</v>
      </c>
      <c r="AK131">
        <v>-21.690952936799999</v>
      </c>
      <c r="AL131">
        <v>361.32975157686928</v>
      </c>
      <c r="AM131">
        <v>0.7396724028144015</v>
      </c>
    </row>
    <row r="132" spans="1:39" x14ac:dyDescent="0.25">
      <c r="A132">
        <v>85.815151526799994</v>
      </c>
      <c r="B132">
        <v>0</v>
      </c>
      <c r="C132">
        <v>476.72461685823697</v>
      </c>
      <c r="D132">
        <v>0.76479885057471308</v>
      </c>
      <c r="F132">
        <v>52.252706354800004</v>
      </c>
      <c r="G132">
        <v>-21.613177816900002</v>
      </c>
      <c r="H132">
        <v>388.78244113789361</v>
      </c>
      <c r="I132">
        <v>0.71663939865793058</v>
      </c>
      <c r="K132">
        <v>31.103043315499999</v>
      </c>
      <c r="L132">
        <v>-31.0062577289</v>
      </c>
      <c r="M132">
        <v>382.66289120993912</v>
      </c>
      <c r="N132">
        <v>0.74093425365454879</v>
      </c>
      <c r="P132">
        <v>15.655482368800001</v>
      </c>
      <c r="Q132">
        <v>-38.010265556099995</v>
      </c>
      <c r="R132">
        <v>357.55971635976852</v>
      </c>
      <c r="S132">
        <v>0.86245424037293583</v>
      </c>
      <c r="U132">
        <v>0</v>
      </c>
      <c r="V132">
        <v>-36.311006434300005</v>
      </c>
      <c r="W132">
        <v>479.97405645892889</v>
      </c>
      <c r="X132">
        <v>0.65</v>
      </c>
      <c r="Z132">
        <v>-15.012497954499999</v>
      </c>
      <c r="AA132">
        <v>-36.253483191800001</v>
      </c>
      <c r="AB132">
        <v>427.37029044754712</v>
      </c>
      <c r="AC132">
        <v>0.72840347297196628</v>
      </c>
      <c r="AE132">
        <v>-31.269533386500001</v>
      </c>
      <c r="AF132">
        <v>-30.799769959700001</v>
      </c>
      <c r="AG132">
        <v>397.41850881488176</v>
      </c>
      <c r="AH132">
        <v>0.72597360145010759</v>
      </c>
      <c r="AJ132">
        <v>-52.234720708000005</v>
      </c>
      <c r="AK132">
        <v>-21.522879331399999</v>
      </c>
      <c r="AL132">
        <v>376.25345706366409</v>
      </c>
      <c r="AM132">
        <v>0.72430529894308693</v>
      </c>
    </row>
    <row r="133" spans="1:39" x14ac:dyDescent="0.25">
      <c r="A133">
        <v>77.984907295499994</v>
      </c>
      <c r="B133">
        <v>0</v>
      </c>
      <c r="C133">
        <v>524.87092911877346</v>
      </c>
      <c r="D133">
        <v>0.66160201149425324</v>
      </c>
      <c r="F133">
        <v>52.244162671000005</v>
      </c>
      <c r="G133">
        <v>-21.623449259400001</v>
      </c>
      <c r="H133">
        <v>335.70691262456097</v>
      </c>
      <c r="I133">
        <v>0.76269584030364879</v>
      </c>
      <c r="K133">
        <v>31.208286663600003</v>
      </c>
      <c r="L133">
        <v>-31.0995710111</v>
      </c>
      <c r="M133">
        <v>368.44171595816772</v>
      </c>
      <c r="N133">
        <v>0.75596313576641339</v>
      </c>
      <c r="P133">
        <v>15.5349738744</v>
      </c>
      <c r="Q133">
        <v>-37.502196836799996</v>
      </c>
      <c r="R133">
        <v>377.66794202087959</v>
      </c>
      <c r="S133">
        <v>0.81051994949065298</v>
      </c>
      <c r="U133">
        <v>0</v>
      </c>
      <c r="V133">
        <v>-39.520217140500002</v>
      </c>
      <c r="W133">
        <v>458.49928160919529</v>
      </c>
      <c r="X133">
        <v>0.73556034482758736</v>
      </c>
      <c r="Z133">
        <v>-15.887866257299999</v>
      </c>
      <c r="AA133">
        <v>-38.403656674200001</v>
      </c>
      <c r="AB133">
        <v>350.62136714671277</v>
      </c>
      <c r="AC133">
        <v>0.89196833922401608</v>
      </c>
      <c r="AE133">
        <v>-31.2081939756</v>
      </c>
      <c r="AF133">
        <v>-31.0996051413</v>
      </c>
      <c r="AG133">
        <v>368.44166962143521</v>
      </c>
      <c r="AH133">
        <v>0.75596304069340325</v>
      </c>
      <c r="AJ133">
        <v>-52.716915798099997</v>
      </c>
      <c r="AK133">
        <v>-21.315971880000003</v>
      </c>
      <c r="AL133">
        <v>306.15609486402423</v>
      </c>
      <c r="AM133">
        <v>0.7936085968954989</v>
      </c>
    </row>
    <row r="134" spans="1:39" x14ac:dyDescent="0.25">
      <c r="A134">
        <v>76.353394607500007</v>
      </c>
      <c r="B134">
        <v>0</v>
      </c>
      <c r="C134">
        <v>517.1749561327324</v>
      </c>
      <c r="D134">
        <v>0.65</v>
      </c>
      <c r="F134">
        <v>52.234021068399997</v>
      </c>
      <c r="G134">
        <v>-21.690985604900003</v>
      </c>
      <c r="H134">
        <v>361.32970751489273</v>
      </c>
      <c r="I134">
        <v>0.73967231261583266</v>
      </c>
      <c r="K134">
        <v>30.774444990900001</v>
      </c>
      <c r="L134">
        <v>-30.980934698299997</v>
      </c>
      <c r="M134">
        <v>388.73994700422293</v>
      </c>
      <c r="N134">
        <v>0.7333951286511573</v>
      </c>
      <c r="P134">
        <v>15.830515907199999</v>
      </c>
      <c r="Q134">
        <v>-37.345608859899997</v>
      </c>
      <c r="R134">
        <v>369.88329157005876</v>
      </c>
      <c r="S134">
        <v>0.81800582619141826</v>
      </c>
      <c r="U134">
        <v>0</v>
      </c>
      <c r="V134">
        <v>-36.091867358000002</v>
      </c>
      <c r="W134">
        <v>524.64035525469205</v>
      </c>
      <c r="X134">
        <v>0.65</v>
      </c>
      <c r="Z134">
        <v>-15.561580664699999</v>
      </c>
      <c r="AA134">
        <v>-36.9583445353</v>
      </c>
      <c r="AB134">
        <v>319.54586692816287</v>
      </c>
      <c r="AC134">
        <v>0.9</v>
      </c>
      <c r="AE134">
        <v>-31.088685608500001</v>
      </c>
      <c r="AF134">
        <v>-31.133155408299999</v>
      </c>
      <c r="AG134">
        <v>360.27953316040879</v>
      </c>
      <c r="AH134">
        <v>0.76347172954678633</v>
      </c>
      <c r="AJ134">
        <v>52.337501742900002</v>
      </c>
      <c r="AK134">
        <v>21.461848667399998</v>
      </c>
      <c r="AL134">
        <v>312.31535652946718</v>
      </c>
      <c r="AM134">
        <v>0.78573146400663374</v>
      </c>
    </row>
    <row r="135" spans="1:39" x14ac:dyDescent="0.25">
      <c r="A135">
        <v>86.0142010438</v>
      </c>
      <c r="B135">
        <v>0</v>
      </c>
      <c r="C135">
        <v>509.26724137930978</v>
      </c>
      <c r="D135">
        <v>0.74892241379310387</v>
      </c>
      <c r="F135">
        <v>51.997469849999995</v>
      </c>
      <c r="G135">
        <v>-21.2954866024</v>
      </c>
      <c r="H135">
        <v>246.76238368555684</v>
      </c>
      <c r="I135">
        <v>0.86254515498221651</v>
      </c>
      <c r="K135">
        <v>30.696670094000002</v>
      </c>
      <c r="L135">
        <v>-31.216051925400002</v>
      </c>
      <c r="M135">
        <v>376.35135754402546</v>
      </c>
      <c r="N135">
        <v>0.74841474491389715</v>
      </c>
      <c r="P135">
        <v>15.2490148043</v>
      </c>
      <c r="Q135">
        <v>-37.332497657899999</v>
      </c>
      <c r="R135">
        <v>383.25407215199323</v>
      </c>
      <c r="S135">
        <v>0.79569783466487853</v>
      </c>
      <c r="U135">
        <v>0</v>
      </c>
      <c r="V135">
        <v>-38.048749468800004</v>
      </c>
      <c r="W135">
        <v>469.99137931034477</v>
      </c>
      <c r="X135">
        <v>0.69116379310344933</v>
      </c>
      <c r="Z135">
        <v>-15.4711613576</v>
      </c>
      <c r="AA135">
        <v>-36.957338097200001</v>
      </c>
      <c r="AB135">
        <v>319.53244775345962</v>
      </c>
      <c r="AC135">
        <v>0.9</v>
      </c>
      <c r="AE135">
        <v>31.062119552600002</v>
      </c>
      <c r="AF135">
        <v>31.159878184300002</v>
      </c>
      <c r="AG135">
        <v>331.38143552248567</v>
      </c>
      <c r="AH135">
        <v>0.79369900968836371</v>
      </c>
      <c r="AJ135">
        <v>-51.783485813999995</v>
      </c>
      <c r="AK135">
        <v>-21.218643023999999</v>
      </c>
      <c r="AL135">
        <v>249.73475372337433</v>
      </c>
      <c r="AM135">
        <v>0.85488693699430063</v>
      </c>
    </row>
    <row r="136" spans="1:39" x14ac:dyDescent="0.25">
      <c r="A136">
        <v>77.049206958200003</v>
      </c>
      <c r="B136">
        <v>0</v>
      </c>
      <c r="C136">
        <v>518.5732758620685</v>
      </c>
      <c r="D136">
        <v>0.65366379310344858</v>
      </c>
      <c r="F136">
        <v>51.360255383699993</v>
      </c>
      <c r="G136">
        <v>-21.0324141131</v>
      </c>
      <c r="H136">
        <v>213.29894289326398</v>
      </c>
      <c r="I136">
        <v>0.9</v>
      </c>
      <c r="K136">
        <v>-31.075451988400001</v>
      </c>
      <c r="L136">
        <v>31.154897112299999</v>
      </c>
      <c r="M136">
        <v>331.38689614438942</v>
      </c>
      <c r="N136">
        <v>0.79371208854472464</v>
      </c>
      <c r="P136">
        <v>15.469779401599999</v>
      </c>
      <c r="Q136">
        <v>-36.957845754499999</v>
      </c>
      <c r="R136">
        <v>319.53921651769292</v>
      </c>
      <c r="S136">
        <v>0.9</v>
      </c>
      <c r="U136">
        <v>0</v>
      </c>
      <c r="V136">
        <v>-36.6298719551</v>
      </c>
      <c r="W136">
        <v>481.90277777777783</v>
      </c>
      <c r="X136">
        <v>0.65416666666666767</v>
      </c>
      <c r="Z136">
        <v>-15.248796222000001</v>
      </c>
      <c r="AA136">
        <v>-37.332567731099999</v>
      </c>
      <c r="AB136">
        <v>383.25506807948955</v>
      </c>
      <c r="AC136">
        <v>0.7956974065059006</v>
      </c>
      <c r="AE136">
        <v>-30.774622243600003</v>
      </c>
      <c r="AF136">
        <v>-30.980869997099997</v>
      </c>
      <c r="AG136">
        <v>388.74004614063051</v>
      </c>
      <c r="AH136">
        <v>0.73339531568147864</v>
      </c>
      <c r="AJ136">
        <v>-52.004243386600002</v>
      </c>
      <c r="AK136">
        <v>-21.292887715599999</v>
      </c>
      <c r="AL136">
        <v>246.76410534074097</v>
      </c>
      <c r="AM136">
        <v>0.86255117293889549</v>
      </c>
    </row>
    <row r="137" spans="1:39" x14ac:dyDescent="0.25">
      <c r="A137">
        <v>82.795313821100009</v>
      </c>
      <c r="B137">
        <v>0</v>
      </c>
      <c r="C137">
        <v>522.46707375478888</v>
      </c>
      <c r="D137">
        <v>0.70923132183908089</v>
      </c>
      <c r="F137">
        <v>-52.3846328375</v>
      </c>
      <c r="G137">
        <v>21.444188353400001</v>
      </c>
      <c r="H137">
        <v>312.33342085848892</v>
      </c>
      <c r="I137">
        <v>0.78577691073664724</v>
      </c>
      <c r="K137">
        <v>30.999563282700002</v>
      </c>
      <c r="L137">
        <v>-31.249027149700002</v>
      </c>
      <c r="M137">
        <v>354.83347443326352</v>
      </c>
      <c r="N137">
        <v>0.77105868315519843</v>
      </c>
      <c r="P137">
        <v>15.528443342299999</v>
      </c>
      <c r="Q137">
        <v>-37.896145753300004</v>
      </c>
      <c r="R137">
        <v>363.1977727443745</v>
      </c>
      <c r="S137">
        <v>0.84760240242232543</v>
      </c>
      <c r="U137">
        <v>0</v>
      </c>
      <c r="V137">
        <v>-38.863430103900001</v>
      </c>
      <c r="W137">
        <v>480.05459770114936</v>
      </c>
      <c r="X137">
        <v>0.70596264367816197</v>
      </c>
      <c r="Z137">
        <v>-15.973855692899999</v>
      </c>
      <c r="AA137">
        <v>-38.1486866455</v>
      </c>
      <c r="AB137">
        <v>353.23071263493893</v>
      </c>
      <c r="AC137">
        <v>0.87728183788855318</v>
      </c>
      <c r="AE137">
        <v>-30.8231167611</v>
      </c>
      <c r="AF137">
        <v>-30.867318409399999</v>
      </c>
      <c r="AG137">
        <v>405.70610392979114</v>
      </c>
      <c r="AH137">
        <v>0.71831642069250135</v>
      </c>
      <c r="AJ137">
        <v>-51.430752546299999</v>
      </c>
      <c r="AK137">
        <v>-21.0374190816</v>
      </c>
      <c r="AL137">
        <v>218.72691967348686</v>
      </c>
      <c r="AM137">
        <v>0.89302742368280841</v>
      </c>
    </row>
    <row r="138" spans="1:39" x14ac:dyDescent="0.25">
      <c r="A138">
        <v>91.852107006899999</v>
      </c>
      <c r="B138">
        <v>0</v>
      </c>
      <c r="C138">
        <v>478.36925287356246</v>
      </c>
      <c r="D138">
        <v>0.84418103448275905</v>
      </c>
      <c r="F138">
        <v>51.772222156999995</v>
      </c>
      <c r="G138">
        <v>-21.222957952199998</v>
      </c>
      <c r="H138">
        <v>249.73180629587759</v>
      </c>
      <c r="I138">
        <v>0.85487684742036396</v>
      </c>
      <c r="K138">
        <v>31.552702121599999</v>
      </c>
      <c r="L138">
        <v>-31.0633748188</v>
      </c>
      <c r="M138">
        <v>338.89086199609102</v>
      </c>
      <c r="N138">
        <v>0.78608812187115285</v>
      </c>
      <c r="P138">
        <v>15.560574305699999</v>
      </c>
      <c r="Q138">
        <v>-37.847992945500003</v>
      </c>
      <c r="R138">
        <v>366.61955899686473</v>
      </c>
      <c r="S138">
        <v>0.84019061583789356</v>
      </c>
      <c r="U138">
        <v>0</v>
      </c>
      <c r="V138">
        <v>-35.896043221399999</v>
      </c>
      <c r="W138">
        <v>527.25134374216861</v>
      </c>
      <c r="X138">
        <v>0.65</v>
      </c>
      <c r="Z138">
        <v>-15.6564099483</v>
      </c>
      <c r="AA138">
        <v>-38.009955354699997</v>
      </c>
      <c r="AB138">
        <v>357.55528888493194</v>
      </c>
      <c r="AC138">
        <v>0.86245592464970788</v>
      </c>
      <c r="AE138">
        <v>-31.103264660000001</v>
      </c>
      <c r="AF138">
        <v>-31.006176706199998</v>
      </c>
      <c r="AG138">
        <v>382.66301065580944</v>
      </c>
      <c r="AH138">
        <v>0.7409344849326206</v>
      </c>
      <c r="AJ138">
        <v>-51.196663974700002</v>
      </c>
      <c r="AK138">
        <v>-21.144671168599999</v>
      </c>
      <c r="AL138">
        <v>223.85273243871535</v>
      </c>
      <c r="AM138">
        <v>0.88529711074192896</v>
      </c>
    </row>
    <row r="139" spans="1:39" x14ac:dyDescent="0.25">
      <c r="A139">
        <v>86.705868626600008</v>
      </c>
      <c r="B139">
        <v>0</v>
      </c>
      <c r="C139">
        <v>481.67277298850513</v>
      </c>
      <c r="D139">
        <v>0.77273706896551764</v>
      </c>
      <c r="F139">
        <v>52.567506339299996</v>
      </c>
      <c r="G139">
        <v>-21.507744306700001</v>
      </c>
      <c r="H139">
        <v>370.30522421551609</v>
      </c>
      <c r="I139">
        <v>0.73201257398208197</v>
      </c>
      <c r="K139">
        <v>31.156332677700004</v>
      </c>
      <c r="L139">
        <v>-31.0706458987</v>
      </c>
      <c r="M139">
        <v>270.47972369790364</v>
      </c>
      <c r="N139">
        <v>0.86868777958998478</v>
      </c>
      <c r="P139">
        <v>15.9740274557</v>
      </c>
      <c r="Q139">
        <v>-38.148628765799998</v>
      </c>
      <c r="R139">
        <v>353.22988656121902</v>
      </c>
      <c r="S139">
        <v>0.87728214464071419</v>
      </c>
      <c r="U139">
        <v>0</v>
      </c>
      <c r="V139">
        <v>-42.119540654599994</v>
      </c>
      <c r="W139">
        <v>458.74760536398446</v>
      </c>
      <c r="X139">
        <v>0.80955459770115068</v>
      </c>
      <c r="Z139">
        <v>-15.210808221499999</v>
      </c>
      <c r="AA139">
        <v>-36.964657092300001</v>
      </c>
      <c r="AB139">
        <v>397.44351266556595</v>
      </c>
      <c r="AC139">
        <v>0.76602042709744489</v>
      </c>
      <c r="AE139">
        <v>-30.999048196499999</v>
      </c>
      <c r="AF139">
        <v>-31.249217925299998</v>
      </c>
      <c r="AG139">
        <v>354.83323559933592</v>
      </c>
      <c r="AH139">
        <v>0.77105816416533857</v>
      </c>
      <c r="AJ139">
        <v>51.928394765</v>
      </c>
      <c r="AK139">
        <v>21.694075689400002</v>
      </c>
      <c r="AL139">
        <v>299.60681361730474</v>
      </c>
      <c r="AM139">
        <v>0.80093611729367042</v>
      </c>
    </row>
    <row r="140" spans="1:39" x14ac:dyDescent="0.25">
      <c r="A140">
        <v>63.107150127100006</v>
      </c>
      <c r="B140">
        <v>0</v>
      </c>
      <c r="C140">
        <v>780.19159125887302</v>
      </c>
      <c r="D140">
        <v>0.65</v>
      </c>
      <c r="F140">
        <v>52.315139924100002</v>
      </c>
      <c r="G140">
        <v>-21.609855489699999</v>
      </c>
      <c r="H140">
        <v>352.08804675736332</v>
      </c>
      <c r="I140">
        <v>0.74733205572281858</v>
      </c>
      <c r="K140">
        <v>31.551481191600001</v>
      </c>
      <c r="L140">
        <v>-31.555631778599999</v>
      </c>
      <c r="M140">
        <v>314.69482663021859</v>
      </c>
      <c r="N140">
        <v>0.82375882167866599</v>
      </c>
      <c r="P140">
        <v>15.888371156</v>
      </c>
      <c r="Q140">
        <v>-38.403485297900005</v>
      </c>
      <c r="R140">
        <v>350.61892143044503</v>
      </c>
      <c r="S140">
        <v>0.89196922717137506</v>
      </c>
      <c r="U140">
        <v>0</v>
      </c>
      <c r="V140">
        <v>-40.315330406500003</v>
      </c>
      <c r="W140">
        <v>467.72389846743283</v>
      </c>
      <c r="X140">
        <v>0.75035919540230001</v>
      </c>
      <c r="Z140">
        <v>-15.404794368499999</v>
      </c>
      <c r="AA140">
        <v>-37.758151056999999</v>
      </c>
      <c r="AB140">
        <v>373.41955674618384</v>
      </c>
      <c r="AC140">
        <v>0.8252427953151027</v>
      </c>
      <c r="AE140">
        <v>-31.5370318541</v>
      </c>
      <c r="AF140">
        <v>-31.5610753355</v>
      </c>
      <c r="AG140">
        <v>314.68959762381542</v>
      </c>
      <c r="AH140">
        <v>0.82374513400479654</v>
      </c>
      <c r="AJ140">
        <v>-48.177159240099996</v>
      </c>
      <c r="AK140">
        <v>-20.006883889000001</v>
      </c>
      <c r="AL140">
        <v>172.52018269563618</v>
      </c>
      <c r="AM140">
        <v>0.9</v>
      </c>
    </row>
    <row r="141" spans="1:39" x14ac:dyDescent="0.25">
      <c r="A141">
        <v>78.920607632799999</v>
      </c>
      <c r="B141">
        <v>0</v>
      </c>
      <c r="C141">
        <v>531.16858237547842</v>
      </c>
      <c r="D141">
        <v>0.66954022988505779</v>
      </c>
      <c r="F141">
        <v>52.251507093000001</v>
      </c>
      <c r="G141">
        <v>-21.555523976999996</v>
      </c>
      <c r="H141">
        <v>306.11713279013719</v>
      </c>
      <c r="I141">
        <v>0.79350760058248648</v>
      </c>
      <c r="K141">
        <v>31.088685801600001</v>
      </c>
      <c r="L141">
        <v>-31.133155336999998</v>
      </c>
      <c r="M141">
        <v>360.27953325304742</v>
      </c>
      <c r="N141">
        <v>0.76347172974310185</v>
      </c>
      <c r="P141">
        <v>15.683711411300001</v>
      </c>
      <c r="Q141">
        <v>-38.1818786149</v>
      </c>
      <c r="R141">
        <v>357.18414486272297</v>
      </c>
      <c r="S141">
        <v>0.86982983432084748</v>
      </c>
      <c r="U141">
        <v>0</v>
      </c>
      <c r="V141">
        <v>-38.4560897864</v>
      </c>
      <c r="W141">
        <v>475.02298850574704</v>
      </c>
      <c r="X141">
        <v>0.6985632183908056</v>
      </c>
      <c r="Z141">
        <v>-15.8087079382</v>
      </c>
      <c r="AA141">
        <v>-37.999007686100001</v>
      </c>
      <c r="AB141">
        <v>338.936931160852</v>
      </c>
      <c r="AC141">
        <v>0.9</v>
      </c>
      <c r="AE141">
        <v>-31.5243598952</v>
      </c>
      <c r="AF141">
        <v>-31.0739313485</v>
      </c>
      <c r="AG141">
        <v>338.8787756024476</v>
      </c>
      <c r="AH141">
        <v>0.78606008638378366</v>
      </c>
      <c r="AJ141">
        <v>-50.685063161099997</v>
      </c>
      <c r="AK141">
        <v>-21.509075476899998</v>
      </c>
      <c r="AL141">
        <v>230.49889615237637</v>
      </c>
      <c r="AM141">
        <v>0.8775108580242601</v>
      </c>
    </row>
    <row r="142" spans="1:39" x14ac:dyDescent="0.25">
      <c r="A142">
        <v>94.443288478499994</v>
      </c>
      <c r="B142">
        <v>0</v>
      </c>
      <c r="C142">
        <v>491.86422413793025</v>
      </c>
      <c r="D142">
        <v>0.86799568965517282</v>
      </c>
      <c r="F142">
        <v>51.742416123399998</v>
      </c>
      <c r="G142">
        <v>-21.781940349000003</v>
      </c>
      <c r="H142">
        <v>319.74879625645701</v>
      </c>
      <c r="I142">
        <v>0.77782835862170008</v>
      </c>
      <c r="K142">
        <v>31.0336179233</v>
      </c>
      <c r="L142">
        <v>-30.944124607200003</v>
      </c>
      <c r="M142">
        <v>312.53408012372637</v>
      </c>
      <c r="N142">
        <v>0.80852821568920263</v>
      </c>
      <c r="P142">
        <v>15.561949497500001</v>
      </c>
      <c r="Q142">
        <v>-36.958209045700002</v>
      </c>
      <c r="R142">
        <v>319.54406040025884</v>
      </c>
      <c r="S142">
        <v>0.9</v>
      </c>
      <c r="U142">
        <v>0</v>
      </c>
      <c r="V142">
        <v>-41.829972903199995</v>
      </c>
      <c r="W142">
        <v>426.82225651081791</v>
      </c>
      <c r="X142">
        <v>0.83915229885057607</v>
      </c>
      <c r="Z142">
        <v>-15.6295967114</v>
      </c>
      <c r="AA142">
        <v>-37.785043655800003</v>
      </c>
      <c r="AB142">
        <v>369.93473679736331</v>
      </c>
      <c r="AC142">
        <v>0.8327749019257753</v>
      </c>
      <c r="AE142">
        <v>30.502547946</v>
      </c>
      <c r="AF142">
        <v>30.332268248000002</v>
      </c>
      <c r="AG142">
        <v>447.41309373956454</v>
      </c>
      <c r="AH142">
        <v>0.68064872272753207</v>
      </c>
      <c r="AJ142">
        <v>-52.001846677000003</v>
      </c>
      <c r="AK142">
        <v>-21.737382452199999</v>
      </c>
      <c r="AL142">
        <v>321.2396260634182</v>
      </c>
      <c r="AM142">
        <v>0.77788065922595995</v>
      </c>
    </row>
    <row r="143" spans="1:39" x14ac:dyDescent="0.25">
      <c r="A143">
        <v>88.48730282599999</v>
      </c>
      <c r="B143">
        <v>0</v>
      </c>
      <c r="C143">
        <v>491.56908524904156</v>
      </c>
      <c r="D143">
        <v>0.78861350574712685</v>
      </c>
      <c r="F143">
        <v>51.816744934600003</v>
      </c>
      <c r="G143">
        <v>-21.407547523200002</v>
      </c>
      <c r="H143">
        <v>281.65150411267871</v>
      </c>
      <c r="I143">
        <v>0.81640163967907697</v>
      </c>
      <c r="K143">
        <v>31.374638929299998</v>
      </c>
      <c r="L143">
        <v>-31.413353840499997</v>
      </c>
      <c r="M143">
        <v>331.15232031603938</v>
      </c>
      <c r="N143">
        <v>0.80111473982267334</v>
      </c>
      <c r="P143">
        <v>15.535164206199999</v>
      </c>
      <c r="Q143">
        <v>-37.928952061499999</v>
      </c>
      <c r="R143">
        <v>359.66553840099147</v>
      </c>
      <c r="S143">
        <v>0.85501189484652473</v>
      </c>
      <c r="U143">
        <v>0</v>
      </c>
      <c r="V143">
        <v>-32.759755497</v>
      </c>
      <c r="W143">
        <v>703.30555043774473</v>
      </c>
      <c r="X143">
        <v>0.65</v>
      </c>
      <c r="Z143">
        <v>-15.989075799699998</v>
      </c>
      <c r="AA143">
        <v>-38.250338689000003</v>
      </c>
      <c r="AB143">
        <v>344.22459274577363</v>
      </c>
      <c r="AC143">
        <v>0.89953623001675953</v>
      </c>
      <c r="AE143">
        <v>-31.0336170886</v>
      </c>
      <c r="AF143">
        <v>-30.944124920899998</v>
      </c>
      <c r="AG143">
        <v>312.53407981253793</v>
      </c>
      <c r="AH143">
        <v>0.80852821488414928</v>
      </c>
      <c r="AJ143">
        <v>-52.519362460899998</v>
      </c>
      <c r="AK143">
        <v>-21.557591872</v>
      </c>
      <c r="AL143">
        <v>337.16290677167211</v>
      </c>
      <c r="AM143">
        <v>0.76273055706867443</v>
      </c>
    </row>
    <row r="144" spans="1:39" x14ac:dyDescent="0.25">
      <c r="A144">
        <v>83.279073212099988</v>
      </c>
      <c r="B144">
        <v>0</v>
      </c>
      <c r="C144">
        <v>493.07327586206839</v>
      </c>
      <c r="D144">
        <v>0.72510775862068999</v>
      </c>
      <c r="F144">
        <v>51.430915500200001</v>
      </c>
      <c r="G144">
        <v>-21.037356017799997</v>
      </c>
      <c r="H144">
        <v>218.72695406541916</v>
      </c>
      <c r="I144">
        <v>0.89302756409964168</v>
      </c>
      <c r="K144">
        <v>31.335395563900001</v>
      </c>
      <c r="L144">
        <v>-31.099461626699998</v>
      </c>
      <c r="M144">
        <v>261.38185931986806</v>
      </c>
      <c r="N144">
        <v>0.89095169342931047</v>
      </c>
      <c r="P144">
        <v>15.8892499973</v>
      </c>
      <c r="Q144">
        <v>-37.868008637300001</v>
      </c>
      <c r="R144">
        <v>336.77472162118346</v>
      </c>
      <c r="S144">
        <v>0.9</v>
      </c>
      <c r="U144">
        <v>0</v>
      </c>
      <c r="V144">
        <v>-39.917773773499995</v>
      </c>
      <c r="W144">
        <v>463.11159003831409</v>
      </c>
      <c r="X144">
        <v>0.74295977011494374</v>
      </c>
      <c r="Z144">
        <v>-16.1616686853</v>
      </c>
      <c r="AA144">
        <v>-38.209595838199995</v>
      </c>
      <c r="AB144">
        <v>351.06710654276606</v>
      </c>
      <c r="AC144">
        <v>0.88464657237552413</v>
      </c>
      <c r="AE144">
        <v>-31.136226251899998</v>
      </c>
      <c r="AF144">
        <v>-31.308680523100001</v>
      </c>
      <c r="AG144">
        <v>313.57414082816314</v>
      </c>
      <c r="AH144">
        <v>0.81599379136051986</v>
      </c>
      <c r="AJ144">
        <v>-51.410833769600004</v>
      </c>
      <c r="AK144">
        <v>-21.496108919399997</v>
      </c>
      <c r="AL144">
        <v>240.34423566446691</v>
      </c>
      <c r="AM144">
        <v>0.86996506898117287</v>
      </c>
    </row>
    <row r="145" spans="1:39" x14ac:dyDescent="0.25">
      <c r="A145">
        <v>90.988379849699996</v>
      </c>
      <c r="B145">
        <v>0</v>
      </c>
      <c r="C145">
        <v>473.87092911877323</v>
      </c>
      <c r="D145">
        <v>0.8362428160919545</v>
      </c>
      <c r="F145">
        <v>50.551926509600001</v>
      </c>
      <c r="G145">
        <v>-21.021840773499999</v>
      </c>
      <c r="H145">
        <v>206.1631908537378</v>
      </c>
      <c r="I145">
        <v>0.9</v>
      </c>
      <c r="K145">
        <v>31.1170079945</v>
      </c>
      <c r="L145">
        <v>-31.315911416799999</v>
      </c>
      <c r="M145">
        <v>313.56707968791392</v>
      </c>
      <c r="N145">
        <v>0.81597541661001882</v>
      </c>
      <c r="P145">
        <v>15.988990958199999</v>
      </c>
      <c r="Q145">
        <v>-38.250363099200001</v>
      </c>
      <c r="R145">
        <v>344.22494359792648</v>
      </c>
      <c r="S145">
        <v>0.89953609228200115</v>
      </c>
      <c r="U145">
        <v>0</v>
      </c>
      <c r="V145">
        <v>-40.194652604399998</v>
      </c>
      <c r="W145">
        <v>437.78256704980822</v>
      </c>
      <c r="X145">
        <v>0.77255747126436902</v>
      </c>
      <c r="Z145">
        <v>-15.3941907472</v>
      </c>
      <c r="AA145">
        <v>-38.020804607300001</v>
      </c>
      <c r="AB145">
        <v>361.28533581567694</v>
      </c>
      <c r="AC145">
        <v>0.85501005441803979</v>
      </c>
      <c r="AE145">
        <v>-31.477289795699999</v>
      </c>
      <c r="AF145">
        <v>-31.0119081709</v>
      </c>
      <c r="AG145">
        <v>344.78710378372159</v>
      </c>
      <c r="AH145">
        <v>0.77862225248485761</v>
      </c>
      <c r="AJ145">
        <v>-52.041504289900004</v>
      </c>
      <c r="AK145">
        <v>-21.7440432683</v>
      </c>
      <c r="AL145">
        <v>328.5884806589325</v>
      </c>
      <c r="AM145">
        <v>0.77031635905053308</v>
      </c>
    </row>
    <row r="146" spans="1:39" x14ac:dyDescent="0.25">
      <c r="A146">
        <v>89.26092553529999</v>
      </c>
      <c r="B146">
        <v>0</v>
      </c>
      <c r="C146">
        <v>464.87428160919472</v>
      </c>
      <c r="D146">
        <v>0.82036637931034528</v>
      </c>
      <c r="F146">
        <v>51.806468586800001</v>
      </c>
      <c r="G146">
        <v>-21.932477457599997</v>
      </c>
      <c r="H146">
        <v>329.98954355676364</v>
      </c>
      <c r="I146">
        <v>0.77019037265334966</v>
      </c>
      <c r="K146">
        <v>31.477201454800003</v>
      </c>
      <c r="L146">
        <v>-31.011940992499998</v>
      </c>
      <c r="M146">
        <v>344.78706474462643</v>
      </c>
      <c r="N146">
        <v>0.7786221643240584</v>
      </c>
      <c r="P146">
        <v>15.808437111799998</v>
      </c>
      <c r="Q146">
        <v>-37.999107173299997</v>
      </c>
      <c r="R146">
        <v>338.9382576576877</v>
      </c>
      <c r="S146">
        <v>0.9</v>
      </c>
      <c r="U146">
        <v>0</v>
      </c>
      <c r="V146">
        <v>-40.9646078245</v>
      </c>
      <c r="W146">
        <v>446.16858237547871</v>
      </c>
      <c r="X146">
        <v>0.78735632183908166</v>
      </c>
      <c r="Z146">
        <v>-14.6360536224</v>
      </c>
      <c r="AA146">
        <v>-36.109181979799999</v>
      </c>
      <c r="AB146">
        <v>303.12369952191699</v>
      </c>
      <c r="AC146">
        <v>0.9</v>
      </c>
      <c r="AE146">
        <v>30.866641452300001</v>
      </c>
      <c r="AF146">
        <v>31.382175225199997</v>
      </c>
      <c r="AG146">
        <v>278.71143583964164</v>
      </c>
      <c r="AH146">
        <v>0.86108358853993228</v>
      </c>
      <c r="AJ146">
        <v>-52.495010925599999</v>
      </c>
      <c r="AK146">
        <v>-21.308861685</v>
      </c>
      <c r="AL146">
        <v>291.56782114668084</v>
      </c>
      <c r="AM146">
        <v>0.80884222516703508</v>
      </c>
    </row>
    <row r="147" spans="1:39" x14ac:dyDescent="0.25">
      <c r="A147">
        <v>95.307015635700012</v>
      </c>
      <c r="B147">
        <v>0</v>
      </c>
      <c r="C147">
        <v>496.36254789271953</v>
      </c>
      <c r="D147">
        <v>0.87593390804597748</v>
      </c>
      <c r="F147">
        <v>50.683841014099997</v>
      </c>
      <c r="G147">
        <v>-21.509546508</v>
      </c>
      <c r="H147">
        <v>230.49861492209607</v>
      </c>
      <c r="I147">
        <v>0.87750978737869079</v>
      </c>
      <c r="K147">
        <v>-30.998941327900003</v>
      </c>
      <c r="L147">
        <v>31.098215947499998</v>
      </c>
      <c r="M147">
        <v>278.12999872234838</v>
      </c>
      <c r="N147">
        <v>0.8538063986827219</v>
      </c>
      <c r="P147">
        <v>15.076779977299999</v>
      </c>
      <c r="Q147">
        <v>-36.497276910499998</v>
      </c>
      <c r="R147">
        <v>310.56496526378282</v>
      </c>
      <c r="S147">
        <v>0.9</v>
      </c>
      <c r="U147">
        <v>0</v>
      </c>
      <c r="V147">
        <v>-37.872857946099998</v>
      </c>
      <c r="W147">
        <v>498.25550766283521</v>
      </c>
      <c r="X147">
        <v>0.67636494252873658</v>
      </c>
      <c r="Z147">
        <v>-15.556557939799999</v>
      </c>
      <c r="AA147">
        <v>-37.849318215399997</v>
      </c>
      <c r="AB147">
        <v>366.63845711589829</v>
      </c>
      <c r="AC147">
        <v>0.84018314134614802</v>
      </c>
      <c r="AE147">
        <v>-31.377435837899998</v>
      </c>
      <c r="AF147">
        <v>-31.412307433400002</v>
      </c>
      <c r="AG147">
        <v>331.15344435357275</v>
      </c>
      <c r="AH147">
        <v>0.80111745906387744</v>
      </c>
      <c r="AJ147">
        <v>52.017098024699997</v>
      </c>
      <c r="AK147">
        <v>21.471626766</v>
      </c>
      <c r="AL147">
        <v>277.81318437807028</v>
      </c>
      <c r="AM147">
        <v>0.82421802795891841</v>
      </c>
    </row>
    <row r="148" spans="1:39" x14ac:dyDescent="0.25">
      <c r="A148">
        <v>89.378019925699988</v>
      </c>
      <c r="B148">
        <v>0</v>
      </c>
      <c r="C148">
        <v>496.51724137930978</v>
      </c>
      <c r="D148">
        <v>0.79655172413793152</v>
      </c>
      <c r="F148">
        <v>49.655452855800007</v>
      </c>
      <c r="G148">
        <v>-20.913853291800002</v>
      </c>
      <c r="H148">
        <v>197.32743881421146</v>
      </c>
      <c r="I148">
        <v>0.9</v>
      </c>
      <c r="K148">
        <v>31.142553574499999</v>
      </c>
      <c r="L148">
        <v>-31.230816764900002</v>
      </c>
      <c r="M148">
        <v>266.34916644872385</v>
      </c>
      <c r="N148">
        <v>0.88346761633040316</v>
      </c>
      <c r="P148">
        <v>15.4050977756</v>
      </c>
      <c r="Q148">
        <v>-37.7580518989</v>
      </c>
      <c r="R148">
        <v>373.41814414630858</v>
      </c>
      <c r="S148">
        <v>0.82524336966233103</v>
      </c>
      <c r="U148">
        <v>0</v>
      </c>
      <c r="V148">
        <v>-41.349585434500007</v>
      </c>
      <c r="W148">
        <v>450.36159003831398</v>
      </c>
      <c r="X148">
        <v>0.79475574712643804</v>
      </c>
      <c r="Z148">
        <v>-15.077146625600001</v>
      </c>
      <c r="AA148">
        <v>-36.497142223300003</v>
      </c>
      <c r="AB148">
        <v>310.56316943518874</v>
      </c>
      <c r="AC148">
        <v>0.9</v>
      </c>
      <c r="AE148">
        <v>-31.142245166799999</v>
      </c>
      <c r="AF148">
        <v>-31.230922146500003</v>
      </c>
      <c r="AG148">
        <v>266.3506617300439</v>
      </c>
      <c r="AH148">
        <v>0.88346708532675378</v>
      </c>
      <c r="AJ148">
        <v>-49.259158653299998</v>
      </c>
      <c r="AK148">
        <v>-20.359169854699999</v>
      </c>
      <c r="AL148">
        <v>184.75593473516233</v>
      </c>
      <c r="AM148">
        <v>0.9</v>
      </c>
    </row>
    <row r="149" spans="1:39" x14ac:dyDescent="0.25">
      <c r="A149">
        <v>62.616956050600002</v>
      </c>
      <c r="B149">
        <v>0</v>
      </c>
      <c r="C149">
        <v>782.99270026728243</v>
      </c>
      <c r="D149">
        <v>0.65</v>
      </c>
      <c r="F149">
        <v>52.129822055599995</v>
      </c>
      <c r="G149">
        <v>-21.5086410583</v>
      </c>
      <c r="H149">
        <v>298.14011986033955</v>
      </c>
      <c r="I149">
        <v>0.80106021138423733</v>
      </c>
      <c r="K149">
        <v>-29.163780377200002</v>
      </c>
      <c r="L149">
        <v>29.535031865600001</v>
      </c>
      <c r="M149">
        <v>224.08169799889757</v>
      </c>
      <c r="N149">
        <v>0.9</v>
      </c>
      <c r="P149">
        <v>15.3706112274</v>
      </c>
      <c r="Q149">
        <v>-36.331872308500003</v>
      </c>
      <c r="R149">
        <v>308.24623723753501</v>
      </c>
      <c r="S149">
        <v>0.9</v>
      </c>
      <c r="U149">
        <v>0</v>
      </c>
      <c r="V149">
        <v>-42.867795281400007</v>
      </c>
      <c r="W149">
        <v>466.84427944592301</v>
      </c>
      <c r="X149">
        <v>0.82435344827586343</v>
      </c>
      <c r="Z149">
        <v>-15.400994175099999</v>
      </c>
      <c r="AA149">
        <v>-37.6297788782</v>
      </c>
      <c r="AB149">
        <v>331.44499150020744</v>
      </c>
      <c r="AC149">
        <v>0.9</v>
      </c>
      <c r="AE149">
        <v>-31.530142510899999</v>
      </c>
      <c r="AF149">
        <v>-31.013879186200001</v>
      </c>
      <c r="AG149">
        <v>267.42100887018262</v>
      </c>
      <c r="AH149">
        <v>0.87615039779325088</v>
      </c>
      <c r="AJ149">
        <v>-49.633927127</v>
      </c>
      <c r="AK149">
        <v>-20.923078604100002</v>
      </c>
      <c r="AL149">
        <v>197.32743881421473</v>
      </c>
      <c r="AM149">
        <v>0.9</v>
      </c>
    </row>
    <row r="150" spans="1:39" x14ac:dyDescent="0.25">
      <c r="A150">
        <v>88.397198378100001</v>
      </c>
      <c r="B150">
        <v>0</v>
      </c>
      <c r="C150">
        <v>460.37595785440544</v>
      </c>
      <c r="D150">
        <v>0.81242816091954073</v>
      </c>
      <c r="F150">
        <v>51.4081360574</v>
      </c>
      <c r="G150">
        <v>-21.497145999600001</v>
      </c>
      <c r="H150">
        <v>240.34357816008119</v>
      </c>
      <c r="I150">
        <v>0.86996268903707286</v>
      </c>
      <c r="K150">
        <v>31.531953695199999</v>
      </c>
      <c r="L150">
        <v>-31.164152379200001</v>
      </c>
      <c r="M150">
        <v>259.99482340967023</v>
      </c>
      <c r="N150">
        <v>0.89832901715230196</v>
      </c>
      <c r="P150">
        <v>14.8635824128</v>
      </c>
      <c r="Q150">
        <v>-35.837337465099999</v>
      </c>
      <c r="R150">
        <v>298.81910599228792</v>
      </c>
      <c r="S150">
        <v>0.9</v>
      </c>
      <c r="U150">
        <v>0</v>
      </c>
      <c r="V150">
        <v>-39.678110739099999</v>
      </c>
      <c r="W150">
        <v>490.1178160919539</v>
      </c>
      <c r="X150">
        <v>0.72076149425287461</v>
      </c>
      <c r="Z150">
        <v>-15.684616719699999</v>
      </c>
      <c r="AA150">
        <v>-38.181574808199997</v>
      </c>
      <c r="AB150">
        <v>357.17980931914303</v>
      </c>
      <c r="AC150">
        <v>0.86983146503209763</v>
      </c>
      <c r="AE150">
        <v>-31.335957170900002</v>
      </c>
      <c r="AF150">
        <v>-31.099268890299999</v>
      </c>
      <c r="AG150">
        <v>261.37912443897415</v>
      </c>
      <c r="AH150">
        <v>0.89095265287686631</v>
      </c>
      <c r="AJ150">
        <v>-50.554502064799998</v>
      </c>
      <c r="AK150">
        <v>-21.020736964100003</v>
      </c>
      <c r="AL150">
        <v>206.16319085374099</v>
      </c>
      <c r="AM150">
        <v>0.9</v>
      </c>
    </row>
    <row r="151" spans="1:39" x14ac:dyDescent="0.25">
      <c r="A151">
        <v>90.268737025500002</v>
      </c>
      <c r="B151">
        <v>0</v>
      </c>
      <c r="C151">
        <v>501.46539750957794</v>
      </c>
      <c r="D151">
        <v>0.80448994252873607</v>
      </c>
      <c r="F151">
        <v>51.197163620600001</v>
      </c>
      <c r="G151">
        <v>-21.144478158000002</v>
      </c>
      <c r="H151">
        <v>223.85284218445173</v>
      </c>
      <c r="I151">
        <v>0.88529754476649947</v>
      </c>
      <c r="K151">
        <v>31.2007008671</v>
      </c>
      <c r="L151">
        <v>-31.192106519200003</v>
      </c>
      <c r="M151">
        <v>269.33483144904727</v>
      </c>
      <c r="N151">
        <v>0.87605741813092364</v>
      </c>
      <c r="P151">
        <v>15.3728871724</v>
      </c>
      <c r="Q151">
        <v>-37.6058822058</v>
      </c>
      <c r="R151">
        <v>331.1263692020018</v>
      </c>
      <c r="S151">
        <v>0.9</v>
      </c>
      <c r="U151">
        <v>0</v>
      </c>
      <c r="V151">
        <v>-43.173222142299998</v>
      </c>
      <c r="W151">
        <v>440.1149006927638</v>
      </c>
      <c r="X151">
        <v>0.86875000000000147</v>
      </c>
      <c r="Z151">
        <v>-15.8895709385</v>
      </c>
      <c r="AA151">
        <v>-37.867890740500002</v>
      </c>
      <c r="AB151">
        <v>336.77314966406954</v>
      </c>
      <c r="AC151">
        <v>0.9</v>
      </c>
      <c r="AE151">
        <v>-30.554380877100002</v>
      </c>
      <c r="AF151">
        <v>-30.604122234999998</v>
      </c>
      <c r="AG151">
        <v>246.1940140357413</v>
      </c>
      <c r="AH151">
        <v>0.9</v>
      </c>
      <c r="AJ151">
        <v>-51.472334610899999</v>
      </c>
      <c r="AK151">
        <v>-21.5781826429</v>
      </c>
      <c r="AL151">
        <v>281.62005044987541</v>
      </c>
      <c r="AM151">
        <v>0.81631046735613977</v>
      </c>
    </row>
    <row r="152" spans="1:39" x14ac:dyDescent="0.25">
      <c r="A152">
        <v>85.102491766599996</v>
      </c>
      <c r="B152">
        <v>0</v>
      </c>
      <c r="C152">
        <v>503.86925287356269</v>
      </c>
      <c r="D152">
        <v>0.74098419540229932</v>
      </c>
      <c r="F152">
        <v>48.513014441900005</v>
      </c>
      <c r="G152">
        <v>-19.9948983263</v>
      </c>
      <c r="H152">
        <v>174.22018269563279</v>
      </c>
      <c r="I152">
        <v>0.9</v>
      </c>
      <c r="K152">
        <v>-30.8585529928</v>
      </c>
      <c r="L152">
        <v>31.3849033903</v>
      </c>
      <c r="M152">
        <v>278.75012373151696</v>
      </c>
      <c r="N152">
        <v>0.86106933741655844</v>
      </c>
      <c r="P152">
        <v>15.401184665099999</v>
      </c>
      <c r="Q152">
        <v>-37.629708902299996</v>
      </c>
      <c r="R152">
        <v>331.44405848762187</v>
      </c>
      <c r="S152">
        <v>0.9</v>
      </c>
      <c r="U152">
        <v>0</v>
      </c>
      <c r="V152">
        <v>-41.7345630445</v>
      </c>
      <c r="W152">
        <v>454.55459770114919</v>
      </c>
      <c r="X152">
        <v>0.8021551724137943</v>
      </c>
      <c r="Z152">
        <v>-14.863680795699999</v>
      </c>
      <c r="AA152">
        <v>-35.837301324400002</v>
      </c>
      <c r="AB152">
        <v>298.8186241168022</v>
      </c>
      <c r="AC152">
        <v>0.9</v>
      </c>
      <c r="AE152">
        <v>30.9910228249</v>
      </c>
      <c r="AF152">
        <v>31.101232217100002</v>
      </c>
      <c r="AG152">
        <v>278.1276338972599</v>
      </c>
      <c r="AH152">
        <v>0.8537991391177715</v>
      </c>
      <c r="AJ152">
        <v>46.006302498699995</v>
      </c>
      <c r="AK152">
        <v>18.924774873400001</v>
      </c>
      <c r="AL152">
        <v>144.52522391049285</v>
      </c>
      <c r="AM152">
        <v>0.9</v>
      </c>
    </row>
    <row r="153" spans="1:39" x14ac:dyDescent="0.25">
      <c r="A153">
        <v>93.328502517100006</v>
      </c>
      <c r="B153">
        <v>0</v>
      </c>
      <c r="C153">
        <v>454.82327586206827</v>
      </c>
      <c r="D153">
        <v>0.8918103448275867</v>
      </c>
      <c r="F153">
        <v>49.2067128467</v>
      </c>
      <c r="G153">
        <v>-20.2415990099</v>
      </c>
      <c r="H153">
        <v>183.05593473515901</v>
      </c>
      <c r="I153">
        <v>0.9</v>
      </c>
      <c r="K153">
        <v>30.425398833200003</v>
      </c>
      <c r="L153">
        <v>-30.180162158600002</v>
      </c>
      <c r="M153">
        <v>238.57676857244101</v>
      </c>
      <c r="N153">
        <v>0.9</v>
      </c>
      <c r="P153">
        <v>14.635621171299999</v>
      </c>
      <c r="Q153">
        <v>-36.109340839400005</v>
      </c>
      <c r="R153">
        <v>303.12581764966944</v>
      </c>
      <c r="S153">
        <v>0.9</v>
      </c>
      <c r="U153">
        <v>0</v>
      </c>
      <c r="V153">
        <v>-40.5796302145</v>
      </c>
      <c r="W153">
        <v>441.97557471264344</v>
      </c>
      <c r="X153">
        <v>0.77995689655172529</v>
      </c>
      <c r="Z153">
        <v>-14.649162609299999</v>
      </c>
      <c r="AA153">
        <v>-35.149860610899999</v>
      </c>
      <c r="AB153">
        <v>286.8571923811578</v>
      </c>
      <c r="AC153">
        <v>0.9</v>
      </c>
      <c r="AE153">
        <v>29.146516955400003</v>
      </c>
      <c r="AF153">
        <v>29.541373530800001</v>
      </c>
      <c r="AG153">
        <v>224.16625353433636</v>
      </c>
      <c r="AH153">
        <v>0.9</v>
      </c>
      <c r="AJ153">
        <v>-49.611833988000001</v>
      </c>
      <c r="AK153">
        <v>-20.492975663699998</v>
      </c>
      <c r="AL153">
        <v>190.19168677468855</v>
      </c>
      <c r="AM153">
        <v>0.9</v>
      </c>
    </row>
    <row r="154" spans="1:39" x14ac:dyDescent="0.25">
      <c r="A154">
        <v>89.765554981000008</v>
      </c>
      <c r="B154">
        <v>0</v>
      </c>
      <c r="C154">
        <v>407.9999999999992</v>
      </c>
      <c r="D154">
        <v>0.9</v>
      </c>
      <c r="F154">
        <v>-51.746068284800003</v>
      </c>
      <c r="G154">
        <v>21.566302183399998</v>
      </c>
      <c r="H154">
        <v>289.94197314518959</v>
      </c>
      <c r="I154">
        <v>0.80856883262755619</v>
      </c>
      <c r="K154">
        <v>30.793275743200002</v>
      </c>
      <c r="L154">
        <v>-30.757548244799999</v>
      </c>
      <c r="M154">
        <v>249.5241386103192</v>
      </c>
      <c r="N154">
        <v>0.9</v>
      </c>
      <c r="P154">
        <v>14.648535949599999</v>
      </c>
      <c r="Q154">
        <v>-35.150090812400002</v>
      </c>
      <c r="R154">
        <v>286.86026173457537</v>
      </c>
      <c r="S154">
        <v>0.9</v>
      </c>
      <c r="U154">
        <v>0</v>
      </c>
      <c r="V154">
        <v>-39.270770421500004</v>
      </c>
      <c r="W154">
        <v>485.08620689655157</v>
      </c>
      <c r="X154">
        <v>0.71336206896551824</v>
      </c>
      <c r="Z154">
        <v>-14.7799522662</v>
      </c>
      <c r="AA154">
        <v>-35.375656172200003</v>
      </c>
      <c r="AB154">
        <v>290.85002208727542</v>
      </c>
      <c r="AC154">
        <v>0.9</v>
      </c>
      <c r="AE154">
        <v>-30.849260318199999</v>
      </c>
      <c r="AF154">
        <v>-30.963459617399998</v>
      </c>
      <c r="AG154">
        <v>253.25184580090874</v>
      </c>
      <c r="AH154">
        <v>0.9</v>
      </c>
      <c r="AJ154">
        <v>51.701128027999999</v>
      </c>
      <c r="AK154">
        <v>21.2791630165</v>
      </c>
      <c r="AL154">
        <v>255.77672413423127</v>
      </c>
      <c r="AM154">
        <v>0.84710109780317799</v>
      </c>
    </row>
    <row r="155" spans="1:39" x14ac:dyDescent="0.25">
      <c r="A155">
        <v>94.18555498100001</v>
      </c>
      <c r="B155">
        <v>0</v>
      </c>
      <c r="C155">
        <v>458.99999999999903</v>
      </c>
      <c r="D155">
        <v>0.9</v>
      </c>
      <c r="F155">
        <v>52.058486712399997</v>
      </c>
      <c r="G155">
        <v>-21.223357010200001</v>
      </c>
      <c r="H155">
        <v>263.29126779332023</v>
      </c>
      <c r="I155">
        <v>0.83944302834125517</v>
      </c>
      <c r="K155">
        <v>30.1227307823</v>
      </c>
      <c r="L155">
        <v>-30.018448466099997</v>
      </c>
      <c r="M155">
        <v>234.83391933926066</v>
      </c>
      <c r="N155">
        <v>0.9</v>
      </c>
      <c r="P155">
        <v>14.579820144099999</v>
      </c>
      <c r="Q155">
        <v>-35.746259733999999</v>
      </c>
      <c r="R155">
        <v>296.88695846606561</v>
      </c>
      <c r="S155">
        <v>0.9</v>
      </c>
      <c r="U155">
        <v>0</v>
      </c>
      <c r="V155">
        <v>-41.110443672600006</v>
      </c>
      <c r="W155">
        <v>476.94851532567037</v>
      </c>
      <c r="X155">
        <v>0.76515804597701265</v>
      </c>
      <c r="Z155">
        <v>-15.370442815100001</v>
      </c>
      <c r="AA155">
        <v>-36.331934174200001</v>
      </c>
      <c r="AB155">
        <v>308.24706211397586</v>
      </c>
      <c r="AC155">
        <v>0.9</v>
      </c>
      <c r="AE155">
        <v>-30.019453394500001</v>
      </c>
      <c r="AF155">
        <v>-29.813376870400003</v>
      </c>
      <c r="AG155">
        <v>231.11740917453844</v>
      </c>
      <c r="AH155">
        <v>0.9</v>
      </c>
      <c r="AJ155">
        <v>-51.355572457099996</v>
      </c>
      <c r="AK155">
        <v>-21.034421081700003</v>
      </c>
      <c r="AL155">
        <v>213.29894289326714</v>
      </c>
      <c r="AM155">
        <v>0.9</v>
      </c>
    </row>
    <row r="156" spans="1:39" x14ac:dyDescent="0.25">
      <c r="A156">
        <v>93.579561321300005</v>
      </c>
      <c r="B156">
        <v>0</v>
      </c>
      <c r="C156">
        <v>487.36590038314102</v>
      </c>
      <c r="D156">
        <v>0.86005747126436827</v>
      </c>
      <c r="F156">
        <v>48.645215917400002</v>
      </c>
      <c r="G156">
        <v>-19.8062881701</v>
      </c>
      <c r="H156">
        <v>171.22949106493277</v>
      </c>
      <c r="I156">
        <v>0.9</v>
      </c>
      <c r="K156">
        <v>30.554380877100002</v>
      </c>
      <c r="L156">
        <v>-30.604122234999998</v>
      </c>
      <c r="M156">
        <v>246.19401403573843</v>
      </c>
      <c r="N156">
        <v>0.9</v>
      </c>
      <c r="P156">
        <v>13.7887438541</v>
      </c>
      <c r="Q156">
        <v>-33.611265304100002</v>
      </c>
      <c r="R156">
        <v>260.5248105118971</v>
      </c>
      <c r="S156">
        <v>0.9</v>
      </c>
      <c r="U156">
        <v>0</v>
      </c>
      <c r="V156">
        <v>-44.555107275700003</v>
      </c>
      <c r="W156">
        <v>453.66492568951071</v>
      </c>
      <c r="X156">
        <v>0.9</v>
      </c>
      <c r="Z156">
        <v>-14.5797171862</v>
      </c>
      <c r="AA156">
        <v>-35.746297555200002</v>
      </c>
      <c r="AB156">
        <v>296.88746274964132</v>
      </c>
      <c r="AC156">
        <v>0.9</v>
      </c>
      <c r="AE156">
        <v>-29.804009216600001</v>
      </c>
      <c r="AF156">
        <v>-29.397329137100002</v>
      </c>
      <c r="AG156">
        <v>223.60566161932087</v>
      </c>
      <c r="AH156">
        <v>0.9</v>
      </c>
      <c r="AJ156">
        <v>-48.656095062000006</v>
      </c>
      <c r="AK156">
        <v>-19.801625679600001</v>
      </c>
      <c r="AL156">
        <v>171.29165760578351</v>
      </c>
      <c r="AM156">
        <v>0.9</v>
      </c>
    </row>
    <row r="157" spans="1:39" x14ac:dyDescent="0.25">
      <c r="A157">
        <v>86.925910321100005</v>
      </c>
      <c r="B157">
        <v>0</v>
      </c>
      <c r="C157">
        <v>514.66522988505699</v>
      </c>
      <c r="D157">
        <v>0.75686063218390853</v>
      </c>
      <c r="F157">
        <v>-45.135866736799997</v>
      </c>
      <c r="G157">
        <v>19.009628295199999</v>
      </c>
      <c r="H157">
        <v>138.48273384240514</v>
      </c>
      <c r="I157">
        <v>0.9</v>
      </c>
      <c r="K157">
        <v>-31.3868931429</v>
      </c>
      <c r="L157">
        <v>31.325445302200002</v>
      </c>
      <c r="M157">
        <v>290.41488116661668</v>
      </c>
      <c r="N157">
        <v>0.84637954955545913</v>
      </c>
      <c r="P157">
        <v>14.8121336743</v>
      </c>
      <c r="Q157">
        <v>-35.363834430499999</v>
      </c>
      <c r="R157">
        <v>290.69239886422054</v>
      </c>
      <c r="S157">
        <v>0.9</v>
      </c>
      <c r="U157">
        <v>0</v>
      </c>
      <c r="V157">
        <v>-39.281781869199996</v>
      </c>
      <c r="W157">
        <v>344.82058693593046</v>
      </c>
      <c r="X157">
        <v>0.9</v>
      </c>
      <c r="Z157">
        <v>-14.356641703600001</v>
      </c>
      <c r="AA157">
        <v>-35.0839731274</v>
      </c>
      <c r="AB157">
        <v>285.41202593456256</v>
      </c>
      <c r="AC157">
        <v>0.9</v>
      </c>
      <c r="AE157">
        <v>-31.5234429315</v>
      </c>
      <c r="AF157">
        <v>-31.167082210899999</v>
      </c>
      <c r="AG157">
        <v>260.03638599057263</v>
      </c>
      <c r="AH157">
        <v>0.89831458773216588</v>
      </c>
      <c r="AJ157">
        <v>-51.923722499899995</v>
      </c>
      <c r="AK157">
        <v>-21.718538852800002</v>
      </c>
      <c r="AL157">
        <v>387.37042369235854</v>
      </c>
      <c r="AM157">
        <v>0.71653143859539803</v>
      </c>
    </row>
    <row r="158" spans="1:39" x14ac:dyDescent="0.25">
      <c r="A158">
        <v>89.765554981000008</v>
      </c>
      <c r="B158">
        <v>0</v>
      </c>
      <c r="C158">
        <v>407.9999999999992</v>
      </c>
      <c r="D158">
        <v>0.9</v>
      </c>
      <c r="F158">
        <v>-43.415803472999997</v>
      </c>
      <c r="G158">
        <v>18.360083979700001</v>
      </c>
      <c r="H158">
        <v>121.18999138239373</v>
      </c>
      <c r="I158">
        <v>0.9</v>
      </c>
      <c r="K158">
        <v>29.798195744300003</v>
      </c>
      <c r="L158">
        <v>-29.399820625299999</v>
      </c>
      <c r="M158">
        <v>223.63888146132996</v>
      </c>
      <c r="N158">
        <v>0.9</v>
      </c>
      <c r="P158">
        <v>-14.423211124</v>
      </c>
      <c r="Q158">
        <v>35.059519054600003</v>
      </c>
      <c r="R158">
        <v>285.08597163050428</v>
      </c>
      <c r="S158">
        <v>0.9</v>
      </c>
      <c r="U158">
        <v>0</v>
      </c>
      <c r="V158">
        <v>-42.504518264600001</v>
      </c>
      <c r="W158">
        <v>462.94061302681973</v>
      </c>
      <c r="X158">
        <v>0.81695402298850706</v>
      </c>
      <c r="Z158">
        <v>-15.373132331399999</v>
      </c>
      <c r="AA158">
        <v>-37.605792147400003</v>
      </c>
      <c r="AB158">
        <v>331.12516842299556</v>
      </c>
      <c r="AC158">
        <v>0.9</v>
      </c>
      <c r="AE158">
        <v>-30.803427236799998</v>
      </c>
      <c r="AF158">
        <v>-30.753197604699999</v>
      </c>
      <c r="AG158">
        <v>249.46613007564355</v>
      </c>
      <c r="AH158">
        <v>0.9</v>
      </c>
      <c r="AJ158">
        <v>52.166422254500006</v>
      </c>
      <c r="AK158">
        <v>21.2867851976</v>
      </c>
      <c r="AL158">
        <v>270.63784489716073</v>
      </c>
      <c r="AM158">
        <v>0.83181978272130952</v>
      </c>
    </row>
    <row r="159" spans="1:39" x14ac:dyDescent="0.25">
      <c r="A159">
        <v>89.765554981000008</v>
      </c>
      <c r="B159">
        <v>0</v>
      </c>
      <c r="C159">
        <v>407.9999999999992</v>
      </c>
      <c r="D159">
        <v>0.9</v>
      </c>
      <c r="F159">
        <v>-44.922604488499999</v>
      </c>
      <c r="G159">
        <v>18.292312115800001</v>
      </c>
      <c r="H159">
        <v>131.16028290004203</v>
      </c>
      <c r="I159">
        <v>0.9</v>
      </c>
      <c r="K159">
        <v>-28.677292253899999</v>
      </c>
      <c r="L159">
        <v>28.618600516699999</v>
      </c>
      <c r="M159">
        <v>208.38705779072887</v>
      </c>
      <c r="N159">
        <v>0.9</v>
      </c>
      <c r="P159">
        <v>-14.082711288800001</v>
      </c>
      <c r="Q159">
        <v>34.642238871800004</v>
      </c>
      <c r="R159">
        <v>277.70890252657495</v>
      </c>
      <c r="S159">
        <v>0.9</v>
      </c>
      <c r="U159">
        <v>0</v>
      </c>
      <c r="V159">
        <v>-42.502722948900001</v>
      </c>
      <c r="W159">
        <v>433.48358428275333</v>
      </c>
      <c r="X159">
        <v>0.8539511494252886</v>
      </c>
      <c r="Z159">
        <v>-12.739877699199999</v>
      </c>
      <c r="AA159">
        <v>-31.341902750099997</v>
      </c>
      <c r="AB159">
        <v>224.14664312516504</v>
      </c>
      <c r="AC159">
        <v>0.9</v>
      </c>
      <c r="AE159">
        <v>31.448562141299998</v>
      </c>
      <c r="AF159">
        <v>30.905665893400002</v>
      </c>
      <c r="AG159">
        <v>268.74861163006148</v>
      </c>
      <c r="AH159">
        <v>0.8687205299228461</v>
      </c>
      <c r="AJ159">
        <v>45.348423699900003</v>
      </c>
      <c r="AK159">
        <v>18.5817705491</v>
      </c>
      <c r="AL159">
        <v>136.55639267908072</v>
      </c>
      <c r="AM159">
        <v>0.9</v>
      </c>
    </row>
    <row r="160" spans="1:39" x14ac:dyDescent="0.25">
      <c r="A160">
        <v>90.124652692500007</v>
      </c>
      <c r="B160">
        <v>0</v>
      </c>
      <c r="C160">
        <v>469.37260536398401</v>
      </c>
      <c r="D160">
        <v>0.82830459770114995</v>
      </c>
      <c r="F160">
        <v>-45.974513337799998</v>
      </c>
      <c r="G160">
        <v>18.9383987995</v>
      </c>
      <c r="H160">
        <v>144.34357156257863</v>
      </c>
      <c r="I160">
        <v>0.9</v>
      </c>
      <c r="K160">
        <v>30.849577637900001</v>
      </c>
      <c r="L160">
        <v>-30.963323623299999</v>
      </c>
      <c r="M160">
        <v>253.2500325455247</v>
      </c>
      <c r="N160">
        <v>0.9</v>
      </c>
      <c r="P160">
        <v>-13.9216858589</v>
      </c>
      <c r="Q160">
        <v>34.402570737399998</v>
      </c>
      <c r="R160">
        <v>273.53110517809205</v>
      </c>
      <c r="S160">
        <v>0.9</v>
      </c>
      <c r="U160">
        <v>0</v>
      </c>
      <c r="V160">
        <v>-43.220951448200005</v>
      </c>
      <c r="W160">
        <v>470.61300119937732</v>
      </c>
      <c r="X160">
        <v>0.8317528735632197</v>
      </c>
      <c r="Z160">
        <v>-14.156555082499999</v>
      </c>
      <c r="AA160">
        <v>-34.6151125803</v>
      </c>
      <c r="AB160">
        <v>277.34721863925165</v>
      </c>
      <c r="AC160">
        <v>0.9</v>
      </c>
      <c r="AE160">
        <v>-30.1219594933</v>
      </c>
      <c r="AF160">
        <v>-30.0187790186</v>
      </c>
      <c r="AG160">
        <v>234.83832670492302</v>
      </c>
      <c r="AH160">
        <v>0.9</v>
      </c>
      <c r="AJ160">
        <v>-46.6063560702</v>
      </c>
      <c r="AK160">
        <v>-19.571037628500001</v>
      </c>
      <c r="AL160">
        <v>154.26838717596229</v>
      </c>
      <c r="AM160">
        <v>0.9</v>
      </c>
    </row>
    <row r="161" spans="1:39" x14ac:dyDescent="0.25">
      <c r="A161">
        <v>92.715834164100002</v>
      </c>
      <c r="B161">
        <v>0</v>
      </c>
      <c r="C161">
        <v>482.86757662835186</v>
      </c>
      <c r="D161">
        <v>0.85211925287356383</v>
      </c>
      <c r="F161">
        <v>-52.054472019100004</v>
      </c>
      <c r="G161">
        <v>21.457445001099998</v>
      </c>
      <c r="H161">
        <v>277.82483694882973</v>
      </c>
      <c r="I161">
        <v>0.82425259888438462</v>
      </c>
      <c r="K161">
        <v>29.994808612500002</v>
      </c>
      <c r="L161">
        <v>-29.8239389198</v>
      </c>
      <c r="M161">
        <v>231.25823649998077</v>
      </c>
      <c r="N161">
        <v>0.9</v>
      </c>
      <c r="P161">
        <v>-14.333724912299999</v>
      </c>
      <c r="Q161">
        <v>34.731700458999995</v>
      </c>
      <c r="R161">
        <v>279.46839035575152</v>
      </c>
      <c r="S161">
        <v>0.9</v>
      </c>
      <c r="U161">
        <v>0</v>
      </c>
      <c r="V161">
        <v>-40.712887039500004</v>
      </c>
      <c r="W161">
        <v>472.33620689655163</v>
      </c>
      <c r="X161">
        <v>0.75775862068965638</v>
      </c>
      <c r="Z161">
        <v>13.8295893576</v>
      </c>
      <c r="AA161">
        <v>32.819387663800001</v>
      </c>
      <c r="AB161">
        <v>248.0775530856973</v>
      </c>
      <c r="AC161">
        <v>0.9</v>
      </c>
      <c r="AE161">
        <v>29.353687476000001</v>
      </c>
      <c r="AF161">
        <v>28.871898720600001</v>
      </c>
      <c r="AG161">
        <v>213.91770050995908</v>
      </c>
      <c r="AH161">
        <v>0.9</v>
      </c>
      <c r="AJ161">
        <v>51.563530094699999</v>
      </c>
      <c r="AK161">
        <v>21.5727877152</v>
      </c>
      <c r="AL161">
        <v>264.8166733040955</v>
      </c>
      <c r="AM161">
        <v>0.83925221475508649</v>
      </c>
    </row>
    <row r="162" spans="1:39" x14ac:dyDescent="0.25">
      <c r="A162">
        <v>94.18555498100001</v>
      </c>
      <c r="B162">
        <v>0</v>
      </c>
      <c r="C162">
        <v>458.99999999999903</v>
      </c>
      <c r="D162">
        <v>0.9</v>
      </c>
      <c r="F162">
        <v>49.601879114900001</v>
      </c>
      <c r="G162">
        <v>-20.497242037900001</v>
      </c>
      <c r="H162">
        <v>190.19168677468531</v>
      </c>
      <c r="I162">
        <v>0.9</v>
      </c>
      <c r="K162">
        <v>-29.214983005200001</v>
      </c>
      <c r="L162">
        <v>28.922851383299999</v>
      </c>
      <c r="M162">
        <v>214.5970693463436</v>
      </c>
      <c r="N162">
        <v>0.9</v>
      </c>
      <c r="P162">
        <v>-14.0243165518</v>
      </c>
      <c r="Q162">
        <v>34.048124163200001</v>
      </c>
      <c r="R162">
        <v>267.86070641162632</v>
      </c>
      <c r="S162">
        <v>0.9</v>
      </c>
      <c r="U162">
        <v>0</v>
      </c>
      <c r="V162">
        <v>-42.166629282599999</v>
      </c>
      <c r="W162">
        <v>430.15667181702634</v>
      </c>
      <c r="X162">
        <v>0.84655172413793245</v>
      </c>
      <c r="Z162">
        <v>-13.855206456200001</v>
      </c>
      <c r="AA162">
        <v>-33.712326661200002</v>
      </c>
      <c r="AB162">
        <v>262.28785082854199</v>
      </c>
      <c r="AC162">
        <v>0.9</v>
      </c>
      <c r="AE162">
        <v>-30.424715560599999</v>
      </c>
      <c r="AF162">
        <v>-30.180454989700003</v>
      </c>
      <c r="AG162">
        <v>238.58067298692205</v>
      </c>
      <c r="AH162">
        <v>0.9</v>
      </c>
      <c r="AJ162">
        <v>46.231943138699997</v>
      </c>
      <c r="AK162">
        <v>19.1227384086</v>
      </c>
      <c r="AL162">
        <v>147.40126566284027</v>
      </c>
      <c r="AM162">
        <v>0.9</v>
      </c>
    </row>
    <row r="163" spans="1:39" x14ac:dyDescent="0.25">
      <c r="A163">
        <v>84.665554981</v>
      </c>
      <c r="B163">
        <v>0</v>
      </c>
      <c r="C163">
        <v>356.99999999999915</v>
      </c>
      <c r="D163">
        <v>0.9</v>
      </c>
      <c r="F163">
        <v>48.122460431900002</v>
      </c>
      <c r="G163">
        <v>-19.611802425800001</v>
      </c>
      <c r="H163">
        <v>165.92707876679094</v>
      </c>
      <c r="I163">
        <v>0.9</v>
      </c>
      <c r="K163">
        <v>-29.253621896200002</v>
      </c>
      <c r="L163">
        <v>28.874435811200001</v>
      </c>
      <c r="M163">
        <v>213.95152838526076</v>
      </c>
      <c r="N163">
        <v>0.9</v>
      </c>
      <c r="P163">
        <v>13.1362412514</v>
      </c>
      <c r="Q163">
        <v>-31.7024642885</v>
      </c>
      <c r="R163">
        <v>230.04968585988291</v>
      </c>
      <c r="S163">
        <v>0.9</v>
      </c>
      <c r="U163">
        <v>0</v>
      </c>
      <c r="V163">
        <v>-41.900225256699997</v>
      </c>
      <c r="W163">
        <v>396.73316543640789</v>
      </c>
      <c r="X163">
        <v>0.9</v>
      </c>
      <c r="Z163">
        <v>-14.258952729899999</v>
      </c>
      <c r="AA163">
        <v>-33.913706791700001</v>
      </c>
      <c r="AB163">
        <v>265.95514145757392</v>
      </c>
      <c r="AC163">
        <v>0.9</v>
      </c>
      <c r="AE163">
        <v>-28.476613760099998</v>
      </c>
      <c r="AF163">
        <v>-28.393498813800001</v>
      </c>
      <c r="AG163">
        <v>204.40347953065159</v>
      </c>
      <c r="AH163">
        <v>0.9</v>
      </c>
      <c r="AJ163">
        <v>-46.882963567899999</v>
      </c>
      <c r="AK163">
        <v>-19.608729653200001</v>
      </c>
      <c r="AL163">
        <v>157.35471573445525</v>
      </c>
      <c r="AM163">
        <v>0.9</v>
      </c>
    </row>
    <row r="164" spans="1:39" x14ac:dyDescent="0.25">
      <c r="A164">
        <v>84.665554981</v>
      </c>
      <c r="B164">
        <v>0</v>
      </c>
      <c r="C164">
        <v>356.99999999999915</v>
      </c>
      <c r="D164">
        <v>0.9</v>
      </c>
      <c r="F164">
        <v>39.912333975599999</v>
      </c>
      <c r="G164">
        <v>-16.502047097599998</v>
      </c>
      <c r="H164">
        <v>84.008260921141812</v>
      </c>
      <c r="I164">
        <v>0.9</v>
      </c>
      <c r="K164">
        <v>27.516666872599998</v>
      </c>
      <c r="L164">
        <v>-27.637701371600002</v>
      </c>
      <c r="M164">
        <v>190.66173585641249</v>
      </c>
      <c r="N164">
        <v>0.9</v>
      </c>
      <c r="P164">
        <v>-13.465232339</v>
      </c>
      <c r="Q164">
        <v>32.458401956500005</v>
      </c>
      <c r="R164">
        <v>242.01774365584441</v>
      </c>
      <c r="S164">
        <v>0.9</v>
      </c>
      <c r="U164">
        <v>0</v>
      </c>
      <c r="V164">
        <v>-42.208220500700001</v>
      </c>
      <c r="W164">
        <v>400.83976868855615</v>
      </c>
      <c r="X164">
        <v>0.9</v>
      </c>
      <c r="Z164">
        <v>14.268760832600002</v>
      </c>
      <c r="AA164">
        <v>34.265475168800002</v>
      </c>
      <c r="AB164">
        <v>271.74094204176981</v>
      </c>
      <c r="AC164">
        <v>0.9</v>
      </c>
      <c r="AE164">
        <v>31.123648953400004</v>
      </c>
      <c r="AF164">
        <v>31.3112119165</v>
      </c>
      <c r="AG164">
        <v>288.79700956483043</v>
      </c>
      <c r="AH164">
        <v>0.84632341653011189</v>
      </c>
      <c r="AJ164">
        <v>45.135721118199996</v>
      </c>
      <c r="AK164">
        <v>19.009690703099999</v>
      </c>
      <c r="AL164">
        <v>138.48190173598346</v>
      </c>
      <c r="AM164">
        <v>0.9</v>
      </c>
    </row>
    <row r="165" spans="1:39" x14ac:dyDescent="0.25">
      <c r="A165">
        <v>94.159241966799996</v>
      </c>
      <c r="B165">
        <v>0</v>
      </c>
      <c r="C165">
        <v>458.87176724137862</v>
      </c>
      <c r="D165">
        <v>0.89974856321839136</v>
      </c>
      <c r="F165">
        <v>43.579019669500006</v>
      </c>
      <c r="G165">
        <v>-18.106372276399998</v>
      </c>
      <c r="H165">
        <v>120.22836964828619</v>
      </c>
      <c r="I165">
        <v>0.9</v>
      </c>
      <c r="K165">
        <v>-27.8802857656</v>
      </c>
      <c r="L165">
        <v>27.872788159000002</v>
      </c>
      <c r="M165">
        <v>195.08067079945496</v>
      </c>
      <c r="N165">
        <v>0.9</v>
      </c>
      <c r="P165">
        <v>12.595187043400001</v>
      </c>
      <c r="Q165">
        <v>-30.550875127499999</v>
      </c>
      <c r="R165">
        <v>212.16405260146138</v>
      </c>
      <c r="S165">
        <v>0.9</v>
      </c>
      <c r="U165">
        <v>0</v>
      </c>
      <c r="V165">
        <v>-42.071333725599999</v>
      </c>
      <c r="W165">
        <v>399.01461168760136</v>
      </c>
      <c r="X165">
        <v>0.9</v>
      </c>
      <c r="Z165">
        <v>-14.301759962799999</v>
      </c>
      <c r="AA165">
        <v>-34.743442685399998</v>
      </c>
      <c r="AB165">
        <v>279.62495337358348</v>
      </c>
      <c r="AC165">
        <v>0.9</v>
      </c>
      <c r="AE165">
        <v>29.2536978519</v>
      </c>
      <c r="AF165">
        <v>28.8744079091</v>
      </c>
      <c r="AG165">
        <v>213.95115635713279</v>
      </c>
      <c r="AH165">
        <v>0.9</v>
      </c>
      <c r="AJ165">
        <v>-48.083270378200005</v>
      </c>
      <c r="AK165">
        <v>-19.628598163100001</v>
      </c>
      <c r="AL165">
        <v>165.70313560268437</v>
      </c>
      <c r="AM165">
        <v>0.9</v>
      </c>
    </row>
    <row r="166" spans="1:39" x14ac:dyDescent="0.25">
      <c r="A166">
        <v>94.18555498100001</v>
      </c>
      <c r="B166">
        <v>0</v>
      </c>
      <c r="C166">
        <v>458.99999999999903</v>
      </c>
      <c r="D166">
        <v>0.9</v>
      </c>
      <c r="F166">
        <v>-45.347784427500002</v>
      </c>
      <c r="G166">
        <v>18.582044522900002</v>
      </c>
      <c r="H166">
        <v>136.55273969426611</v>
      </c>
      <c r="I166">
        <v>0.9</v>
      </c>
      <c r="K166">
        <v>24.386367513</v>
      </c>
      <c r="L166">
        <v>-24.0967148051</v>
      </c>
      <c r="M166">
        <v>133.62635941397079</v>
      </c>
      <c r="N166">
        <v>0.9</v>
      </c>
      <c r="P166">
        <v>-13.573100678599999</v>
      </c>
      <c r="Q166">
        <v>32.698631199000005</v>
      </c>
      <c r="R166">
        <v>245.90080022251851</v>
      </c>
      <c r="S166">
        <v>0.9</v>
      </c>
      <c r="U166">
        <v>0</v>
      </c>
      <c r="V166">
        <v>-44.507467972799994</v>
      </c>
      <c r="W166">
        <v>453.28749942700955</v>
      </c>
      <c r="X166">
        <v>0.89834770114942675</v>
      </c>
      <c r="Z166">
        <v>-13.3092397321</v>
      </c>
      <c r="AA166">
        <v>-31.565709744599999</v>
      </c>
      <c r="AB166">
        <v>228.1129586073819</v>
      </c>
      <c r="AC166">
        <v>0.9</v>
      </c>
      <c r="AE166">
        <v>28.7030889364</v>
      </c>
      <c r="AF166">
        <v>28.609124184300001</v>
      </c>
      <c r="AG166">
        <v>208.26070669282043</v>
      </c>
      <c r="AH166">
        <v>0.9</v>
      </c>
      <c r="AJ166">
        <v>43.415450148600002</v>
      </c>
      <c r="AK166">
        <v>18.360235404400001</v>
      </c>
      <c r="AL166">
        <v>121.18797238618652</v>
      </c>
      <c r="AM166">
        <v>0.9</v>
      </c>
    </row>
    <row r="167" spans="1:39" x14ac:dyDescent="0.25">
      <c r="A167">
        <v>89.765554981000008</v>
      </c>
      <c r="B167">
        <v>0</v>
      </c>
      <c r="C167">
        <v>407.9999999999992</v>
      </c>
      <c r="D167">
        <v>0.9</v>
      </c>
      <c r="F167">
        <v>40.415312478099999</v>
      </c>
      <c r="G167">
        <v>-16.637818215599999</v>
      </c>
      <c r="H167">
        <v>88.469090459145477</v>
      </c>
      <c r="I167">
        <v>0.9</v>
      </c>
      <c r="K167">
        <v>27.921217009299998</v>
      </c>
      <c r="L167">
        <v>-27.823530498099998</v>
      </c>
      <c r="M167">
        <v>194.42390198826337</v>
      </c>
      <c r="N167">
        <v>0.9</v>
      </c>
      <c r="P167">
        <v>12.807797018399999</v>
      </c>
      <c r="Q167">
        <v>-30.926665871099999</v>
      </c>
      <c r="R167">
        <v>217.96792918366575</v>
      </c>
      <c r="S167">
        <v>0.9</v>
      </c>
      <c r="U167">
        <v>0</v>
      </c>
      <c r="V167">
        <v>-42.0371120318</v>
      </c>
      <c r="W167">
        <v>398.55832243736262</v>
      </c>
      <c r="X167">
        <v>0.9</v>
      </c>
      <c r="Z167">
        <v>-12.9102439959</v>
      </c>
      <c r="AA167">
        <v>-30.7732799815</v>
      </c>
      <c r="AB167">
        <v>215.80945065559607</v>
      </c>
      <c r="AC167">
        <v>0.9</v>
      </c>
      <c r="AE167">
        <v>-27.937919238899998</v>
      </c>
      <c r="AF167">
        <v>-28.246307760499999</v>
      </c>
      <c r="AG167">
        <v>200.8542654864159</v>
      </c>
      <c r="AH167">
        <v>0.9</v>
      </c>
      <c r="AJ167">
        <v>44.921079068199994</v>
      </c>
      <c r="AK167">
        <v>18.2929658674</v>
      </c>
      <c r="AL167">
        <v>131.15156621217875</v>
      </c>
      <c r="AM167">
        <v>0.9</v>
      </c>
    </row>
    <row r="168" spans="1:39" x14ac:dyDescent="0.25">
      <c r="A168">
        <v>89.765554981000008</v>
      </c>
      <c r="B168">
        <v>0</v>
      </c>
      <c r="C168">
        <v>407.9999999999992</v>
      </c>
      <c r="D168">
        <v>0.9</v>
      </c>
      <c r="F168">
        <v>-52.061414309900002</v>
      </c>
      <c r="G168">
        <v>21.103135881699998</v>
      </c>
      <c r="H168">
        <v>255.81096497067725</v>
      </c>
      <c r="I168">
        <v>0.84721449924828529</v>
      </c>
      <c r="K168">
        <v>23.631127547400002</v>
      </c>
      <c r="L168">
        <v>-23.9975188268</v>
      </c>
      <c r="M168">
        <v>130.98152414821615</v>
      </c>
      <c r="N168">
        <v>0.9</v>
      </c>
      <c r="P168">
        <v>12.936215451800001</v>
      </c>
      <c r="Q168">
        <v>-30.763739446700001</v>
      </c>
      <c r="R168">
        <v>215.682243524938</v>
      </c>
      <c r="S168">
        <v>0.9</v>
      </c>
      <c r="U168">
        <v>0</v>
      </c>
      <c r="V168">
        <v>-42.276663888199998</v>
      </c>
      <c r="W168">
        <v>401.75234718903351</v>
      </c>
      <c r="X168">
        <v>0.9</v>
      </c>
      <c r="Z168">
        <v>-13.855424070900002</v>
      </c>
      <c r="AA168">
        <v>-33.833318755000001</v>
      </c>
      <c r="AB168">
        <v>264.16552319027357</v>
      </c>
      <c r="AC168">
        <v>0.9</v>
      </c>
      <c r="AE168">
        <v>-27.253406656000003</v>
      </c>
      <c r="AF168">
        <v>-27.141394390199999</v>
      </c>
      <c r="AG168">
        <v>182.68430943737164</v>
      </c>
      <c r="AH168">
        <v>0.9</v>
      </c>
      <c r="AJ168">
        <v>-40.191446640800002</v>
      </c>
      <c r="AK168">
        <v>-16.566189288699999</v>
      </c>
      <c r="AL168">
        <v>86.590809484190885</v>
      </c>
      <c r="AM168">
        <v>0.9</v>
      </c>
    </row>
    <row r="169" spans="1:39" x14ac:dyDescent="0.25">
      <c r="A169">
        <v>94.18555498100001</v>
      </c>
      <c r="B169">
        <v>0</v>
      </c>
      <c r="C169">
        <v>458.99999999999903</v>
      </c>
      <c r="D169">
        <v>0.9</v>
      </c>
      <c r="F169">
        <v>-47.038336918799999</v>
      </c>
      <c r="G169">
        <v>19.050760121900002</v>
      </c>
      <c r="H169">
        <v>152.81875393010418</v>
      </c>
      <c r="I169">
        <v>0.9</v>
      </c>
      <c r="K169">
        <v>27.4275026844</v>
      </c>
      <c r="L169">
        <v>-27.387594413599999</v>
      </c>
      <c r="M169">
        <v>186.79808752793866</v>
      </c>
      <c r="N169">
        <v>0.9</v>
      </c>
      <c r="P169">
        <v>13.4354631076</v>
      </c>
      <c r="Q169">
        <v>-31.9702275384</v>
      </c>
      <c r="R169">
        <v>234.4509736359087</v>
      </c>
      <c r="S169">
        <v>0.9</v>
      </c>
      <c r="U169">
        <v>0</v>
      </c>
      <c r="V169">
        <v>-42.242442194399999</v>
      </c>
      <c r="W169">
        <v>401.29605793879483</v>
      </c>
      <c r="X169">
        <v>0.9</v>
      </c>
      <c r="Z169">
        <v>-13.050989707299999</v>
      </c>
      <c r="AA169">
        <v>-31.4675730939</v>
      </c>
      <c r="AB169">
        <v>226.38891437641894</v>
      </c>
      <c r="AC169">
        <v>0.9</v>
      </c>
      <c r="AE169">
        <v>-27.921657532800001</v>
      </c>
      <c r="AF169">
        <v>-27.823368673199997</v>
      </c>
      <c r="AG169">
        <v>194.42174432181216</v>
      </c>
      <c r="AH169">
        <v>0.9</v>
      </c>
      <c r="AJ169">
        <v>-39.916942817200002</v>
      </c>
      <c r="AK169">
        <v>-16.500071879699998</v>
      </c>
      <c r="AL169">
        <v>84.034597158942731</v>
      </c>
      <c r="AM169">
        <v>0.9</v>
      </c>
    </row>
    <row r="170" spans="1:39" x14ac:dyDescent="0.25">
      <c r="A170">
        <v>89.765554981000008</v>
      </c>
      <c r="B170">
        <v>0</v>
      </c>
      <c r="C170">
        <v>407.9999999999992</v>
      </c>
      <c r="D170">
        <v>0.9</v>
      </c>
      <c r="F170">
        <v>-52.209687520199992</v>
      </c>
      <c r="G170">
        <v>21.2703253924</v>
      </c>
      <c r="H170">
        <v>270.65075829821239</v>
      </c>
      <c r="I170">
        <v>0.83185947274492644</v>
      </c>
      <c r="K170">
        <v>26.7703497388</v>
      </c>
      <c r="L170">
        <v>-26.947175992600002</v>
      </c>
      <c r="M170">
        <v>178.96139747002758</v>
      </c>
      <c r="N170">
        <v>0.9</v>
      </c>
      <c r="P170">
        <v>13.371453685100001</v>
      </c>
      <c r="Q170">
        <v>-32.458629564200002</v>
      </c>
      <c r="R170">
        <v>242.02077842466895</v>
      </c>
      <c r="S170">
        <v>0.9</v>
      </c>
      <c r="U170">
        <v>0</v>
      </c>
      <c r="V170">
        <v>-39.247560175399997</v>
      </c>
      <c r="W170">
        <v>344.36429768569178</v>
      </c>
      <c r="X170">
        <v>0.9</v>
      </c>
      <c r="Z170">
        <v>-14.0254804311</v>
      </c>
      <c r="AA170">
        <v>-33.308051942600002</v>
      </c>
      <c r="AB170">
        <v>255.95307680309776</v>
      </c>
      <c r="AC170">
        <v>0.9</v>
      </c>
      <c r="AE170">
        <v>-23.9116819913</v>
      </c>
      <c r="AF170">
        <v>-23.860101473099999</v>
      </c>
      <c r="AG170">
        <v>129.64040387728878</v>
      </c>
      <c r="AH170">
        <v>0.9</v>
      </c>
      <c r="AJ170">
        <v>-39.880790295400004</v>
      </c>
      <c r="AK170">
        <v>-16.135089627199999</v>
      </c>
      <c r="AL170">
        <v>81.723249415317341</v>
      </c>
      <c r="AM170">
        <v>0.9</v>
      </c>
    </row>
    <row r="171" spans="1:39" x14ac:dyDescent="0.25">
      <c r="A171">
        <v>89.765554981000008</v>
      </c>
      <c r="B171">
        <v>0</v>
      </c>
      <c r="C171">
        <v>407.9999999999992</v>
      </c>
      <c r="D171">
        <v>0.9</v>
      </c>
      <c r="F171">
        <v>46.935909536700002</v>
      </c>
      <c r="G171">
        <v>-19.586038523799999</v>
      </c>
      <c r="H171">
        <v>157.65726412756194</v>
      </c>
      <c r="I171">
        <v>0.9</v>
      </c>
      <c r="K171">
        <v>25.360976257600001</v>
      </c>
      <c r="L171">
        <v>-25.583070251899997</v>
      </c>
      <c r="M171">
        <v>156.35332092715609</v>
      </c>
      <c r="N171">
        <v>0.9</v>
      </c>
      <c r="P171">
        <v>13.058096692399999</v>
      </c>
      <c r="Q171">
        <v>-31.4649623647</v>
      </c>
      <c r="R171">
        <v>226.35410465339589</v>
      </c>
      <c r="S171">
        <v>0.9</v>
      </c>
      <c r="U171">
        <v>0</v>
      </c>
      <c r="V171">
        <v>-42.310885581999997</v>
      </c>
      <c r="W171">
        <v>402.2086364392722</v>
      </c>
      <c r="X171">
        <v>0.9</v>
      </c>
      <c r="Z171">
        <v>-13.560351323899999</v>
      </c>
      <c r="AA171">
        <v>-32.324361043899998</v>
      </c>
      <c r="AB171">
        <v>240.11719815346038</v>
      </c>
      <c r="AC171">
        <v>0.9</v>
      </c>
      <c r="AE171">
        <v>-27.632615310699997</v>
      </c>
      <c r="AF171">
        <v>-27.493917591600002</v>
      </c>
      <c r="AG171">
        <v>188.78239656781037</v>
      </c>
      <c r="AH171">
        <v>0.9</v>
      </c>
      <c r="AJ171">
        <v>-38.9771779577</v>
      </c>
      <c r="AK171">
        <v>-15.8293996767</v>
      </c>
      <c r="AL171">
        <v>74.163559866600451</v>
      </c>
      <c r="AM171">
        <v>0.9</v>
      </c>
    </row>
    <row r="172" spans="1:39" x14ac:dyDescent="0.25">
      <c r="A172">
        <v>92.497763067500003</v>
      </c>
      <c r="B172">
        <v>0</v>
      </c>
      <c r="C172">
        <v>450.77478448275792</v>
      </c>
      <c r="D172">
        <v>0.88387212643678215</v>
      </c>
      <c r="F172">
        <v>39.9650696852</v>
      </c>
      <c r="G172">
        <v>-16.479446079100001</v>
      </c>
      <c r="H172">
        <v>84.309607833568734</v>
      </c>
      <c r="I172">
        <v>0.9</v>
      </c>
      <c r="K172">
        <v>25.263781781500001</v>
      </c>
      <c r="L172">
        <v>-24.882242522199999</v>
      </c>
      <c r="M172">
        <v>146.14006230933319</v>
      </c>
      <c r="N172">
        <v>0.9</v>
      </c>
      <c r="P172">
        <v>12.7443033423</v>
      </c>
      <c r="Q172">
        <v>-31.220120541</v>
      </c>
      <c r="R172">
        <v>222.25843589374185</v>
      </c>
      <c r="S172">
        <v>0.9</v>
      </c>
      <c r="U172">
        <v>0</v>
      </c>
      <c r="V172">
        <v>-41.934446950499996</v>
      </c>
      <c r="W172">
        <v>397.18945468664657</v>
      </c>
      <c r="X172">
        <v>0.9</v>
      </c>
      <c r="Z172">
        <v>-13.407818226</v>
      </c>
      <c r="AA172">
        <v>-31.834331175299997</v>
      </c>
      <c r="AB172">
        <v>232.37457768333508</v>
      </c>
      <c r="AC172">
        <v>0.9</v>
      </c>
      <c r="AE172">
        <v>-24.384686520800003</v>
      </c>
      <c r="AF172">
        <v>-24.097332312399999</v>
      </c>
      <c r="AG172">
        <v>133.63459284512996</v>
      </c>
      <c r="AH172">
        <v>0.9</v>
      </c>
      <c r="AJ172">
        <v>-38.969941864100001</v>
      </c>
      <c r="AK172">
        <v>-16.209738954900001</v>
      </c>
      <c r="AL172">
        <v>75.967925045920794</v>
      </c>
      <c r="AM172">
        <v>0.9</v>
      </c>
    </row>
    <row r="173" spans="1:39" x14ac:dyDescent="0.25">
      <c r="A173">
        <v>94.18555498100001</v>
      </c>
      <c r="B173">
        <v>0</v>
      </c>
      <c r="C173">
        <v>458.99999999999903</v>
      </c>
      <c r="D173">
        <v>0.9</v>
      </c>
      <c r="F173">
        <v>41.6042327547</v>
      </c>
      <c r="G173">
        <v>-17.333661906499998</v>
      </c>
      <c r="H173">
        <v>101.1400634683465</v>
      </c>
      <c r="I173">
        <v>0.9</v>
      </c>
      <c r="K173">
        <v>25.123291464800001</v>
      </c>
      <c r="L173">
        <v>-24.754493461799999</v>
      </c>
      <c r="M173">
        <v>144.1722970592767</v>
      </c>
      <c r="N173">
        <v>0.9</v>
      </c>
      <c r="P173">
        <v>13.4334261576</v>
      </c>
      <c r="Q173">
        <v>-31.824924179999996</v>
      </c>
      <c r="R173">
        <v>232.24915107946097</v>
      </c>
      <c r="S173">
        <v>0.9</v>
      </c>
      <c r="U173">
        <v>0</v>
      </c>
      <c r="V173">
        <v>-39.144895094100001</v>
      </c>
      <c r="W173">
        <v>342.99542993497562</v>
      </c>
      <c r="X173">
        <v>0.9</v>
      </c>
      <c r="Z173">
        <v>-12.603662610300001</v>
      </c>
      <c r="AA173">
        <v>-30.5477616539</v>
      </c>
      <c r="AB173">
        <v>212.12253962075656</v>
      </c>
      <c r="AC173">
        <v>0.9</v>
      </c>
      <c r="AE173">
        <v>-26.833144091699999</v>
      </c>
      <c r="AF173">
        <v>-27.086813366199998</v>
      </c>
      <c r="AG173">
        <v>181.08767356299299</v>
      </c>
      <c r="AH173">
        <v>0.9</v>
      </c>
      <c r="AJ173">
        <v>-39.969548355900002</v>
      </c>
      <c r="AK173">
        <v>-16.4775266489</v>
      </c>
      <c r="AL173">
        <v>84.335200237427046</v>
      </c>
      <c r="AM173">
        <v>0.9</v>
      </c>
    </row>
    <row r="174" spans="1:39" x14ac:dyDescent="0.25">
      <c r="A174">
        <v>84.665554981</v>
      </c>
      <c r="B174">
        <v>0</v>
      </c>
      <c r="C174">
        <v>356.99999999999915</v>
      </c>
      <c r="D174">
        <v>0.9</v>
      </c>
      <c r="F174">
        <v>40.188696476499999</v>
      </c>
      <c r="G174">
        <v>-16.567367930499998</v>
      </c>
      <c r="H174">
        <v>86.575094259531312</v>
      </c>
      <c r="I174">
        <v>0.9</v>
      </c>
      <c r="K174">
        <v>24.197528281700002</v>
      </c>
      <c r="L174">
        <v>-23.944178346100003</v>
      </c>
      <c r="M174">
        <v>131.32809551612178</v>
      </c>
      <c r="N174">
        <v>0.9</v>
      </c>
      <c r="P174">
        <v>13.023754740399999</v>
      </c>
      <c r="Q174">
        <v>-31.048665000300002</v>
      </c>
      <c r="R174">
        <v>220.01013979538322</v>
      </c>
      <c r="S174">
        <v>0.9</v>
      </c>
      <c r="U174">
        <v>0</v>
      </c>
      <c r="V174">
        <v>-42.139777113099996</v>
      </c>
      <c r="W174">
        <v>399.92719018807873</v>
      </c>
      <c r="X174">
        <v>0.9</v>
      </c>
      <c r="Z174">
        <v>-12.993065590300001</v>
      </c>
      <c r="AA174">
        <v>-31.059938565699998</v>
      </c>
      <c r="AB174">
        <v>220.16045400002466</v>
      </c>
      <c r="AC174">
        <v>0.9</v>
      </c>
      <c r="AE174">
        <v>-23.724863484500002</v>
      </c>
      <c r="AF174">
        <v>-23.372392925</v>
      </c>
      <c r="AG174">
        <v>122.79762323574056</v>
      </c>
      <c r="AH174">
        <v>0.9</v>
      </c>
      <c r="AJ174">
        <v>-32.311895946599996</v>
      </c>
      <c r="AK174">
        <v>-13.160827722900001</v>
      </c>
      <c r="AL174">
        <v>20.371472184013935</v>
      </c>
      <c r="AM174">
        <v>0.9</v>
      </c>
    </row>
    <row r="175" spans="1:39" x14ac:dyDescent="0.25">
      <c r="A175">
        <v>89.765554981000008</v>
      </c>
      <c r="B175">
        <v>0</v>
      </c>
      <c r="C175">
        <v>407.9999999999992</v>
      </c>
      <c r="D175">
        <v>0.9</v>
      </c>
      <c r="F175">
        <v>-46.175248822599997</v>
      </c>
      <c r="G175">
        <v>19.2967978774</v>
      </c>
      <c r="H175">
        <v>148.06491718968604</v>
      </c>
      <c r="I175">
        <v>0.9</v>
      </c>
      <c r="K175">
        <v>24.304744445400001</v>
      </c>
      <c r="L175">
        <v>-24.092477095300001</v>
      </c>
      <c r="M175">
        <v>133.56985661726625</v>
      </c>
      <c r="N175">
        <v>0.9</v>
      </c>
      <c r="P175">
        <v>12.6174469806</v>
      </c>
      <c r="Q175">
        <v>-29.986699592999997</v>
      </c>
      <c r="R175">
        <v>203.88615658683506</v>
      </c>
      <c r="S175">
        <v>0.9</v>
      </c>
      <c r="U175">
        <v>0</v>
      </c>
      <c r="V175">
        <v>-43.507627669499996</v>
      </c>
      <c r="W175">
        <v>443.41930463704699</v>
      </c>
      <c r="X175">
        <v>0.87614942528735762</v>
      </c>
      <c r="Z175">
        <v>-12.775108115</v>
      </c>
      <c r="AA175">
        <v>-30.9386740397</v>
      </c>
      <c r="AB175">
        <v>218.12803809823342</v>
      </c>
      <c r="AC175">
        <v>0.9</v>
      </c>
      <c r="AE175">
        <v>-24.307130883900001</v>
      </c>
      <c r="AF175">
        <v>-24.091600444400001</v>
      </c>
      <c r="AG175">
        <v>133.55816793895156</v>
      </c>
      <c r="AH175">
        <v>0.9</v>
      </c>
      <c r="AJ175">
        <v>-43.257636708900002</v>
      </c>
      <c r="AK175">
        <v>-18.107298307099999</v>
      </c>
      <c r="AL175">
        <v>118.44046701642259</v>
      </c>
      <c r="AM175">
        <v>0.9</v>
      </c>
    </row>
    <row r="176" spans="1:39" x14ac:dyDescent="0.25">
      <c r="A176">
        <v>89.765554981000008</v>
      </c>
      <c r="B176">
        <v>0</v>
      </c>
      <c r="C176">
        <v>407.9999999999992</v>
      </c>
      <c r="D176">
        <v>0.9</v>
      </c>
      <c r="F176">
        <v>39.888641955499999</v>
      </c>
      <c r="G176">
        <v>-16.131724630000001</v>
      </c>
      <c r="H176">
        <v>81.7681160445361</v>
      </c>
      <c r="I176">
        <v>0.9</v>
      </c>
      <c r="K176">
        <v>26.832921558500001</v>
      </c>
      <c r="L176">
        <v>-27.086895113099999</v>
      </c>
      <c r="M176">
        <v>181.08876352161647</v>
      </c>
      <c r="N176">
        <v>0.9</v>
      </c>
      <c r="P176">
        <v>10.0933926876</v>
      </c>
      <c r="Q176">
        <v>-24.720662242499998</v>
      </c>
      <c r="R176">
        <v>128.61010302410665</v>
      </c>
      <c r="S176">
        <v>0.9</v>
      </c>
      <c r="U176">
        <v>0</v>
      </c>
      <c r="V176">
        <v>-42.173998806900002</v>
      </c>
      <c r="W176">
        <v>400.38347943831741</v>
      </c>
      <c r="X176">
        <v>0.9</v>
      </c>
      <c r="Z176">
        <v>-12.622570575699999</v>
      </c>
      <c r="AA176">
        <v>-30.506594176899998</v>
      </c>
      <c r="AB176">
        <v>211.57363992781885</v>
      </c>
      <c r="AC176">
        <v>0.9</v>
      </c>
      <c r="AE176">
        <v>-23.903676855299999</v>
      </c>
      <c r="AF176">
        <v>-23.828820441600001</v>
      </c>
      <c r="AG176">
        <v>129.22332345606034</v>
      </c>
      <c r="AH176">
        <v>0.9</v>
      </c>
      <c r="AJ176">
        <v>-37.639905366500003</v>
      </c>
      <c r="AK176">
        <v>-15.3773624584</v>
      </c>
      <c r="AL176">
        <v>62.620097440496366</v>
      </c>
      <c r="AM176">
        <v>0.9</v>
      </c>
    </row>
    <row r="177" spans="1:39" x14ac:dyDescent="0.25">
      <c r="A177">
        <v>89.765554981000008</v>
      </c>
      <c r="B177">
        <v>0</v>
      </c>
      <c r="C177">
        <v>407.9999999999992</v>
      </c>
      <c r="D177">
        <v>0.9</v>
      </c>
      <c r="F177">
        <v>41.185954161500007</v>
      </c>
      <c r="G177">
        <v>-17.3599241607</v>
      </c>
      <c r="H177">
        <v>98.409900079109917</v>
      </c>
      <c r="I177">
        <v>0.9</v>
      </c>
      <c r="K177">
        <v>25.406298744599997</v>
      </c>
      <c r="L177">
        <v>-25.022893358800001</v>
      </c>
      <c r="M177">
        <v>148.43096235284938</v>
      </c>
      <c r="N177">
        <v>0.9</v>
      </c>
      <c r="P177">
        <v>12.5646222104</v>
      </c>
      <c r="Q177">
        <v>-30.4936596378</v>
      </c>
      <c r="R177">
        <v>211.40117940561433</v>
      </c>
      <c r="S177">
        <v>0.9</v>
      </c>
      <c r="U177">
        <v>0</v>
      </c>
      <c r="V177">
        <v>-39.316003563000002</v>
      </c>
      <c r="W177">
        <v>345.27687618616915</v>
      </c>
      <c r="X177">
        <v>0.9</v>
      </c>
      <c r="Z177">
        <v>-12.5587925739</v>
      </c>
      <c r="AA177">
        <v>-30.495801136899999</v>
      </c>
      <c r="AB177">
        <v>211.42973272727178</v>
      </c>
      <c r="AC177">
        <v>0.9</v>
      </c>
      <c r="AE177">
        <v>-26.769513399799997</v>
      </c>
      <c r="AF177">
        <v>-26.947483219199999</v>
      </c>
      <c r="AG177">
        <v>178.9654938242318</v>
      </c>
      <c r="AH177">
        <v>0.9</v>
      </c>
      <c r="AJ177">
        <v>-36.698360827500004</v>
      </c>
      <c r="AK177">
        <v>-15.4346626324</v>
      </c>
      <c r="AL177">
        <v>57.077938170511437</v>
      </c>
      <c r="AM177">
        <v>0.9</v>
      </c>
    </row>
    <row r="178" spans="1:39" x14ac:dyDescent="0.25">
      <c r="A178">
        <v>89.765554981000008</v>
      </c>
      <c r="B178">
        <v>0</v>
      </c>
      <c r="C178">
        <v>407.9999999999992</v>
      </c>
      <c r="D178">
        <v>0.9</v>
      </c>
      <c r="F178">
        <v>-42.631105391499993</v>
      </c>
      <c r="G178">
        <v>17.7055260146</v>
      </c>
      <c r="H178">
        <v>110.65076425043573</v>
      </c>
      <c r="I178">
        <v>0.9</v>
      </c>
      <c r="K178">
        <v>24.738388545999999</v>
      </c>
      <c r="L178">
        <v>-24.535773520500001</v>
      </c>
      <c r="M178">
        <v>140.42492006428665</v>
      </c>
      <c r="N178">
        <v>0.9</v>
      </c>
      <c r="P178">
        <v>12.636753708100001</v>
      </c>
      <c r="Q178">
        <v>-30.5013840467</v>
      </c>
      <c r="R178">
        <v>211.5041715243064</v>
      </c>
      <c r="S178">
        <v>0.9</v>
      </c>
      <c r="U178">
        <v>0</v>
      </c>
      <c r="V178">
        <v>-39.076451706600004</v>
      </c>
      <c r="W178">
        <v>342.08285143449831</v>
      </c>
      <c r="X178">
        <v>0.9</v>
      </c>
      <c r="Z178">
        <v>-13.7958451964</v>
      </c>
      <c r="AA178">
        <v>-32.866005171899999</v>
      </c>
      <c r="AB178">
        <v>248.69911986041325</v>
      </c>
      <c r="AC178">
        <v>0.9</v>
      </c>
      <c r="AE178">
        <v>27.685052304599999</v>
      </c>
      <c r="AF178">
        <v>28.152207253500002</v>
      </c>
      <c r="AG178">
        <v>198.88181428181599</v>
      </c>
      <c r="AH178">
        <v>0.9</v>
      </c>
      <c r="AJ178">
        <v>-38.8399487605</v>
      </c>
      <c r="AK178">
        <v>-16.068735999299999</v>
      </c>
      <c r="AL178">
        <v>74.107964454267531</v>
      </c>
      <c r="AM178">
        <v>0.9</v>
      </c>
    </row>
    <row r="179" spans="1:39" x14ac:dyDescent="0.25">
      <c r="A179">
        <v>89.765554981000008</v>
      </c>
      <c r="B179">
        <v>0</v>
      </c>
      <c r="C179">
        <v>407.9999999999992</v>
      </c>
      <c r="D179">
        <v>0.9</v>
      </c>
      <c r="F179">
        <v>38.8398480647</v>
      </c>
      <c r="G179">
        <v>-16.068779154599998</v>
      </c>
      <c r="H179">
        <v>74.107389049447804</v>
      </c>
      <c r="I179">
        <v>0.9</v>
      </c>
      <c r="K179">
        <v>26.486019820400003</v>
      </c>
      <c r="L179">
        <v>-26.719497262000001</v>
      </c>
      <c r="M179">
        <v>174.94345884030869</v>
      </c>
      <c r="N179">
        <v>0.9</v>
      </c>
      <c r="P179">
        <v>10.888959995</v>
      </c>
      <c r="Q179">
        <v>-26.801793526499999</v>
      </c>
      <c r="R179">
        <v>157.37852014395432</v>
      </c>
      <c r="S179">
        <v>0.9</v>
      </c>
      <c r="U179">
        <v>0</v>
      </c>
      <c r="V179">
        <v>-42.838253902099993</v>
      </c>
      <c r="W179">
        <v>436.80299390799917</v>
      </c>
      <c r="X179">
        <v>0.86135057471264509</v>
      </c>
      <c r="Z179">
        <v>-12.5848621347</v>
      </c>
      <c r="AA179">
        <v>-29.9644478427</v>
      </c>
      <c r="AB179">
        <v>203.58946658180517</v>
      </c>
      <c r="AC179">
        <v>0.9</v>
      </c>
      <c r="AE179">
        <v>-27.4269149918</v>
      </c>
      <c r="AF179">
        <v>-27.387810300699996</v>
      </c>
      <c r="AG179">
        <v>186.80096602232453</v>
      </c>
      <c r="AH179">
        <v>0.9</v>
      </c>
      <c r="AJ179">
        <v>-44.036311617600006</v>
      </c>
      <c r="AK179">
        <v>-18.393675727200002</v>
      </c>
      <c r="AL179">
        <v>125.80432363735662</v>
      </c>
      <c r="AM179">
        <v>0.9</v>
      </c>
    </row>
    <row r="180" spans="1:39" x14ac:dyDescent="0.25">
      <c r="A180">
        <v>94.18555498100001</v>
      </c>
      <c r="B180">
        <v>0</v>
      </c>
      <c r="C180">
        <v>458.99999999999903</v>
      </c>
      <c r="D180">
        <v>0.9</v>
      </c>
      <c r="F180">
        <v>38.968733101600002</v>
      </c>
      <c r="G180">
        <v>-16.210256996000002</v>
      </c>
      <c r="H180">
        <v>75.961017831610974</v>
      </c>
      <c r="I180">
        <v>0.9</v>
      </c>
      <c r="K180">
        <v>25.404335091299998</v>
      </c>
      <c r="L180">
        <v>-25.601364210800003</v>
      </c>
      <c r="M180">
        <v>156.597240379547</v>
      </c>
      <c r="N180">
        <v>0.9</v>
      </c>
      <c r="P180">
        <v>8.7839495681000006</v>
      </c>
      <c r="Q180">
        <v>-21.520370145600001</v>
      </c>
      <c r="R180">
        <v>85.826208399473387</v>
      </c>
      <c r="S180">
        <v>0.9</v>
      </c>
      <c r="U180">
        <v>0</v>
      </c>
      <c r="V180">
        <v>-39.1791167879</v>
      </c>
      <c r="W180">
        <v>343.4517191852143</v>
      </c>
      <c r="X180">
        <v>0.9</v>
      </c>
      <c r="Z180">
        <v>8.778644718599999</v>
      </c>
      <c r="AA180">
        <v>21.522318865799999</v>
      </c>
      <c r="AB180">
        <v>85.852191335565834</v>
      </c>
      <c r="AC180">
        <v>0.9</v>
      </c>
      <c r="AE180">
        <v>-25.404501460500001</v>
      </c>
      <c r="AF180">
        <v>-25.601303095600002</v>
      </c>
      <c r="AG180">
        <v>156.59642550995002</v>
      </c>
      <c r="AH180">
        <v>0.9</v>
      </c>
      <c r="AJ180">
        <v>-38.239943454799999</v>
      </c>
      <c r="AK180">
        <v>-15.759947909499999</v>
      </c>
      <c r="AL180">
        <v>68.623172230819634</v>
      </c>
      <c r="AM180">
        <v>0.9</v>
      </c>
    </row>
    <row r="181" spans="1:39" x14ac:dyDescent="0.25">
      <c r="A181">
        <v>89.765554981000008</v>
      </c>
      <c r="B181">
        <v>0</v>
      </c>
      <c r="C181">
        <v>407.9999999999992</v>
      </c>
      <c r="D181">
        <v>0.9</v>
      </c>
      <c r="F181">
        <v>40.681429885299998</v>
      </c>
      <c r="G181">
        <v>-17.253958374300002</v>
      </c>
      <c r="H181">
        <v>94.458332786544474</v>
      </c>
      <c r="I181">
        <v>0.9</v>
      </c>
      <c r="K181">
        <v>23.748858472999999</v>
      </c>
      <c r="L181">
        <v>-23.397800133199997</v>
      </c>
      <c r="M181">
        <v>123.13638601197989</v>
      </c>
      <c r="N181">
        <v>0.9</v>
      </c>
      <c r="P181">
        <v>12.6427643682</v>
      </c>
      <c r="Q181">
        <v>-29.943177634399998</v>
      </c>
      <c r="R181">
        <v>203.30586380553305</v>
      </c>
      <c r="S181">
        <v>0.9</v>
      </c>
      <c r="U181">
        <v>0</v>
      </c>
      <c r="V181">
        <v>-39.042230012799997</v>
      </c>
      <c r="W181">
        <v>341.62656218425951</v>
      </c>
      <c r="X181">
        <v>0.9</v>
      </c>
      <c r="Z181">
        <v>-10.2053787741</v>
      </c>
      <c r="AA181">
        <v>-24.8526469454</v>
      </c>
      <c r="AB181">
        <v>130.48323239644574</v>
      </c>
      <c r="AC181">
        <v>0.9</v>
      </c>
      <c r="AE181">
        <v>-25.2641029551</v>
      </c>
      <c r="AF181">
        <v>-24.882124540099998</v>
      </c>
      <c r="AG181">
        <v>146.13848921419822</v>
      </c>
      <c r="AH181">
        <v>0.9</v>
      </c>
      <c r="AJ181">
        <v>-36.440855691499998</v>
      </c>
      <c r="AK181">
        <v>-15.352744250299999</v>
      </c>
      <c r="AL181">
        <v>55.136956440668719</v>
      </c>
      <c r="AM181">
        <v>0.9</v>
      </c>
    </row>
    <row r="182" spans="1:39" x14ac:dyDescent="0.25">
      <c r="A182">
        <v>84.665554981</v>
      </c>
      <c r="B182">
        <v>0</v>
      </c>
      <c r="C182">
        <v>356.99999999999915</v>
      </c>
      <c r="D182">
        <v>0.9</v>
      </c>
      <c r="F182">
        <v>42.952175063300004</v>
      </c>
      <c r="G182">
        <v>-17.9014485362</v>
      </c>
      <c r="H182">
        <v>114.46068618436733</v>
      </c>
      <c r="I182">
        <v>0.9</v>
      </c>
      <c r="K182">
        <v>23.7339344709</v>
      </c>
      <c r="L182">
        <v>-23.437504113499998</v>
      </c>
      <c r="M182">
        <v>123.66577241528211</v>
      </c>
      <c r="N182">
        <v>0.9</v>
      </c>
      <c r="P182">
        <v>10.7678471565</v>
      </c>
      <c r="Q182">
        <v>-25.409624319700001</v>
      </c>
      <c r="R182">
        <v>138.24959738718852</v>
      </c>
      <c r="S182">
        <v>0.9</v>
      </c>
      <c r="U182">
        <v>0</v>
      </c>
      <c r="V182">
        <v>-39.213338481699999</v>
      </c>
      <c r="W182">
        <v>343.90800843545304</v>
      </c>
      <c r="X182">
        <v>0.9</v>
      </c>
      <c r="Z182">
        <v>-12.623380302099999</v>
      </c>
      <c r="AA182">
        <v>-29.984520005499999</v>
      </c>
      <c r="AB182">
        <v>203.85709542018878</v>
      </c>
      <c r="AC182">
        <v>0.9</v>
      </c>
      <c r="AE182">
        <v>-26.486819480800001</v>
      </c>
      <c r="AF182">
        <v>-26.7192035092</v>
      </c>
      <c r="AG182">
        <v>174.93954213641044</v>
      </c>
      <c r="AH182">
        <v>0.9</v>
      </c>
      <c r="AJ182">
        <v>-40.300492757100002</v>
      </c>
      <c r="AK182">
        <v>-17.059407619799998</v>
      </c>
      <c r="AL182">
        <v>90.176787291987338</v>
      </c>
      <c r="AM182">
        <v>0.9</v>
      </c>
    </row>
    <row r="183" spans="1:39" x14ac:dyDescent="0.25">
      <c r="A183">
        <v>84.665554981</v>
      </c>
      <c r="B183">
        <v>0</v>
      </c>
      <c r="C183">
        <v>356.99999999999915</v>
      </c>
      <c r="D183">
        <v>0.9</v>
      </c>
      <c r="F183">
        <v>38.972638645899998</v>
      </c>
      <c r="G183">
        <v>-15.831345096</v>
      </c>
      <c r="H183">
        <v>74.137620942278346</v>
      </c>
      <c r="I183">
        <v>0.9</v>
      </c>
      <c r="K183">
        <v>27.2706211669</v>
      </c>
      <c r="L183">
        <v>-27.135070692300001</v>
      </c>
      <c r="M183">
        <v>182.59999346548281</v>
      </c>
      <c r="N183">
        <v>0.9</v>
      </c>
      <c r="P183">
        <v>-8.2713380204</v>
      </c>
      <c r="Q183">
        <v>19.538514070000002</v>
      </c>
      <c r="R183">
        <v>60.157016279966044</v>
      </c>
      <c r="S183">
        <v>0.9</v>
      </c>
      <c r="U183">
        <v>0</v>
      </c>
      <c r="V183">
        <v>-39.0080083191</v>
      </c>
      <c r="W183">
        <v>341.17027293402089</v>
      </c>
      <c r="X183">
        <v>0.9</v>
      </c>
      <c r="Z183">
        <v>7.7539425791999994</v>
      </c>
      <c r="AA183">
        <v>19.0488228261</v>
      </c>
      <c r="AB183">
        <v>53.703355250646027</v>
      </c>
      <c r="AC183">
        <v>0.9</v>
      </c>
      <c r="AE183">
        <v>-25.406769443100004</v>
      </c>
      <c r="AF183">
        <v>-25.022720449200001</v>
      </c>
      <c r="AG183">
        <v>148.42865689076496</v>
      </c>
      <c r="AH183">
        <v>0.9</v>
      </c>
      <c r="AJ183">
        <v>-42.180421735199999</v>
      </c>
      <c r="AK183">
        <v>-17.587819010099999</v>
      </c>
      <c r="AL183">
        <v>107.00685764278364</v>
      </c>
      <c r="AM183">
        <v>0.9</v>
      </c>
    </row>
    <row r="184" spans="1:39" x14ac:dyDescent="0.25">
      <c r="A184">
        <v>84.665554981</v>
      </c>
      <c r="B184">
        <v>0</v>
      </c>
      <c r="C184">
        <v>356.99999999999915</v>
      </c>
      <c r="D184">
        <v>0.9</v>
      </c>
      <c r="F184">
        <v>42.180520010500004</v>
      </c>
      <c r="G184">
        <v>-17.587776892099999</v>
      </c>
      <c r="H184">
        <v>107.00741921613252</v>
      </c>
      <c r="I184">
        <v>0.9</v>
      </c>
      <c r="K184">
        <v>25.405540822500001</v>
      </c>
      <c r="L184">
        <v>-25.635142982900003</v>
      </c>
      <c r="M184">
        <v>157.04762400740404</v>
      </c>
      <c r="N184">
        <v>0.9</v>
      </c>
      <c r="P184">
        <v>-7.7051012790000009</v>
      </c>
      <c r="Q184">
        <v>19.0667645282</v>
      </c>
      <c r="R184">
        <v>53.942577945313737</v>
      </c>
      <c r="S184">
        <v>0.9</v>
      </c>
      <c r="U184">
        <v>0</v>
      </c>
      <c r="V184">
        <v>-42.105555419399998</v>
      </c>
      <c r="W184">
        <v>399.47090093784004</v>
      </c>
      <c r="X184">
        <v>0.9</v>
      </c>
      <c r="Z184">
        <v>-7.6280973348999996</v>
      </c>
      <c r="AA184">
        <v>-18.198575727600002</v>
      </c>
      <c r="AB184">
        <v>42.820060603990093</v>
      </c>
      <c r="AC184">
        <v>0.9</v>
      </c>
      <c r="AE184">
        <v>-25.3610914671</v>
      </c>
      <c r="AF184">
        <v>-25.58302793</v>
      </c>
      <c r="AG184">
        <v>156.35275663569902</v>
      </c>
      <c r="AH184">
        <v>0.9</v>
      </c>
      <c r="AJ184">
        <v>-37.7575563738</v>
      </c>
      <c r="AK184">
        <v>-15.548356506899999</v>
      </c>
      <c r="AL184">
        <v>64.409531768024877</v>
      </c>
      <c r="AM184">
        <v>0.9</v>
      </c>
    </row>
    <row r="185" spans="1:39" x14ac:dyDescent="0.25">
      <c r="A185">
        <v>84.665554981</v>
      </c>
      <c r="B185">
        <v>0</v>
      </c>
      <c r="C185">
        <v>356.99999999999915</v>
      </c>
      <c r="D185">
        <v>0.9</v>
      </c>
      <c r="F185">
        <v>38.615422694999999</v>
      </c>
      <c r="G185">
        <v>-15.609606695299998</v>
      </c>
      <c r="H185">
        <v>70.768767889438735</v>
      </c>
      <c r="I185">
        <v>0.9</v>
      </c>
      <c r="K185">
        <v>24.5008159042</v>
      </c>
      <c r="L185">
        <v>-24.408068307400001</v>
      </c>
      <c r="M185">
        <v>138.15551722286378</v>
      </c>
      <c r="N185">
        <v>0.9</v>
      </c>
      <c r="P185">
        <v>-5.9301182570000002</v>
      </c>
      <c r="Q185">
        <v>13.9853254111</v>
      </c>
      <c r="R185">
        <v>-11.354388060739195</v>
      </c>
      <c r="S185">
        <v>0.9</v>
      </c>
      <c r="U185">
        <v>0</v>
      </c>
      <c r="V185">
        <v>-38.939564931500001</v>
      </c>
      <c r="W185">
        <v>340.25769443354346</v>
      </c>
      <c r="X185">
        <v>0.9</v>
      </c>
      <c r="Z185">
        <v>-6.9775805713999999</v>
      </c>
      <c r="AA185">
        <v>-16.954174175799999</v>
      </c>
      <c r="AB185">
        <v>26.71915102421568</v>
      </c>
      <c r="AC185">
        <v>0.9</v>
      </c>
      <c r="AE185">
        <v>-24.534921019899997</v>
      </c>
      <c r="AF185">
        <v>-24.243474666400001</v>
      </c>
      <c r="AG185">
        <v>135.998713120357</v>
      </c>
      <c r="AH185">
        <v>0.9</v>
      </c>
      <c r="AJ185">
        <v>-43.448036420300006</v>
      </c>
      <c r="AK185">
        <v>-17.825746049799999</v>
      </c>
      <c r="AL185">
        <v>117.24560822422745</v>
      </c>
      <c r="AM185">
        <v>0.9</v>
      </c>
    </row>
    <row r="186" spans="1:39" x14ac:dyDescent="0.25">
      <c r="A186">
        <v>84.665554981</v>
      </c>
      <c r="B186">
        <v>0</v>
      </c>
      <c r="C186">
        <v>356.99999999999915</v>
      </c>
      <c r="D186">
        <v>0.9</v>
      </c>
      <c r="F186">
        <v>40.2988066108</v>
      </c>
      <c r="G186">
        <v>-17.060130253899999</v>
      </c>
      <c r="H186">
        <v>90.16715217021526</v>
      </c>
      <c r="I186">
        <v>0.9</v>
      </c>
      <c r="K186">
        <v>23.136609696899999</v>
      </c>
      <c r="L186">
        <v>-23.459656221199999</v>
      </c>
      <c r="M186">
        <v>122.90335607338609</v>
      </c>
      <c r="N186">
        <v>0.9</v>
      </c>
      <c r="P186">
        <v>-6.4991949919000005</v>
      </c>
      <c r="Q186">
        <v>16.072248470199998</v>
      </c>
      <c r="R186">
        <v>15.337919393566997</v>
      </c>
      <c r="S186">
        <v>0.9</v>
      </c>
      <c r="U186">
        <v>0</v>
      </c>
      <c r="V186">
        <v>-38.734234768900002</v>
      </c>
      <c r="W186">
        <v>337.51995893211142</v>
      </c>
      <c r="X186">
        <v>0.9</v>
      </c>
      <c r="Z186">
        <v>3.0916927671000001</v>
      </c>
      <c r="AA186">
        <v>7.6150111859000003</v>
      </c>
      <c r="AB186">
        <v>-89.643022174917718</v>
      </c>
      <c r="AC186">
        <v>0.9</v>
      </c>
      <c r="AE186">
        <v>-26.497821325199997</v>
      </c>
      <c r="AF186">
        <v>-26.177647804599999</v>
      </c>
      <c r="AG186">
        <v>166.96324385223878</v>
      </c>
      <c r="AH186">
        <v>0.9</v>
      </c>
      <c r="AJ186">
        <v>-33.2710052276</v>
      </c>
      <c r="AK186">
        <v>-13.681882809500001</v>
      </c>
      <c r="AL186">
        <v>27.989239504010921</v>
      </c>
      <c r="AM186">
        <v>0.9</v>
      </c>
    </row>
    <row r="187" spans="1:39" x14ac:dyDescent="0.25">
      <c r="A187">
        <v>84.665554981</v>
      </c>
      <c r="B187">
        <v>0</v>
      </c>
      <c r="C187">
        <v>356.99999999999915</v>
      </c>
      <c r="D187">
        <v>0.9</v>
      </c>
      <c r="F187">
        <v>38.240588309700001</v>
      </c>
      <c r="G187">
        <v>-15.7597110241</v>
      </c>
      <c r="H187">
        <v>68.626857116097696</v>
      </c>
      <c r="I187">
        <v>0.9</v>
      </c>
      <c r="K187">
        <v>26.497821413400001</v>
      </c>
      <c r="L187">
        <v>-26.177647772199997</v>
      </c>
      <c r="M187">
        <v>166.96324342024789</v>
      </c>
      <c r="N187">
        <v>0.9</v>
      </c>
      <c r="P187">
        <v>-6.7860561568</v>
      </c>
      <c r="Q187">
        <v>16.634469085500001</v>
      </c>
      <c r="R187">
        <v>22.645305374761229</v>
      </c>
      <c r="S187">
        <v>0.9</v>
      </c>
      <c r="U187">
        <v>0</v>
      </c>
      <c r="V187">
        <v>-44.174750584800002</v>
      </c>
      <c r="W187">
        <v>450.00560400417004</v>
      </c>
      <c r="X187">
        <v>0.89094827586207037</v>
      </c>
      <c r="Z187">
        <v>3.8491885999999997</v>
      </c>
      <c r="AA187">
        <v>9.3166522570999994</v>
      </c>
      <c r="AB187">
        <v>-69.334474558513961</v>
      </c>
      <c r="AC187">
        <v>0.9</v>
      </c>
      <c r="AE187">
        <v>-23.749161780600001</v>
      </c>
      <c r="AF187">
        <v>-23.397688714099999</v>
      </c>
      <c r="AG187">
        <v>123.13490042387315</v>
      </c>
      <c r="AH187">
        <v>0.9</v>
      </c>
      <c r="AJ187">
        <v>-36.148267104799999</v>
      </c>
      <c r="AK187">
        <v>-15.067570809199999</v>
      </c>
      <c r="AL187">
        <v>51.748831183220346</v>
      </c>
      <c r="AM187">
        <v>0.9</v>
      </c>
    </row>
    <row r="188" spans="1:39" x14ac:dyDescent="0.25">
      <c r="A188">
        <v>78.885554980999999</v>
      </c>
      <c r="B188">
        <v>0</v>
      </c>
      <c r="C188">
        <v>305.99999999999909</v>
      </c>
      <c r="D188">
        <v>0.9</v>
      </c>
      <c r="F188">
        <v>37.759326895800001</v>
      </c>
      <c r="G188">
        <v>-15.547706111</v>
      </c>
      <c r="H188">
        <v>64.419649036791441</v>
      </c>
      <c r="I188">
        <v>0.9</v>
      </c>
      <c r="K188">
        <v>24.535064749699998</v>
      </c>
      <c r="L188">
        <v>-24.2434218677</v>
      </c>
      <c r="M188">
        <v>135.99800913778392</v>
      </c>
      <c r="N188">
        <v>0.9</v>
      </c>
      <c r="P188">
        <v>8.3750481902999994</v>
      </c>
      <c r="Q188">
        <v>-20.041627114200001</v>
      </c>
      <c r="R188">
        <v>66.638523536273226</v>
      </c>
      <c r="S188">
        <v>0.9</v>
      </c>
      <c r="U188">
        <v>0</v>
      </c>
      <c r="V188">
        <v>-42.002890338</v>
      </c>
      <c r="W188">
        <v>398.10203318712399</v>
      </c>
      <c r="X188">
        <v>0.9</v>
      </c>
      <c r="Z188">
        <v>-5.3401010699999993</v>
      </c>
      <c r="AA188">
        <v>-12.594624921899999</v>
      </c>
      <c r="AB188">
        <v>-29.141505695307281</v>
      </c>
      <c r="AC188">
        <v>0.9</v>
      </c>
      <c r="AE188">
        <v>-26.497066667399999</v>
      </c>
      <c r="AF188">
        <v>-26.143703332099999</v>
      </c>
      <c r="AG188">
        <v>166.51065088530464</v>
      </c>
      <c r="AH188">
        <v>0.9</v>
      </c>
      <c r="AJ188">
        <v>-37.355453574899997</v>
      </c>
      <c r="AK188">
        <v>-15.763525423000001</v>
      </c>
      <c r="AL188">
        <v>63.018468155136482</v>
      </c>
      <c r="AM188">
        <v>0.9</v>
      </c>
    </row>
    <row r="189" spans="1:39" x14ac:dyDescent="0.25">
      <c r="A189">
        <v>94.18555498100001</v>
      </c>
      <c r="B189">
        <v>0</v>
      </c>
      <c r="C189">
        <v>458.99999999999903</v>
      </c>
      <c r="D189">
        <v>0.9</v>
      </c>
      <c r="F189">
        <v>24.716184287499999</v>
      </c>
      <c r="G189">
        <v>-10.3489837423</v>
      </c>
      <c r="H189">
        <v>-29.201165867741562</v>
      </c>
      <c r="I189">
        <v>0.9</v>
      </c>
      <c r="K189">
        <v>26.502170882199998</v>
      </c>
      <c r="L189">
        <v>-26.141828314400001</v>
      </c>
      <c r="M189">
        <v>166.48565064939183</v>
      </c>
      <c r="N189">
        <v>0.9</v>
      </c>
      <c r="P189">
        <v>6.7139611867999998</v>
      </c>
      <c r="Q189">
        <v>-16.262565423599998</v>
      </c>
      <c r="R189">
        <v>17.875478772000751</v>
      </c>
      <c r="S189">
        <v>0.9</v>
      </c>
      <c r="U189">
        <v>0</v>
      </c>
      <c r="V189">
        <v>-38.836899850200005</v>
      </c>
      <c r="W189">
        <v>338.88882668282747</v>
      </c>
      <c r="X189">
        <v>0.9</v>
      </c>
      <c r="Z189">
        <v>-6.5027909759</v>
      </c>
      <c r="AA189">
        <v>-15.664213437500001</v>
      </c>
      <c r="AB189">
        <v>10.086341179581774</v>
      </c>
      <c r="AC189">
        <v>0.9</v>
      </c>
      <c r="AE189">
        <v>-23.734637717000002</v>
      </c>
      <c r="AF189">
        <v>-23.437245778199998</v>
      </c>
      <c r="AG189">
        <v>123.66232794472631</v>
      </c>
      <c r="AH189">
        <v>0.9</v>
      </c>
      <c r="AJ189">
        <v>-41.169599160999994</v>
      </c>
      <c r="AK189">
        <v>-17.366933446699999</v>
      </c>
      <c r="AL189">
        <v>98.316442932981104</v>
      </c>
      <c r="AM189">
        <v>0.9</v>
      </c>
    </row>
    <row r="190" spans="1:39" x14ac:dyDescent="0.25">
      <c r="A190">
        <v>84.665554981</v>
      </c>
      <c r="B190">
        <v>0</v>
      </c>
      <c r="C190">
        <v>356.99999999999915</v>
      </c>
      <c r="D190">
        <v>0.9</v>
      </c>
      <c r="F190">
        <v>27.890636609399998</v>
      </c>
      <c r="G190">
        <v>-11.686796642100001</v>
      </c>
      <c r="H190">
        <v>-8.5681049805266429</v>
      </c>
      <c r="I190">
        <v>0.9</v>
      </c>
      <c r="K190">
        <v>21.559220745399998</v>
      </c>
      <c r="L190">
        <v>-21.439983228199999</v>
      </c>
      <c r="M190">
        <v>93.745493944760511</v>
      </c>
      <c r="N190">
        <v>0.9</v>
      </c>
      <c r="P190">
        <v>6.8698144257000004</v>
      </c>
      <c r="Q190">
        <v>-16.993761739500002</v>
      </c>
      <c r="R190">
        <v>27.246985207026814</v>
      </c>
      <c r="S190">
        <v>0.9</v>
      </c>
      <c r="U190">
        <v>0</v>
      </c>
      <c r="V190">
        <v>-38.905343237799997</v>
      </c>
      <c r="W190">
        <v>339.80140518330489</v>
      </c>
      <c r="X190">
        <v>0.9</v>
      </c>
      <c r="Z190">
        <v>-6.3716589228</v>
      </c>
      <c r="AA190">
        <v>-15.297343806199999</v>
      </c>
      <c r="AB190">
        <v>5.3836349840837014</v>
      </c>
      <c r="AC190">
        <v>0.9</v>
      </c>
      <c r="AE190">
        <v>-25.124325098899998</v>
      </c>
      <c r="AF190">
        <v>-24.754113759500001</v>
      </c>
      <c r="AG190">
        <v>144.16723436152398</v>
      </c>
      <c r="AH190">
        <v>0.9</v>
      </c>
      <c r="AJ190">
        <v>-38.621659236700005</v>
      </c>
      <c r="AK190">
        <v>-15.607315720799999</v>
      </c>
      <c r="AL190">
        <v>70.804405270537885</v>
      </c>
      <c r="AM190">
        <v>0.9</v>
      </c>
    </row>
    <row r="191" spans="1:39" x14ac:dyDescent="0.25">
      <c r="A191">
        <v>84.665554981</v>
      </c>
      <c r="B191">
        <v>0</v>
      </c>
      <c r="C191">
        <v>356.99999999999915</v>
      </c>
      <c r="D191">
        <v>0.9</v>
      </c>
      <c r="F191">
        <v>41.7417436952</v>
      </c>
      <c r="G191">
        <v>-17.447157217699999</v>
      </c>
      <c r="H191">
        <v>102.91345931917499</v>
      </c>
      <c r="I191">
        <v>0.9</v>
      </c>
      <c r="K191">
        <v>20.3424740908</v>
      </c>
      <c r="L191">
        <v>-20.502448212400001</v>
      </c>
      <c r="M191">
        <v>79.809471511875117</v>
      </c>
      <c r="N191">
        <v>0.9</v>
      </c>
      <c r="P191">
        <v>3.4910684075000002</v>
      </c>
      <c r="Q191">
        <v>-8.3180293174999989</v>
      </c>
      <c r="R191">
        <v>-81.289447086772029</v>
      </c>
      <c r="S191">
        <v>0.9</v>
      </c>
      <c r="U191">
        <v>0</v>
      </c>
      <c r="V191">
        <v>-35.335472254899997</v>
      </c>
      <c r="W191">
        <v>279.73645874522941</v>
      </c>
      <c r="X191">
        <v>0.9</v>
      </c>
      <c r="Z191">
        <v>-6.0632686892000001</v>
      </c>
      <c r="AA191">
        <v>-14.3847597195</v>
      </c>
      <c r="AB191">
        <v>-6.2174861711000915</v>
      </c>
      <c r="AC191">
        <v>0.9</v>
      </c>
      <c r="AE191">
        <v>-25.416129215999998</v>
      </c>
      <c r="AF191">
        <v>-25.631253369</v>
      </c>
      <c r="AG191">
        <v>156.99576248851824</v>
      </c>
      <c r="AH191">
        <v>0.9</v>
      </c>
      <c r="AJ191">
        <v>-41.7415610125</v>
      </c>
      <c r="AK191">
        <v>-17.447235510300001</v>
      </c>
      <c r="AL191">
        <v>102.91241541794734</v>
      </c>
      <c r="AM191">
        <v>0.9</v>
      </c>
    </row>
    <row r="192" spans="1:39" x14ac:dyDescent="0.25">
      <c r="A192">
        <v>84.665554981</v>
      </c>
      <c r="B192">
        <v>0</v>
      </c>
      <c r="C192">
        <v>356.99999999999915</v>
      </c>
      <c r="D192">
        <v>0.9</v>
      </c>
      <c r="F192">
        <v>24.506489654100001</v>
      </c>
      <c r="G192">
        <v>-10.034876518400001</v>
      </c>
      <c r="H192">
        <v>-31.387039963412054</v>
      </c>
      <c r="I192">
        <v>0.9</v>
      </c>
      <c r="K192">
        <v>22.244960537799997</v>
      </c>
      <c r="L192">
        <v>-22.261609200199999</v>
      </c>
      <c r="M192">
        <v>105.41828468247212</v>
      </c>
      <c r="N192">
        <v>0.9</v>
      </c>
      <c r="P192">
        <v>6.2307775556000005</v>
      </c>
      <c r="Q192">
        <v>-15.349096145099999</v>
      </c>
      <c r="R192">
        <v>6.0736661700170886</v>
      </c>
      <c r="S192">
        <v>0.9</v>
      </c>
      <c r="U192">
        <v>0</v>
      </c>
      <c r="V192">
        <v>-39.110673400400003</v>
      </c>
      <c r="W192">
        <v>342.53914068473699</v>
      </c>
      <c r="X192">
        <v>0.9</v>
      </c>
      <c r="Z192">
        <v>-6.2387460812999995</v>
      </c>
      <c r="AA192">
        <v>-14.922801811399999</v>
      </c>
      <c r="AB192">
        <v>0.57863060919429754</v>
      </c>
      <c r="AC192">
        <v>0.9</v>
      </c>
      <c r="AE192">
        <v>-24.501737110700002</v>
      </c>
      <c r="AF192">
        <v>-24.407729905</v>
      </c>
      <c r="AG192">
        <v>138.15100519123536</v>
      </c>
      <c r="AH192">
        <v>0.9</v>
      </c>
      <c r="AJ192">
        <v>-36.0424408847</v>
      </c>
      <c r="AK192">
        <v>-15.094035682399999</v>
      </c>
      <c r="AL192">
        <v>51.144109925421382</v>
      </c>
      <c r="AM192">
        <v>0.9</v>
      </c>
    </row>
    <row r="193" spans="1:39" x14ac:dyDescent="0.25">
      <c r="A193">
        <v>78.885554980999999</v>
      </c>
      <c r="B193">
        <v>0</v>
      </c>
      <c r="C193">
        <v>305.99999999999909</v>
      </c>
      <c r="D193">
        <v>0.9</v>
      </c>
      <c r="F193">
        <v>32.3083486652</v>
      </c>
      <c r="G193">
        <v>-13.1621308058</v>
      </c>
      <c r="H193">
        <v>20.351202004888332</v>
      </c>
      <c r="I193">
        <v>0.9</v>
      </c>
      <c r="K193">
        <v>-10.516967409799999</v>
      </c>
      <c r="L193">
        <v>10.514747937499999</v>
      </c>
      <c r="M193">
        <v>-51.470976597597158</v>
      </c>
      <c r="N193">
        <v>0.9</v>
      </c>
      <c r="P193">
        <v>4.7537742300000003</v>
      </c>
      <c r="Q193">
        <v>-11.588903241400001</v>
      </c>
      <c r="R193">
        <v>-41.984461434286729</v>
      </c>
      <c r="S193">
        <v>0.9</v>
      </c>
      <c r="U193">
        <v>0</v>
      </c>
      <c r="V193">
        <v>-38.802678156500001</v>
      </c>
      <c r="W193">
        <v>338.43253743258873</v>
      </c>
      <c r="X193">
        <v>0.9</v>
      </c>
      <c r="Z193">
        <v>-3.5008246180999998</v>
      </c>
      <c r="AA193">
        <v>-8.3222105505999995</v>
      </c>
      <c r="AB193">
        <v>-81.233697312164594</v>
      </c>
      <c r="AC193">
        <v>0.9</v>
      </c>
      <c r="AE193">
        <v>-24.739959419199998</v>
      </c>
      <c r="AF193">
        <v>-24.535196464999999</v>
      </c>
      <c r="AG193">
        <v>140.41722599155375</v>
      </c>
      <c r="AH193">
        <v>0.9</v>
      </c>
      <c r="AJ193">
        <v>-41.595021524000003</v>
      </c>
      <c r="AK193">
        <v>-17.337609576800002</v>
      </c>
      <c r="AL193">
        <v>101.08742786460355</v>
      </c>
      <c r="AM193">
        <v>0.9</v>
      </c>
    </row>
    <row r="194" spans="1:39" x14ac:dyDescent="0.25">
      <c r="A194">
        <v>84.665554981</v>
      </c>
      <c r="B194">
        <v>0</v>
      </c>
      <c r="C194">
        <v>356.99999999999915</v>
      </c>
      <c r="D194">
        <v>0.9</v>
      </c>
      <c r="F194">
        <v>25.584463930599998</v>
      </c>
      <c r="G194">
        <v>-10.806103589300001</v>
      </c>
      <c r="H194">
        <v>-23.219567907456838</v>
      </c>
      <c r="I194">
        <v>0.9</v>
      </c>
      <c r="K194">
        <v>4.1933333333</v>
      </c>
      <c r="L194">
        <v>-4.1933333333</v>
      </c>
      <c r="M194">
        <v>-126.80317132020019</v>
      </c>
      <c r="N194">
        <v>0.9</v>
      </c>
      <c r="P194">
        <v>4.1164086490000003</v>
      </c>
      <c r="Q194">
        <v>-10.167032278100001</v>
      </c>
      <c r="R194">
        <v>-59.016074278363334</v>
      </c>
      <c r="S194">
        <v>0.9</v>
      </c>
      <c r="U194">
        <v>0</v>
      </c>
      <c r="V194">
        <v>-38.973786625300001</v>
      </c>
      <c r="W194">
        <v>340.7139836837822</v>
      </c>
      <c r="X194">
        <v>0.9</v>
      </c>
      <c r="Z194">
        <v>-5.4912747312999999</v>
      </c>
      <c r="AA194">
        <v>-13.0207445747</v>
      </c>
      <c r="AB194">
        <v>-23.648799213293319</v>
      </c>
      <c r="AC194">
        <v>0.9</v>
      </c>
      <c r="AE194">
        <v>-22.243479912799998</v>
      </c>
      <c r="AF194">
        <v>-22.262153103300001</v>
      </c>
      <c r="AG194">
        <v>105.42553672315347</v>
      </c>
      <c r="AH194">
        <v>0.9</v>
      </c>
      <c r="AJ194">
        <v>-27.891437666000002</v>
      </c>
      <c r="AK194">
        <v>-11.687139952099999</v>
      </c>
      <c r="AL194">
        <v>-8.5635275145583503</v>
      </c>
      <c r="AM194">
        <v>0.9</v>
      </c>
    </row>
    <row r="195" spans="1:39" x14ac:dyDescent="0.25">
      <c r="A195">
        <v>78.885554980999999</v>
      </c>
      <c r="B195">
        <v>0</v>
      </c>
      <c r="C195">
        <v>305.99999999999909</v>
      </c>
      <c r="D195">
        <v>0.9</v>
      </c>
      <c r="F195">
        <v>44.371779092499999</v>
      </c>
      <c r="G195">
        <v>-18.225618237900001</v>
      </c>
      <c r="H195">
        <v>126.68509016072383</v>
      </c>
      <c r="I195">
        <v>0.9</v>
      </c>
      <c r="K195">
        <v>-4.1933333333</v>
      </c>
      <c r="L195">
        <v>4.1933333333</v>
      </c>
      <c r="M195">
        <v>-126.80317132019965</v>
      </c>
      <c r="N195">
        <v>0.9</v>
      </c>
      <c r="P195">
        <v>3.7155208305</v>
      </c>
      <c r="Q195">
        <v>-9.0335089272999998</v>
      </c>
      <c r="R195">
        <v>-72.769718955538423</v>
      </c>
      <c r="S195">
        <v>0.9</v>
      </c>
      <c r="U195">
        <v>0</v>
      </c>
      <c r="V195">
        <v>-38.768456462700001</v>
      </c>
      <c r="W195">
        <v>337.97624818235005</v>
      </c>
      <c r="X195">
        <v>0.9</v>
      </c>
      <c r="Z195">
        <v>-2.2666666666999999</v>
      </c>
      <c r="AA195">
        <v>-5.5193333332999996</v>
      </c>
      <c r="AB195">
        <v>-113.20317132019973</v>
      </c>
      <c r="AC195">
        <v>0.9</v>
      </c>
      <c r="AE195">
        <v>-20.342458513500002</v>
      </c>
      <c r="AF195">
        <v>-20.5024539347</v>
      </c>
      <c r="AG195">
        <v>79.809547808713475</v>
      </c>
      <c r="AH195">
        <v>0.9</v>
      </c>
      <c r="AJ195">
        <v>-30.067387443200001</v>
      </c>
      <c r="AK195">
        <v>-12.4326898566</v>
      </c>
      <c r="AL195">
        <v>5.3438045459236694</v>
      </c>
      <c r="AM195">
        <v>0.9</v>
      </c>
    </row>
    <row r="196" spans="1:39" x14ac:dyDescent="0.25">
      <c r="A196">
        <v>84.665554981</v>
      </c>
      <c r="B196">
        <v>0</v>
      </c>
      <c r="C196">
        <v>356.99999999999915</v>
      </c>
      <c r="D196">
        <v>0.9</v>
      </c>
      <c r="F196">
        <v>37.646008698000003</v>
      </c>
      <c r="G196">
        <v>-15.3751204183</v>
      </c>
      <c r="H196">
        <v>62.654973620564874</v>
      </c>
      <c r="I196">
        <v>0.9</v>
      </c>
      <c r="K196">
        <v>4.1933333333</v>
      </c>
      <c r="L196">
        <v>-4.1933333333</v>
      </c>
      <c r="M196">
        <v>-126.80317132020019</v>
      </c>
      <c r="N196">
        <v>0.9</v>
      </c>
      <c r="P196">
        <v>2.2666666666999999</v>
      </c>
      <c r="Q196">
        <v>-5.5193333332999996</v>
      </c>
      <c r="R196">
        <v>-113.20317132020024</v>
      </c>
      <c r="S196">
        <v>0.9</v>
      </c>
      <c r="U196">
        <v>0</v>
      </c>
      <c r="V196">
        <v>-43.841470483599998</v>
      </c>
      <c r="W196">
        <v>446.7162057408492</v>
      </c>
      <c r="X196">
        <v>0.88354885057471411</v>
      </c>
      <c r="Z196">
        <v>-2.6973333333</v>
      </c>
      <c r="AA196">
        <v>-6.4486666666999994</v>
      </c>
      <c r="AB196">
        <v>-103.00317132019991</v>
      </c>
      <c r="AC196">
        <v>0.9</v>
      </c>
      <c r="AE196">
        <v>-21.559596688999999</v>
      </c>
      <c r="AF196">
        <v>-21.4398451265</v>
      </c>
      <c r="AG196">
        <v>93.743652588519353</v>
      </c>
      <c r="AH196">
        <v>0.9</v>
      </c>
      <c r="AJ196">
        <v>-29.876651560199999</v>
      </c>
      <c r="AK196">
        <v>-12.350945906699998</v>
      </c>
      <c r="AL196">
        <v>4.2538852141107073</v>
      </c>
      <c r="AM196">
        <v>0.9</v>
      </c>
    </row>
    <row r="197" spans="1:39" x14ac:dyDescent="0.25">
      <c r="A197">
        <v>84.665554981</v>
      </c>
      <c r="B197">
        <v>0</v>
      </c>
      <c r="C197">
        <v>356.99999999999915</v>
      </c>
      <c r="D197">
        <v>0.9</v>
      </c>
      <c r="F197">
        <v>25.2625674871</v>
      </c>
      <c r="G197">
        <v>-10.607433685</v>
      </c>
      <c r="H197">
        <v>-25.528499965207271</v>
      </c>
      <c r="I197">
        <v>0.9</v>
      </c>
      <c r="K197">
        <v>-4.0006666666999999</v>
      </c>
      <c r="L197">
        <v>4.0403333333000004</v>
      </c>
      <c r="M197">
        <v>-128.50317132019967</v>
      </c>
      <c r="N197">
        <v>0.9</v>
      </c>
      <c r="P197">
        <v>2.5953333333000002</v>
      </c>
      <c r="Q197">
        <v>-6.2956666666999999</v>
      </c>
      <c r="R197">
        <v>-104.70317132020025</v>
      </c>
      <c r="S197">
        <v>0.9</v>
      </c>
      <c r="U197">
        <v>0</v>
      </c>
      <c r="V197">
        <v>-35.707347993900001</v>
      </c>
      <c r="W197">
        <v>284.69480193115663</v>
      </c>
      <c r="X197">
        <v>0.9</v>
      </c>
      <c r="Z197">
        <v>-2.2666666666999999</v>
      </c>
      <c r="AA197">
        <v>-5.5193333332999996</v>
      </c>
      <c r="AB197">
        <v>-113.20317132019973</v>
      </c>
      <c r="AC197">
        <v>0.9</v>
      </c>
      <c r="AE197">
        <v>11.760498660000001</v>
      </c>
      <c r="AF197">
        <v>11.648356568600001</v>
      </c>
      <c r="AG197">
        <v>-37.565083739394829</v>
      </c>
      <c r="AH197">
        <v>0.9</v>
      </c>
      <c r="AJ197">
        <v>-24.716550336999997</v>
      </c>
      <c r="AK197">
        <v>-10.349140620600002</v>
      </c>
      <c r="AL197">
        <v>-29.199074156263858</v>
      </c>
      <c r="AM197">
        <v>0.9</v>
      </c>
    </row>
    <row r="198" spans="1:39" x14ac:dyDescent="0.25">
      <c r="A198">
        <v>78.885554980999999</v>
      </c>
      <c r="B198">
        <v>0</v>
      </c>
      <c r="C198">
        <v>305.99999999999909</v>
      </c>
      <c r="D198">
        <v>0.9</v>
      </c>
      <c r="F198">
        <v>29.876864040199997</v>
      </c>
      <c r="G198">
        <v>-12.351036969599999</v>
      </c>
      <c r="H198">
        <v>4.2550993858040957</v>
      </c>
      <c r="I198">
        <v>0.9</v>
      </c>
      <c r="K198">
        <v>-4.0006666666999999</v>
      </c>
      <c r="L198">
        <v>4.0403333333000004</v>
      </c>
      <c r="M198">
        <v>-128.50317132019967</v>
      </c>
      <c r="N198">
        <v>0.9</v>
      </c>
      <c r="P198">
        <v>-2.6973333333</v>
      </c>
      <c r="Q198">
        <v>6.4486666666999994</v>
      </c>
      <c r="R198">
        <v>-103.00317132019968</v>
      </c>
      <c r="S198">
        <v>0.9</v>
      </c>
      <c r="U198">
        <v>0</v>
      </c>
      <c r="V198">
        <v>-25.035733705600002</v>
      </c>
      <c r="W198">
        <v>131.07327808748593</v>
      </c>
      <c r="X198">
        <v>0.9</v>
      </c>
      <c r="Z198">
        <v>-2.2666666666999999</v>
      </c>
      <c r="AA198">
        <v>-5.5193333332999996</v>
      </c>
      <c r="AB198">
        <v>-113.20317132019973</v>
      </c>
      <c r="AC198">
        <v>0.9</v>
      </c>
      <c r="AE198">
        <v>-19.902869117600002</v>
      </c>
      <c r="AF198">
        <v>-19.8973305381</v>
      </c>
      <c r="AG198">
        <v>71.552346965802101</v>
      </c>
      <c r="AH198">
        <v>0.9</v>
      </c>
      <c r="AJ198">
        <v>-21.323254600999999</v>
      </c>
      <c r="AK198">
        <v>-8.6317757814</v>
      </c>
      <c r="AL198">
        <v>-51.001716457594533</v>
      </c>
      <c r="AM198">
        <v>0.9</v>
      </c>
    </row>
    <row r="199" spans="1:39" x14ac:dyDescent="0.25">
      <c r="A199">
        <v>72.425554980999991</v>
      </c>
      <c r="B199">
        <v>0</v>
      </c>
      <c r="C199">
        <v>254.99999999999923</v>
      </c>
      <c r="D199">
        <v>0.9</v>
      </c>
      <c r="F199">
        <v>24.1300697613</v>
      </c>
      <c r="G199">
        <v>-9.9099822786000011</v>
      </c>
      <c r="H199">
        <v>-33.618963160619046</v>
      </c>
      <c r="I199">
        <v>0.9</v>
      </c>
      <c r="K199">
        <v>3.6266666666999998</v>
      </c>
      <c r="L199">
        <v>-3.57</v>
      </c>
      <c r="M199">
        <v>-133.60317132020012</v>
      </c>
      <c r="N199">
        <v>0.9</v>
      </c>
      <c r="P199">
        <v>5.6122167741000002</v>
      </c>
      <c r="Q199">
        <v>-13.645432305</v>
      </c>
      <c r="R199">
        <v>-15.697407253063671</v>
      </c>
      <c r="S199">
        <v>0.9</v>
      </c>
      <c r="U199">
        <v>0</v>
      </c>
      <c r="V199">
        <v>-35.741569687599998</v>
      </c>
      <c r="W199">
        <v>285.15109118139526</v>
      </c>
      <c r="X199">
        <v>0.9</v>
      </c>
      <c r="Z199">
        <v>-2.0966666667</v>
      </c>
      <c r="AA199">
        <v>-5.0489999999999995</v>
      </c>
      <c r="AB199">
        <v>-118.30317132019957</v>
      </c>
      <c r="AC199">
        <v>0.9</v>
      </c>
      <c r="AE199">
        <v>-19.381017000100002</v>
      </c>
      <c r="AF199">
        <v>-19.275473719600001</v>
      </c>
      <c r="AG199">
        <v>62.920922718429139</v>
      </c>
      <c r="AH199">
        <v>0.9</v>
      </c>
      <c r="AJ199">
        <v>-34.402416755300003</v>
      </c>
      <c r="AK199">
        <v>-14.341445914299999</v>
      </c>
      <c r="AL199">
        <v>37.708733948055929</v>
      </c>
      <c r="AM199">
        <v>0.9</v>
      </c>
    </row>
    <row r="200" spans="1:39" x14ac:dyDescent="0.25">
      <c r="A200">
        <v>78.885554980999999</v>
      </c>
      <c r="B200">
        <v>0</v>
      </c>
      <c r="C200">
        <v>305.99999999999909</v>
      </c>
      <c r="D200">
        <v>0.9</v>
      </c>
      <c r="F200">
        <v>36.442594215</v>
      </c>
      <c r="G200">
        <v>-15.352105609000001</v>
      </c>
      <c r="H200">
        <v>55.146890860536807</v>
      </c>
      <c r="I200">
        <v>0.9</v>
      </c>
      <c r="K200">
        <v>4.1933333333</v>
      </c>
      <c r="L200">
        <v>-4.1933333333</v>
      </c>
      <c r="M200">
        <v>-126.80317132020019</v>
      </c>
      <c r="N200">
        <v>0.9</v>
      </c>
      <c r="P200">
        <v>2.0966666667</v>
      </c>
      <c r="Q200">
        <v>-5.0489999999999995</v>
      </c>
      <c r="R200">
        <v>-118.30317132020022</v>
      </c>
      <c r="S200">
        <v>0.9</v>
      </c>
      <c r="U200">
        <v>0</v>
      </c>
      <c r="V200">
        <v>-35.810013075199997</v>
      </c>
      <c r="W200">
        <v>286.06366968187263</v>
      </c>
      <c r="X200">
        <v>0.9</v>
      </c>
      <c r="Z200">
        <v>0</v>
      </c>
      <c r="AA200">
        <v>0</v>
      </c>
      <c r="AB200">
        <v>-171.00317132019964</v>
      </c>
      <c r="AC200">
        <v>0.9</v>
      </c>
      <c r="AE200">
        <v>-4.3633333332999999</v>
      </c>
      <c r="AF200">
        <v>-4.3463333333000005</v>
      </c>
      <c r="AG200">
        <v>-125.10317132019942</v>
      </c>
      <c r="AH200">
        <v>0.9</v>
      </c>
      <c r="AJ200">
        <v>-40.683150661200003</v>
      </c>
      <c r="AK200">
        <v>-17.253220898999999</v>
      </c>
      <c r="AL200">
        <v>94.46816579115476</v>
      </c>
      <c r="AM200">
        <v>0.9</v>
      </c>
    </row>
    <row r="201" spans="1:39" x14ac:dyDescent="0.25">
      <c r="A201">
        <v>84.665554981</v>
      </c>
      <c r="B201">
        <v>0</v>
      </c>
      <c r="C201">
        <v>356.99999999999915</v>
      </c>
      <c r="D201">
        <v>0.9</v>
      </c>
      <c r="F201">
        <v>36.042113604299999</v>
      </c>
      <c r="G201">
        <v>-15.094155907899999</v>
      </c>
      <c r="H201">
        <v>51.142239751916122</v>
      </c>
      <c r="I201">
        <v>0.9</v>
      </c>
      <c r="K201">
        <v>3.1393333332999998</v>
      </c>
      <c r="L201">
        <v>-3.0996666667000001</v>
      </c>
      <c r="M201">
        <v>-138.70317132020017</v>
      </c>
      <c r="N201">
        <v>0.9</v>
      </c>
      <c r="P201">
        <v>0</v>
      </c>
      <c r="Q201">
        <v>0</v>
      </c>
      <c r="R201">
        <v>-171.00317132019964</v>
      </c>
      <c r="S201">
        <v>0.9</v>
      </c>
      <c r="U201">
        <v>0</v>
      </c>
      <c r="V201">
        <v>-41.968668644299996</v>
      </c>
      <c r="W201">
        <v>397.64574393688531</v>
      </c>
      <c r="X201">
        <v>0.9</v>
      </c>
      <c r="Z201">
        <v>0</v>
      </c>
      <c r="AA201">
        <v>0</v>
      </c>
      <c r="AB201">
        <v>-171.00317132019964</v>
      </c>
      <c r="AC201">
        <v>0.9</v>
      </c>
      <c r="AE201">
        <v>-4.4322492936</v>
      </c>
      <c r="AF201">
        <v>-4.3758687449</v>
      </c>
      <c r="AG201">
        <v>-124.70936583278848</v>
      </c>
      <c r="AH201">
        <v>0.9</v>
      </c>
      <c r="AJ201">
        <v>-17.476381363000002</v>
      </c>
      <c r="AK201">
        <v>-7.1126396318000005</v>
      </c>
      <c r="AL201">
        <v>-73.372420674253632</v>
      </c>
      <c r="AM201">
        <v>0.9</v>
      </c>
    </row>
    <row r="202" spans="1:39" x14ac:dyDescent="0.25">
      <c r="A202">
        <v>84.665554981</v>
      </c>
      <c r="B202">
        <v>0</v>
      </c>
      <c r="C202">
        <v>356.99999999999915</v>
      </c>
      <c r="D202">
        <v>0.9</v>
      </c>
      <c r="F202">
        <v>36.698684535699996</v>
      </c>
      <c r="G202">
        <v>-15.434543719200001</v>
      </c>
      <c r="H202">
        <v>57.079787931472126</v>
      </c>
      <c r="I202">
        <v>0.9</v>
      </c>
      <c r="K202">
        <v>3.3660000000000001</v>
      </c>
      <c r="L202">
        <v>-3.4169999999999998</v>
      </c>
      <c r="M202">
        <v>-135.30317132020014</v>
      </c>
      <c r="N202">
        <v>0.9</v>
      </c>
      <c r="P202">
        <v>0</v>
      </c>
      <c r="Q202">
        <v>0</v>
      </c>
      <c r="R202">
        <v>-171.00317132019964</v>
      </c>
      <c r="S202">
        <v>0.9</v>
      </c>
      <c r="U202">
        <v>0</v>
      </c>
      <c r="V202">
        <v>-35.604682912500003</v>
      </c>
      <c r="W202">
        <v>283.32593418044047</v>
      </c>
      <c r="X202">
        <v>0.9</v>
      </c>
      <c r="Z202">
        <v>0</v>
      </c>
      <c r="AA202">
        <v>0</v>
      </c>
      <c r="AB202">
        <v>-171.00317132019964</v>
      </c>
      <c r="AC202">
        <v>0.9</v>
      </c>
      <c r="AE202">
        <v>-8.2735646434000003</v>
      </c>
      <c r="AF202">
        <v>-8.3786705614999999</v>
      </c>
      <c r="AG202">
        <v>-77.194230500792145</v>
      </c>
      <c r="AH202">
        <v>0.9</v>
      </c>
      <c r="AJ202">
        <v>-25.263221835300001</v>
      </c>
      <c r="AK202">
        <v>-10.607714119899999</v>
      </c>
      <c r="AL202">
        <v>-25.524760832654479</v>
      </c>
      <c r="AM202">
        <v>0.9</v>
      </c>
    </row>
    <row r="203" spans="1:39" x14ac:dyDescent="0.25">
      <c r="A203">
        <v>64.648797482500001</v>
      </c>
      <c r="B203">
        <v>0</v>
      </c>
      <c r="C203">
        <v>200.36138572244187</v>
      </c>
      <c r="D203">
        <v>0.9</v>
      </c>
      <c r="F203">
        <v>27.1246977138</v>
      </c>
      <c r="G203">
        <v>-11.210394258300001</v>
      </c>
      <c r="H203">
        <v>-14.353470098683932</v>
      </c>
      <c r="I203">
        <v>0.9</v>
      </c>
      <c r="K203">
        <v>4.0006666666999999</v>
      </c>
      <c r="L203">
        <v>-4.0403333333000004</v>
      </c>
      <c r="M203">
        <v>-128.50317132020018</v>
      </c>
      <c r="N203">
        <v>0.9</v>
      </c>
      <c r="P203">
        <v>0</v>
      </c>
      <c r="Q203">
        <v>0</v>
      </c>
      <c r="R203">
        <v>-171.00317132019964</v>
      </c>
      <c r="S203">
        <v>0.9</v>
      </c>
      <c r="U203">
        <v>0</v>
      </c>
      <c r="V203">
        <v>-31.028629624300002</v>
      </c>
      <c r="W203">
        <v>214.37855700438541</v>
      </c>
      <c r="X203">
        <v>0.9</v>
      </c>
      <c r="Z203">
        <v>0</v>
      </c>
      <c r="AA203">
        <v>0</v>
      </c>
      <c r="AB203">
        <v>-171.00317132019964</v>
      </c>
      <c r="AC203">
        <v>0.9</v>
      </c>
      <c r="AE203">
        <v>-4.1933333333</v>
      </c>
      <c r="AF203">
        <v>-4.1933333333</v>
      </c>
      <c r="AG203">
        <v>-126.8031713201994</v>
      </c>
      <c r="AH203">
        <v>0.9</v>
      </c>
      <c r="AJ203">
        <v>-24.506132919199999</v>
      </c>
      <c r="AK203">
        <v>-10.034723632</v>
      </c>
      <c r="AL203">
        <v>-31.389078448599079</v>
      </c>
      <c r="AM203">
        <v>0.9</v>
      </c>
    </row>
    <row r="204" spans="1:39" x14ac:dyDescent="0.25">
      <c r="A204">
        <v>65.28555498099999</v>
      </c>
      <c r="B204">
        <v>0</v>
      </c>
      <c r="C204">
        <v>203.9999999999992</v>
      </c>
      <c r="D204">
        <v>0.9</v>
      </c>
      <c r="F204">
        <v>17.029079494299999</v>
      </c>
      <c r="G204">
        <v>-6.9007007356000001</v>
      </c>
      <c r="H204">
        <v>-76.009383733944418</v>
      </c>
      <c r="I204">
        <v>0.9</v>
      </c>
      <c r="K204">
        <v>3.3660000000000001</v>
      </c>
      <c r="L204">
        <v>-3.4169999999999998</v>
      </c>
      <c r="M204">
        <v>-135.30317132020014</v>
      </c>
      <c r="N204">
        <v>0.9</v>
      </c>
      <c r="P204">
        <v>0</v>
      </c>
      <c r="Q204">
        <v>0</v>
      </c>
      <c r="R204">
        <v>-171.00317132019964</v>
      </c>
      <c r="S204">
        <v>0.9</v>
      </c>
      <c r="U204">
        <v>0</v>
      </c>
      <c r="V204">
        <v>-38.871121543999998</v>
      </c>
      <c r="W204">
        <v>339.34511593306615</v>
      </c>
      <c r="X204">
        <v>0.9</v>
      </c>
      <c r="Z204">
        <v>0</v>
      </c>
      <c r="AA204">
        <v>0</v>
      </c>
      <c r="AB204">
        <v>-171.00317132019964</v>
      </c>
      <c r="AC204">
        <v>0.9</v>
      </c>
      <c r="AE204">
        <v>-4.3633333332999999</v>
      </c>
      <c r="AF204">
        <v>-4.3463333333000005</v>
      </c>
      <c r="AG204">
        <v>-125.10317132019942</v>
      </c>
      <c r="AH204">
        <v>0.9</v>
      </c>
      <c r="AJ204">
        <v>-16.7011424234</v>
      </c>
      <c r="AK204">
        <v>-6.7601562766999992</v>
      </c>
      <c r="AL204">
        <v>-77.883309853295742</v>
      </c>
      <c r="AM204">
        <v>0.9</v>
      </c>
    </row>
    <row r="205" spans="1:39" x14ac:dyDescent="0.25">
      <c r="A205">
        <v>64.383038243499996</v>
      </c>
      <c r="B205">
        <v>0</v>
      </c>
      <c r="C205">
        <v>198.84276149985217</v>
      </c>
      <c r="D205">
        <v>0.9</v>
      </c>
      <c r="F205">
        <v>34.401639465500004</v>
      </c>
      <c r="G205">
        <v>-14.341731449300001</v>
      </c>
      <c r="H205">
        <v>37.704292292466107</v>
      </c>
      <c r="I205">
        <v>0.9</v>
      </c>
      <c r="K205">
        <v>0</v>
      </c>
      <c r="L205">
        <v>0</v>
      </c>
      <c r="M205">
        <v>-171.00317132019964</v>
      </c>
      <c r="N205">
        <v>0.9</v>
      </c>
      <c r="P205">
        <v>0</v>
      </c>
      <c r="Q205">
        <v>0</v>
      </c>
      <c r="R205">
        <v>-171.00317132019964</v>
      </c>
      <c r="S205">
        <v>0.9</v>
      </c>
      <c r="U205">
        <v>0</v>
      </c>
      <c r="V205">
        <v>-25.304944363200001</v>
      </c>
      <c r="W205">
        <v>134.66275352269699</v>
      </c>
      <c r="X205">
        <v>0.9</v>
      </c>
      <c r="Z205">
        <v>0</v>
      </c>
      <c r="AA205">
        <v>0</v>
      </c>
      <c r="AB205">
        <v>-171.00317132019964</v>
      </c>
      <c r="AC205">
        <v>0.9</v>
      </c>
      <c r="AE205">
        <v>-4.1933333333</v>
      </c>
      <c r="AF205">
        <v>-4.1933333333</v>
      </c>
      <c r="AG205">
        <v>-126.8031713201994</v>
      </c>
      <c r="AH205">
        <v>0.9</v>
      </c>
      <c r="AJ205">
        <v>-16.865110958800003</v>
      </c>
      <c r="AK205">
        <v>-6.8304285061999996</v>
      </c>
      <c r="AL205">
        <v>-76.946346793614993</v>
      </c>
      <c r="AM205">
        <v>0.9</v>
      </c>
    </row>
    <row r="206" spans="1:39" x14ac:dyDescent="0.25">
      <c r="A206">
        <v>78.885554980999999</v>
      </c>
      <c r="B206">
        <v>0</v>
      </c>
      <c r="C206">
        <v>305.99999999999909</v>
      </c>
      <c r="D206">
        <v>0.9</v>
      </c>
      <c r="F206">
        <v>33.270977028499999</v>
      </c>
      <c r="G206">
        <v>-13.6818931683</v>
      </c>
      <c r="H206">
        <v>27.989078366274306</v>
      </c>
      <c r="I206">
        <v>0.9</v>
      </c>
      <c r="K206">
        <v>0</v>
      </c>
      <c r="L206">
        <v>0</v>
      </c>
      <c r="M206">
        <v>-171.00317132019964</v>
      </c>
      <c r="N206">
        <v>0.9</v>
      </c>
      <c r="P206">
        <v>0</v>
      </c>
      <c r="Q206">
        <v>0</v>
      </c>
      <c r="R206">
        <v>-171.00317132019964</v>
      </c>
      <c r="S206">
        <v>0.9</v>
      </c>
      <c r="U206">
        <v>0</v>
      </c>
      <c r="V206">
        <v>-35.673126300099995</v>
      </c>
      <c r="W206">
        <v>284.23851268091778</v>
      </c>
      <c r="X206">
        <v>0.9</v>
      </c>
      <c r="Z206">
        <v>-2.0966666667</v>
      </c>
      <c r="AA206">
        <v>-5.0489999999999995</v>
      </c>
      <c r="AB206">
        <v>-118.30317132019957</v>
      </c>
      <c r="AC206">
        <v>0.9</v>
      </c>
      <c r="AE206">
        <v>6.1865907715000006</v>
      </c>
      <c r="AF206">
        <v>6.0797293781999997</v>
      </c>
      <c r="AG206">
        <v>-104.48455738807318</v>
      </c>
      <c r="AH206">
        <v>0.9</v>
      </c>
      <c r="AJ206">
        <v>-23.294234999099999</v>
      </c>
      <c r="AK206">
        <v>-9.493481666300001</v>
      </c>
      <c r="AL206">
        <v>-38.94563799209304</v>
      </c>
      <c r="AM206">
        <v>0.9</v>
      </c>
    </row>
    <row r="207" spans="1:39" x14ac:dyDescent="0.25">
      <c r="A207">
        <v>64.117279004599993</v>
      </c>
      <c r="B207">
        <v>0</v>
      </c>
      <c r="C207">
        <v>197.32413727726268</v>
      </c>
      <c r="D207">
        <v>0.9</v>
      </c>
      <c r="F207">
        <v>23.515170293400001</v>
      </c>
      <c r="G207">
        <v>-9.5881682210000001</v>
      </c>
      <c r="H207">
        <v>-37.683150595817587</v>
      </c>
      <c r="I207">
        <v>0.9</v>
      </c>
      <c r="K207">
        <v>0</v>
      </c>
      <c r="L207">
        <v>0</v>
      </c>
      <c r="M207">
        <v>-171.00317132019964</v>
      </c>
      <c r="N207">
        <v>0.9</v>
      </c>
      <c r="P207">
        <v>0</v>
      </c>
      <c r="Q207">
        <v>0</v>
      </c>
      <c r="R207">
        <v>-171.00317132019964</v>
      </c>
      <c r="S207">
        <v>0.9</v>
      </c>
      <c r="U207">
        <v>0</v>
      </c>
      <c r="V207">
        <v>-35.775791381399998</v>
      </c>
      <c r="W207">
        <v>285.60738043163394</v>
      </c>
      <c r="X207">
        <v>0.9</v>
      </c>
      <c r="Z207">
        <v>0</v>
      </c>
      <c r="AA207">
        <v>0</v>
      </c>
      <c r="AB207">
        <v>-171.00317132019964</v>
      </c>
      <c r="AC207">
        <v>0.9</v>
      </c>
      <c r="AE207">
        <v>-4.1933333333</v>
      </c>
      <c r="AF207">
        <v>-4.1933333333</v>
      </c>
      <c r="AG207">
        <v>-126.8031713201994</v>
      </c>
      <c r="AH207">
        <v>0.9</v>
      </c>
      <c r="AJ207">
        <v>-16.2085072213</v>
      </c>
      <c r="AK207">
        <v>-6.6502173804999991</v>
      </c>
      <c r="AL207">
        <v>-80.520272912976381</v>
      </c>
      <c r="AM207">
        <v>0.9</v>
      </c>
    </row>
    <row r="208" spans="1:39" x14ac:dyDescent="0.25">
      <c r="A208">
        <v>55.234242048699997</v>
      </c>
      <c r="B208">
        <v>0</v>
      </c>
      <c r="C208">
        <v>140.2496403869043</v>
      </c>
      <c r="D208">
        <v>0.9</v>
      </c>
      <c r="F208">
        <v>36.148765626699998</v>
      </c>
      <c r="G208">
        <v>-15.067387678699999</v>
      </c>
      <c r="H208">
        <v>51.751679880163472</v>
      </c>
      <c r="I208">
        <v>0.9</v>
      </c>
      <c r="K208">
        <v>0</v>
      </c>
      <c r="L208">
        <v>0</v>
      </c>
      <c r="M208">
        <v>-171.00317132019964</v>
      </c>
      <c r="N208">
        <v>0.9</v>
      </c>
      <c r="P208">
        <v>0</v>
      </c>
      <c r="Q208">
        <v>0</v>
      </c>
      <c r="R208">
        <v>-171.00317132019964</v>
      </c>
      <c r="S208">
        <v>0.9</v>
      </c>
      <c r="U208">
        <v>0</v>
      </c>
      <c r="V208">
        <v>-30.7594189667</v>
      </c>
      <c r="W208">
        <v>210.78908156917439</v>
      </c>
      <c r="X208">
        <v>0.9</v>
      </c>
      <c r="Z208">
        <v>0</v>
      </c>
      <c r="AA208">
        <v>0</v>
      </c>
      <c r="AB208">
        <v>-171.00317132019964</v>
      </c>
      <c r="AC208">
        <v>0.9</v>
      </c>
      <c r="AE208">
        <v>-3.6266666666999998</v>
      </c>
      <c r="AF208">
        <v>-3.57</v>
      </c>
      <c r="AG208">
        <v>-133.60317132019932</v>
      </c>
      <c r="AH208">
        <v>0.9</v>
      </c>
      <c r="AJ208">
        <v>-21.934582548799998</v>
      </c>
      <c r="AK208">
        <v>-9.0985829970999994</v>
      </c>
      <c r="AL208">
        <v>-46.779842469904558</v>
      </c>
      <c r="AM208">
        <v>0.9</v>
      </c>
    </row>
    <row r="209" spans="1:39" x14ac:dyDescent="0.25">
      <c r="A209">
        <v>78.885554980999999</v>
      </c>
      <c r="B209">
        <v>0</v>
      </c>
      <c r="C209">
        <v>305.99999999999909</v>
      </c>
      <c r="D209">
        <v>0.9</v>
      </c>
      <c r="F209">
        <v>-17.667684215400001</v>
      </c>
      <c r="G209">
        <v>7.1946265685000004</v>
      </c>
      <c r="H209">
        <v>-72.279261517842528</v>
      </c>
      <c r="I209">
        <v>0.9</v>
      </c>
      <c r="K209">
        <v>0</v>
      </c>
      <c r="L209">
        <v>0</v>
      </c>
      <c r="M209">
        <v>-171.00317132019964</v>
      </c>
      <c r="N209">
        <v>0.9</v>
      </c>
      <c r="P209">
        <v>0</v>
      </c>
      <c r="Q209">
        <v>0</v>
      </c>
      <c r="R209">
        <v>-171.00317132019964</v>
      </c>
      <c r="S209">
        <v>0.9</v>
      </c>
      <c r="U209">
        <v>0</v>
      </c>
      <c r="V209">
        <v>-26.381786993800002</v>
      </c>
      <c r="W209">
        <v>149.02065526354116</v>
      </c>
      <c r="X209">
        <v>0.9</v>
      </c>
      <c r="Z209">
        <v>0</v>
      </c>
      <c r="AA209">
        <v>0</v>
      </c>
      <c r="AB209">
        <v>-171.00317132019964</v>
      </c>
      <c r="AC209">
        <v>0.9</v>
      </c>
      <c r="AE209">
        <v>-4.1933333333</v>
      </c>
      <c r="AF209">
        <v>-4.1933333333</v>
      </c>
      <c r="AG209">
        <v>-126.8031713201994</v>
      </c>
      <c r="AH209">
        <v>0.9</v>
      </c>
      <c r="AJ209">
        <v>43.317939239400005</v>
      </c>
      <c r="AK209">
        <v>17.5285496035</v>
      </c>
      <c r="AL209">
        <v>113.87933861936486</v>
      </c>
      <c r="AM209">
        <v>0.9</v>
      </c>
    </row>
    <row r="210" spans="1:39" x14ac:dyDescent="0.25">
      <c r="A210">
        <v>72.425554980999991</v>
      </c>
      <c r="B210">
        <v>0</v>
      </c>
      <c r="C210">
        <v>254.99999999999923</v>
      </c>
      <c r="D210">
        <v>0.9</v>
      </c>
      <c r="F210">
        <v>16.865110958800003</v>
      </c>
      <c r="G210">
        <v>-6.8304285061999996</v>
      </c>
      <c r="H210">
        <v>-76.946346793625281</v>
      </c>
      <c r="I210">
        <v>0.9</v>
      </c>
      <c r="K210">
        <v>0</v>
      </c>
      <c r="L210">
        <v>0</v>
      </c>
      <c r="M210">
        <v>-171.00317132019964</v>
      </c>
      <c r="N210">
        <v>0.9</v>
      </c>
      <c r="P210">
        <v>0</v>
      </c>
      <c r="Q210">
        <v>0</v>
      </c>
      <c r="R210">
        <v>-171.00317132019964</v>
      </c>
      <c r="S210">
        <v>0.9</v>
      </c>
      <c r="U210">
        <v>0</v>
      </c>
      <c r="V210">
        <v>-31.567050939599998</v>
      </c>
      <c r="W210">
        <v>221.55750787480738</v>
      </c>
      <c r="X210">
        <v>0.9</v>
      </c>
      <c r="Z210">
        <v>0</v>
      </c>
      <c r="AA210">
        <v>0</v>
      </c>
      <c r="AB210">
        <v>-171.00317132019964</v>
      </c>
      <c r="AC210">
        <v>0.9</v>
      </c>
      <c r="AE210">
        <v>-4.0006666666999999</v>
      </c>
      <c r="AF210">
        <v>-4.0403333333000004</v>
      </c>
      <c r="AG210">
        <v>-128.50317132019941</v>
      </c>
      <c r="AH210">
        <v>0.9</v>
      </c>
      <c r="AJ210">
        <v>-27.125348026800001</v>
      </c>
      <c r="AK210">
        <v>-11.210672963899999</v>
      </c>
      <c r="AL210">
        <v>-14.349754023996452</v>
      </c>
      <c r="AM210">
        <v>0.9</v>
      </c>
    </row>
    <row r="211" spans="1:39" x14ac:dyDescent="0.25">
      <c r="A211">
        <v>84.665554981</v>
      </c>
      <c r="B211">
        <v>0</v>
      </c>
      <c r="C211">
        <v>356.99999999999915</v>
      </c>
      <c r="D211">
        <v>0.9</v>
      </c>
      <c r="F211">
        <v>30.0674117537</v>
      </c>
      <c r="G211">
        <v>-12.4327002754</v>
      </c>
      <c r="H211">
        <v>5.343943462719956</v>
      </c>
      <c r="I211">
        <v>0.9</v>
      </c>
      <c r="K211">
        <v>0</v>
      </c>
      <c r="L211">
        <v>0</v>
      </c>
      <c r="M211">
        <v>-171.00317132019964</v>
      </c>
      <c r="N211">
        <v>0.9</v>
      </c>
      <c r="P211">
        <v>0</v>
      </c>
      <c r="Q211">
        <v>0</v>
      </c>
      <c r="R211">
        <v>-171.00317132019964</v>
      </c>
      <c r="S211">
        <v>0.9</v>
      </c>
      <c r="U211">
        <v>0</v>
      </c>
      <c r="V211">
        <v>-18.972048444399999</v>
      </c>
      <c r="W211">
        <v>51.357474605797478</v>
      </c>
      <c r="X211">
        <v>0.9</v>
      </c>
      <c r="Z211">
        <v>0</v>
      </c>
      <c r="AA211">
        <v>0</v>
      </c>
      <c r="AB211">
        <v>-171.00317132019964</v>
      </c>
      <c r="AC211">
        <v>0.9</v>
      </c>
      <c r="AE211">
        <v>3.1393333332999998</v>
      </c>
      <c r="AF211">
        <v>3.0996666667000001</v>
      </c>
      <c r="AG211">
        <v>-138.70317132019966</v>
      </c>
      <c r="AH211">
        <v>0.9</v>
      </c>
      <c r="AJ211">
        <v>-25.585067781700001</v>
      </c>
      <c r="AK211">
        <v>-10.8063623826</v>
      </c>
      <c r="AL211">
        <v>-23.216117329396258</v>
      </c>
      <c r="AM211">
        <v>0.9</v>
      </c>
    </row>
    <row r="212" spans="1:39" x14ac:dyDescent="0.25">
      <c r="A212">
        <v>78.885554980999999</v>
      </c>
      <c r="B212">
        <v>0</v>
      </c>
      <c r="C212">
        <v>305.99999999999909</v>
      </c>
      <c r="D212">
        <v>0.9</v>
      </c>
      <c r="F212">
        <v>17.476381363000002</v>
      </c>
      <c r="G212">
        <v>-7.1126396318000005</v>
      </c>
      <c r="H212">
        <v>-73.372420674263481</v>
      </c>
      <c r="I212">
        <v>0.9</v>
      </c>
      <c r="K212">
        <v>0</v>
      </c>
      <c r="L212">
        <v>0</v>
      </c>
      <c r="M212">
        <v>-171.00317132019964</v>
      </c>
      <c r="N212">
        <v>0.9</v>
      </c>
      <c r="P212">
        <v>0</v>
      </c>
      <c r="Q212">
        <v>0</v>
      </c>
      <c r="R212">
        <v>-171.00317132019964</v>
      </c>
      <c r="S212">
        <v>0.9</v>
      </c>
      <c r="U212">
        <v>0</v>
      </c>
      <c r="V212">
        <v>-20.318101732700001</v>
      </c>
      <c r="W212">
        <v>69.304851781852705</v>
      </c>
      <c r="X212">
        <v>0.9</v>
      </c>
      <c r="Z212">
        <v>0</v>
      </c>
      <c r="AA212">
        <v>0</v>
      </c>
      <c r="AB212">
        <v>-171.00317132019964</v>
      </c>
      <c r="AC212">
        <v>0.9</v>
      </c>
      <c r="AE212">
        <v>-3.6266666666999998</v>
      </c>
      <c r="AF212">
        <v>-3.57</v>
      </c>
      <c r="AG212">
        <v>-133.60317132019932</v>
      </c>
      <c r="AH212">
        <v>0.9</v>
      </c>
      <c r="AJ212">
        <v>-15.291236817</v>
      </c>
      <c r="AK212">
        <v>-6.2603395882999999</v>
      </c>
      <c r="AL212">
        <v>-85.794199032337772</v>
      </c>
      <c r="AM212">
        <v>0.9</v>
      </c>
    </row>
    <row r="213" spans="1:39" x14ac:dyDescent="0.25">
      <c r="A213">
        <v>54.968482809800001</v>
      </c>
      <c r="B213">
        <v>0</v>
      </c>
      <c r="C213">
        <v>138.7310161643147</v>
      </c>
      <c r="D213">
        <v>0.9</v>
      </c>
      <c r="F213">
        <v>16.7011424234</v>
      </c>
      <c r="G213">
        <v>-6.7601562766999992</v>
      </c>
      <c r="H213">
        <v>-77.883309853306145</v>
      </c>
      <c r="I213">
        <v>0.9</v>
      </c>
      <c r="K213">
        <v>0</v>
      </c>
      <c r="L213">
        <v>0</v>
      </c>
      <c r="M213">
        <v>-171.00317132019964</v>
      </c>
      <c r="N213">
        <v>0.9</v>
      </c>
      <c r="P213">
        <v>0</v>
      </c>
      <c r="Q213">
        <v>0</v>
      </c>
      <c r="R213">
        <v>-171.00317132019964</v>
      </c>
      <c r="S213">
        <v>0.9</v>
      </c>
      <c r="U213">
        <v>0</v>
      </c>
      <c r="V213">
        <v>-18.433627129199998</v>
      </c>
      <c r="W213">
        <v>44.178523735375407</v>
      </c>
      <c r="X213">
        <v>0.9</v>
      </c>
      <c r="Z213">
        <v>0</v>
      </c>
      <c r="AA213">
        <v>0</v>
      </c>
      <c r="AB213">
        <v>-171.00317132019964</v>
      </c>
      <c r="AC213">
        <v>0.9</v>
      </c>
      <c r="AE213">
        <v>-4.0006666666999999</v>
      </c>
      <c r="AF213">
        <v>-4.0403333333000004</v>
      </c>
      <c r="AG213">
        <v>-128.50317132019941</v>
      </c>
      <c r="AH213">
        <v>0.9</v>
      </c>
      <c r="AJ213">
        <v>-17.029079494299999</v>
      </c>
      <c r="AK213">
        <v>-6.9007007356000001</v>
      </c>
      <c r="AL213">
        <v>-76.009383733934342</v>
      </c>
      <c r="AM213">
        <v>0.9</v>
      </c>
    </row>
    <row r="214" spans="1:39" x14ac:dyDescent="0.25">
      <c r="A214">
        <v>72.425554980999991</v>
      </c>
      <c r="B214">
        <v>0</v>
      </c>
      <c r="C214">
        <v>254.99999999999923</v>
      </c>
      <c r="D214">
        <v>0.9</v>
      </c>
      <c r="F214">
        <v>16.2085072213</v>
      </c>
      <c r="G214">
        <v>-6.6502173804999991</v>
      </c>
      <c r="H214">
        <v>-80.520272912987025</v>
      </c>
      <c r="I214">
        <v>0.9</v>
      </c>
      <c r="K214">
        <v>0</v>
      </c>
      <c r="L214">
        <v>0</v>
      </c>
      <c r="M214">
        <v>-171.00317132019964</v>
      </c>
      <c r="N214">
        <v>0.9</v>
      </c>
      <c r="P214">
        <v>0</v>
      </c>
      <c r="Q214">
        <v>0</v>
      </c>
      <c r="R214">
        <v>-171.00317132019964</v>
      </c>
      <c r="S214">
        <v>0.9</v>
      </c>
      <c r="U214">
        <v>0</v>
      </c>
      <c r="V214">
        <v>-35.638904606299995</v>
      </c>
      <c r="W214">
        <v>283.78222343067921</v>
      </c>
      <c r="X214">
        <v>0.9</v>
      </c>
      <c r="Z214">
        <v>0</v>
      </c>
      <c r="AA214">
        <v>0</v>
      </c>
      <c r="AB214">
        <v>-171.00317132019964</v>
      </c>
      <c r="AC214">
        <v>0.9</v>
      </c>
      <c r="AE214">
        <v>-3.1393333332999998</v>
      </c>
      <c r="AF214">
        <v>-3.0996666667000001</v>
      </c>
      <c r="AG214">
        <v>-138.7031713201994</v>
      </c>
      <c r="AH214">
        <v>0.9</v>
      </c>
      <c r="AJ214">
        <v>-15.4552053525</v>
      </c>
      <c r="AK214">
        <v>-6.3306118176999995</v>
      </c>
      <c r="AL214">
        <v>-84.857235972657108</v>
      </c>
      <c r="AM214">
        <v>0.9</v>
      </c>
    </row>
    <row r="215" spans="1:39" x14ac:dyDescent="0.25">
      <c r="A215">
        <v>72.425554980999991</v>
      </c>
      <c r="B215">
        <v>0</v>
      </c>
      <c r="C215">
        <v>254.99999999999923</v>
      </c>
      <c r="D215">
        <v>0.9</v>
      </c>
      <c r="F215">
        <v>13.225457068900001</v>
      </c>
      <c r="G215">
        <v>-5.4454339818999991</v>
      </c>
      <c r="H215">
        <v>-97.452940450114639</v>
      </c>
      <c r="I215">
        <v>0.9</v>
      </c>
      <c r="K215">
        <v>0</v>
      </c>
      <c r="L215">
        <v>0</v>
      </c>
      <c r="M215">
        <v>-171.00317132019964</v>
      </c>
      <c r="N215">
        <v>0.9</v>
      </c>
      <c r="P215">
        <v>0</v>
      </c>
      <c r="Q215">
        <v>0</v>
      </c>
      <c r="R215">
        <v>-171.00317132019964</v>
      </c>
      <c r="S215">
        <v>0.9</v>
      </c>
      <c r="U215">
        <v>0</v>
      </c>
      <c r="V215">
        <v>-26.112576336100002</v>
      </c>
      <c r="W215">
        <v>145.43117982832999</v>
      </c>
      <c r="X215">
        <v>0.9</v>
      </c>
      <c r="Z215">
        <v>0</v>
      </c>
      <c r="AA215">
        <v>0</v>
      </c>
      <c r="AB215">
        <v>-171.00317132019964</v>
      </c>
      <c r="AC215">
        <v>0.9</v>
      </c>
      <c r="AE215">
        <v>0</v>
      </c>
      <c r="AF215">
        <v>0</v>
      </c>
      <c r="AG215">
        <v>-171.00317132019964</v>
      </c>
      <c r="AH215">
        <v>0.9</v>
      </c>
      <c r="AJ215">
        <v>-24.130106436999998</v>
      </c>
      <c r="AK215">
        <v>-9.9099979967999996</v>
      </c>
      <c r="AL215">
        <v>-33.61875358479255</v>
      </c>
      <c r="AM215">
        <v>0.9</v>
      </c>
    </row>
    <row r="216" spans="1:39" x14ac:dyDescent="0.25">
      <c r="A216">
        <v>53.639686615000002</v>
      </c>
      <c r="B216">
        <v>0</v>
      </c>
      <c r="C216">
        <v>131.13789505136677</v>
      </c>
      <c r="D216">
        <v>0.9</v>
      </c>
      <c r="F216">
        <v>21.409021165499997</v>
      </c>
      <c r="G216">
        <v>-8.8110090708999991</v>
      </c>
      <c r="H216">
        <v>-50.123050374738931</v>
      </c>
      <c r="I216">
        <v>0.9</v>
      </c>
      <c r="K216">
        <v>0</v>
      </c>
      <c r="L216">
        <v>0</v>
      </c>
      <c r="M216">
        <v>-171.00317132019964</v>
      </c>
      <c r="N216">
        <v>0.9</v>
      </c>
      <c r="P216">
        <v>0</v>
      </c>
      <c r="Q216">
        <v>0</v>
      </c>
      <c r="R216">
        <v>-171.00317132019964</v>
      </c>
      <c r="S216">
        <v>0.9</v>
      </c>
      <c r="U216">
        <v>0</v>
      </c>
      <c r="V216">
        <v>-31.297840282000003</v>
      </c>
      <c r="W216">
        <v>217.96803243959644</v>
      </c>
      <c r="X216">
        <v>0.9</v>
      </c>
      <c r="Z216">
        <v>0</v>
      </c>
      <c r="AA216">
        <v>0</v>
      </c>
      <c r="AB216">
        <v>-171.00317132019964</v>
      </c>
      <c r="AC216">
        <v>0.9</v>
      </c>
      <c r="AE216">
        <v>0</v>
      </c>
      <c r="AF216">
        <v>0</v>
      </c>
      <c r="AG216">
        <v>-171.00317132019964</v>
      </c>
      <c r="AH216">
        <v>0.9</v>
      </c>
      <c r="AJ216">
        <v>16.077591924700002</v>
      </c>
      <c r="AK216">
        <v>6.8175393962999999</v>
      </c>
      <c r="AL216">
        <v>-80.782646035960013</v>
      </c>
      <c r="AM216">
        <v>0.9</v>
      </c>
    </row>
    <row r="217" spans="1:39" x14ac:dyDescent="0.25">
      <c r="A217">
        <v>63.585760526599998</v>
      </c>
      <c r="B217">
        <v>0</v>
      </c>
      <c r="C217">
        <v>194.28688883208343</v>
      </c>
      <c r="D217">
        <v>0.9</v>
      </c>
      <c r="F217">
        <v>-17.449580756099998</v>
      </c>
      <c r="G217">
        <v>7.2023441335999996</v>
      </c>
      <c r="H217">
        <v>-73.347471761586988</v>
      </c>
      <c r="I217">
        <v>0.9</v>
      </c>
      <c r="K217">
        <v>0</v>
      </c>
      <c r="L217">
        <v>0</v>
      </c>
      <c r="M217">
        <v>-171.00317132019964</v>
      </c>
      <c r="N217">
        <v>0.9</v>
      </c>
      <c r="P217">
        <v>0</v>
      </c>
      <c r="Q217">
        <v>0</v>
      </c>
      <c r="R217">
        <v>-171.00317132019964</v>
      </c>
      <c r="S217">
        <v>0.9</v>
      </c>
      <c r="U217">
        <v>0</v>
      </c>
      <c r="V217">
        <v>-25.8433656785</v>
      </c>
      <c r="W217">
        <v>141.84170439311904</v>
      </c>
      <c r="X217">
        <v>0.9</v>
      </c>
      <c r="Z217">
        <v>0</v>
      </c>
      <c r="AA217">
        <v>0</v>
      </c>
      <c r="AB217">
        <v>-171.00317132019964</v>
      </c>
      <c r="AC217">
        <v>0.9</v>
      </c>
      <c r="AE217">
        <v>0</v>
      </c>
      <c r="AF217">
        <v>0</v>
      </c>
      <c r="AG217">
        <v>-171.00317132019964</v>
      </c>
      <c r="AH217">
        <v>0.9</v>
      </c>
      <c r="AJ217">
        <v>-14.963299746200001</v>
      </c>
      <c r="AK217">
        <v>-6.1197951293000008</v>
      </c>
      <c r="AL217">
        <v>-87.668125151699002</v>
      </c>
      <c r="AM217">
        <v>0.9</v>
      </c>
    </row>
    <row r="218" spans="1:39" x14ac:dyDescent="0.25">
      <c r="A218">
        <v>51.513612703400007</v>
      </c>
      <c r="B218">
        <v>0</v>
      </c>
      <c r="C218">
        <v>118.98890127065025</v>
      </c>
      <c r="D218">
        <v>0.9</v>
      </c>
      <c r="F218">
        <v>21.934473841600003</v>
      </c>
      <c r="G218">
        <v>-9.0985364082999993</v>
      </c>
      <c r="H218">
        <v>-46.780463653645263</v>
      </c>
      <c r="I218">
        <v>0.9</v>
      </c>
      <c r="K218">
        <v>0</v>
      </c>
      <c r="L218">
        <v>0</v>
      </c>
      <c r="M218">
        <v>-171.00317132019964</v>
      </c>
      <c r="N218">
        <v>0.9</v>
      </c>
      <c r="P218">
        <v>0</v>
      </c>
      <c r="Q218">
        <v>0</v>
      </c>
      <c r="R218">
        <v>-171.00317132019964</v>
      </c>
      <c r="S218">
        <v>0.9</v>
      </c>
      <c r="U218">
        <v>0</v>
      </c>
      <c r="V218">
        <v>-20.856523047900001</v>
      </c>
      <c r="W218">
        <v>76.483802652274704</v>
      </c>
      <c r="X218">
        <v>0.9</v>
      </c>
      <c r="Z218">
        <v>0</v>
      </c>
      <c r="AA218">
        <v>0</v>
      </c>
      <c r="AB218">
        <v>-171.00317132019964</v>
      </c>
      <c r="AC218">
        <v>0.9</v>
      </c>
      <c r="AE218">
        <v>0</v>
      </c>
      <c r="AF218">
        <v>0</v>
      </c>
      <c r="AG218">
        <v>-171.00317132019964</v>
      </c>
      <c r="AH218">
        <v>0.9</v>
      </c>
      <c r="AJ218">
        <v>-23.515271563199999</v>
      </c>
      <c r="AK218">
        <v>-9.5882116223000011</v>
      </c>
      <c r="AL218">
        <v>-37.682571911347608</v>
      </c>
      <c r="AM218">
        <v>0.9</v>
      </c>
    </row>
    <row r="219" spans="1:39" x14ac:dyDescent="0.25">
      <c r="A219">
        <v>53.905445854</v>
      </c>
      <c r="B219">
        <v>0</v>
      </c>
      <c r="C219">
        <v>132.65651927395638</v>
      </c>
      <c r="D219">
        <v>0.9</v>
      </c>
      <c r="F219">
        <v>14.963299746200001</v>
      </c>
      <c r="G219">
        <v>-6.1197951293000008</v>
      </c>
      <c r="H219">
        <v>-87.668125151710413</v>
      </c>
      <c r="I219">
        <v>0.9</v>
      </c>
      <c r="K219">
        <v>0</v>
      </c>
      <c r="L219">
        <v>0</v>
      </c>
      <c r="M219">
        <v>-171.00317132019964</v>
      </c>
      <c r="N219">
        <v>0.9</v>
      </c>
      <c r="P219">
        <v>0</v>
      </c>
      <c r="Q219">
        <v>0</v>
      </c>
      <c r="R219">
        <v>-171.00317132019964</v>
      </c>
      <c r="S219">
        <v>0.9</v>
      </c>
      <c r="U219">
        <v>0</v>
      </c>
      <c r="V219">
        <v>-16.818363183300001</v>
      </c>
      <c r="W219">
        <v>22.641671124109219</v>
      </c>
      <c r="X219">
        <v>0.9</v>
      </c>
      <c r="Z219">
        <v>0</v>
      </c>
      <c r="AA219">
        <v>0</v>
      </c>
      <c r="AB219">
        <v>-171.00317132019964</v>
      </c>
      <c r="AC219">
        <v>0.9</v>
      </c>
      <c r="AE219">
        <v>0</v>
      </c>
      <c r="AF219">
        <v>0</v>
      </c>
      <c r="AG219">
        <v>-171.00317132019964</v>
      </c>
      <c r="AH219">
        <v>0.9</v>
      </c>
      <c r="AJ219">
        <v>-14.470664544000002</v>
      </c>
      <c r="AK219">
        <v>-5.9985228998000002</v>
      </c>
      <c r="AL219">
        <v>-90.305088211379825</v>
      </c>
      <c r="AM219">
        <v>0.9</v>
      </c>
    </row>
    <row r="220" spans="1:39" x14ac:dyDescent="0.25">
      <c r="A220">
        <v>55.500001287699995</v>
      </c>
      <c r="B220">
        <v>0</v>
      </c>
      <c r="C220">
        <v>141.76826460949388</v>
      </c>
      <c r="D220">
        <v>0.9</v>
      </c>
      <c r="F220">
        <v>-17.152957647999997</v>
      </c>
      <c r="G220">
        <v>7.0752199443999997</v>
      </c>
      <c r="H220">
        <v>-75.042460950772195</v>
      </c>
      <c r="I220">
        <v>0.9</v>
      </c>
      <c r="K220">
        <v>0</v>
      </c>
      <c r="L220">
        <v>0</v>
      </c>
      <c r="M220">
        <v>-171.00317132019964</v>
      </c>
      <c r="N220">
        <v>0.9</v>
      </c>
      <c r="P220">
        <v>0</v>
      </c>
      <c r="Q220">
        <v>0</v>
      </c>
      <c r="R220">
        <v>-171.00317132019964</v>
      </c>
      <c r="S220">
        <v>0.9</v>
      </c>
      <c r="U220">
        <v>0</v>
      </c>
      <c r="V220">
        <v>-35.066261597299999</v>
      </c>
      <c r="W220">
        <v>276.1469833100183</v>
      </c>
      <c r="X220">
        <v>0.9</v>
      </c>
      <c r="Z220">
        <v>0</v>
      </c>
      <c r="AA220">
        <v>0</v>
      </c>
      <c r="AB220">
        <v>-171.00317132019964</v>
      </c>
      <c r="AC220">
        <v>0.9</v>
      </c>
      <c r="AE220">
        <v>0</v>
      </c>
      <c r="AF220">
        <v>0</v>
      </c>
      <c r="AG220">
        <v>-171.00317132019964</v>
      </c>
      <c r="AH220">
        <v>0.9</v>
      </c>
      <c r="AJ220">
        <v>-13.389425604400001</v>
      </c>
      <c r="AK220">
        <v>-5.5157062113999995</v>
      </c>
      <c r="AL220">
        <v>-96.515977390421909</v>
      </c>
      <c r="AM220">
        <v>0.9</v>
      </c>
    </row>
    <row r="221" spans="1:39" x14ac:dyDescent="0.25">
      <c r="A221">
        <v>54.436964331900001</v>
      </c>
      <c r="B221">
        <v>0</v>
      </c>
      <c r="C221">
        <v>135.69376771913565</v>
      </c>
      <c r="D221">
        <v>0.9</v>
      </c>
      <c r="F221">
        <v>15.127268281599999</v>
      </c>
      <c r="G221">
        <v>-6.1900673587999995</v>
      </c>
      <c r="H221">
        <v>-86.73116209202955</v>
      </c>
      <c r="I221">
        <v>0.9</v>
      </c>
      <c r="K221">
        <v>0</v>
      </c>
      <c r="L221">
        <v>0</v>
      </c>
      <c r="M221">
        <v>-171.00317132019964</v>
      </c>
      <c r="N221">
        <v>0.9</v>
      </c>
      <c r="P221">
        <v>0</v>
      </c>
      <c r="Q221">
        <v>0</v>
      </c>
      <c r="R221">
        <v>-171.00317132019964</v>
      </c>
      <c r="S221">
        <v>0.9</v>
      </c>
      <c r="U221">
        <v>0</v>
      </c>
      <c r="V221">
        <v>-19.241259102099999</v>
      </c>
      <c r="W221">
        <v>54.946950041008542</v>
      </c>
      <c r="X221">
        <v>0.9</v>
      </c>
      <c r="Z221">
        <v>0</v>
      </c>
      <c r="AA221">
        <v>0</v>
      </c>
      <c r="AB221">
        <v>-171.00317132019964</v>
      </c>
      <c r="AC221">
        <v>0.9</v>
      </c>
      <c r="AE221">
        <v>0</v>
      </c>
      <c r="AF221">
        <v>0</v>
      </c>
      <c r="AG221">
        <v>-171.00317132019964</v>
      </c>
      <c r="AH221">
        <v>0.9</v>
      </c>
      <c r="AJ221">
        <v>-40.272441578799999</v>
      </c>
      <c r="AK221">
        <v>-16.884429553299999</v>
      </c>
      <c r="AL221">
        <v>88.769828177925476</v>
      </c>
      <c r="AM221">
        <v>0.9</v>
      </c>
    </row>
    <row r="222" spans="1:39" x14ac:dyDescent="0.25">
      <c r="A222">
        <v>64.914556721400004</v>
      </c>
      <c r="B222">
        <v>0</v>
      </c>
      <c r="C222">
        <v>201.88000994503133</v>
      </c>
      <c r="D222">
        <v>0.9</v>
      </c>
      <c r="F222">
        <v>11.606979189599999</v>
      </c>
      <c r="G222">
        <v>-4.8424672716999995</v>
      </c>
      <c r="H222">
        <v>-106.47471880819992</v>
      </c>
      <c r="I222">
        <v>0.9</v>
      </c>
      <c r="K222">
        <v>0</v>
      </c>
      <c r="L222">
        <v>0</v>
      </c>
      <c r="M222">
        <v>-171.00317132019964</v>
      </c>
      <c r="N222">
        <v>0.9</v>
      </c>
      <c r="P222">
        <v>0</v>
      </c>
      <c r="Q222">
        <v>0</v>
      </c>
      <c r="R222">
        <v>-171.00317132019964</v>
      </c>
      <c r="S222">
        <v>0.9</v>
      </c>
      <c r="U222">
        <v>0</v>
      </c>
      <c r="V222">
        <v>-26.650997651399997</v>
      </c>
      <c r="W222">
        <v>152.61013069875222</v>
      </c>
      <c r="X222">
        <v>0.9</v>
      </c>
      <c r="Z222">
        <v>0</v>
      </c>
      <c r="AA222">
        <v>0</v>
      </c>
      <c r="AB222">
        <v>-171.00317132019964</v>
      </c>
      <c r="AC222">
        <v>0.9</v>
      </c>
      <c r="AE222">
        <v>0</v>
      </c>
      <c r="AF222">
        <v>0</v>
      </c>
      <c r="AG222">
        <v>-171.00317132019964</v>
      </c>
      <c r="AH222">
        <v>0.9</v>
      </c>
      <c r="AJ222">
        <v>-21.408988323399999</v>
      </c>
      <c r="AK222">
        <v>-8.8109949956999998</v>
      </c>
      <c r="AL222">
        <v>-50.123238043728762</v>
      </c>
      <c r="AM222">
        <v>0.9</v>
      </c>
    </row>
    <row r="223" spans="1:39" x14ac:dyDescent="0.25">
      <c r="A223">
        <v>78.885554980999999</v>
      </c>
      <c r="B223">
        <v>0</v>
      </c>
      <c r="C223">
        <v>305.99999999999909</v>
      </c>
      <c r="D223">
        <v>0.9</v>
      </c>
      <c r="F223">
        <v>14.470664544000002</v>
      </c>
      <c r="G223">
        <v>-5.9985228998000002</v>
      </c>
      <c r="H223">
        <v>-90.305088211391407</v>
      </c>
      <c r="I223">
        <v>0.9</v>
      </c>
      <c r="K223">
        <v>0</v>
      </c>
      <c r="L223">
        <v>0</v>
      </c>
      <c r="M223">
        <v>-171.00317132019964</v>
      </c>
      <c r="N223">
        <v>0.9</v>
      </c>
      <c r="P223">
        <v>0</v>
      </c>
      <c r="Q223">
        <v>0</v>
      </c>
      <c r="R223">
        <v>-171.00317132019964</v>
      </c>
      <c r="S223">
        <v>0.9</v>
      </c>
      <c r="U223">
        <v>0</v>
      </c>
      <c r="V223">
        <v>-18.164416471500001</v>
      </c>
      <c r="W223">
        <v>40.589048300164485</v>
      </c>
      <c r="X223">
        <v>0.9</v>
      </c>
      <c r="Z223">
        <v>0</v>
      </c>
      <c r="AA223">
        <v>0</v>
      </c>
      <c r="AB223">
        <v>-171.00317132019964</v>
      </c>
      <c r="AC223">
        <v>0.9</v>
      </c>
      <c r="AE223">
        <v>0</v>
      </c>
      <c r="AF223">
        <v>0</v>
      </c>
      <c r="AG223">
        <v>-171.00317132019964</v>
      </c>
      <c r="AH223">
        <v>0.9</v>
      </c>
      <c r="AJ223">
        <v>-14.0006960086</v>
      </c>
      <c r="AK223">
        <v>-5.8205840036999996</v>
      </c>
      <c r="AL223">
        <v>-92.942051271060606</v>
      </c>
      <c r="AM223">
        <v>0.9</v>
      </c>
    </row>
    <row r="224" spans="1:39" x14ac:dyDescent="0.25">
      <c r="A224">
        <v>54.171205092900003</v>
      </c>
      <c r="B224">
        <v>0</v>
      </c>
      <c r="C224">
        <v>134.17514349654599</v>
      </c>
      <c r="D224">
        <v>0.9</v>
      </c>
      <c r="F224">
        <v>12.0988847959</v>
      </c>
      <c r="G224">
        <v>-5.0532839601999999</v>
      </c>
      <c r="H224">
        <v>-103.66382962915725</v>
      </c>
      <c r="I224">
        <v>0.9</v>
      </c>
      <c r="K224">
        <v>0</v>
      </c>
      <c r="L224">
        <v>0</v>
      </c>
      <c r="M224">
        <v>-171.00317132019964</v>
      </c>
      <c r="N224">
        <v>0.9</v>
      </c>
      <c r="P224">
        <v>0</v>
      </c>
      <c r="Q224">
        <v>0</v>
      </c>
      <c r="R224">
        <v>-171.00317132019964</v>
      </c>
      <c r="S224">
        <v>0.9</v>
      </c>
      <c r="U224">
        <v>0</v>
      </c>
      <c r="V224">
        <v>-20.048891075</v>
      </c>
      <c r="W224">
        <v>65.71537634664169</v>
      </c>
      <c r="X224">
        <v>0.9</v>
      </c>
      <c r="Z224">
        <v>0</v>
      </c>
      <c r="AA224">
        <v>0</v>
      </c>
      <c r="AB224">
        <v>-171.00317132019964</v>
      </c>
      <c r="AC224">
        <v>0.9</v>
      </c>
      <c r="AE224">
        <v>0</v>
      </c>
      <c r="AF224">
        <v>0</v>
      </c>
      <c r="AG224">
        <v>-171.00317132019964</v>
      </c>
      <c r="AH224">
        <v>0.9</v>
      </c>
      <c r="AJ224">
        <v>-15.127268281599999</v>
      </c>
      <c r="AK224">
        <v>-6.1900673587999995</v>
      </c>
      <c r="AL224">
        <v>-86.731162092018408</v>
      </c>
      <c r="AM224">
        <v>0.9</v>
      </c>
    </row>
    <row r="225" spans="1:39" x14ac:dyDescent="0.25">
      <c r="A225">
        <v>65.180315960400009</v>
      </c>
      <c r="B225">
        <v>0</v>
      </c>
      <c r="C225">
        <v>203.39863416762108</v>
      </c>
      <c r="D225">
        <v>0.9</v>
      </c>
      <c r="F225">
        <v>15.4552053525</v>
      </c>
      <c r="G225">
        <v>-6.3306118176999995</v>
      </c>
      <c r="H225">
        <v>-84.857235972667823</v>
      </c>
      <c r="I225">
        <v>0.9</v>
      </c>
      <c r="K225">
        <v>0</v>
      </c>
      <c r="L225">
        <v>0</v>
      </c>
      <c r="M225">
        <v>-171.00317132019964</v>
      </c>
      <c r="N225">
        <v>0.9</v>
      </c>
      <c r="P225">
        <v>1.6319999999999999</v>
      </c>
      <c r="Q225">
        <v>-3.944</v>
      </c>
      <c r="R225">
        <v>-130.20317132020006</v>
      </c>
      <c r="S225">
        <v>0.9</v>
      </c>
      <c r="U225">
        <v>0</v>
      </c>
      <c r="V225">
        <v>-20.587312390299999</v>
      </c>
      <c r="W225">
        <v>72.894327217063775</v>
      </c>
      <c r="X225">
        <v>0.9</v>
      </c>
      <c r="Z225">
        <v>0</v>
      </c>
      <c r="AA225">
        <v>0</v>
      </c>
      <c r="AB225">
        <v>-171.00317132019964</v>
      </c>
      <c r="AC225">
        <v>0.9</v>
      </c>
      <c r="AE225">
        <v>0</v>
      </c>
      <c r="AF225">
        <v>0</v>
      </c>
      <c r="AG225">
        <v>-171.00317132019964</v>
      </c>
      <c r="AH225">
        <v>0.9</v>
      </c>
      <c r="AJ225">
        <v>-12.5688533314</v>
      </c>
      <c r="AK225">
        <v>-5.2425561896000001</v>
      </c>
      <c r="AL225">
        <v>-101.02686656946393</v>
      </c>
      <c r="AM225">
        <v>0.9</v>
      </c>
    </row>
    <row r="226" spans="1:39" x14ac:dyDescent="0.25">
      <c r="A226">
        <v>53.373927376099999</v>
      </c>
      <c r="B226">
        <v>0</v>
      </c>
      <c r="C226">
        <v>129.61927082877725</v>
      </c>
      <c r="D226">
        <v>0.9</v>
      </c>
      <c r="F226">
        <v>15.291236817</v>
      </c>
      <c r="G226">
        <v>-6.2603395882999999</v>
      </c>
      <c r="H226">
        <v>-85.794199032348757</v>
      </c>
      <c r="I226">
        <v>0.9</v>
      </c>
      <c r="K226">
        <v>0</v>
      </c>
      <c r="L226">
        <v>0</v>
      </c>
      <c r="M226">
        <v>-171.00317132019964</v>
      </c>
      <c r="N226">
        <v>0.9</v>
      </c>
      <c r="P226">
        <v>0</v>
      </c>
      <c r="Q226">
        <v>0</v>
      </c>
      <c r="R226">
        <v>-171.00317132019964</v>
      </c>
      <c r="S226">
        <v>0.9</v>
      </c>
      <c r="U226">
        <v>0</v>
      </c>
      <c r="V226">
        <v>-19.510469759700001</v>
      </c>
      <c r="W226">
        <v>58.53642547621947</v>
      </c>
      <c r="X226">
        <v>0.9</v>
      </c>
      <c r="Z226">
        <v>0</v>
      </c>
      <c r="AA226">
        <v>0</v>
      </c>
      <c r="AB226">
        <v>-171.00317132019964</v>
      </c>
      <c r="AC226">
        <v>0.9</v>
      </c>
      <c r="AE226">
        <v>0</v>
      </c>
      <c r="AF226">
        <v>0</v>
      </c>
      <c r="AG226">
        <v>-171.00317132019964</v>
      </c>
      <c r="AH226">
        <v>0.9</v>
      </c>
      <c r="AJ226">
        <v>-13.5533941398</v>
      </c>
      <c r="AK226">
        <v>-5.5859784409</v>
      </c>
      <c r="AL226">
        <v>-95.579014330741188</v>
      </c>
      <c r="AM226">
        <v>0.9</v>
      </c>
    </row>
    <row r="227" spans="1:39" x14ac:dyDescent="0.25">
      <c r="A227">
        <v>53.108168137100002</v>
      </c>
      <c r="B227">
        <v>0</v>
      </c>
      <c r="C227">
        <v>128.10064660618767</v>
      </c>
      <c r="D227">
        <v>0.9</v>
      </c>
      <c r="F227">
        <v>11.770947725000001</v>
      </c>
      <c r="G227">
        <v>-4.9127395011999999</v>
      </c>
      <c r="H227">
        <v>-105.53775574851898</v>
      </c>
      <c r="I227">
        <v>0.9</v>
      </c>
      <c r="K227">
        <v>0</v>
      </c>
      <c r="L227">
        <v>0</v>
      </c>
      <c r="M227">
        <v>-171.00317132019964</v>
      </c>
      <c r="N227">
        <v>0.9</v>
      </c>
      <c r="P227">
        <v>0</v>
      </c>
      <c r="Q227">
        <v>0</v>
      </c>
      <c r="R227">
        <v>-171.00317132019964</v>
      </c>
      <c r="S227">
        <v>0.9</v>
      </c>
      <c r="U227">
        <v>0</v>
      </c>
      <c r="V227">
        <v>-17.625995156199998</v>
      </c>
      <c r="W227">
        <v>33.410097429742414</v>
      </c>
      <c r="X227">
        <v>0.9</v>
      </c>
      <c r="Z227">
        <v>0</v>
      </c>
      <c r="AA227">
        <v>0</v>
      </c>
      <c r="AB227">
        <v>-171.00317132019964</v>
      </c>
      <c r="AC227">
        <v>0.9</v>
      </c>
      <c r="AE227">
        <v>0</v>
      </c>
      <c r="AF227">
        <v>0</v>
      </c>
      <c r="AG227">
        <v>-171.00317132019964</v>
      </c>
      <c r="AH227">
        <v>0.9</v>
      </c>
      <c r="AJ227">
        <v>-11.770947725000001</v>
      </c>
      <c r="AK227">
        <v>-4.9127395011999999</v>
      </c>
      <c r="AL227">
        <v>-105.53775574850613</v>
      </c>
      <c r="AM227">
        <v>0.9</v>
      </c>
    </row>
    <row r="228" spans="1:39" x14ac:dyDescent="0.25">
      <c r="A228">
        <v>42.482094225500006</v>
      </c>
      <c r="B228">
        <v>0</v>
      </c>
      <c r="C228">
        <v>64.951652825471285</v>
      </c>
      <c r="D228">
        <v>0.9</v>
      </c>
      <c r="F228">
        <v>37.354240167600004</v>
      </c>
      <c r="G228">
        <v>-15.763971164399999</v>
      </c>
      <c r="H228">
        <v>63.011534399694675</v>
      </c>
      <c r="I228">
        <v>0.9</v>
      </c>
      <c r="K228">
        <v>0</v>
      </c>
      <c r="L228">
        <v>0</v>
      </c>
      <c r="M228">
        <v>-171.00317132019964</v>
      </c>
      <c r="N228">
        <v>0.9</v>
      </c>
      <c r="P228">
        <v>0</v>
      </c>
      <c r="Q228">
        <v>0</v>
      </c>
      <c r="R228">
        <v>-171.00317132019964</v>
      </c>
      <c r="S228">
        <v>0.9</v>
      </c>
      <c r="U228">
        <v>0</v>
      </c>
      <c r="V228">
        <v>-18.7028377868</v>
      </c>
      <c r="W228">
        <v>47.767999170586485</v>
      </c>
      <c r="X228">
        <v>0.9</v>
      </c>
      <c r="Z228">
        <v>0</v>
      </c>
      <c r="AA228">
        <v>0</v>
      </c>
      <c r="AB228">
        <v>-171.00317132019964</v>
      </c>
      <c r="AC228">
        <v>0.9</v>
      </c>
      <c r="AE228">
        <v>0</v>
      </c>
      <c r="AF228">
        <v>0</v>
      </c>
      <c r="AG228">
        <v>-171.00317132019964</v>
      </c>
      <c r="AH228">
        <v>0.9</v>
      </c>
      <c r="AJ228">
        <v>-13.0614885335</v>
      </c>
      <c r="AK228">
        <v>-5.3751617524000004</v>
      </c>
      <c r="AL228">
        <v>-98.389903509783281</v>
      </c>
      <c r="AM228">
        <v>0.9</v>
      </c>
    </row>
    <row r="229" spans="1:39" x14ac:dyDescent="0.25">
      <c r="A229">
        <v>52.310890420300005</v>
      </c>
      <c r="B229">
        <v>0</v>
      </c>
      <c r="C229">
        <v>123.5447739384192</v>
      </c>
      <c r="D229">
        <v>0.9</v>
      </c>
      <c r="F229">
        <v>10.786406916599999</v>
      </c>
      <c r="G229">
        <v>-4.5579839165999996</v>
      </c>
      <c r="H229">
        <v>-110.9856079872424</v>
      </c>
      <c r="I229">
        <v>0.9</v>
      </c>
      <c r="K229">
        <v>0</v>
      </c>
      <c r="L229">
        <v>0</v>
      </c>
      <c r="M229">
        <v>-171.00317132019964</v>
      </c>
      <c r="N229">
        <v>0.9</v>
      </c>
      <c r="P229">
        <v>0</v>
      </c>
      <c r="Q229">
        <v>0</v>
      </c>
      <c r="R229">
        <v>-171.00317132019964</v>
      </c>
      <c r="S229">
        <v>0.9</v>
      </c>
      <c r="U229">
        <v>0</v>
      </c>
      <c r="V229">
        <v>-25.574155020899997</v>
      </c>
      <c r="W229">
        <v>138.25222895790799</v>
      </c>
      <c r="X229">
        <v>0.9</v>
      </c>
      <c r="Z229">
        <v>0</v>
      </c>
      <c r="AA229">
        <v>0</v>
      </c>
      <c r="AB229">
        <v>-171.00317132019964</v>
      </c>
      <c r="AC229">
        <v>0.9</v>
      </c>
      <c r="AE229">
        <v>0</v>
      </c>
      <c r="AF229">
        <v>0</v>
      </c>
      <c r="AG229">
        <v>-171.00317132019964</v>
      </c>
      <c r="AH229">
        <v>0.9</v>
      </c>
      <c r="AJ229">
        <v>-11.2790421187</v>
      </c>
      <c r="AK229">
        <v>-4.7019228127999995</v>
      </c>
      <c r="AL229">
        <v>-108.34864492754808</v>
      </c>
      <c r="AM229">
        <v>0.9</v>
      </c>
    </row>
    <row r="230" spans="1:39" x14ac:dyDescent="0.25">
      <c r="A230">
        <v>42.747853464399995</v>
      </c>
      <c r="B230">
        <v>0</v>
      </c>
      <c r="C230">
        <v>66.470277048060936</v>
      </c>
      <c r="D230">
        <v>0.9</v>
      </c>
      <c r="F230">
        <v>23.294159008299999</v>
      </c>
      <c r="G230">
        <v>-9.4934490988000011</v>
      </c>
      <c r="H230">
        <v>-38.946072225381805</v>
      </c>
      <c r="I230">
        <v>0.9</v>
      </c>
      <c r="K230">
        <v>0</v>
      </c>
      <c r="L230">
        <v>0</v>
      </c>
      <c r="M230">
        <v>-171.00317132019964</v>
      </c>
      <c r="N230">
        <v>0.9</v>
      </c>
      <c r="P230">
        <v>0</v>
      </c>
      <c r="Q230">
        <v>0</v>
      </c>
      <c r="R230">
        <v>-171.00317132019964</v>
      </c>
      <c r="S230">
        <v>0.9</v>
      </c>
      <c r="U230">
        <v>0</v>
      </c>
      <c r="V230">
        <v>-26.920208309099998</v>
      </c>
      <c r="W230">
        <v>156.1996061339633</v>
      </c>
      <c r="X230">
        <v>0.9</v>
      </c>
      <c r="Z230">
        <v>0</v>
      </c>
      <c r="AA230">
        <v>0</v>
      </c>
      <c r="AB230">
        <v>-171.00317132019964</v>
      </c>
      <c r="AC230">
        <v>0.9</v>
      </c>
      <c r="AE230">
        <v>0</v>
      </c>
      <c r="AF230">
        <v>0</v>
      </c>
      <c r="AG230">
        <v>-171.00317132019964</v>
      </c>
      <c r="AH230">
        <v>0.9</v>
      </c>
      <c r="AJ230">
        <v>-11.9349162605</v>
      </c>
      <c r="AK230">
        <v>-4.9830117307000004</v>
      </c>
      <c r="AL230">
        <v>-104.60079268882525</v>
      </c>
      <c r="AM230">
        <v>0.9</v>
      </c>
    </row>
    <row r="231" spans="1:39" x14ac:dyDescent="0.25">
      <c r="A231">
        <v>51.779371942400005</v>
      </c>
      <c r="B231">
        <v>0</v>
      </c>
      <c r="C231">
        <v>120.5075254932399</v>
      </c>
      <c r="D231">
        <v>0.9</v>
      </c>
      <c r="F231">
        <v>10.152469845700001</v>
      </c>
      <c r="G231">
        <v>-4.2871061244000002</v>
      </c>
      <c r="H231">
        <v>-114.55953410660413</v>
      </c>
      <c r="I231">
        <v>0.9</v>
      </c>
      <c r="K231">
        <v>0</v>
      </c>
      <c r="L231">
        <v>0</v>
      </c>
      <c r="M231">
        <v>-171.00317132019964</v>
      </c>
      <c r="N231">
        <v>0.9</v>
      </c>
      <c r="P231">
        <v>0</v>
      </c>
      <c r="Q231">
        <v>0</v>
      </c>
      <c r="R231">
        <v>-171.00317132019964</v>
      </c>
      <c r="S231">
        <v>0.9</v>
      </c>
      <c r="U231">
        <v>0</v>
      </c>
      <c r="V231">
        <v>-17.895205813899999</v>
      </c>
      <c r="W231">
        <v>36.999572864953493</v>
      </c>
      <c r="X231">
        <v>0.9</v>
      </c>
      <c r="Z231">
        <v>0</v>
      </c>
      <c r="AA231">
        <v>0</v>
      </c>
      <c r="AB231">
        <v>-171.00317132019964</v>
      </c>
      <c r="AC231">
        <v>0.9</v>
      </c>
      <c r="AE231">
        <v>0</v>
      </c>
      <c r="AF231">
        <v>0</v>
      </c>
      <c r="AG231">
        <v>-171.00317132019964</v>
      </c>
      <c r="AH231">
        <v>0.9</v>
      </c>
      <c r="AJ231">
        <v>-11.606979189599999</v>
      </c>
      <c r="AK231">
        <v>-4.8424672716999995</v>
      </c>
      <c r="AL231">
        <v>-106.47471880818671</v>
      </c>
      <c r="AM231">
        <v>0.9</v>
      </c>
    </row>
    <row r="232" spans="1:39" x14ac:dyDescent="0.25">
      <c r="A232">
        <v>54.702723570799996</v>
      </c>
      <c r="B232">
        <v>0</v>
      </c>
      <c r="C232">
        <v>137.21239194172517</v>
      </c>
      <c r="D232">
        <v>0.9</v>
      </c>
      <c r="F232">
        <v>14.0006960086</v>
      </c>
      <c r="G232">
        <v>-5.8205840036999996</v>
      </c>
      <c r="H232">
        <v>-92.94205127107233</v>
      </c>
      <c r="I232">
        <v>0.9</v>
      </c>
      <c r="K232">
        <v>0</v>
      </c>
      <c r="L232">
        <v>0</v>
      </c>
      <c r="M232">
        <v>-171.00317132019964</v>
      </c>
      <c r="N232">
        <v>0.9</v>
      </c>
      <c r="P232">
        <v>0</v>
      </c>
      <c r="Q232">
        <v>0</v>
      </c>
      <c r="R232">
        <v>-171.00317132019964</v>
      </c>
      <c r="S232">
        <v>0.9</v>
      </c>
      <c r="U232">
        <v>0</v>
      </c>
      <c r="V232">
        <v>-17.3567844986</v>
      </c>
      <c r="W232">
        <v>29.820621994531319</v>
      </c>
      <c r="X232">
        <v>0.9</v>
      </c>
      <c r="Z232">
        <v>0</v>
      </c>
      <c r="AA232">
        <v>0</v>
      </c>
      <c r="AB232">
        <v>-171.00317132019964</v>
      </c>
      <c r="AC232">
        <v>0.9</v>
      </c>
      <c r="AE232">
        <v>0</v>
      </c>
      <c r="AF232">
        <v>0</v>
      </c>
      <c r="AG232">
        <v>-171.00317132019964</v>
      </c>
      <c r="AH232">
        <v>0.9</v>
      </c>
      <c r="AJ232">
        <v>-9.8245327747999998</v>
      </c>
      <c r="AK232">
        <v>-4.1465616654000002</v>
      </c>
      <c r="AL232">
        <v>-116.43346022595149</v>
      </c>
      <c r="AM232">
        <v>0.9</v>
      </c>
    </row>
    <row r="233" spans="1:39" x14ac:dyDescent="0.25">
      <c r="A233">
        <v>52.576649659200001</v>
      </c>
      <c r="B233">
        <v>0</v>
      </c>
      <c r="C233">
        <v>125.06339816100856</v>
      </c>
      <c r="D233">
        <v>0.9</v>
      </c>
      <c r="F233">
        <v>21.074454264</v>
      </c>
      <c r="G233">
        <v>-8.6376708750999995</v>
      </c>
      <c r="H233">
        <v>-52.245337430407083</v>
      </c>
      <c r="I233">
        <v>0.9</v>
      </c>
      <c r="K233">
        <v>0</v>
      </c>
      <c r="L233">
        <v>0</v>
      </c>
      <c r="M233">
        <v>-171.00317132019964</v>
      </c>
      <c r="N233">
        <v>0.9</v>
      </c>
      <c r="P233">
        <v>0</v>
      </c>
      <c r="Q233">
        <v>0</v>
      </c>
      <c r="R233">
        <v>-171.00317132019964</v>
      </c>
      <c r="S233">
        <v>0.9</v>
      </c>
      <c r="U233">
        <v>0</v>
      </c>
      <c r="V233">
        <v>-17.087573841000001</v>
      </c>
      <c r="W233">
        <v>26.231146559320319</v>
      </c>
      <c r="X233">
        <v>0.9</v>
      </c>
      <c r="Z233">
        <v>0</v>
      </c>
      <c r="AA233">
        <v>0</v>
      </c>
      <c r="AB233">
        <v>-171.00317132019964</v>
      </c>
      <c r="AC233">
        <v>0.9</v>
      </c>
      <c r="AE233">
        <v>0</v>
      </c>
      <c r="AF233">
        <v>0</v>
      </c>
      <c r="AG233">
        <v>-171.00317132019964</v>
      </c>
      <c r="AH233">
        <v>0.9</v>
      </c>
      <c r="AJ233">
        <v>-12.0988847959</v>
      </c>
      <c r="AK233">
        <v>-5.0532839601999999</v>
      </c>
      <c r="AL233">
        <v>-103.66382962914467</v>
      </c>
      <c r="AM233">
        <v>0.9</v>
      </c>
    </row>
    <row r="234" spans="1:39" x14ac:dyDescent="0.25">
      <c r="A234">
        <v>63.851519765599996</v>
      </c>
      <c r="B234">
        <v>0</v>
      </c>
      <c r="C234">
        <v>195.80551305467316</v>
      </c>
      <c r="D234">
        <v>0.9</v>
      </c>
      <c r="F234">
        <v>11.2790421187</v>
      </c>
      <c r="G234">
        <v>-4.7019228127999995</v>
      </c>
      <c r="H234">
        <v>-108.34864492756158</v>
      </c>
      <c r="I234">
        <v>0.9</v>
      </c>
      <c r="K234">
        <v>0</v>
      </c>
      <c r="L234">
        <v>0</v>
      </c>
      <c r="M234">
        <v>-171.00317132019964</v>
      </c>
      <c r="N234">
        <v>0.9</v>
      </c>
      <c r="P234">
        <v>0</v>
      </c>
      <c r="Q234">
        <v>0</v>
      </c>
      <c r="R234">
        <v>-171.00317132019964</v>
      </c>
      <c r="S234">
        <v>0.9</v>
      </c>
      <c r="U234">
        <v>0</v>
      </c>
      <c r="V234">
        <v>-10.414677922200001</v>
      </c>
      <c r="W234">
        <v>-57.074132357578826</v>
      </c>
      <c r="X234">
        <v>0.9</v>
      </c>
      <c r="Z234">
        <v>0</v>
      </c>
      <c r="AA234">
        <v>0</v>
      </c>
      <c r="AB234">
        <v>-171.00317132019964</v>
      </c>
      <c r="AC234">
        <v>0.9</v>
      </c>
      <c r="AE234">
        <v>0</v>
      </c>
      <c r="AF234">
        <v>0</v>
      </c>
      <c r="AG234">
        <v>-171.00317132019964</v>
      </c>
      <c r="AH234">
        <v>0.9</v>
      </c>
      <c r="AJ234">
        <v>-9.4965957039000006</v>
      </c>
      <c r="AK234">
        <v>-4.0060172064000001</v>
      </c>
      <c r="AL234">
        <v>-118.30738634531286</v>
      </c>
      <c r="AM234">
        <v>0.9</v>
      </c>
    </row>
    <row r="235" spans="1:39" x14ac:dyDescent="0.25">
      <c r="A235">
        <v>41.950575747599999</v>
      </c>
      <c r="B235">
        <v>0</v>
      </c>
      <c r="C235">
        <v>61.914404380292112</v>
      </c>
      <c r="D235">
        <v>0.9</v>
      </c>
      <c r="F235">
        <v>13.5533941398</v>
      </c>
      <c r="G235">
        <v>-5.5859784409</v>
      </c>
      <c r="H235">
        <v>-95.579014330752912</v>
      </c>
      <c r="I235">
        <v>0.9</v>
      </c>
      <c r="K235">
        <v>0</v>
      </c>
      <c r="L235">
        <v>0</v>
      </c>
      <c r="M235">
        <v>-171.00317132019964</v>
      </c>
      <c r="N235">
        <v>0.9</v>
      </c>
      <c r="P235">
        <v>0</v>
      </c>
      <c r="Q235">
        <v>0</v>
      </c>
      <c r="R235">
        <v>-171.00317132019964</v>
      </c>
      <c r="S235">
        <v>0.9</v>
      </c>
      <c r="U235">
        <v>0</v>
      </c>
      <c r="V235">
        <v>-9.52</v>
      </c>
      <c r="W235">
        <v>-69.003171320200252</v>
      </c>
      <c r="X235">
        <v>0.9</v>
      </c>
      <c r="Z235">
        <v>0</v>
      </c>
      <c r="AA235">
        <v>0</v>
      </c>
      <c r="AB235">
        <v>-171.00317132019964</v>
      </c>
      <c r="AC235">
        <v>0.9</v>
      </c>
      <c r="AE235">
        <v>0</v>
      </c>
      <c r="AF235">
        <v>0</v>
      </c>
      <c r="AG235">
        <v>-171.00317132019964</v>
      </c>
      <c r="AH235">
        <v>0.9</v>
      </c>
      <c r="AJ235">
        <v>-13.225457068900001</v>
      </c>
      <c r="AK235">
        <v>-5.4454339818999991</v>
      </c>
      <c r="AL235">
        <v>-97.45294045010256</v>
      </c>
      <c r="AM235">
        <v>0.9</v>
      </c>
    </row>
    <row r="236" spans="1:39" x14ac:dyDescent="0.25">
      <c r="A236">
        <v>40.090261074899999</v>
      </c>
      <c r="B236">
        <v>0</v>
      </c>
      <c r="C236">
        <v>51.284034822165118</v>
      </c>
      <c r="D236">
        <v>0.9</v>
      </c>
      <c r="F236">
        <v>21.573282376400002</v>
      </c>
      <c r="G236">
        <v>-8.8814067328000004</v>
      </c>
      <c r="H236">
        <v>-49.184414883427344</v>
      </c>
      <c r="I236">
        <v>0.9</v>
      </c>
      <c r="K236">
        <v>0</v>
      </c>
      <c r="L236">
        <v>0</v>
      </c>
      <c r="M236">
        <v>-171.00317132019964</v>
      </c>
      <c r="N236">
        <v>0.9</v>
      </c>
      <c r="P236">
        <v>0</v>
      </c>
      <c r="Q236">
        <v>0</v>
      </c>
      <c r="R236">
        <v>-171.00317132019964</v>
      </c>
      <c r="S236">
        <v>0.9</v>
      </c>
      <c r="U236">
        <v>0</v>
      </c>
      <c r="V236">
        <v>-12.029941868000002</v>
      </c>
      <c r="W236">
        <v>-35.537279746312819</v>
      </c>
      <c r="X236">
        <v>0.9</v>
      </c>
      <c r="Z236">
        <v>0</v>
      </c>
      <c r="AA236">
        <v>0</v>
      </c>
      <c r="AB236">
        <v>-171.00317132019964</v>
      </c>
      <c r="AC236">
        <v>0.9</v>
      </c>
      <c r="AE236">
        <v>0</v>
      </c>
      <c r="AF236">
        <v>0</v>
      </c>
      <c r="AG236">
        <v>-171.00317132019964</v>
      </c>
      <c r="AH236">
        <v>0.9</v>
      </c>
      <c r="AJ236">
        <v>-19.002006616100001</v>
      </c>
      <c r="AK236">
        <v>-7.7292409307000005</v>
      </c>
      <c r="AL236">
        <v>-64.622181133233724</v>
      </c>
      <c r="AM236">
        <v>0.9</v>
      </c>
    </row>
    <row r="237" spans="1:39" x14ac:dyDescent="0.25">
      <c r="A237">
        <v>41.1532980307</v>
      </c>
      <c r="B237">
        <v>0</v>
      </c>
      <c r="C237">
        <v>57.358531712523437</v>
      </c>
      <c r="D237">
        <v>0.9</v>
      </c>
      <c r="F237">
        <v>9.9885013103000002</v>
      </c>
      <c r="G237">
        <v>-4.2168338949000006</v>
      </c>
      <c r="H237">
        <v>-115.49649716628494</v>
      </c>
      <c r="I237">
        <v>0.9</v>
      </c>
      <c r="K237">
        <v>0</v>
      </c>
      <c r="L237">
        <v>0</v>
      </c>
      <c r="M237">
        <v>-171.00317132019964</v>
      </c>
      <c r="N237">
        <v>0.9</v>
      </c>
      <c r="P237">
        <v>0</v>
      </c>
      <c r="Q237">
        <v>0</v>
      </c>
      <c r="R237">
        <v>-171.00317132019964</v>
      </c>
      <c r="S237">
        <v>0.9</v>
      </c>
      <c r="U237">
        <v>0</v>
      </c>
      <c r="V237">
        <v>-10.145467264599999</v>
      </c>
      <c r="W237">
        <v>-60.663607792789897</v>
      </c>
      <c r="X237">
        <v>0.9</v>
      </c>
      <c r="Z237">
        <v>0</v>
      </c>
      <c r="AA237">
        <v>0</v>
      </c>
      <c r="AB237">
        <v>-171.00317132019964</v>
      </c>
      <c r="AC237">
        <v>0.9</v>
      </c>
      <c r="AE237">
        <v>0</v>
      </c>
      <c r="AF237">
        <v>0</v>
      </c>
      <c r="AG237">
        <v>-171.00317132019964</v>
      </c>
      <c r="AH237">
        <v>0.9</v>
      </c>
      <c r="AJ237">
        <v>-10.152469845700001</v>
      </c>
      <c r="AK237">
        <v>-4.2871061244000002</v>
      </c>
      <c r="AL237">
        <v>-114.55953410659011</v>
      </c>
      <c r="AM237">
        <v>0.9</v>
      </c>
    </row>
    <row r="238" spans="1:39" x14ac:dyDescent="0.25">
      <c r="A238">
        <v>37.432668685399996</v>
      </c>
      <c r="B238">
        <v>0</v>
      </c>
      <c r="C238">
        <v>36.097792596269173</v>
      </c>
      <c r="D238">
        <v>0.9</v>
      </c>
      <c r="F238">
        <v>12.5688533314</v>
      </c>
      <c r="G238">
        <v>-5.2425561896000001</v>
      </c>
      <c r="H238">
        <v>-101.02686656947651</v>
      </c>
      <c r="I238">
        <v>0.9</v>
      </c>
      <c r="K238">
        <v>0</v>
      </c>
      <c r="L238">
        <v>0</v>
      </c>
      <c r="M238">
        <v>-171.00317132019964</v>
      </c>
      <c r="N238">
        <v>0.9</v>
      </c>
      <c r="P238">
        <v>0</v>
      </c>
      <c r="Q238">
        <v>0</v>
      </c>
      <c r="R238">
        <v>-171.00317132019964</v>
      </c>
      <c r="S238">
        <v>0.9</v>
      </c>
      <c r="U238">
        <v>0</v>
      </c>
      <c r="V238">
        <v>-9.52</v>
      </c>
      <c r="W238">
        <v>-69.003171320200252</v>
      </c>
      <c r="X238">
        <v>0.9</v>
      </c>
      <c r="Z238">
        <v>0</v>
      </c>
      <c r="AA238">
        <v>0</v>
      </c>
      <c r="AB238">
        <v>-171.00317132019964</v>
      </c>
      <c r="AC238">
        <v>0.9</v>
      </c>
      <c r="AE238">
        <v>0</v>
      </c>
      <c r="AF238">
        <v>0</v>
      </c>
      <c r="AG238">
        <v>-171.00317132019964</v>
      </c>
      <c r="AH238">
        <v>0.9</v>
      </c>
      <c r="AJ238">
        <v>19.760626740099998</v>
      </c>
      <c r="AK238">
        <v>8.2470305076999999</v>
      </c>
      <c r="AL238">
        <v>-59.607208995881876</v>
      </c>
      <c r="AM238">
        <v>0.9</v>
      </c>
    </row>
    <row r="239" spans="1:39" x14ac:dyDescent="0.25">
      <c r="A239">
        <v>36.901150207500002</v>
      </c>
      <c r="B239">
        <v>0</v>
      </c>
      <c r="C239">
        <v>33.060544151090156</v>
      </c>
      <c r="D239">
        <v>0.9</v>
      </c>
      <c r="F239">
        <v>11.9349162605</v>
      </c>
      <c r="G239">
        <v>-4.9830117307000004</v>
      </c>
      <c r="H239">
        <v>-104.60079268883818</v>
      </c>
      <c r="I239">
        <v>0.9</v>
      </c>
      <c r="K239">
        <v>0</v>
      </c>
      <c r="L239">
        <v>0</v>
      </c>
      <c r="M239">
        <v>-171.00317132019964</v>
      </c>
      <c r="N239">
        <v>0.9</v>
      </c>
      <c r="P239">
        <v>0</v>
      </c>
      <c r="Q239">
        <v>0</v>
      </c>
      <c r="R239">
        <v>-171.00317132019964</v>
      </c>
      <c r="S239">
        <v>0.9</v>
      </c>
      <c r="U239">
        <v>0</v>
      </c>
      <c r="V239">
        <v>-11.760731210399999</v>
      </c>
      <c r="W239">
        <v>-39.126755181523613</v>
      </c>
      <c r="X239">
        <v>0.9</v>
      </c>
      <c r="Z239">
        <v>0</v>
      </c>
      <c r="AA239">
        <v>0</v>
      </c>
      <c r="AB239">
        <v>-171.00317132019964</v>
      </c>
      <c r="AC239">
        <v>0.9</v>
      </c>
      <c r="AE239">
        <v>0</v>
      </c>
      <c r="AF239">
        <v>0</v>
      </c>
      <c r="AG239">
        <v>-171.00317132019964</v>
      </c>
      <c r="AH239">
        <v>0.9</v>
      </c>
      <c r="AJ239">
        <v>-19.907786792300001</v>
      </c>
      <c r="AK239">
        <v>-8.3100991014000005</v>
      </c>
      <c r="AL239">
        <v>-58.766294412009678</v>
      </c>
      <c r="AM239">
        <v>0.9</v>
      </c>
    </row>
    <row r="240" spans="1:39" x14ac:dyDescent="0.25">
      <c r="A240">
        <v>52.842408898199999</v>
      </c>
      <c r="B240">
        <v>0</v>
      </c>
      <c r="C240">
        <v>126.58202238359814</v>
      </c>
      <c r="D240">
        <v>0.9</v>
      </c>
      <c r="F240">
        <v>13.0614885335</v>
      </c>
      <c r="G240">
        <v>-5.3751617524000004</v>
      </c>
      <c r="H240">
        <v>-98.389903509795502</v>
      </c>
      <c r="I240">
        <v>0.9</v>
      </c>
      <c r="K240">
        <v>0</v>
      </c>
      <c r="L240">
        <v>0</v>
      </c>
      <c r="M240">
        <v>-171.00317132019964</v>
      </c>
      <c r="N240">
        <v>0.9</v>
      </c>
      <c r="P240">
        <v>0</v>
      </c>
      <c r="Q240">
        <v>0</v>
      </c>
      <c r="R240">
        <v>-171.00317132019964</v>
      </c>
      <c r="S240">
        <v>0.9</v>
      </c>
      <c r="U240">
        <v>0</v>
      </c>
      <c r="V240">
        <v>-19.779680417400002</v>
      </c>
      <c r="W240">
        <v>62.125900911430612</v>
      </c>
      <c r="X240">
        <v>0.9</v>
      </c>
      <c r="Z240">
        <v>0</v>
      </c>
      <c r="AA240">
        <v>0</v>
      </c>
      <c r="AB240">
        <v>-171.00317132019964</v>
      </c>
      <c r="AC240">
        <v>0.9</v>
      </c>
      <c r="AE240">
        <v>0</v>
      </c>
      <c r="AF240">
        <v>0</v>
      </c>
      <c r="AG240">
        <v>-171.00317132019964</v>
      </c>
      <c r="AH240">
        <v>0.9</v>
      </c>
      <c r="AJ240">
        <v>-9.9885013103000002</v>
      </c>
      <c r="AK240">
        <v>-4.2168338949000006</v>
      </c>
      <c r="AL240">
        <v>-115.49649716627077</v>
      </c>
      <c r="AM240">
        <v>0.9</v>
      </c>
    </row>
    <row r="241" spans="1:39" x14ac:dyDescent="0.25">
      <c r="A241">
        <v>40.887538791799997</v>
      </c>
      <c r="B241">
        <v>0</v>
      </c>
      <c r="C241">
        <v>55.839907489933658</v>
      </c>
      <c r="D241">
        <v>0.9</v>
      </c>
      <c r="F241">
        <v>9.6605642393999993</v>
      </c>
      <c r="G241">
        <v>-4.0762894358999997</v>
      </c>
      <c r="H241">
        <v>-117.37042328564672</v>
      </c>
      <c r="I241">
        <v>0.9</v>
      </c>
      <c r="K241">
        <v>0</v>
      </c>
      <c r="L241">
        <v>0</v>
      </c>
      <c r="M241">
        <v>-171.00317132019964</v>
      </c>
      <c r="N241">
        <v>0.9</v>
      </c>
      <c r="P241">
        <v>0</v>
      </c>
      <c r="Q241">
        <v>0</v>
      </c>
      <c r="R241">
        <v>-171.00317132019964</v>
      </c>
      <c r="S241">
        <v>0.9</v>
      </c>
      <c r="U241">
        <v>0</v>
      </c>
      <c r="V241">
        <v>-9.52</v>
      </c>
      <c r="W241">
        <v>-69.003171320200252</v>
      </c>
      <c r="X241">
        <v>0.9</v>
      </c>
      <c r="Z241">
        <v>0</v>
      </c>
      <c r="AA241">
        <v>0</v>
      </c>
      <c r="AB241">
        <v>-171.00317132019964</v>
      </c>
      <c r="AC241">
        <v>0.9</v>
      </c>
      <c r="AE241">
        <v>0</v>
      </c>
      <c r="AF241">
        <v>0</v>
      </c>
      <c r="AG241">
        <v>-171.00317132019964</v>
      </c>
      <c r="AH241">
        <v>0.9</v>
      </c>
      <c r="AJ241">
        <v>-9.6605642393999993</v>
      </c>
      <c r="AK241">
        <v>-4.0762894358999997</v>
      </c>
      <c r="AL241">
        <v>-117.37042328563227</v>
      </c>
      <c r="AM241">
        <v>0.9</v>
      </c>
    </row>
    <row r="242" spans="1:39" x14ac:dyDescent="0.25">
      <c r="A242">
        <v>37.964187163299997</v>
      </c>
      <c r="B242">
        <v>0</v>
      </c>
      <c r="C242">
        <v>39.135041041448474</v>
      </c>
      <c r="D242">
        <v>0.9</v>
      </c>
      <c r="F242">
        <v>11.4430106542</v>
      </c>
      <c r="G242">
        <v>-4.7721950422999999</v>
      </c>
      <c r="H242">
        <v>-107.41168186788083</v>
      </c>
      <c r="I242">
        <v>0.9</v>
      </c>
      <c r="K242">
        <v>0</v>
      </c>
      <c r="L242">
        <v>0</v>
      </c>
      <c r="M242">
        <v>-171.00317132019964</v>
      </c>
      <c r="N242">
        <v>0.9</v>
      </c>
      <c r="P242">
        <v>0</v>
      </c>
      <c r="Q242">
        <v>0</v>
      </c>
      <c r="R242">
        <v>-171.00317132019964</v>
      </c>
      <c r="S242">
        <v>0.9</v>
      </c>
      <c r="U242">
        <v>0</v>
      </c>
      <c r="V242">
        <v>-12.299152525699999</v>
      </c>
      <c r="W242">
        <v>-31.947804311101617</v>
      </c>
      <c r="X242">
        <v>0.9</v>
      </c>
      <c r="Z242">
        <v>0</v>
      </c>
      <c r="AA242">
        <v>0</v>
      </c>
      <c r="AB242">
        <v>-171.00317132019964</v>
      </c>
      <c r="AC242">
        <v>0.9</v>
      </c>
      <c r="AE242">
        <v>0</v>
      </c>
      <c r="AF242">
        <v>0</v>
      </c>
      <c r="AG242">
        <v>-171.00317132019964</v>
      </c>
      <c r="AH242">
        <v>0.9</v>
      </c>
      <c r="AJ242">
        <v>-9.3326271685000002</v>
      </c>
      <c r="AK242">
        <v>-3.9357449770000001</v>
      </c>
      <c r="AL242">
        <v>-119.24434940499344</v>
      </c>
      <c r="AM242">
        <v>0.9</v>
      </c>
    </row>
    <row r="243" spans="1:39" x14ac:dyDescent="0.25">
      <c r="A243">
        <v>40.356020313899997</v>
      </c>
      <c r="B243">
        <v>0</v>
      </c>
      <c r="C243">
        <v>52.80265904475462</v>
      </c>
      <c r="D243">
        <v>0.9</v>
      </c>
      <c r="F243">
        <v>13.389425604400001</v>
      </c>
      <c r="G243">
        <v>-5.5157062113999995</v>
      </c>
      <c r="H243">
        <v>-96.515977390433846</v>
      </c>
      <c r="I243">
        <v>0.9</v>
      </c>
      <c r="K243">
        <v>0</v>
      </c>
      <c r="L243">
        <v>0</v>
      </c>
      <c r="M243">
        <v>-171.00317132019964</v>
      </c>
      <c r="N243">
        <v>0.9</v>
      </c>
      <c r="P243">
        <v>0</v>
      </c>
      <c r="Q243">
        <v>0</v>
      </c>
      <c r="R243">
        <v>-171.00317132019964</v>
      </c>
      <c r="S243">
        <v>0.9</v>
      </c>
      <c r="U243">
        <v>0</v>
      </c>
      <c r="V243">
        <v>-9.52</v>
      </c>
      <c r="W243">
        <v>-69.003171320200252</v>
      </c>
      <c r="X243">
        <v>0.9</v>
      </c>
      <c r="Z243">
        <v>0</v>
      </c>
      <c r="AA243">
        <v>0</v>
      </c>
      <c r="AB243">
        <v>-171.00317132019964</v>
      </c>
      <c r="AC243">
        <v>0.9</v>
      </c>
      <c r="AE243">
        <v>0</v>
      </c>
      <c r="AF243">
        <v>0</v>
      </c>
      <c r="AG243">
        <v>-171.00317132019964</v>
      </c>
      <c r="AH243">
        <v>0.9</v>
      </c>
      <c r="AJ243">
        <v>-21.573282376400002</v>
      </c>
      <c r="AK243">
        <v>-8.8814067328000004</v>
      </c>
      <c r="AL243">
        <v>-49.184414883420182</v>
      </c>
      <c r="AM243">
        <v>0.9</v>
      </c>
    </row>
    <row r="244" spans="1:39" x14ac:dyDescent="0.25">
      <c r="A244">
        <v>52.0451311813</v>
      </c>
      <c r="B244">
        <v>0</v>
      </c>
      <c r="C244">
        <v>122.02614971582942</v>
      </c>
      <c r="D244">
        <v>0.9</v>
      </c>
      <c r="F244">
        <v>18.919899063300001</v>
      </c>
      <c r="G244">
        <v>-7.8478615033000008</v>
      </c>
      <c r="H244">
        <v>-64.702795720575011</v>
      </c>
      <c r="I244">
        <v>0.9</v>
      </c>
      <c r="K244">
        <v>0</v>
      </c>
      <c r="L244">
        <v>0</v>
      </c>
      <c r="M244">
        <v>-171.00317132019964</v>
      </c>
      <c r="N244">
        <v>0.9</v>
      </c>
      <c r="P244">
        <v>0</v>
      </c>
      <c r="Q244">
        <v>0</v>
      </c>
      <c r="R244">
        <v>-171.00317132019964</v>
      </c>
      <c r="S244">
        <v>0.9</v>
      </c>
      <c r="U244">
        <v>0</v>
      </c>
      <c r="V244">
        <v>-9.52</v>
      </c>
      <c r="W244">
        <v>-69.003171320200252</v>
      </c>
      <c r="X244">
        <v>0.9</v>
      </c>
      <c r="Z244">
        <v>0</v>
      </c>
      <c r="AA244">
        <v>0</v>
      </c>
      <c r="AB244">
        <v>-171.00317132019964</v>
      </c>
      <c r="AC244">
        <v>0.9</v>
      </c>
      <c r="AE244">
        <v>0</v>
      </c>
      <c r="AF244">
        <v>0</v>
      </c>
      <c r="AG244">
        <v>-171.00317132019964</v>
      </c>
      <c r="AH244">
        <v>0.9</v>
      </c>
      <c r="AJ244">
        <v>-9.5522464730000003</v>
      </c>
      <c r="AK244">
        <v>-3.8841532503000002</v>
      </c>
      <c r="AL244">
        <v>-118.34557242673945</v>
      </c>
      <c r="AM244">
        <v>0.9</v>
      </c>
    </row>
    <row r="245" spans="1:39" x14ac:dyDescent="0.25">
      <c r="A245">
        <v>40.6217795528</v>
      </c>
      <c r="B245">
        <v>0</v>
      </c>
      <c r="C245">
        <v>54.32128326734442</v>
      </c>
      <c r="D245">
        <v>0.9</v>
      </c>
      <c r="F245">
        <v>9.8245327747999998</v>
      </c>
      <c r="G245">
        <v>-4.1465616654000002</v>
      </c>
      <c r="H245">
        <v>-116.43346022596582</v>
      </c>
      <c r="I245">
        <v>0.9</v>
      </c>
      <c r="K245">
        <v>0</v>
      </c>
      <c r="L245">
        <v>0</v>
      </c>
      <c r="M245">
        <v>-171.00317132019964</v>
      </c>
      <c r="N245">
        <v>0.9</v>
      </c>
      <c r="P245">
        <v>0</v>
      </c>
      <c r="Q245">
        <v>0</v>
      </c>
      <c r="R245">
        <v>-171.00317132019964</v>
      </c>
      <c r="S245">
        <v>0.9</v>
      </c>
      <c r="U245">
        <v>0</v>
      </c>
      <c r="V245">
        <v>-11.491520552800001</v>
      </c>
      <c r="W245">
        <v>-42.716230616734684</v>
      </c>
      <c r="X245">
        <v>0.9</v>
      </c>
      <c r="Z245">
        <v>0</v>
      </c>
      <c r="AA245">
        <v>0</v>
      </c>
      <c r="AB245">
        <v>-171.00317132019964</v>
      </c>
      <c r="AC245">
        <v>0.9</v>
      </c>
      <c r="AE245">
        <v>0</v>
      </c>
      <c r="AF245">
        <v>0</v>
      </c>
      <c r="AG245">
        <v>-171.00317132019964</v>
      </c>
      <c r="AH245">
        <v>0.9</v>
      </c>
      <c r="AJ245">
        <v>-11.4430106542</v>
      </c>
      <c r="AK245">
        <v>-4.7721950422999999</v>
      </c>
      <c r="AL245">
        <v>-107.41168186786742</v>
      </c>
      <c r="AM245">
        <v>0.9</v>
      </c>
    </row>
    <row r="246" spans="1:39" x14ac:dyDescent="0.25">
      <c r="A246">
        <v>42.216334986499994</v>
      </c>
      <c r="B246">
        <v>0</v>
      </c>
      <c r="C246">
        <v>63.433028602881912</v>
      </c>
      <c r="D246">
        <v>0.9</v>
      </c>
      <c r="F246">
        <v>9.1686586329999997</v>
      </c>
      <c r="G246">
        <v>-3.8654727474999997</v>
      </c>
      <c r="H246">
        <v>-120.18131246468948</v>
      </c>
      <c r="I246">
        <v>0.9</v>
      </c>
      <c r="K246">
        <v>0</v>
      </c>
      <c r="L246">
        <v>0</v>
      </c>
      <c r="M246">
        <v>-171.00317132019964</v>
      </c>
      <c r="N246">
        <v>0.9</v>
      </c>
      <c r="P246">
        <v>0</v>
      </c>
      <c r="Q246">
        <v>0</v>
      </c>
      <c r="R246">
        <v>-171.00317132019964</v>
      </c>
      <c r="S246">
        <v>0.9</v>
      </c>
      <c r="U246">
        <v>0</v>
      </c>
      <c r="V246">
        <v>-9.52</v>
      </c>
      <c r="W246">
        <v>-69.003171320200252</v>
      </c>
      <c r="X246">
        <v>0.9</v>
      </c>
      <c r="Z246">
        <v>0</v>
      </c>
      <c r="AA246">
        <v>0</v>
      </c>
      <c r="AB246">
        <v>-171.00317132019964</v>
      </c>
      <c r="AC246">
        <v>0.9</v>
      </c>
      <c r="AE246">
        <v>0</v>
      </c>
      <c r="AF246">
        <v>0</v>
      </c>
      <c r="AG246">
        <v>-171.00317132019964</v>
      </c>
      <c r="AH246">
        <v>0.9</v>
      </c>
      <c r="AJ246">
        <v>-10.6224383812</v>
      </c>
      <c r="AK246">
        <v>-4.4877116872</v>
      </c>
      <c r="AL246">
        <v>-111.92257104690938</v>
      </c>
      <c r="AM246">
        <v>0.9</v>
      </c>
    </row>
    <row r="247" spans="1:39" x14ac:dyDescent="0.25">
      <c r="A247">
        <v>38.495705641200004</v>
      </c>
      <c r="B247">
        <v>0</v>
      </c>
      <c r="C247">
        <v>42.172289486627648</v>
      </c>
      <c r="D247">
        <v>0.9</v>
      </c>
      <c r="F247">
        <v>-19.887361954900001</v>
      </c>
      <c r="G247">
        <v>8.3013455997000012</v>
      </c>
      <c r="H247">
        <v>-58.883007768284671</v>
      </c>
      <c r="I247">
        <v>0.9</v>
      </c>
      <c r="K247">
        <v>0</v>
      </c>
      <c r="L247">
        <v>0</v>
      </c>
      <c r="M247">
        <v>-171.00317132019964</v>
      </c>
      <c r="N247">
        <v>0.9</v>
      </c>
      <c r="P247">
        <v>0</v>
      </c>
      <c r="Q247">
        <v>0</v>
      </c>
      <c r="R247">
        <v>-171.00317132019964</v>
      </c>
      <c r="S247">
        <v>0.9</v>
      </c>
      <c r="U247">
        <v>0</v>
      </c>
      <c r="V247">
        <v>-9.52</v>
      </c>
      <c r="W247">
        <v>-69.003171320200252</v>
      </c>
      <c r="X247">
        <v>0.9</v>
      </c>
      <c r="Z247">
        <v>0</v>
      </c>
      <c r="AA247">
        <v>0</v>
      </c>
      <c r="AB247">
        <v>-171.00317132019964</v>
      </c>
      <c r="AC247">
        <v>0.9</v>
      </c>
      <c r="AE247">
        <v>0</v>
      </c>
      <c r="AF247">
        <v>0</v>
      </c>
      <c r="AG247">
        <v>-171.00317132019964</v>
      </c>
      <c r="AH247">
        <v>0.9</v>
      </c>
      <c r="AJ247">
        <v>-18.750914979000001</v>
      </c>
      <c r="AK247">
        <v>-7.6216302291</v>
      </c>
      <c r="AL247">
        <v>-66.056990487970538</v>
      </c>
      <c r="AM247">
        <v>0.9</v>
      </c>
    </row>
    <row r="248" spans="1:39" x14ac:dyDescent="0.25">
      <c r="A248">
        <v>39.027224119099998</v>
      </c>
      <c r="B248">
        <v>0</v>
      </c>
      <c r="C248">
        <v>45.209537931806942</v>
      </c>
      <c r="D248">
        <v>0.9</v>
      </c>
      <c r="F248">
        <v>9.4965957039000006</v>
      </c>
      <c r="G248">
        <v>-4.0060172064000001</v>
      </c>
      <c r="H248">
        <v>-118.30738634532754</v>
      </c>
      <c r="I248">
        <v>0.9</v>
      </c>
      <c r="K248">
        <v>0</v>
      </c>
      <c r="L248">
        <v>0</v>
      </c>
      <c r="M248">
        <v>-171.00317132019964</v>
      </c>
      <c r="N248">
        <v>0.9</v>
      </c>
      <c r="P248">
        <v>0</v>
      </c>
      <c r="Q248">
        <v>0</v>
      </c>
      <c r="R248">
        <v>-171.00317132019964</v>
      </c>
      <c r="S248">
        <v>0.9</v>
      </c>
      <c r="U248">
        <v>0</v>
      </c>
      <c r="V248">
        <v>-10.6838885798</v>
      </c>
      <c r="W248">
        <v>-53.484656922367904</v>
      </c>
      <c r="X248">
        <v>0.9</v>
      </c>
      <c r="Z248">
        <v>0</v>
      </c>
      <c r="AA248">
        <v>0</v>
      </c>
      <c r="AB248">
        <v>-171.00317132019964</v>
      </c>
      <c r="AC248">
        <v>0.9</v>
      </c>
      <c r="AE248">
        <v>0</v>
      </c>
      <c r="AF248">
        <v>0</v>
      </c>
      <c r="AG248">
        <v>-171.00317132019964</v>
      </c>
      <c r="AH248">
        <v>0.9</v>
      </c>
      <c r="AJ248">
        <v>-19.358990412000001</v>
      </c>
      <c r="AK248">
        <v>-8.0336149384999995</v>
      </c>
      <c r="AL248">
        <v>-62.112749918464942</v>
      </c>
      <c r="AM248">
        <v>0.9</v>
      </c>
    </row>
    <row r="249" spans="1:39" x14ac:dyDescent="0.25">
      <c r="A249">
        <v>39.824501835999996</v>
      </c>
      <c r="B249">
        <v>0</v>
      </c>
      <c r="C249">
        <v>49.765410599575468</v>
      </c>
      <c r="D249">
        <v>0.9</v>
      </c>
      <c r="F249">
        <v>9.0046900975999993</v>
      </c>
      <c r="G249">
        <v>-3.7952005179999997</v>
      </c>
      <c r="H249">
        <v>-121.11827552437019</v>
      </c>
      <c r="I249">
        <v>0.9</v>
      </c>
      <c r="K249">
        <v>0</v>
      </c>
      <c r="L249">
        <v>0</v>
      </c>
      <c r="M249">
        <v>-171.00317132019964</v>
      </c>
      <c r="N249">
        <v>0.9</v>
      </c>
      <c r="P249">
        <v>0</v>
      </c>
      <c r="Q249">
        <v>0</v>
      </c>
      <c r="R249">
        <v>-171.00317132019964</v>
      </c>
      <c r="S249">
        <v>0.9</v>
      </c>
      <c r="U249">
        <v>0</v>
      </c>
      <c r="V249">
        <v>-10.9530992375</v>
      </c>
      <c r="W249">
        <v>-49.895181487156833</v>
      </c>
      <c r="X249">
        <v>0.9</v>
      </c>
      <c r="Z249">
        <v>0</v>
      </c>
      <c r="AA249">
        <v>0</v>
      </c>
      <c r="AB249">
        <v>-171.00317132019964</v>
      </c>
      <c r="AC249">
        <v>0.9</v>
      </c>
      <c r="AE249">
        <v>0</v>
      </c>
      <c r="AF249">
        <v>0</v>
      </c>
      <c r="AG249">
        <v>-171.00317132019964</v>
      </c>
      <c r="AH249">
        <v>0.9</v>
      </c>
      <c r="AJ249">
        <v>-10.786406916599999</v>
      </c>
      <c r="AK249">
        <v>-4.5579839165999996</v>
      </c>
      <c r="AL249">
        <v>-110.98560798722875</v>
      </c>
      <c r="AM249">
        <v>0.9</v>
      </c>
    </row>
    <row r="250" spans="1:39" x14ac:dyDescent="0.25">
      <c r="A250">
        <v>35.306594773800001</v>
      </c>
      <c r="B250">
        <v>0</v>
      </c>
      <c r="C250">
        <v>23.948798815552813</v>
      </c>
      <c r="D250">
        <v>0.9</v>
      </c>
      <c r="F250">
        <v>9.3326271685000002</v>
      </c>
      <c r="G250">
        <v>-3.9357449770000001</v>
      </c>
      <c r="H250">
        <v>-119.24434940500846</v>
      </c>
      <c r="I250">
        <v>0.9</v>
      </c>
      <c r="K250">
        <v>0</v>
      </c>
      <c r="L250">
        <v>0</v>
      </c>
      <c r="M250">
        <v>-171.00317132019964</v>
      </c>
      <c r="N250">
        <v>0.9</v>
      </c>
      <c r="P250">
        <v>0</v>
      </c>
      <c r="Q250">
        <v>0</v>
      </c>
      <c r="R250">
        <v>1228.5022903979216</v>
      </c>
      <c r="S250">
        <v>0.65</v>
      </c>
      <c r="U250">
        <v>0</v>
      </c>
      <c r="V250">
        <v>-9.52</v>
      </c>
      <c r="W250">
        <v>-69.003171320200252</v>
      </c>
      <c r="X250">
        <v>0.9</v>
      </c>
      <c r="Z250">
        <v>0</v>
      </c>
      <c r="AA250">
        <v>0</v>
      </c>
      <c r="AB250">
        <v>-171.00317132019964</v>
      </c>
      <c r="AC250">
        <v>0.9</v>
      </c>
      <c r="AE250">
        <v>0</v>
      </c>
      <c r="AF250">
        <v>0</v>
      </c>
      <c r="AG250">
        <v>-171.00317132019964</v>
      </c>
      <c r="AH250">
        <v>0.9</v>
      </c>
      <c r="AJ250">
        <v>-9.1686586330999997</v>
      </c>
      <c r="AK250">
        <v>-3.8654727474999997</v>
      </c>
      <c r="AL250">
        <v>-120.18131246467424</v>
      </c>
      <c r="AM250">
        <v>0.9</v>
      </c>
    </row>
    <row r="251" spans="1:39" x14ac:dyDescent="0.25">
      <c r="A251">
        <v>39.558742596999998</v>
      </c>
      <c r="B251">
        <v>0</v>
      </c>
      <c r="C251">
        <v>48.246786376986101</v>
      </c>
      <c r="D251">
        <v>0.9</v>
      </c>
      <c r="F251">
        <v>10.6224383812</v>
      </c>
      <c r="G251">
        <v>-4.4877116872</v>
      </c>
      <c r="H251">
        <v>-111.92257104692321</v>
      </c>
      <c r="I251">
        <v>0.9</v>
      </c>
      <c r="K251">
        <v>0</v>
      </c>
      <c r="L251">
        <v>0</v>
      </c>
      <c r="M251">
        <v>-171.00317132019964</v>
      </c>
      <c r="N251">
        <v>0.9</v>
      </c>
      <c r="P251">
        <v>0</v>
      </c>
      <c r="Q251">
        <v>0</v>
      </c>
      <c r="R251">
        <v>-171.00317132019964</v>
      </c>
      <c r="S251">
        <v>0.9</v>
      </c>
      <c r="U251">
        <v>0</v>
      </c>
      <c r="V251">
        <v>-9.52</v>
      </c>
      <c r="W251">
        <v>-69.003171320200252</v>
      </c>
      <c r="X251">
        <v>0.9</v>
      </c>
      <c r="Z251">
        <v>0</v>
      </c>
      <c r="AA251">
        <v>0</v>
      </c>
      <c r="AB251">
        <v>-171.00317132019964</v>
      </c>
      <c r="AC251">
        <v>0.9</v>
      </c>
      <c r="AE251">
        <v>0</v>
      </c>
      <c r="AF251">
        <v>0</v>
      </c>
      <c r="AG251">
        <v>-171.00317132019964</v>
      </c>
      <c r="AH251">
        <v>0.9</v>
      </c>
      <c r="AJ251">
        <v>-9.0046900975999993</v>
      </c>
      <c r="AK251">
        <v>-3.7952005179999997</v>
      </c>
      <c r="AL251">
        <v>-121.1182755243549</v>
      </c>
      <c r="AM251">
        <v>0.9</v>
      </c>
    </row>
    <row r="252" spans="1:39" x14ac:dyDescent="0.25">
      <c r="A252">
        <v>39.292983358100003</v>
      </c>
      <c r="B252">
        <v>0</v>
      </c>
      <c r="C252">
        <v>46.728162154396315</v>
      </c>
      <c r="D252">
        <v>0.9</v>
      </c>
      <c r="F252">
        <v>18.982128052099998</v>
      </c>
      <c r="G252">
        <v>-7.7207215462000001</v>
      </c>
      <c r="H252">
        <v>-64.735772927039164</v>
      </c>
      <c r="I252">
        <v>0.9</v>
      </c>
      <c r="K252">
        <v>0</v>
      </c>
      <c r="L252">
        <v>0</v>
      </c>
      <c r="M252">
        <v>-171.00317132019964</v>
      </c>
      <c r="N252">
        <v>0.9</v>
      </c>
      <c r="P252">
        <v>0</v>
      </c>
      <c r="Q252">
        <v>0</v>
      </c>
      <c r="R252">
        <v>-171.00317132019964</v>
      </c>
      <c r="S252">
        <v>0.9</v>
      </c>
      <c r="U252">
        <v>0</v>
      </c>
      <c r="V252">
        <v>-9.52</v>
      </c>
      <c r="W252">
        <v>-69.003171320200252</v>
      </c>
      <c r="X252">
        <v>0.9</v>
      </c>
      <c r="Z252">
        <v>0</v>
      </c>
      <c r="AA252">
        <v>0</v>
      </c>
      <c r="AB252">
        <v>-171.00317132019964</v>
      </c>
      <c r="AC252">
        <v>0.9</v>
      </c>
      <c r="AE252">
        <v>0</v>
      </c>
      <c r="AF252">
        <v>0</v>
      </c>
      <c r="AG252">
        <v>-171.00317132019964</v>
      </c>
      <c r="AH252">
        <v>0.9</v>
      </c>
      <c r="AJ252">
        <v>-9.7775809391999999</v>
      </c>
      <c r="AK252">
        <v>-3.9807251644000003</v>
      </c>
      <c r="AL252">
        <v>-117.05794690600717</v>
      </c>
      <c r="AM252">
        <v>0.9</v>
      </c>
    </row>
    <row r="253" spans="1:39" x14ac:dyDescent="0.25">
      <c r="A253">
        <v>41.419057269699998</v>
      </c>
      <c r="B253">
        <v>0</v>
      </c>
      <c r="C253">
        <v>58.877155935113088</v>
      </c>
      <c r="D253">
        <v>0.9</v>
      </c>
      <c r="F253">
        <v>18.756379432799999</v>
      </c>
      <c r="G253">
        <v>-7.6239721379000001</v>
      </c>
      <c r="H253">
        <v>-66.025765037458314</v>
      </c>
      <c r="I253">
        <v>0.9</v>
      </c>
      <c r="K253">
        <v>0</v>
      </c>
      <c r="L253">
        <v>0</v>
      </c>
      <c r="M253">
        <v>-171.00317132019964</v>
      </c>
      <c r="N253">
        <v>0.9</v>
      </c>
      <c r="P253">
        <v>0</v>
      </c>
      <c r="Q253">
        <v>0</v>
      </c>
      <c r="R253">
        <v>1228.5022903979216</v>
      </c>
      <c r="S253">
        <v>0.65</v>
      </c>
      <c r="U253">
        <v>0</v>
      </c>
      <c r="V253">
        <v>-9.52</v>
      </c>
      <c r="W253">
        <v>-69.003171320200252</v>
      </c>
      <c r="X253">
        <v>0.9</v>
      </c>
      <c r="Z253">
        <v>0</v>
      </c>
      <c r="AA253">
        <v>0</v>
      </c>
      <c r="AB253">
        <v>-171.00317132019964</v>
      </c>
      <c r="AC253">
        <v>0.9</v>
      </c>
      <c r="AE253">
        <v>0</v>
      </c>
      <c r="AF253">
        <v>0</v>
      </c>
      <c r="AG253">
        <v>-171.00317132019964</v>
      </c>
      <c r="AH253">
        <v>0.9</v>
      </c>
      <c r="AJ253">
        <v>-19.645666620899998</v>
      </c>
      <c r="AK253">
        <v>-8.0552856947000002</v>
      </c>
      <c r="AL253">
        <v>-60.652695391354811</v>
      </c>
      <c r="AM253">
        <v>0.9</v>
      </c>
    </row>
    <row r="254" spans="1:39" x14ac:dyDescent="0.25">
      <c r="A254">
        <v>41.684816508599994</v>
      </c>
      <c r="B254">
        <v>0</v>
      </c>
      <c r="C254">
        <v>60.395780157702461</v>
      </c>
      <c r="D254">
        <v>0.9</v>
      </c>
      <c r="F254">
        <v>-7.1079477327999996</v>
      </c>
      <c r="G254">
        <v>2.9717871236000004</v>
      </c>
      <c r="H254">
        <v>-131.90823189467338</v>
      </c>
      <c r="I254">
        <v>0.9</v>
      </c>
      <c r="K254">
        <v>0</v>
      </c>
      <c r="L254">
        <v>0</v>
      </c>
      <c r="M254">
        <v>-171.00317132019964</v>
      </c>
      <c r="N254">
        <v>0.9</v>
      </c>
      <c r="P254">
        <v>0</v>
      </c>
      <c r="Q254">
        <v>0</v>
      </c>
      <c r="R254">
        <v>-171.00317132019964</v>
      </c>
      <c r="S254">
        <v>0.9</v>
      </c>
      <c r="U254">
        <v>0</v>
      </c>
      <c r="V254">
        <v>-9.52</v>
      </c>
      <c r="W254">
        <v>-69.003171320200252</v>
      </c>
      <c r="X254">
        <v>0.9</v>
      </c>
      <c r="Z254">
        <v>0</v>
      </c>
      <c r="AA254">
        <v>0</v>
      </c>
      <c r="AB254">
        <v>-171.00317132019964</v>
      </c>
      <c r="AC254">
        <v>0.9</v>
      </c>
      <c r="AE254">
        <v>0</v>
      </c>
      <c r="AF254">
        <v>0</v>
      </c>
      <c r="AG254">
        <v>-171.00317132019964</v>
      </c>
      <c r="AH254">
        <v>0.9</v>
      </c>
      <c r="AJ254">
        <v>-8.7231170236000004</v>
      </c>
      <c r="AK254">
        <v>-3.6745263433999997</v>
      </c>
      <c r="AL254">
        <v>-122.72726451891026</v>
      </c>
      <c r="AM254">
        <v>0.9</v>
      </c>
    </row>
    <row r="255" spans="1:39" x14ac:dyDescent="0.25">
      <c r="A255">
        <v>38.2299464022</v>
      </c>
      <c r="B255">
        <v>0</v>
      </c>
      <c r="C255">
        <v>40.653665264038281</v>
      </c>
      <c r="D255">
        <v>0.9</v>
      </c>
      <c r="F255">
        <v>9.0654420789000003</v>
      </c>
      <c r="G255">
        <v>-3.8212370814000001</v>
      </c>
      <c r="H255">
        <v>-120.77112134547338</v>
      </c>
      <c r="I255">
        <v>0.9</v>
      </c>
      <c r="K255">
        <v>0</v>
      </c>
      <c r="L255">
        <v>0</v>
      </c>
      <c r="M255">
        <v>-171.00317132019964</v>
      </c>
      <c r="N255">
        <v>0.9</v>
      </c>
      <c r="P255">
        <v>0</v>
      </c>
      <c r="Q255">
        <v>0</v>
      </c>
      <c r="R255">
        <v>-171.00317132019964</v>
      </c>
      <c r="S255">
        <v>0.9</v>
      </c>
      <c r="U255">
        <v>0</v>
      </c>
      <c r="V255">
        <v>-9.6070459492999998</v>
      </c>
      <c r="W255">
        <v>-67.842558663212017</v>
      </c>
      <c r="X255">
        <v>0.9</v>
      </c>
      <c r="Z255">
        <v>0</v>
      </c>
      <c r="AA255">
        <v>0</v>
      </c>
      <c r="AB255">
        <v>1228.5022903979216</v>
      </c>
      <c r="AC255">
        <v>0.65</v>
      </c>
      <c r="AE255">
        <v>0</v>
      </c>
      <c r="AF255">
        <v>0</v>
      </c>
      <c r="AG255">
        <v>-171.00317132019964</v>
      </c>
      <c r="AH255">
        <v>0.9</v>
      </c>
      <c r="AJ255">
        <v>-8.0183928529999999</v>
      </c>
      <c r="AK255">
        <v>-3.3619778894000003</v>
      </c>
      <c r="AL255">
        <v>-126.70568835060247</v>
      </c>
      <c r="AM255">
        <v>0.9</v>
      </c>
    </row>
    <row r="256" spans="1:39" x14ac:dyDescent="0.25">
      <c r="A256">
        <v>36.103872490600004</v>
      </c>
      <c r="B256">
        <v>0</v>
      </c>
      <c r="C256">
        <v>28.504671483321328</v>
      </c>
      <c r="D256">
        <v>0.9</v>
      </c>
      <c r="F256">
        <v>8.1703544899999994</v>
      </c>
      <c r="G256">
        <v>-3.4271043052999999</v>
      </c>
      <c r="H256">
        <v>-125.83733613900016</v>
      </c>
      <c r="I256">
        <v>0.9</v>
      </c>
      <c r="K256">
        <v>0</v>
      </c>
      <c r="L256">
        <v>0</v>
      </c>
      <c r="M256">
        <v>-171.00317132019964</v>
      </c>
      <c r="N256">
        <v>0.9</v>
      </c>
      <c r="P256">
        <v>0</v>
      </c>
      <c r="Q256">
        <v>0</v>
      </c>
      <c r="R256">
        <v>1228.5022903979216</v>
      </c>
      <c r="S256">
        <v>0.65</v>
      </c>
      <c r="U256">
        <v>0</v>
      </c>
      <c r="V256">
        <v>-9.52</v>
      </c>
      <c r="W256">
        <v>-69.003171320200252</v>
      </c>
      <c r="X256">
        <v>0.9</v>
      </c>
      <c r="Z256">
        <v>0</v>
      </c>
      <c r="AA256">
        <v>0</v>
      </c>
      <c r="AB256">
        <v>-171.00317132019964</v>
      </c>
      <c r="AC256">
        <v>0.9</v>
      </c>
      <c r="AE256">
        <v>0</v>
      </c>
      <c r="AF256">
        <v>0</v>
      </c>
      <c r="AG256">
        <v>-171.00317132019964</v>
      </c>
      <c r="AH256">
        <v>0.9</v>
      </c>
      <c r="AJ256">
        <v>0</v>
      </c>
      <c r="AK256">
        <v>0</v>
      </c>
      <c r="AL256">
        <v>-171.00317132019964</v>
      </c>
      <c r="AM256">
        <v>0.9</v>
      </c>
    </row>
    <row r="257" spans="1:39" x14ac:dyDescent="0.25">
      <c r="A257">
        <v>34.243557817899998</v>
      </c>
      <c r="B257">
        <v>0</v>
      </c>
      <c r="C257">
        <v>17.87430192519421</v>
      </c>
      <c r="D257">
        <v>0.9</v>
      </c>
      <c r="F257">
        <v>19.734894912200001</v>
      </c>
      <c r="G257">
        <v>-8.093526390900001</v>
      </c>
      <c r="H257">
        <v>-60.142819441028038</v>
      </c>
      <c r="I257">
        <v>0.9</v>
      </c>
      <c r="K257">
        <v>0</v>
      </c>
      <c r="L257">
        <v>0</v>
      </c>
      <c r="M257">
        <v>-171.00317132019964</v>
      </c>
      <c r="N257">
        <v>0.9</v>
      </c>
      <c r="P257">
        <v>0</v>
      </c>
      <c r="Q257">
        <v>0</v>
      </c>
      <c r="R257">
        <v>-171.00317132019964</v>
      </c>
      <c r="S257">
        <v>0.9</v>
      </c>
      <c r="U257">
        <v>0</v>
      </c>
      <c r="V257">
        <v>-9.52</v>
      </c>
      <c r="W257">
        <v>-69.003171320200252</v>
      </c>
      <c r="X257">
        <v>0.9</v>
      </c>
      <c r="Z257">
        <v>0</v>
      </c>
      <c r="AA257">
        <v>0</v>
      </c>
      <c r="AB257">
        <v>1228.5022903979216</v>
      </c>
      <c r="AC257">
        <v>0.65</v>
      </c>
      <c r="AE257">
        <v>0</v>
      </c>
      <c r="AF257">
        <v>0</v>
      </c>
      <c r="AG257">
        <v>-171.00317132019964</v>
      </c>
      <c r="AH257">
        <v>0.9</v>
      </c>
      <c r="AJ257">
        <v>0</v>
      </c>
      <c r="AK257">
        <v>0</v>
      </c>
      <c r="AL257">
        <v>-171.00317132019964</v>
      </c>
      <c r="AM257">
        <v>0.9</v>
      </c>
    </row>
    <row r="258" spans="1:39" x14ac:dyDescent="0.25">
      <c r="A258">
        <v>34.509317056900002</v>
      </c>
      <c r="B258">
        <v>0</v>
      </c>
      <c r="C258">
        <v>19.392926147783989</v>
      </c>
      <c r="D258">
        <v>0.9</v>
      </c>
      <c r="F258">
        <v>7.4139807414999996</v>
      </c>
      <c r="G258">
        <v>-3.1029441272999998</v>
      </c>
      <c r="H258">
        <v>-130.15947184483875</v>
      </c>
      <c r="I258">
        <v>0.9</v>
      </c>
      <c r="K258">
        <v>0</v>
      </c>
      <c r="L258">
        <v>0</v>
      </c>
      <c r="M258">
        <v>-171.00317132019964</v>
      </c>
      <c r="N258">
        <v>0.9</v>
      </c>
      <c r="P258">
        <v>0</v>
      </c>
      <c r="Q258">
        <v>0</v>
      </c>
      <c r="R258">
        <v>-171.00317132019964</v>
      </c>
      <c r="S258">
        <v>0.9</v>
      </c>
      <c r="U258">
        <v>0</v>
      </c>
      <c r="V258">
        <v>-9.52</v>
      </c>
      <c r="W258">
        <v>-69.003171320200252</v>
      </c>
      <c r="X258">
        <v>0.9</v>
      </c>
      <c r="Z258">
        <v>0</v>
      </c>
      <c r="AA258">
        <v>0</v>
      </c>
      <c r="AB258">
        <v>-171.00317132019964</v>
      </c>
      <c r="AC258">
        <v>0.9</v>
      </c>
      <c r="AE258">
        <v>0</v>
      </c>
      <c r="AF258">
        <v>0</v>
      </c>
      <c r="AG258">
        <v>-171.00317132019964</v>
      </c>
      <c r="AH258">
        <v>0.9</v>
      </c>
      <c r="AJ258">
        <v>-7.2522297090999999</v>
      </c>
      <c r="AK258">
        <v>-3.0336222563000002</v>
      </c>
      <c r="AL258">
        <v>-131.08376345890846</v>
      </c>
      <c r="AM258">
        <v>0.9</v>
      </c>
    </row>
    <row r="259" spans="1:39" x14ac:dyDescent="0.25">
      <c r="A259">
        <v>38.7614648801</v>
      </c>
      <c r="B259">
        <v>0</v>
      </c>
      <c r="C259">
        <v>43.690913709217298</v>
      </c>
      <c r="D259">
        <v>0.9</v>
      </c>
      <c r="F259">
        <v>8.9690917000999999</v>
      </c>
      <c r="G259">
        <v>-3.7799440620000002</v>
      </c>
      <c r="H259">
        <v>-121.32169493855967</v>
      </c>
      <c r="I259">
        <v>0.9</v>
      </c>
      <c r="K259">
        <v>0</v>
      </c>
      <c r="L259">
        <v>0</v>
      </c>
      <c r="M259">
        <v>-171.00317132019964</v>
      </c>
      <c r="N259">
        <v>0.9</v>
      </c>
      <c r="P259">
        <v>0</v>
      </c>
      <c r="Q259">
        <v>0</v>
      </c>
      <c r="R259">
        <v>1228.5022903979216</v>
      </c>
      <c r="S259">
        <v>0.65</v>
      </c>
      <c r="U259">
        <v>0</v>
      </c>
      <c r="V259">
        <v>-11.2223098951</v>
      </c>
      <c r="W259">
        <v>-46.305706051945755</v>
      </c>
      <c r="X259">
        <v>0.9</v>
      </c>
      <c r="Z259">
        <v>0</v>
      </c>
      <c r="AA259">
        <v>0</v>
      </c>
      <c r="AB259">
        <v>-171.00317132019964</v>
      </c>
      <c r="AC259">
        <v>0.9</v>
      </c>
      <c r="AE259">
        <v>0</v>
      </c>
      <c r="AF259">
        <v>0</v>
      </c>
      <c r="AG259">
        <v>-171.00317132019964</v>
      </c>
      <c r="AH259">
        <v>0.9</v>
      </c>
      <c r="AJ259">
        <v>0</v>
      </c>
      <c r="AK259">
        <v>0</v>
      </c>
      <c r="AL259">
        <v>-171.00317132019964</v>
      </c>
      <c r="AM259">
        <v>0.9</v>
      </c>
    </row>
    <row r="260" spans="1:39" x14ac:dyDescent="0.25">
      <c r="A260">
        <v>34.7750762959</v>
      </c>
      <c r="B260">
        <v>0</v>
      </c>
      <c r="C260">
        <v>20.911550370373639</v>
      </c>
      <c r="D260">
        <v>0.9</v>
      </c>
      <c r="F260">
        <v>8.2297472398</v>
      </c>
      <c r="G260">
        <v>-3.4525583409</v>
      </c>
      <c r="H260">
        <v>-125.49794899754654</v>
      </c>
      <c r="I260">
        <v>0.9</v>
      </c>
      <c r="K260">
        <v>0</v>
      </c>
      <c r="L260">
        <v>0</v>
      </c>
      <c r="M260">
        <v>1228.5022903979216</v>
      </c>
      <c r="N260">
        <v>0.65</v>
      </c>
      <c r="P260">
        <v>0</v>
      </c>
      <c r="Q260">
        <v>0</v>
      </c>
      <c r="R260">
        <v>1228.5022903979216</v>
      </c>
      <c r="S260">
        <v>0.65</v>
      </c>
      <c r="U260">
        <v>0</v>
      </c>
      <c r="V260">
        <v>-9.8762566069000002</v>
      </c>
      <c r="W260">
        <v>-64.253083228000975</v>
      </c>
      <c r="X260">
        <v>0.9</v>
      </c>
      <c r="Z260">
        <v>0</v>
      </c>
      <c r="AA260">
        <v>0</v>
      </c>
      <c r="AB260">
        <v>1228.5022903979216</v>
      </c>
      <c r="AC260">
        <v>0.65</v>
      </c>
      <c r="AE260">
        <v>0</v>
      </c>
      <c r="AF260">
        <v>0</v>
      </c>
      <c r="AG260">
        <v>-171.00317132019964</v>
      </c>
      <c r="AH260">
        <v>0.9</v>
      </c>
      <c r="AJ260">
        <v>0</v>
      </c>
      <c r="AK260">
        <v>0</v>
      </c>
      <c r="AL260">
        <v>-171.00317132019964</v>
      </c>
      <c r="AM260">
        <v>0.9</v>
      </c>
    </row>
    <row r="261" spans="1:39" x14ac:dyDescent="0.25">
      <c r="A261">
        <v>36.369631729600002</v>
      </c>
      <c r="B261">
        <v>0</v>
      </c>
      <c r="C261">
        <v>30.023295705910979</v>
      </c>
      <c r="D261">
        <v>0.9</v>
      </c>
      <c r="F261">
        <v>5.2296676522999999</v>
      </c>
      <c r="G261">
        <v>-2.2008099462000001</v>
      </c>
      <c r="H261">
        <v>-142.41459425921744</v>
      </c>
      <c r="I261">
        <v>0.9</v>
      </c>
      <c r="K261">
        <v>0</v>
      </c>
      <c r="L261">
        <v>0</v>
      </c>
      <c r="M261">
        <v>1228.5022903979216</v>
      </c>
      <c r="N261">
        <v>0.65</v>
      </c>
      <c r="P261">
        <v>0</v>
      </c>
      <c r="Q261">
        <v>0</v>
      </c>
      <c r="R261">
        <v>-171.00317132019964</v>
      </c>
      <c r="S261">
        <v>0.9</v>
      </c>
      <c r="U261">
        <v>0</v>
      </c>
      <c r="V261">
        <v>-9.52</v>
      </c>
      <c r="W261">
        <v>-69.003171320200252</v>
      </c>
      <c r="X261">
        <v>0.9</v>
      </c>
      <c r="Z261">
        <v>0</v>
      </c>
      <c r="AA261">
        <v>0</v>
      </c>
      <c r="AB261">
        <v>1228.5022903979216</v>
      </c>
      <c r="AC261">
        <v>0.65</v>
      </c>
      <c r="AE261">
        <v>0</v>
      </c>
      <c r="AF261">
        <v>0</v>
      </c>
      <c r="AG261">
        <v>-171.00317132019964</v>
      </c>
      <c r="AH261">
        <v>0.9</v>
      </c>
      <c r="AJ261">
        <v>0</v>
      </c>
      <c r="AK261">
        <v>0</v>
      </c>
      <c r="AL261">
        <v>-171.00317132019964</v>
      </c>
      <c r="AM261">
        <v>0.9</v>
      </c>
    </row>
    <row r="262" spans="1:39" x14ac:dyDescent="0.25">
      <c r="A262">
        <v>37.166909446399998</v>
      </c>
      <c r="B262">
        <v>0</v>
      </c>
      <c r="C262">
        <v>34.579168373679806</v>
      </c>
      <c r="D262">
        <v>0.9</v>
      </c>
      <c r="F262">
        <v>0</v>
      </c>
      <c r="G262">
        <v>0</v>
      </c>
      <c r="H262">
        <v>-171.00317132019964</v>
      </c>
      <c r="I262">
        <v>0.9</v>
      </c>
      <c r="K262">
        <v>0</v>
      </c>
      <c r="L262">
        <v>0</v>
      </c>
      <c r="M262">
        <v>1228.5022903979216</v>
      </c>
      <c r="N262">
        <v>0.65</v>
      </c>
      <c r="P262">
        <v>0</v>
      </c>
      <c r="Q262">
        <v>0</v>
      </c>
      <c r="R262">
        <v>1228.5022903979216</v>
      </c>
      <c r="S262">
        <v>0.65</v>
      </c>
      <c r="U262">
        <v>0</v>
      </c>
      <c r="V262">
        <v>-9.52</v>
      </c>
      <c r="W262">
        <v>-69.003171320200252</v>
      </c>
      <c r="X262">
        <v>0.9</v>
      </c>
      <c r="Z262">
        <v>0</v>
      </c>
      <c r="AA262">
        <v>0</v>
      </c>
      <c r="AB262">
        <v>1228.5022903979216</v>
      </c>
      <c r="AC262">
        <v>0.65</v>
      </c>
      <c r="AE262">
        <v>-3.6266666666999998</v>
      </c>
      <c r="AF262">
        <v>-3.57</v>
      </c>
      <c r="AG262">
        <v>-133.60317132019932</v>
      </c>
      <c r="AH262">
        <v>0.9</v>
      </c>
      <c r="AJ262">
        <v>0</v>
      </c>
      <c r="AK262">
        <v>0</v>
      </c>
      <c r="AL262">
        <v>-171.00317132019964</v>
      </c>
      <c r="AM262">
        <v>0.9</v>
      </c>
    </row>
    <row r="263" spans="1:39" x14ac:dyDescent="0.25">
      <c r="A263">
        <v>35.040835534799996</v>
      </c>
      <c r="B263">
        <v>0</v>
      </c>
      <c r="C263">
        <v>22.430174592963009</v>
      </c>
      <c r="D263">
        <v>0.9</v>
      </c>
      <c r="F263">
        <v>2.4156770090999999</v>
      </c>
      <c r="G263">
        <v>-1.0061472895999999</v>
      </c>
      <c r="H263">
        <v>-158.26787412511149</v>
      </c>
      <c r="I263">
        <v>0.9</v>
      </c>
      <c r="K263">
        <v>0</v>
      </c>
      <c r="L263">
        <v>0</v>
      </c>
      <c r="M263">
        <v>-171.00317132019964</v>
      </c>
      <c r="N263">
        <v>0.9</v>
      </c>
      <c r="P263">
        <v>0</v>
      </c>
      <c r="Q263">
        <v>0</v>
      </c>
      <c r="R263">
        <v>1228.5022903979216</v>
      </c>
      <c r="S263">
        <v>0.65</v>
      </c>
      <c r="U263">
        <v>0</v>
      </c>
      <c r="V263">
        <v>-9.52</v>
      </c>
      <c r="W263">
        <v>-69.003171320200252</v>
      </c>
      <c r="X263">
        <v>0.9</v>
      </c>
      <c r="Z263">
        <v>0</v>
      </c>
      <c r="AA263">
        <v>0</v>
      </c>
      <c r="AB263">
        <v>1228.5022903979216</v>
      </c>
      <c r="AC263">
        <v>0.65</v>
      </c>
      <c r="AE263">
        <v>0</v>
      </c>
      <c r="AF263">
        <v>0</v>
      </c>
      <c r="AG263">
        <v>-171.00317132019964</v>
      </c>
      <c r="AH263">
        <v>0.9</v>
      </c>
      <c r="AJ263">
        <v>0</v>
      </c>
      <c r="AK263">
        <v>0</v>
      </c>
      <c r="AL263">
        <v>-171.00317132019964</v>
      </c>
      <c r="AM263">
        <v>0.9</v>
      </c>
    </row>
    <row r="264" spans="1:39" x14ac:dyDescent="0.25">
      <c r="A264">
        <v>32.649002384199996</v>
      </c>
      <c r="B264">
        <v>0</v>
      </c>
      <c r="C264">
        <v>8.7625565896568673</v>
      </c>
      <c r="D264">
        <v>0.9</v>
      </c>
      <c r="F264">
        <v>0</v>
      </c>
      <c r="G264">
        <v>0</v>
      </c>
      <c r="H264">
        <v>-171.00317132019964</v>
      </c>
      <c r="I264">
        <v>0.9</v>
      </c>
      <c r="K264">
        <v>0</v>
      </c>
      <c r="L264">
        <v>0</v>
      </c>
      <c r="M264">
        <v>-171.00317132019964</v>
      </c>
      <c r="N264">
        <v>0.9</v>
      </c>
      <c r="P264">
        <v>0</v>
      </c>
      <c r="Q264">
        <v>0</v>
      </c>
      <c r="R264">
        <v>1228.5022903979216</v>
      </c>
      <c r="S264">
        <v>0.65</v>
      </c>
      <c r="U264">
        <v>0</v>
      </c>
      <c r="V264">
        <v>-9.52</v>
      </c>
      <c r="W264">
        <v>-69.003171320200252</v>
      </c>
      <c r="X264">
        <v>0.9</v>
      </c>
      <c r="Z264">
        <v>0</v>
      </c>
      <c r="AA264">
        <v>0</v>
      </c>
      <c r="AB264">
        <v>1228.5022903979216</v>
      </c>
      <c r="AC264">
        <v>0.65</v>
      </c>
      <c r="AE264">
        <v>0</v>
      </c>
      <c r="AF264">
        <v>0</v>
      </c>
      <c r="AG264">
        <v>-171.00317132019964</v>
      </c>
      <c r="AH264">
        <v>0.9</v>
      </c>
      <c r="AJ264">
        <v>0</v>
      </c>
      <c r="AK264">
        <v>0</v>
      </c>
      <c r="AL264">
        <v>-171.00317132019964</v>
      </c>
      <c r="AM264">
        <v>0.9</v>
      </c>
    </row>
    <row r="265" spans="1:39" x14ac:dyDescent="0.25">
      <c r="A265">
        <v>33.446280101100001</v>
      </c>
      <c r="B265">
        <v>0</v>
      </c>
      <c r="C265">
        <v>13.318429257425667</v>
      </c>
      <c r="D265">
        <v>0.9</v>
      </c>
      <c r="F265">
        <v>0</v>
      </c>
      <c r="G265">
        <v>0</v>
      </c>
      <c r="H265">
        <v>-171.00317132019964</v>
      </c>
      <c r="I265">
        <v>0.9</v>
      </c>
      <c r="K265">
        <v>0</v>
      </c>
      <c r="L265">
        <v>0</v>
      </c>
      <c r="M265">
        <v>1228.5022903979216</v>
      </c>
      <c r="N265">
        <v>0.65</v>
      </c>
      <c r="P265">
        <v>0</v>
      </c>
      <c r="Q265">
        <v>0</v>
      </c>
      <c r="R265">
        <v>-171.00317132019964</v>
      </c>
      <c r="S265">
        <v>0.9</v>
      </c>
      <c r="U265">
        <v>0</v>
      </c>
      <c r="V265">
        <v>-9.52</v>
      </c>
      <c r="W265">
        <v>-69.003171320200252</v>
      </c>
      <c r="X265">
        <v>0.9</v>
      </c>
      <c r="Z265">
        <v>0</v>
      </c>
      <c r="AA265">
        <v>0</v>
      </c>
      <c r="AB265">
        <v>1228.5022903979216</v>
      </c>
      <c r="AC265">
        <v>0.65</v>
      </c>
      <c r="AE265">
        <v>0</v>
      </c>
      <c r="AF265">
        <v>0</v>
      </c>
      <c r="AG265">
        <v>-171.00317132019964</v>
      </c>
      <c r="AH265">
        <v>0.9</v>
      </c>
      <c r="AJ265">
        <v>0</v>
      </c>
      <c r="AK265">
        <v>0</v>
      </c>
      <c r="AL265">
        <v>-171.00317132019964</v>
      </c>
      <c r="AM265">
        <v>0.9</v>
      </c>
    </row>
    <row r="266" spans="1:39" x14ac:dyDescent="0.25">
      <c r="A266">
        <v>36.635390968499998</v>
      </c>
      <c r="B266">
        <v>0</v>
      </c>
      <c r="C266">
        <v>31.541919928500349</v>
      </c>
      <c r="D266">
        <v>0.9</v>
      </c>
      <c r="F266">
        <v>0</v>
      </c>
      <c r="G266">
        <v>0</v>
      </c>
      <c r="H266">
        <v>-171.00317132019964</v>
      </c>
      <c r="I266">
        <v>0.9</v>
      </c>
      <c r="K266">
        <v>0</v>
      </c>
      <c r="L266">
        <v>0</v>
      </c>
      <c r="M266">
        <v>-171.00317132019964</v>
      </c>
      <c r="N266">
        <v>0.9</v>
      </c>
      <c r="P266">
        <v>0</v>
      </c>
      <c r="Q266">
        <v>0</v>
      </c>
      <c r="R266">
        <v>-171.00317132019964</v>
      </c>
      <c r="S266">
        <v>0.9</v>
      </c>
      <c r="U266">
        <v>0</v>
      </c>
      <c r="V266">
        <v>-9.52</v>
      </c>
      <c r="W266">
        <v>-69.003171320200252</v>
      </c>
      <c r="X266">
        <v>0.9</v>
      </c>
      <c r="Z266">
        <v>0</v>
      </c>
      <c r="AA266">
        <v>0</v>
      </c>
      <c r="AB266">
        <v>1228.5022903979216</v>
      </c>
      <c r="AC266">
        <v>0.65</v>
      </c>
      <c r="AE266">
        <v>0</v>
      </c>
      <c r="AF266">
        <v>0</v>
      </c>
      <c r="AG266">
        <v>-171.00317132019964</v>
      </c>
      <c r="AH266">
        <v>0.9</v>
      </c>
      <c r="AJ266">
        <v>0</v>
      </c>
      <c r="AK266">
        <v>0</v>
      </c>
      <c r="AL266">
        <v>-171.00317132019964</v>
      </c>
      <c r="AM266">
        <v>0.9</v>
      </c>
    </row>
    <row r="267" spans="1:39" x14ac:dyDescent="0.25">
      <c r="A267">
        <v>35.838113251700001</v>
      </c>
      <c r="B267">
        <v>0</v>
      </c>
      <c r="C267">
        <v>26.986047260731834</v>
      </c>
      <c r="D267">
        <v>0.9</v>
      </c>
      <c r="F267">
        <v>0</v>
      </c>
      <c r="G267">
        <v>0</v>
      </c>
      <c r="H267">
        <v>-171.00317132019964</v>
      </c>
      <c r="I267">
        <v>0.9</v>
      </c>
      <c r="K267">
        <v>0</v>
      </c>
      <c r="L267">
        <v>0</v>
      </c>
      <c r="M267">
        <v>1228.5022903979216</v>
      </c>
      <c r="N267">
        <v>0.65</v>
      </c>
      <c r="P267">
        <v>0</v>
      </c>
      <c r="Q267">
        <v>0</v>
      </c>
      <c r="R267">
        <v>-171.00317132019964</v>
      </c>
      <c r="S267">
        <v>0.9</v>
      </c>
      <c r="U267">
        <v>0</v>
      </c>
      <c r="V267">
        <v>-9.52</v>
      </c>
      <c r="W267">
        <v>-69.003171320200252</v>
      </c>
      <c r="X267">
        <v>0.9</v>
      </c>
      <c r="Z267">
        <v>0</v>
      </c>
      <c r="AA267">
        <v>0</v>
      </c>
      <c r="AB267">
        <v>-171.00317132019964</v>
      </c>
      <c r="AC267">
        <v>0.9</v>
      </c>
      <c r="AE267">
        <v>-3.3660000000000001</v>
      </c>
      <c r="AF267">
        <v>-3.4169999999999998</v>
      </c>
      <c r="AG267">
        <v>-135.30317132019937</v>
      </c>
      <c r="AH267">
        <v>0.9</v>
      </c>
      <c r="AJ267">
        <v>0</v>
      </c>
      <c r="AK267">
        <v>0</v>
      </c>
      <c r="AL267">
        <v>-171.00317132019964</v>
      </c>
      <c r="AM267">
        <v>0.9</v>
      </c>
    </row>
    <row r="268" spans="1:39" x14ac:dyDescent="0.25">
      <c r="A268">
        <v>37.698427924299999</v>
      </c>
      <c r="B268">
        <v>0</v>
      </c>
      <c r="C268">
        <v>37.616416818858823</v>
      </c>
      <c r="D268">
        <v>0.9</v>
      </c>
      <c r="F268">
        <v>0</v>
      </c>
      <c r="G268">
        <v>0</v>
      </c>
      <c r="H268">
        <v>-171.00317132019964</v>
      </c>
      <c r="I268">
        <v>0.9</v>
      </c>
      <c r="K268">
        <v>0</v>
      </c>
      <c r="L268">
        <v>0</v>
      </c>
      <c r="M268">
        <v>1228.5022903979216</v>
      </c>
      <c r="N268">
        <v>0.65</v>
      </c>
      <c r="P268">
        <v>0</v>
      </c>
      <c r="Q268">
        <v>0</v>
      </c>
      <c r="R268">
        <v>1228.5022903979216</v>
      </c>
      <c r="S268">
        <v>0.65</v>
      </c>
      <c r="U268">
        <v>0</v>
      </c>
      <c r="V268">
        <v>-9.52</v>
      </c>
      <c r="W268">
        <v>-69.003171320200252</v>
      </c>
      <c r="X268">
        <v>0.9</v>
      </c>
      <c r="Z268">
        <v>0</v>
      </c>
      <c r="AA268">
        <v>0</v>
      </c>
      <c r="AB268">
        <v>1228.5022903979216</v>
      </c>
      <c r="AC268">
        <v>0.65</v>
      </c>
      <c r="AE268">
        <v>0</v>
      </c>
      <c r="AF268">
        <v>0</v>
      </c>
      <c r="AG268">
        <v>-171.00317132019964</v>
      </c>
      <c r="AH268">
        <v>0.9</v>
      </c>
      <c r="AJ268">
        <v>0</v>
      </c>
      <c r="AK268">
        <v>0</v>
      </c>
      <c r="AL268">
        <v>-171.00317132019964</v>
      </c>
      <c r="AM268">
        <v>0.9</v>
      </c>
    </row>
    <row r="269" spans="1:39" x14ac:dyDescent="0.25">
      <c r="A269">
        <v>20.663763708400001</v>
      </c>
      <c r="B269">
        <v>0</v>
      </c>
      <c r="C269">
        <v>-58.267378700771054</v>
      </c>
      <c r="D269">
        <v>0.9</v>
      </c>
      <c r="F269">
        <v>0</v>
      </c>
      <c r="G269">
        <v>0</v>
      </c>
      <c r="H269">
        <v>-171.00317132019964</v>
      </c>
      <c r="I269">
        <v>0.9</v>
      </c>
      <c r="K269">
        <v>0</v>
      </c>
      <c r="L269">
        <v>0</v>
      </c>
      <c r="M269">
        <v>1228.5022903979216</v>
      </c>
      <c r="N269">
        <v>0.65</v>
      </c>
      <c r="P269">
        <v>0</v>
      </c>
      <c r="Q269">
        <v>0</v>
      </c>
      <c r="R269">
        <v>1228.5022903979216</v>
      </c>
      <c r="S269">
        <v>0.65</v>
      </c>
      <c r="U269">
        <v>0</v>
      </c>
      <c r="V269">
        <v>-9.52</v>
      </c>
      <c r="W269">
        <v>-69.003171320200252</v>
      </c>
      <c r="X269">
        <v>0.9</v>
      </c>
      <c r="Z269">
        <v>-1.6319999999999999</v>
      </c>
      <c r="AA269">
        <v>-3.944</v>
      </c>
      <c r="AB269">
        <v>-130.20317132019949</v>
      </c>
      <c r="AC269">
        <v>0.9</v>
      </c>
      <c r="AE269">
        <v>0</v>
      </c>
      <c r="AF269">
        <v>0</v>
      </c>
      <c r="AG269">
        <v>-171.00317132019964</v>
      </c>
      <c r="AH269">
        <v>0.9</v>
      </c>
      <c r="AJ269">
        <v>0</v>
      </c>
      <c r="AK269">
        <v>0</v>
      </c>
      <c r="AL269">
        <v>-171.00317132019964</v>
      </c>
      <c r="AM269">
        <v>0.9</v>
      </c>
    </row>
    <row r="270" spans="1:39" x14ac:dyDescent="0.25">
      <c r="A270">
        <v>32.117483906300002</v>
      </c>
      <c r="B270">
        <v>0</v>
      </c>
      <c r="C270">
        <v>5.7253081444776939</v>
      </c>
      <c r="D270">
        <v>0.9</v>
      </c>
      <c r="F270">
        <v>2.6765833075000001</v>
      </c>
      <c r="G270">
        <v>-1.1179642746</v>
      </c>
      <c r="H270">
        <v>-156.77698099168677</v>
      </c>
      <c r="I270">
        <v>0.9</v>
      </c>
      <c r="K270">
        <v>0</v>
      </c>
      <c r="L270">
        <v>0</v>
      </c>
      <c r="M270">
        <v>1228.5022903979216</v>
      </c>
      <c r="N270">
        <v>0.65</v>
      </c>
      <c r="P270">
        <v>-1.0761870401</v>
      </c>
      <c r="Q270">
        <v>2.6067957578000001</v>
      </c>
      <c r="R270">
        <v>1193.7450136269495</v>
      </c>
      <c r="S270">
        <v>0.65</v>
      </c>
      <c r="U270">
        <v>0</v>
      </c>
      <c r="V270">
        <v>-9.52</v>
      </c>
      <c r="W270">
        <v>-69.003171320200252</v>
      </c>
      <c r="X270">
        <v>0.9</v>
      </c>
      <c r="Z270">
        <v>-1.6319999999999999</v>
      </c>
      <c r="AA270">
        <v>-3.944</v>
      </c>
      <c r="AB270">
        <v>-130.20317132019949</v>
      </c>
      <c r="AC270">
        <v>0.9</v>
      </c>
      <c r="AE270">
        <v>0</v>
      </c>
      <c r="AF270">
        <v>0</v>
      </c>
      <c r="AG270">
        <v>-171.00317132019964</v>
      </c>
      <c r="AH270">
        <v>0.9</v>
      </c>
      <c r="AJ270">
        <v>0</v>
      </c>
      <c r="AK270">
        <v>0</v>
      </c>
      <c r="AL270">
        <v>-171.00317132019964</v>
      </c>
      <c r="AM270">
        <v>0.9</v>
      </c>
    </row>
    <row r="271" spans="1:39" x14ac:dyDescent="0.25">
      <c r="A271">
        <v>33.712039340000004</v>
      </c>
      <c r="B271">
        <v>0</v>
      </c>
      <c r="C271">
        <v>14.837053480015317</v>
      </c>
      <c r="D271">
        <v>0.9</v>
      </c>
      <c r="F271">
        <v>0</v>
      </c>
      <c r="G271">
        <v>0</v>
      </c>
      <c r="H271">
        <v>-171.00317132019964</v>
      </c>
      <c r="I271">
        <v>0.9</v>
      </c>
      <c r="K271">
        <v>0</v>
      </c>
      <c r="L271">
        <v>0</v>
      </c>
      <c r="M271">
        <v>1228.5022903979216</v>
      </c>
      <c r="N271">
        <v>0.65</v>
      </c>
      <c r="P271">
        <v>-1.0476944284</v>
      </c>
      <c r="Q271">
        <v>2.5389327768999999</v>
      </c>
      <c r="R271">
        <v>1194.6498533730571</v>
      </c>
      <c r="S271">
        <v>0.65</v>
      </c>
      <c r="U271">
        <v>0</v>
      </c>
      <c r="V271">
        <v>-9.52</v>
      </c>
      <c r="W271">
        <v>-69.003171320200252</v>
      </c>
      <c r="X271">
        <v>0.9</v>
      </c>
      <c r="Z271">
        <v>-1.6319999999999999</v>
      </c>
      <c r="AA271">
        <v>-3.944</v>
      </c>
      <c r="AB271">
        <v>-130.20317132019949</v>
      </c>
      <c r="AC271">
        <v>0.9</v>
      </c>
      <c r="AE271">
        <v>0</v>
      </c>
      <c r="AF271">
        <v>0</v>
      </c>
      <c r="AG271">
        <v>1228.5022903979216</v>
      </c>
      <c r="AH271">
        <v>0.65</v>
      </c>
      <c r="AJ271">
        <v>0</v>
      </c>
      <c r="AK271">
        <v>0</v>
      </c>
      <c r="AL271">
        <v>-171.00317132019964</v>
      </c>
      <c r="AM271">
        <v>0.9</v>
      </c>
    </row>
    <row r="272" spans="1:39" x14ac:dyDescent="0.25">
      <c r="A272">
        <v>32.9147616232</v>
      </c>
      <c r="B272">
        <v>0</v>
      </c>
      <c r="C272">
        <v>10.281180812246518</v>
      </c>
      <c r="D272">
        <v>0.9</v>
      </c>
      <c r="F272">
        <v>0</v>
      </c>
      <c r="G272">
        <v>0</v>
      </c>
      <c r="H272">
        <v>-171.00317132019964</v>
      </c>
      <c r="I272">
        <v>0.9</v>
      </c>
      <c r="K272">
        <v>0</v>
      </c>
      <c r="L272">
        <v>0</v>
      </c>
      <c r="M272">
        <v>1228.5022903979216</v>
      </c>
      <c r="N272">
        <v>0.65</v>
      </c>
      <c r="P272">
        <v>-0.75956356920000001</v>
      </c>
      <c r="Q272">
        <v>1.8484252773000001</v>
      </c>
      <c r="R272">
        <v>1203.8566200341766</v>
      </c>
      <c r="S272">
        <v>0.65</v>
      </c>
      <c r="U272">
        <v>0</v>
      </c>
      <c r="V272">
        <v>-4.93</v>
      </c>
      <c r="W272">
        <v>-120.00317132020007</v>
      </c>
      <c r="X272">
        <v>0.9</v>
      </c>
      <c r="Z272">
        <v>0.69019689019999997</v>
      </c>
      <c r="AA272">
        <v>1.6780827779</v>
      </c>
      <c r="AB272">
        <v>1206.1278533590512</v>
      </c>
      <c r="AC272">
        <v>0.65</v>
      </c>
      <c r="AE272">
        <v>0</v>
      </c>
      <c r="AF272">
        <v>0</v>
      </c>
      <c r="AG272">
        <v>-171.00317132019964</v>
      </c>
      <c r="AH272">
        <v>0.9</v>
      </c>
      <c r="AJ272">
        <v>0</v>
      </c>
      <c r="AK272">
        <v>0</v>
      </c>
      <c r="AL272">
        <v>-171.00317132019964</v>
      </c>
      <c r="AM272">
        <v>0.9</v>
      </c>
    </row>
    <row r="273" spans="1:39" x14ac:dyDescent="0.25">
      <c r="A273">
        <v>35.572354012699996</v>
      </c>
      <c r="B273">
        <v>0</v>
      </c>
      <c r="C273">
        <v>25.467423038142464</v>
      </c>
      <c r="D273">
        <v>0.9</v>
      </c>
      <c r="F273">
        <v>0</v>
      </c>
      <c r="G273">
        <v>0</v>
      </c>
      <c r="H273">
        <v>-171.00317132019964</v>
      </c>
      <c r="I273">
        <v>0.9</v>
      </c>
      <c r="K273">
        <v>0</v>
      </c>
      <c r="L273">
        <v>0</v>
      </c>
      <c r="M273">
        <v>1228.5022903979216</v>
      </c>
      <c r="N273">
        <v>0.65</v>
      </c>
      <c r="P273">
        <v>-1.0666909775</v>
      </c>
      <c r="Q273">
        <v>2.5841742224000002</v>
      </c>
      <c r="R273">
        <v>1194.0466340986445</v>
      </c>
      <c r="S273">
        <v>0.65</v>
      </c>
      <c r="U273">
        <v>0</v>
      </c>
      <c r="V273">
        <v>-9.52</v>
      </c>
      <c r="W273">
        <v>-69.003171320200252</v>
      </c>
      <c r="X273">
        <v>0.9</v>
      </c>
      <c r="Z273">
        <v>1.0714390153</v>
      </c>
      <c r="AA273">
        <v>2.5954849876999999</v>
      </c>
      <c r="AB273">
        <v>1193.89582389472</v>
      </c>
      <c r="AC273">
        <v>0.65</v>
      </c>
      <c r="AE273">
        <v>0</v>
      </c>
      <c r="AF273">
        <v>0</v>
      </c>
      <c r="AG273">
        <v>-171.00317132019964</v>
      </c>
      <c r="AH273">
        <v>0.9</v>
      </c>
      <c r="AJ273">
        <v>0</v>
      </c>
      <c r="AK273">
        <v>0</v>
      </c>
      <c r="AL273">
        <v>-171.00317132019964</v>
      </c>
      <c r="AM273">
        <v>0.9</v>
      </c>
    </row>
    <row r="274" spans="1:39" x14ac:dyDescent="0.25">
      <c r="A274">
        <v>33.977798579000002</v>
      </c>
      <c r="B274">
        <v>0</v>
      </c>
      <c r="C274">
        <v>16.355677702604687</v>
      </c>
      <c r="D274">
        <v>0.9</v>
      </c>
      <c r="F274">
        <v>0</v>
      </c>
      <c r="G274">
        <v>0</v>
      </c>
      <c r="H274">
        <v>-171.00317132019964</v>
      </c>
      <c r="I274">
        <v>0.9</v>
      </c>
      <c r="K274">
        <v>3.1393333332999998</v>
      </c>
      <c r="L274">
        <v>-3.0996666667000001</v>
      </c>
      <c r="M274">
        <v>-138.70317132020017</v>
      </c>
      <c r="N274">
        <v>0.9</v>
      </c>
      <c r="P274">
        <v>-1.0714379018</v>
      </c>
      <c r="Q274">
        <v>2.5954853967999996</v>
      </c>
      <c r="R274">
        <v>1193.8958184406495</v>
      </c>
      <c r="S274">
        <v>0.65</v>
      </c>
      <c r="U274">
        <v>0</v>
      </c>
      <c r="V274">
        <v>-9.52</v>
      </c>
      <c r="W274">
        <v>-69.003171320200252</v>
      </c>
      <c r="X274">
        <v>0.9</v>
      </c>
      <c r="Z274">
        <v>0.75960210839999998</v>
      </c>
      <c r="AA274">
        <v>1.8484111200000002</v>
      </c>
      <c r="AB274">
        <v>1203.8568087977387</v>
      </c>
      <c r="AC274">
        <v>0.65</v>
      </c>
      <c r="AE274">
        <v>0</v>
      </c>
      <c r="AF274">
        <v>0</v>
      </c>
      <c r="AG274">
        <v>1228.5022903979216</v>
      </c>
      <c r="AH274">
        <v>0.65</v>
      </c>
      <c r="AJ274">
        <v>0</v>
      </c>
      <c r="AK274">
        <v>0</v>
      </c>
      <c r="AL274">
        <v>-171.00317132019964</v>
      </c>
      <c r="AM274">
        <v>0.9</v>
      </c>
    </row>
    <row r="275" spans="1:39" x14ac:dyDescent="0.25">
      <c r="A275">
        <v>31.320206189499999</v>
      </c>
      <c r="B275">
        <v>0</v>
      </c>
      <c r="C275">
        <v>1.1694354767090231</v>
      </c>
      <c r="D275">
        <v>0.9</v>
      </c>
      <c r="F275">
        <v>0</v>
      </c>
      <c r="G275">
        <v>0</v>
      </c>
      <c r="H275">
        <v>-171.00317132019964</v>
      </c>
      <c r="I275">
        <v>0.9</v>
      </c>
      <c r="K275">
        <v>-1.5579903749999999</v>
      </c>
      <c r="L275">
        <v>1.5551256342999999</v>
      </c>
      <c r="M275">
        <v>1207.7672819399413</v>
      </c>
      <c r="N275">
        <v>0.65</v>
      </c>
      <c r="P275">
        <v>-1.1689177817</v>
      </c>
      <c r="Q275">
        <v>2.8047237526999997</v>
      </c>
      <c r="R275">
        <v>1191.4606650529931</v>
      </c>
      <c r="S275">
        <v>0.65</v>
      </c>
      <c r="U275">
        <v>0</v>
      </c>
      <c r="V275">
        <v>-9.52</v>
      </c>
      <c r="W275">
        <v>-69.003171320200252</v>
      </c>
      <c r="X275">
        <v>0.9</v>
      </c>
      <c r="Z275">
        <v>0.62158206309999997</v>
      </c>
      <c r="AA275">
        <v>1.5074640880999999</v>
      </c>
      <c r="AB275">
        <v>1208.4027692238876</v>
      </c>
      <c r="AC275">
        <v>0.65</v>
      </c>
      <c r="AE275">
        <v>0</v>
      </c>
      <c r="AF275">
        <v>0</v>
      </c>
      <c r="AG275">
        <v>1228.5022903979216</v>
      </c>
      <c r="AH275">
        <v>0.65</v>
      </c>
      <c r="AJ275">
        <v>-2.9387418993000001</v>
      </c>
      <c r="AK275">
        <v>-1.2303179569</v>
      </c>
      <c r="AL275">
        <v>-155.27893189544434</v>
      </c>
      <c r="AM275">
        <v>0.9</v>
      </c>
    </row>
    <row r="276" spans="1:39" x14ac:dyDescent="0.25">
      <c r="A276">
        <v>31.585965428400002</v>
      </c>
      <c r="B276">
        <v>0</v>
      </c>
      <c r="C276">
        <v>2.6880596992983925</v>
      </c>
      <c r="D276">
        <v>0.9</v>
      </c>
      <c r="F276">
        <v>1.972</v>
      </c>
      <c r="G276">
        <v>-0.81599999999999995</v>
      </c>
      <c r="H276">
        <v>-160.80317132020022</v>
      </c>
      <c r="I276">
        <v>0.9</v>
      </c>
      <c r="K276">
        <v>-1.4146261487</v>
      </c>
      <c r="L276">
        <v>1.4119659073999999</v>
      </c>
      <c r="M276">
        <v>1209.6760782989049</v>
      </c>
      <c r="N276">
        <v>0.65</v>
      </c>
      <c r="P276">
        <v>-1.0524448298</v>
      </c>
      <c r="Q276">
        <v>2.5502426739000001</v>
      </c>
      <c r="R276">
        <v>1194.4990547457792</v>
      </c>
      <c r="S276">
        <v>0.65</v>
      </c>
      <c r="U276">
        <v>0</v>
      </c>
      <c r="V276">
        <v>-4.93</v>
      </c>
      <c r="W276">
        <v>-120.00317132020007</v>
      </c>
      <c r="X276">
        <v>0.9</v>
      </c>
      <c r="Z276">
        <v>1.0619425223999999</v>
      </c>
      <c r="AA276">
        <v>2.5728636104999998</v>
      </c>
      <c r="AB276">
        <v>1194.1974422585049</v>
      </c>
      <c r="AC276">
        <v>0.65</v>
      </c>
      <c r="AE276">
        <v>0</v>
      </c>
      <c r="AF276">
        <v>0</v>
      </c>
      <c r="AG276">
        <v>1228.5022903979216</v>
      </c>
      <c r="AH276">
        <v>0.65</v>
      </c>
      <c r="AJ276">
        <v>0</v>
      </c>
      <c r="AK276">
        <v>0</v>
      </c>
      <c r="AL276">
        <v>-171.00317132019964</v>
      </c>
      <c r="AM276">
        <v>0.9</v>
      </c>
    </row>
    <row r="277" spans="1:39" x14ac:dyDescent="0.25">
      <c r="A277">
        <v>32.3832431453</v>
      </c>
      <c r="B277">
        <v>0</v>
      </c>
      <c r="C277">
        <v>7.2439323670673446</v>
      </c>
      <c r="D277">
        <v>0.9</v>
      </c>
      <c r="F277">
        <v>0</v>
      </c>
      <c r="G277">
        <v>0</v>
      </c>
      <c r="H277">
        <v>-171.00317132019964</v>
      </c>
      <c r="I277">
        <v>0.9</v>
      </c>
      <c r="K277">
        <v>-0.55364056989999999</v>
      </c>
      <c r="L277">
        <v>0.55330150479999995</v>
      </c>
      <c r="M277">
        <v>1221.1249370009134</v>
      </c>
      <c r="N277">
        <v>0.65</v>
      </c>
      <c r="P277">
        <v>-0.82981034320000002</v>
      </c>
      <c r="Q277">
        <v>2.0184444764</v>
      </c>
      <c r="R277">
        <v>1201.5896973786641</v>
      </c>
      <c r="S277">
        <v>0.65</v>
      </c>
      <c r="U277">
        <v>0</v>
      </c>
      <c r="V277">
        <v>-4.93</v>
      </c>
      <c r="W277">
        <v>-120.00317132020007</v>
      </c>
      <c r="X277">
        <v>0.9</v>
      </c>
      <c r="Z277">
        <v>0.82981629179999994</v>
      </c>
      <c r="AA277">
        <v>2.0184422913</v>
      </c>
      <c r="AB277">
        <v>1201.5897265142332</v>
      </c>
      <c r="AC277">
        <v>0.65</v>
      </c>
      <c r="AE277">
        <v>0</v>
      </c>
      <c r="AF277">
        <v>0</v>
      </c>
      <c r="AG277">
        <v>1228.5022903979216</v>
      </c>
      <c r="AH277">
        <v>0.65</v>
      </c>
      <c r="AJ277">
        <v>0</v>
      </c>
      <c r="AK277">
        <v>0</v>
      </c>
      <c r="AL277">
        <v>-171.00317132019964</v>
      </c>
      <c r="AM277">
        <v>0.9</v>
      </c>
    </row>
    <row r="278" spans="1:39" x14ac:dyDescent="0.25">
      <c r="A278">
        <v>31.851724667399999</v>
      </c>
      <c r="B278">
        <v>0</v>
      </c>
      <c r="C278">
        <v>4.2066839218880432</v>
      </c>
      <c r="D278">
        <v>0.9</v>
      </c>
      <c r="F278">
        <v>0</v>
      </c>
      <c r="G278">
        <v>0</v>
      </c>
      <c r="H278">
        <v>-171.00317132019964</v>
      </c>
      <c r="I278">
        <v>0.9</v>
      </c>
      <c r="K278">
        <v>-1.1286072369</v>
      </c>
      <c r="L278">
        <v>1.1253858059999999</v>
      </c>
      <c r="M278">
        <v>1213.4971463181191</v>
      </c>
      <c r="N278">
        <v>0.65</v>
      </c>
      <c r="P278">
        <v>-1.2944532143</v>
      </c>
      <c r="Q278">
        <v>3.1784426925999996</v>
      </c>
      <c r="R278">
        <v>1187.1871285709797</v>
      </c>
      <c r="S278">
        <v>0.65</v>
      </c>
      <c r="U278">
        <v>0</v>
      </c>
      <c r="V278">
        <v>-9.52</v>
      </c>
      <c r="W278">
        <v>-69.003171320200252</v>
      </c>
      <c r="X278">
        <v>0.9</v>
      </c>
      <c r="Z278">
        <v>1.0571935908999999</v>
      </c>
      <c r="AA278">
        <v>2.5615531735000001</v>
      </c>
      <c r="AB278">
        <v>1194.3482480849611</v>
      </c>
      <c r="AC278">
        <v>0.65</v>
      </c>
      <c r="AE278">
        <v>0</v>
      </c>
      <c r="AF278">
        <v>0</v>
      </c>
      <c r="AG278">
        <v>1228.5022903979216</v>
      </c>
      <c r="AH278">
        <v>0.65</v>
      </c>
      <c r="AJ278">
        <v>0</v>
      </c>
      <c r="AK278">
        <v>0</v>
      </c>
      <c r="AL278">
        <v>-171.00317132019964</v>
      </c>
      <c r="AM278">
        <v>0.9</v>
      </c>
    </row>
    <row r="279" spans="1:39" x14ac:dyDescent="0.25">
      <c r="A279">
        <v>15.7890126708</v>
      </c>
      <c r="B279">
        <v>0</v>
      </c>
      <c r="C279">
        <v>-86.12309891582602</v>
      </c>
      <c r="D279">
        <v>0.9</v>
      </c>
      <c r="F279">
        <v>19.6821572313</v>
      </c>
      <c r="G279">
        <v>-8.2134007182000008</v>
      </c>
      <c r="H279">
        <v>-60.055606188956247</v>
      </c>
      <c r="I279">
        <v>0.9</v>
      </c>
      <c r="K279">
        <v>-0.98628538359999995</v>
      </c>
      <c r="L279">
        <v>0.98184316659999993</v>
      </c>
      <c r="M279">
        <v>1215.4110481768207</v>
      </c>
      <c r="N279">
        <v>0.65</v>
      </c>
      <c r="P279">
        <v>-0.69016349219999995</v>
      </c>
      <c r="Q279">
        <v>1.6780950466</v>
      </c>
      <c r="R279">
        <v>1206.127689777021</v>
      </c>
      <c r="S279">
        <v>0.65</v>
      </c>
      <c r="U279">
        <v>0</v>
      </c>
      <c r="V279">
        <v>-4.93</v>
      </c>
      <c r="W279">
        <v>-120.00317132020007</v>
      </c>
      <c r="X279">
        <v>0.9</v>
      </c>
      <c r="Z279">
        <v>-1.6319999999999999</v>
      </c>
      <c r="AA279">
        <v>-3.944</v>
      </c>
      <c r="AB279">
        <v>-130.20317132019949</v>
      </c>
      <c r="AC279">
        <v>0.9</v>
      </c>
      <c r="AE279">
        <v>0</v>
      </c>
      <c r="AF279">
        <v>0</v>
      </c>
      <c r="AG279">
        <v>1228.5022903979216</v>
      </c>
      <c r="AH279">
        <v>0.65</v>
      </c>
      <c r="AJ279">
        <v>0</v>
      </c>
      <c r="AK279">
        <v>0</v>
      </c>
      <c r="AL279">
        <v>-171.00317132019964</v>
      </c>
      <c r="AM279">
        <v>0.9</v>
      </c>
    </row>
    <row r="280" spans="1:39" x14ac:dyDescent="0.25">
      <c r="A280">
        <v>17.0077004302</v>
      </c>
      <c r="B280">
        <v>0</v>
      </c>
      <c r="C280">
        <v>-79.159168862062273</v>
      </c>
      <c r="D280">
        <v>0.9</v>
      </c>
      <c r="F280">
        <v>0</v>
      </c>
      <c r="G280">
        <v>0</v>
      </c>
      <c r="H280">
        <v>-171.00317132019964</v>
      </c>
      <c r="I280">
        <v>0.9</v>
      </c>
      <c r="K280">
        <v>-1.2709434573</v>
      </c>
      <c r="L280">
        <v>1.2689231676999999</v>
      </c>
      <c r="M280">
        <v>1211.5833148282147</v>
      </c>
      <c r="N280">
        <v>0.65</v>
      </c>
      <c r="P280">
        <v>-0.97172329199999996</v>
      </c>
      <c r="Q280">
        <v>2.3579614623</v>
      </c>
      <c r="R280">
        <v>1197.0628042344401</v>
      </c>
      <c r="S280">
        <v>0.65</v>
      </c>
      <c r="U280">
        <v>0</v>
      </c>
      <c r="V280">
        <v>-9.52</v>
      </c>
      <c r="W280">
        <v>-69.003171320200252</v>
      </c>
      <c r="X280">
        <v>0.9</v>
      </c>
      <c r="Z280">
        <v>0.90062136370000001</v>
      </c>
      <c r="AA280">
        <v>2.1882564013999999</v>
      </c>
      <c r="AB280">
        <v>1199.3255383792589</v>
      </c>
      <c r="AC280">
        <v>0.65</v>
      </c>
      <c r="AE280">
        <v>0</v>
      </c>
      <c r="AF280">
        <v>0</v>
      </c>
      <c r="AG280">
        <v>-171.00317132019964</v>
      </c>
      <c r="AH280">
        <v>0.9</v>
      </c>
      <c r="AJ280">
        <v>0</v>
      </c>
      <c r="AK280">
        <v>0</v>
      </c>
      <c r="AL280">
        <v>-171.00317132019964</v>
      </c>
      <c r="AM280">
        <v>0.9</v>
      </c>
    </row>
    <row r="281" spans="1:39" x14ac:dyDescent="0.25">
      <c r="A281">
        <v>12.1329493925</v>
      </c>
      <c r="B281">
        <v>0</v>
      </c>
      <c r="C281">
        <v>-107.01488907711673</v>
      </c>
      <c r="D281">
        <v>0.9</v>
      </c>
      <c r="F281">
        <v>0</v>
      </c>
      <c r="G281">
        <v>0</v>
      </c>
      <c r="H281">
        <v>-171.00317132019964</v>
      </c>
      <c r="I281">
        <v>0.9</v>
      </c>
      <c r="K281">
        <v>-2.1268270362999999</v>
      </c>
      <c r="L281">
        <v>2.1303884995</v>
      </c>
      <c r="M281">
        <v>1197.8331765022128</v>
      </c>
      <c r="N281">
        <v>0.65</v>
      </c>
      <c r="P281">
        <v>-1.0619424513</v>
      </c>
      <c r="Q281">
        <v>2.5728636366000002</v>
      </c>
      <c r="R281">
        <v>1194.1974419102889</v>
      </c>
      <c r="S281">
        <v>0.65</v>
      </c>
      <c r="U281">
        <v>0</v>
      </c>
      <c r="V281">
        <v>0</v>
      </c>
      <c r="W281">
        <v>-171.00317132019964</v>
      </c>
      <c r="X281">
        <v>0.9</v>
      </c>
      <c r="Z281">
        <v>0.54436913050000002</v>
      </c>
      <c r="AA281">
        <v>1.3400038859000001</v>
      </c>
      <c r="AB281">
        <v>1210.6355719192188</v>
      </c>
      <c r="AC281">
        <v>0.65</v>
      </c>
      <c r="AE281">
        <v>0</v>
      </c>
      <c r="AF281">
        <v>0</v>
      </c>
      <c r="AG281">
        <v>1228.5022903979216</v>
      </c>
      <c r="AH281">
        <v>0.65</v>
      </c>
      <c r="AJ281">
        <v>0</v>
      </c>
      <c r="AK281">
        <v>0</v>
      </c>
      <c r="AL281">
        <v>-171.00317132019964</v>
      </c>
      <c r="AM281">
        <v>0.9</v>
      </c>
    </row>
    <row r="282" spans="1:39" x14ac:dyDescent="0.25">
      <c r="A282">
        <v>13.3516371519</v>
      </c>
      <c r="B282">
        <v>0</v>
      </c>
      <c r="C282">
        <v>-100.05095902335297</v>
      </c>
      <c r="D282">
        <v>0.9</v>
      </c>
      <c r="F282">
        <v>1.972</v>
      </c>
      <c r="G282">
        <v>-0.81599999999999995</v>
      </c>
      <c r="H282">
        <v>-160.80317132020022</v>
      </c>
      <c r="I282">
        <v>0.9</v>
      </c>
      <c r="K282">
        <v>-2.2072092016</v>
      </c>
      <c r="L282">
        <v>2.1764543114000001</v>
      </c>
      <c r="M282">
        <v>1196.7083016150743</v>
      </c>
      <c r="N282">
        <v>0.65</v>
      </c>
      <c r="P282">
        <v>-1.0429476547000001</v>
      </c>
      <c r="Q282">
        <v>2.5276215472000003</v>
      </c>
      <c r="R282">
        <v>1194.8006697681847</v>
      </c>
      <c r="S282">
        <v>0.65</v>
      </c>
      <c r="U282">
        <v>0</v>
      </c>
      <c r="V282">
        <v>-9.52</v>
      </c>
      <c r="W282">
        <v>-69.003171320200252</v>
      </c>
      <c r="X282">
        <v>0.9</v>
      </c>
      <c r="Z282">
        <v>0.97172495679999993</v>
      </c>
      <c r="AA282">
        <v>2.3579608507000001</v>
      </c>
      <c r="AB282">
        <v>1197.0628123885222</v>
      </c>
      <c r="AC282">
        <v>0.65</v>
      </c>
      <c r="AE282">
        <v>-3.1393333332999998</v>
      </c>
      <c r="AF282">
        <v>-3.0996666667000001</v>
      </c>
      <c r="AG282">
        <v>-138.7031713201994</v>
      </c>
      <c r="AH282">
        <v>0.9</v>
      </c>
      <c r="AJ282">
        <v>0</v>
      </c>
      <c r="AK282">
        <v>0</v>
      </c>
      <c r="AL282">
        <v>-171.00317132019964</v>
      </c>
      <c r="AM282">
        <v>0.9</v>
      </c>
    </row>
    <row r="283" spans="1:39" x14ac:dyDescent="0.25">
      <c r="A283">
        <v>18.226388189600002</v>
      </c>
      <c r="B283">
        <v>0</v>
      </c>
      <c r="C283">
        <v>-72.195238808298541</v>
      </c>
      <c r="D283">
        <v>0.9</v>
      </c>
      <c r="F283">
        <v>0</v>
      </c>
      <c r="G283">
        <v>0</v>
      </c>
      <c r="H283">
        <v>-171.00317132019964</v>
      </c>
      <c r="I283">
        <v>0.9</v>
      </c>
      <c r="K283">
        <v>-2.3613568685000002</v>
      </c>
      <c r="L283">
        <v>2.3411582950000001</v>
      </c>
      <c r="M283">
        <v>1195.3134933097742</v>
      </c>
      <c r="N283">
        <v>0.65</v>
      </c>
      <c r="P283">
        <v>-1.057194789</v>
      </c>
      <c r="Q283">
        <v>2.5615527334000001</v>
      </c>
      <c r="R283">
        <v>1194.3482539529932</v>
      </c>
      <c r="S283">
        <v>0.65</v>
      </c>
      <c r="U283">
        <v>0</v>
      </c>
      <c r="V283">
        <v>-4.93</v>
      </c>
      <c r="W283">
        <v>-120.00317132020007</v>
      </c>
      <c r="X283">
        <v>0.9</v>
      </c>
      <c r="Z283">
        <v>1.1645335553</v>
      </c>
      <c r="AA283">
        <v>2.7932793424</v>
      </c>
      <c r="AB283">
        <v>1191.6132571901428</v>
      </c>
      <c r="AC283">
        <v>0.65</v>
      </c>
      <c r="AE283">
        <v>0</v>
      </c>
      <c r="AF283">
        <v>0</v>
      </c>
      <c r="AG283">
        <v>1228.5022903979216</v>
      </c>
      <c r="AH283">
        <v>0.65</v>
      </c>
      <c r="AJ283">
        <v>0</v>
      </c>
      <c r="AK283">
        <v>0</v>
      </c>
      <c r="AL283">
        <v>-171.00317132019964</v>
      </c>
      <c r="AM283">
        <v>0.9</v>
      </c>
    </row>
    <row r="284" spans="1:39" x14ac:dyDescent="0.25">
      <c r="A284">
        <v>9.86</v>
      </c>
      <c r="B284">
        <v>0</v>
      </c>
      <c r="C284">
        <v>-120.00317132020007</v>
      </c>
      <c r="D284">
        <v>0.9</v>
      </c>
      <c r="F284">
        <v>0</v>
      </c>
      <c r="G284">
        <v>0</v>
      </c>
      <c r="H284">
        <v>-171.00317132019964</v>
      </c>
      <c r="I284">
        <v>0.9</v>
      </c>
      <c r="K284">
        <v>-2.1447796149</v>
      </c>
      <c r="L284">
        <v>2.1102705443000001</v>
      </c>
      <c r="M284">
        <v>1198.0140208127686</v>
      </c>
      <c r="N284">
        <v>0.65</v>
      </c>
      <c r="P284">
        <v>-1.2401895673000001</v>
      </c>
      <c r="Q284">
        <v>2.9914660816000005</v>
      </c>
      <c r="R284">
        <v>1189.3254586932019</v>
      </c>
      <c r="S284">
        <v>0.65</v>
      </c>
      <c r="U284">
        <v>0</v>
      </c>
      <c r="V284">
        <v>-4.93</v>
      </c>
      <c r="W284">
        <v>-120.00317132020007</v>
      </c>
      <c r="X284">
        <v>0.9</v>
      </c>
      <c r="Z284">
        <v>1.042947767</v>
      </c>
      <c r="AA284">
        <v>2.527621506</v>
      </c>
      <c r="AB284">
        <v>1194.8006703185522</v>
      </c>
      <c r="AC284">
        <v>0.65</v>
      </c>
      <c r="AE284">
        <v>0</v>
      </c>
      <c r="AF284">
        <v>0</v>
      </c>
      <c r="AG284">
        <v>1228.5022903979216</v>
      </c>
      <c r="AH284">
        <v>0.65</v>
      </c>
      <c r="AJ284">
        <v>0</v>
      </c>
      <c r="AK284">
        <v>0</v>
      </c>
      <c r="AL284">
        <v>-171.00317132019964</v>
      </c>
      <c r="AM284">
        <v>0.9</v>
      </c>
    </row>
    <row r="285" spans="1:39" x14ac:dyDescent="0.25">
      <c r="A285">
        <v>14.5703249114</v>
      </c>
      <c r="B285">
        <v>0</v>
      </c>
      <c r="C285">
        <v>-93.087028969589213</v>
      </c>
      <c r="D285">
        <v>0.9</v>
      </c>
      <c r="F285">
        <v>0</v>
      </c>
      <c r="G285">
        <v>0</v>
      </c>
      <c r="H285">
        <v>-171.00317132019964</v>
      </c>
      <c r="I285">
        <v>0.9</v>
      </c>
      <c r="K285">
        <v>-1.8518644757000002</v>
      </c>
      <c r="L285">
        <v>1.8366892277</v>
      </c>
      <c r="M285">
        <v>1203.6153273780608</v>
      </c>
      <c r="N285">
        <v>0.65</v>
      </c>
      <c r="P285">
        <v>-0.90061298339999996</v>
      </c>
      <c r="Q285">
        <v>2.1882594799000001</v>
      </c>
      <c r="R285">
        <v>1199.3254973329217</v>
      </c>
      <c r="S285">
        <v>0.65</v>
      </c>
      <c r="U285">
        <v>0</v>
      </c>
      <c r="V285">
        <v>-9.52</v>
      </c>
      <c r="W285">
        <v>-69.003171320200252</v>
      </c>
      <c r="X285">
        <v>0.9</v>
      </c>
      <c r="Z285">
        <v>-0.47938269459999999</v>
      </c>
      <c r="AA285">
        <v>-1.1680523175999999</v>
      </c>
      <c r="AB285">
        <v>1212.9282594963774</v>
      </c>
      <c r="AC285">
        <v>0.65</v>
      </c>
      <c r="AE285">
        <v>0</v>
      </c>
      <c r="AF285">
        <v>0</v>
      </c>
      <c r="AG285">
        <v>-171.00317132019964</v>
      </c>
      <c r="AH285">
        <v>0.9</v>
      </c>
      <c r="AJ285">
        <v>0</v>
      </c>
      <c r="AK285">
        <v>0</v>
      </c>
      <c r="AL285">
        <v>-171.00317132019964</v>
      </c>
      <c r="AM285">
        <v>0.9</v>
      </c>
    </row>
    <row r="286" spans="1:39" x14ac:dyDescent="0.25">
      <c r="A286">
        <v>19.445075949</v>
      </c>
      <c r="B286">
        <v>0</v>
      </c>
      <c r="C286">
        <v>-65.23130875453478</v>
      </c>
      <c r="D286">
        <v>0.9</v>
      </c>
      <c r="F286">
        <v>0</v>
      </c>
      <c r="G286">
        <v>0</v>
      </c>
      <c r="H286">
        <v>-171.00317132019964</v>
      </c>
      <c r="I286">
        <v>0.9</v>
      </c>
      <c r="K286">
        <v>-1.7104561387999999</v>
      </c>
      <c r="L286">
        <v>1.6949419393</v>
      </c>
      <c r="M286">
        <v>1205.9030645405912</v>
      </c>
      <c r="N286">
        <v>0.65</v>
      </c>
      <c r="P286">
        <v>-1.1645337862</v>
      </c>
      <c r="Q286">
        <v>2.7932792576000001</v>
      </c>
      <c r="R286">
        <v>1191.6132583209705</v>
      </c>
      <c r="S286">
        <v>0.65</v>
      </c>
      <c r="U286">
        <v>0</v>
      </c>
      <c r="V286">
        <v>-4.93</v>
      </c>
      <c r="W286">
        <v>-120.00317132020007</v>
      </c>
      <c r="X286">
        <v>0.9</v>
      </c>
      <c r="Z286">
        <v>1.1689196827999999</v>
      </c>
      <c r="AA286">
        <v>2.8047230543000001</v>
      </c>
      <c r="AB286">
        <v>1191.4606743646796</v>
      </c>
      <c r="AC286">
        <v>0.65</v>
      </c>
      <c r="AE286">
        <v>1.2709900879</v>
      </c>
      <c r="AF286">
        <v>1.2689060380999999</v>
      </c>
      <c r="AG286">
        <v>1211.5835432232604</v>
      </c>
      <c r="AH286">
        <v>0.65</v>
      </c>
      <c r="AJ286">
        <v>0</v>
      </c>
      <c r="AK286">
        <v>0</v>
      </c>
      <c r="AL286">
        <v>-171.00317132019964</v>
      </c>
      <c r="AM286">
        <v>0.9</v>
      </c>
    </row>
    <row r="287" spans="1:39" x14ac:dyDescent="0.25">
      <c r="A287">
        <v>33.180520862100003</v>
      </c>
      <c r="B287">
        <v>0</v>
      </c>
      <c r="C287">
        <v>11.799805034836169</v>
      </c>
      <c r="D287">
        <v>0.9</v>
      </c>
      <c r="F287">
        <v>0</v>
      </c>
      <c r="G287">
        <v>0</v>
      </c>
      <c r="H287">
        <v>-171.00317132019964</v>
      </c>
      <c r="I287">
        <v>0.9</v>
      </c>
      <c r="K287">
        <v>-2.1965759052</v>
      </c>
      <c r="L287">
        <v>2.1676799573999999</v>
      </c>
      <c r="M287">
        <v>1196.8951958462928</v>
      </c>
      <c r="N287">
        <v>0.65</v>
      </c>
      <c r="P287">
        <v>-0.5442773125</v>
      </c>
      <c r="Q287">
        <v>1.340037615</v>
      </c>
      <c r="R287">
        <v>1210.6351221984032</v>
      </c>
      <c r="S287">
        <v>0.65</v>
      </c>
      <c r="U287">
        <v>0</v>
      </c>
      <c r="V287">
        <v>0</v>
      </c>
      <c r="W287">
        <v>-171.00317132019964</v>
      </c>
      <c r="X287">
        <v>0.9</v>
      </c>
      <c r="Z287">
        <v>1.0761854786</v>
      </c>
      <c r="AA287">
        <v>2.6067963314</v>
      </c>
      <c r="AB287">
        <v>1193.7450059791656</v>
      </c>
      <c r="AC287">
        <v>0.65</v>
      </c>
      <c r="AE287">
        <v>1.5582517824000002</v>
      </c>
      <c r="AF287">
        <v>1.5550296071</v>
      </c>
      <c r="AG287">
        <v>1207.7685623030072</v>
      </c>
      <c r="AH287">
        <v>0.65</v>
      </c>
      <c r="AJ287">
        <v>0</v>
      </c>
      <c r="AK287">
        <v>0</v>
      </c>
      <c r="AL287">
        <v>-171.00317132019964</v>
      </c>
      <c r="AM287">
        <v>0.9</v>
      </c>
    </row>
    <row r="288" spans="1:39" x14ac:dyDescent="0.25">
      <c r="A288">
        <v>9.86</v>
      </c>
      <c r="B288">
        <v>0</v>
      </c>
      <c r="C288">
        <v>-120.00317132020007</v>
      </c>
      <c r="D288">
        <v>0.9</v>
      </c>
      <c r="F288">
        <v>1.972</v>
      </c>
      <c r="G288">
        <v>-0.81599999999999995</v>
      </c>
      <c r="H288">
        <v>-160.80317132020022</v>
      </c>
      <c r="I288">
        <v>0.9</v>
      </c>
      <c r="K288">
        <v>-2.3907879206000002</v>
      </c>
      <c r="L288">
        <v>2.3554671382999999</v>
      </c>
      <c r="M288">
        <v>1194.9379769194713</v>
      </c>
      <c r="N288">
        <v>0.65</v>
      </c>
      <c r="P288">
        <v>-0.6215380788</v>
      </c>
      <c r="Q288">
        <v>1.5074802455</v>
      </c>
      <c r="R288">
        <v>1208.4025537906875</v>
      </c>
      <c r="S288">
        <v>0.65</v>
      </c>
      <c r="U288">
        <v>0</v>
      </c>
      <c r="V288">
        <v>0</v>
      </c>
      <c r="W288">
        <v>-171.00317132019964</v>
      </c>
      <c r="X288">
        <v>0.9</v>
      </c>
      <c r="Z288">
        <v>1.0524443721999999</v>
      </c>
      <c r="AA288">
        <v>2.5502428420000003</v>
      </c>
      <c r="AB288">
        <v>1194.4990525047644</v>
      </c>
      <c r="AC288">
        <v>0.65</v>
      </c>
      <c r="AE288">
        <v>1.4146278636</v>
      </c>
      <c r="AF288">
        <v>1.4119652775</v>
      </c>
      <c r="AG288">
        <v>1209.6760866982133</v>
      </c>
      <c r="AH288">
        <v>0.65</v>
      </c>
      <c r="AJ288">
        <v>0</v>
      </c>
      <c r="AK288">
        <v>0</v>
      </c>
      <c r="AL288">
        <v>-171.00317132019964</v>
      </c>
      <c r="AM288">
        <v>0.9</v>
      </c>
    </row>
    <row r="289" spans="1:39" x14ac:dyDescent="0.25">
      <c r="A289">
        <v>10.914261633100001</v>
      </c>
      <c r="B289">
        <v>0</v>
      </c>
      <c r="C289">
        <v>-113.97881913088044</v>
      </c>
      <c r="D289">
        <v>0.9</v>
      </c>
      <c r="F289">
        <v>0</v>
      </c>
      <c r="G289">
        <v>0</v>
      </c>
      <c r="H289">
        <v>-171.00317132019964</v>
      </c>
      <c r="I289">
        <v>0.9</v>
      </c>
      <c r="K289">
        <v>-2.1359468075999999</v>
      </c>
      <c r="L289">
        <v>2.1397634587000001</v>
      </c>
      <c r="M289">
        <v>1197.6466025937611</v>
      </c>
      <c r="N289">
        <v>0.65</v>
      </c>
      <c r="P289">
        <v>-0.48481001069999996</v>
      </c>
      <c r="Q289">
        <v>1.1660586096999999</v>
      </c>
      <c r="R289">
        <v>1212.9548422690202</v>
      </c>
      <c r="S289">
        <v>0.65</v>
      </c>
      <c r="U289">
        <v>0</v>
      </c>
      <c r="V289">
        <v>-4.93</v>
      </c>
      <c r="W289">
        <v>-120.00317132020007</v>
      </c>
      <c r="X289">
        <v>0.9</v>
      </c>
      <c r="Z289">
        <v>1.0476964155999999</v>
      </c>
      <c r="AA289">
        <v>2.5389320468999999</v>
      </c>
      <c r="AB289">
        <v>1194.6498631060524</v>
      </c>
      <c r="AC289">
        <v>0.65</v>
      </c>
      <c r="AE289">
        <v>2.1433196464000002</v>
      </c>
      <c r="AF289">
        <v>2.1108498968</v>
      </c>
      <c r="AG289">
        <v>1198.0143298008109</v>
      </c>
      <c r="AH289">
        <v>0.65</v>
      </c>
      <c r="AJ289">
        <v>0</v>
      </c>
      <c r="AK289">
        <v>0</v>
      </c>
      <c r="AL289">
        <v>-171.00317132019964</v>
      </c>
      <c r="AM289">
        <v>0.9</v>
      </c>
    </row>
    <row r="290" spans="1:39" x14ac:dyDescent="0.25">
      <c r="A290">
        <v>9.86</v>
      </c>
      <c r="B290">
        <v>0</v>
      </c>
      <c r="C290">
        <v>-120.00317132020007</v>
      </c>
      <c r="D290">
        <v>0.9</v>
      </c>
      <c r="F290">
        <v>0</v>
      </c>
      <c r="G290">
        <v>0</v>
      </c>
      <c r="H290">
        <v>-171.00317132019964</v>
      </c>
      <c r="I290">
        <v>0.9</v>
      </c>
      <c r="K290">
        <v>-2.1851890833000001</v>
      </c>
      <c r="L290">
        <v>2.1592046214000002</v>
      </c>
      <c r="M290">
        <v>1197.0822495538014</v>
      </c>
      <c r="N290">
        <v>0.65</v>
      </c>
      <c r="P290">
        <v>-0.34397485359999996</v>
      </c>
      <c r="Q290">
        <v>0.82614570040000002</v>
      </c>
      <c r="R290">
        <v>1217.4870143928656</v>
      </c>
      <c r="S290">
        <v>0.65</v>
      </c>
      <c r="U290">
        <v>0</v>
      </c>
      <c r="V290">
        <v>-4.93</v>
      </c>
      <c r="W290">
        <v>-120.00317132020007</v>
      </c>
      <c r="X290">
        <v>0.9</v>
      </c>
      <c r="Z290">
        <v>1.2944445443999999</v>
      </c>
      <c r="AA290">
        <v>3.1784458774000002</v>
      </c>
      <c r="AB290">
        <v>1187.1870861060563</v>
      </c>
      <c r="AC290">
        <v>0.65</v>
      </c>
      <c r="AE290">
        <v>2.1359442827999997</v>
      </c>
      <c r="AF290">
        <v>2.1397644605999999</v>
      </c>
      <c r="AG290">
        <v>1197.6466031281209</v>
      </c>
      <c r="AH290">
        <v>0.65</v>
      </c>
      <c r="AJ290">
        <v>0</v>
      </c>
      <c r="AK290">
        <v>0</v>
      </c>
      <c r="AL290">
        <v>-171.00317132019964</v>
      </c>
      <c r="AM290">
        <v>0.9</v>
      </c>
    </row>
    <row r="291" spans="1:39" x14ac:dyDescent="0.25">
      <c r="A291">
        <v>9.86</v>
      </c>
      <c r="B291">
        <v>0</v>
      </c>
      <c r="C291">
        <v>-120.00317132020007</v>
      </c>
      <c r="D291">
        <v>0.9</v>
      </c>
      <c r="F291">
        <v>3.9167493975999998</v>
      </c>
      <c r="G291">
        <v>-1.6049402180000001</v>
      </c>
      <c r="H291">
        <v>-149.86841285792514</v>
      </c>
      <c r="I291">
        <v>0.9</v>
      </c>
      <c r="K291">
        <v>-2.3760624542</v>
      </c>
      <c r="L291">
        <v>2.3483166613000002</v>
      </c>
      <c r="M291">
        <v>1195.1257372183964</v>
      </c>
      <c r="N291">
        <v>0.65</v>
      </c>
      <c r="P291">
        <v>-2.0128606860999998</v>
      </c>
      <c r="Q291">
        <v>4.7978496059999998</v>
      </c>
      <c r="R291">
        <v>1169.8513326885893</v>
      </c>
      <c r="S291">
        <v>0.65</v>
      </c>
      <c r="U291">
        <v>0</v>
      </c>
      <c r="V291">
        <v>-4.93</v>
      </c>
      <c r="W291">
        <v>-120.00317132020007</v>
      </c>
      <c r="X291">
        <v>0.9</v>
      </c>
      <c r="Z291">
        <v>1.0666902149000002</v>
      </c>
      <c r="AA291">
        <v>2.5841745026000003</v>
      </c>
      <c r="AB291">
        <v>1194.0466303632452</v>
      </c>
      <c r="AC291">
        <v>0.65</v>
      </c>
      <c r="AE291">
        <v>2.3909855337999999</v>
      </c>
      <c r="AF291">
        <v>2.3553887204000001</v>
      </c>
      <c r="AG291">
        <v>1194.9379350965523</v>
      </c>
      <c r="AH291">
        <v>0.65</v>
      </c>
      <c r="AJ291">
        <v>0</v>
      </c>
      <c r="AK291">
        <v>0</v>
      </c>
      <c r="AL291">
        <v>-171.00317132019964</v>
      </c>
      <c r="AM291">
        <v>0.9</v>
      </c>
    </row>
    <row r="292" spans="1:39" x14ac:dyDescent="0.25">
      <c r="A292">
        <v>0</v>
      </c>
      <c r="B292">
        <v>0</v>
      </c>
      <c r="C292">
        <v>-171.00317132019964</v>
      </c>
      <c r="D292">
        <v>0.9</v>
      </c>
      <c r="F292">
        <v>0</v>
      </c>
      <c r="G292">
        <v>0</v>
      </c>
      <c r="H292">
        <v>-171.00317132019964</v>
      </c>
      <c r="I292">
        <v>0.9</v>
      </c>
      <c r="K292">
        <v>-1.9872973788999999</v>
      </c>
      <c r="L292">
        <v>1.9778547536</v>
      </c>
      <c r="M292">
        <v>1200.8170073581462</v>
      </c>
      <c r="N292">
        <v>0.65</v>
      </c>
      <c r="P292">
        <v>-2.0245852002999998</v>
      </c>
      <c r="Q292">
        <v>4.9222759665</v>
      </c>
      <c r="R292">
        <v>1168.5470059068819</v>
      </c>
      <c r="S292">
        <v>0.65</v>
      </c>
      <c r="U292">
        <v>0</v>
      </c>
      <c r="V292">
        <v>-4.93</v>
      </c>
      <c r="W292">
        <v>-120.00317132020007</v>
      </c>
      <c r="X292">
        <v>0.9</v>
      </c>
      <c r="Z292">
        <v>0</v>
      </c>
      <c r="AA292">
        <v>0</v>
      </c>
      <c r="AB292">
        <v>1228.5022903979216</v>
      </c>
      <c r="AC292">
        <v>0.65</v>
      </c>
      <c r="AE292">
        <v>2.1454057711000001</v>
      </c>
      <c r="AF292">
        <v>2.1490038179000002</v>
      </c>
      <c r="AG292">
        <v>1197.4599568986253</v>
      </c>
      <c r="AH292">
        <v>0.65</v>
      </c>
      <c r="AJ292">
        <v>0</v>
      </c>
      <c r="AK292">
        <v>0</v>
      </c>
      <c r="AL292">
        <v>-171.00317132019964</v>
      </c>
      <c r="AM292">
        <v>0.9</v>
      </c>
    </row>
    <row r="293" spans="1:39" x14ac:dyDescent="0.25">
      <c r="A293">
        <v>9.86</v>
      </c>
      <c r="B293">
        <v>0</v>
      </c>
      <c r="C293">
        <v>-120.00317132020007</v>
      </c>
      <c r="D293">
        <v>0.9</v>
      </c>
      <c r="F293">
        <v>0</v>
      </c>
      <c r="G293">
        <v>0</v>
      </c>
      <c r="H293">
        <v>-171.00317132019964</v>
      </c>
      <c r="I293">
        <v>0.9</v>
      </c>
      <c r="K293">
        <v>-2.1803814008</v>
      </c>
      <c r="L293">
        <v>2.1481185159000002</v>
      </c>
      <c r="M293">
        <v>1197.2679108508546</v>
      </c>
      <c r="N293">
        <v>0.65</v>
      </c>
      <c r="P293">
        <v>-3.1193940445999999</v>
      </c>
      <c r="Q293">
        <v>7.6951841219999997</v>
      </c>
      <c r="R293">
        <v>1138.3140329690548</v>
      </c>
      <c r="S293">
        <v>0.65</v>
      </c>
      <c r="U293">
        <v>0</v>
      </c>
      <c r="V293">
        <v>-4.93</v>
      </c>
      <c r="W293">
        <v>-120.00317132020007</v>
      </c>
      <c r="X293">
        <v>0.9</v>
      </c>
      <c r="Z293">
        <v>1.2401895907</v>
      </c>
      <c r="AA293">
        <v>2.9914660730000002</v>
      </c>
      <c r="AB293">
        <v>1189.3254588076843</v>
      </c>
      <c r="AC293">
        <v>0.65</v>
      </c>
      <c r="AE293">
        <v>2.1963046705</v>
      </c>
      <c r="AF293">
        <v>2.1677875902000001</v>
      </c>
      <c r="AG293">
        <v>1196.8952532504663</v>
      </c>
      <c r="AH293">
        <v>0.65</v>
      </c>
      <c r="AJ293">
        <v>0</v>
      </c>
      <c r="AK293">
        <v>0</v>
      </c>
      <c r="AL293">
        <v>-171.00317132019964</v>
      </c>
      <c r="AM293">
        <v>0.9</v>
      </c>
    </row>
    <row r="294" spans="1:39" x14ac:dyDescent="0.25">
      <c r="A294">
        <v>0</v>
      </c>
      <c r="B294">
        <v>0</v>
      </c>
      <c r="C294">
        <v>-171.00317132019964</v>
      </c>
      <c r="D294">
        <v>0.9</v>
      </c>
      <c r="F294">
        <v>0</v>
      </c>
      <c r="G294">
        <v>0</v>
      </c>
      <c r="H294">
        <v>-171.00317132019964</v>
      </c>
      <c r="I294">
        <v>0.9</v>
      </c>
      <c r="K294">
        <v>-2.5208986248</v>
      </c>
      <c r="L294">
        <v>2.5362073366</v>
      </c>
      <c r="M294">
        <v>1193.3601473752678</v>
      </c>
      <c r="N294">
        <v>0.65</v>
      </c>
      <c r="P294">
        <v>-2.0794144714999998</v>
      </c>
      <c r="Q294">
        <v>4.9282444864000006</v>
      </c>
      <c r="R294">
        <v>1168.4674256406968</v>
      </c>
      <c r="S294">
        <v>0.65</v>
      </c>
      <c r="U294">
        <v>0</v>
      </c>
      <c r="V294">
        <v>-4.93</v>
      </c>
      <c r="W294">
        <v>-120.00317132020007</v>
      </c>
      <c r="X294">
        <v>0.9</v>
      </c>
      <c r="Z294">
        <v>-0.34278666229999999</v>
      </c>
      <c r="AA294">
        <v>-0.82658217879999996</v>
      </c>
      <c r="AB294">
        <v>1217.4811946800423</v>
      </c>
      <c r="AC294">
        <v>0.65</v>
      </c>
      <c r="AE294">
        <v>2.1268709664999998</v>
      </c>
      <c r="AF294">
        <v>2.1303710669</v>
      </c>
      <c r="AG294">
        <v>1197.8331672047984</v>
      </c>
      <c r="AH294">
        <v>0.65</v>
      </c>
      <c r="AJ294">
        <v>0</v>
      </c>
      <c r="AK294">
        <v>0</v>
      </c>
      <c r="AL294">
        <v>-171.00317132019964</v>
      </c>
      <c r="AM294">
        <v>0.9</v>
      </c>
    </row>
    <row r="295" spans="1:39" x14ac:dyDescent="0.25">
      <c r="A295">
        <v>0</v>
      </c>
      <c r="B295">
        <v>0</v>
      </c>
      <c r="C295">
        <v>-171.00317132019964</v>
      </c>
      <c r="D295">
        <v>0.9</v>
      </c>
      <c r="F295">
        <v>1.972</v>
      </c>
      <c r="G295">
        <v>-0.81599999999999995</v>
      </c>
      <c r="H295">
        <v>-160.80317132020022</v>
      </c>
      <c r="I295">
        <v>0.9</v>
      </c>
      <c r="K295">
        <v>-2.4017884854</v>
      </c>
      <c r="L295">
        <v>2.3640957509000002</v>
      </c>
      <c r="M295">
        <v>1194.7510049594835</v>
      </c>
      <c r="N295">
        <v>0.65</v>
      </c>
      <c r="P295">
        <v>-3.4381718792</v>
      </c>
      <c r="Q295">
        <v>8.4938134031000008</v>
      </c>
      <c r="R295">
        <v>1129.2753956410238</v>
      </c>
      <c r="S295">
        <v>0.65</v>
      </c>
      <c r="U295">
        <v>0</v>
      </c>
      <c r="V295">
        <v>0</v>
      </c>
      <c r="W295">
        <v>-171.00317132019964</v>
      </c>
      <c r="X295">
        <v>0.9</v>
      </c>
      <c r="Z295">
        <v>0.27668826639999999</v>
      </c>
      <c r="AA295">
        <v>0.65503908569999991</v>
      </c>
      <c r="AB295">
        <v>1219.7684359224043</v>
      </c>
      <c r="AC295">
        <v>0.65</v>
      </c>
      <c r="AE295">
        <v>0.98630253109999999</v>
      </c>
      <c r="AF295">
        <v>0.9818368675000001</v>
      </c>
      <c r="AG295">
        <v>1215.4111321646083</v>
      </c>
      <c r="AH295">
        <v>0.65</v>
      </c>
      <c r="AJ295">
        <v>0</v>
      </c>
      <c r="AK295">
        <v>0</v>
      </c>
      <c r="AL295">
        <v>-171.00317132019964</v>
      </c>
      <c r="AM295">
        <v>0.9</v>
      </c>
    </row>
    <row r="296" spans="1:39" x14ac:dyDescent="0.25">
      <c r="A296">
        <v>9.86</v>
      </c>
      <c r="B296">
        <v>0</v>
      </c>
      <c r="C296">
        <v>-120.00317132020007</v>
      </c>
      <c r="D296">
        <v>0.9</v>
      </c>
      <c r="F296">
        <v>0</v>
      </c>
      <c r="G296">
        <v>0</v>
      </c>
      <c r="H296">
        <v>-171.00317132019964</v>
      </c>
      <c r="I296">
        <v>0.9</v>
      </c>
      <c r="K296">
        <v>-2.1457655596</v>
      </c>
      <c r="L296">
        <v>2.1488610446999998</v>
      </c>
      <c r="M296">
        <v>1197.4598807529164</v>
      </c>
      <c r="N296">
        <v>0.65</v>
      </c>
      <c r="P296">
        <v>-3.7433341950000001</v>
      </c>
      <c r="Q296">
        <v>9.1767800469999994</v>
      </c>
      <c r="R296">
        <v>1121.4242354501766</v>
      </c>
      <c r="S296">
        <v>0.65</v>
      </c>
      <c r="U296">
        <v>0</v>
      </c>
      <c r="V296">
        <v>0</v>
      </c>
      <c r="W296">
        <v>-171.00317132019964</v>
      </c>
      <c r="X296">
        <v>0.9</v>
      </c>
      <c r="Z296">
        <v>3.1192696956999999</v>
      </c>
      <c r="AA296">
        <v>7.6952298012000009</v>
      </c>
      <c r="AB296">
        <v>1138.3134239133694</v>
      </c>
      <c r="AC296">
        <v>0.65</v>
      </c>
      <c r="AE296">
        <v>1.1286072369</v>
      </c>
      <c r="AF296">
        <v>1.1253858059999999</v>
      </c>
      <c r="AG296">
        <v>1213.4971463181184</v>
      </c>
      <c r="AH296">
        <v>0.65</v>
      </c>
      <c r="AJ296">
        <v>0</v>
      </c>
      <c r="AK296">
        <v>0</v>
      </c>
      <c r="AL296">
        <v>-171.00317132019964</v>
      </c>
      <c r="AM296">
        <v>0.9</v>
      </c>
    </row>
    <row r="297" spans="1:39" x14ac:dyDescent="0.25">
      <c r="A297">
        <v>0</v>
      </c>
      <c r="B297">
        <v>0</v>
      </c>
      <c r="C297">
        <v>-171.00317132019964</v>
      </c>
      <c r="D297">
        <v>0.9</v>
      </c>
      <c r="F297">
        <v>4.8828677426000002</v>
      </c>
      <c r="G297">
        <v>-2.0521814135000001</v>
      </c>
      <c r="H297">
        <v>-144.39630802897722</v>
      </c>
      <c r="I297">
        <v>0.9</v>
      </c>
      <c r="K297">
        <v>-2.5495370069000001</v>
      </c>
      <c r="L297">
        <v>2.5378368152999999</v>
      </c>
      <c r="M297">
        <v>1193.1694425439089</v>
      </c>
      <c r="N297">
        <v>0.65</v>
      </c>
      <c r="P297">
        <v>-3.8612244519000001</v>
      </c>
      <c r="Q297">
        <v>9.4084797543000001</v>
      </c>
      <c r="R297">
        <v>1118.7168813276596</v>
      </c>
      <c r="S297">
        <v>0.65</v>
      </c>
      <c r="U297">
        <v>0</v>
      </c>
      <c r="V297">
        <v>0</v>
      </c>
      <c r="W297">
        <v>-171.00317132019964</v>
      </c>
      <c r="X297">
        <v>0.9</v>
      </c>
      <c r="Z297">
        <v>3.4249291961999999</v>
      </c>
      <c r="AA297">
        <v>8.2646231196999995</v>
      </c>
      <c r="AB297">
        <v>1131.8401549748758</v>
      </c>
      <c r="AC297">
        <v>0.65</v>
      </c>
      <c r="AE297">
        <v>2.3639035298</v>
      </c>
      <c r="AF297">
        <v>2.3401477152000001</v>
      </c>
      <c r="AG297">
        <v>1195.3129543338275</v>
      </c>
      <c r="AH297">
        <v>0.65</v>
      </c>
      <c r="AJ297">
        <v>0</v>
      </c>
      <c r="AK297">
        <v>0</v>
      </c>
      <c r="AL297">
        <v>-171.00317132019964</v>
      </c>
      <c r="AM297">
        <v>0.9</v>
      </c>
    </row>
    <row r="298" spans="1:39" x14ac:dyDescent="0.25">
      <c r="A298">
        <v>0</v>
      </c>
      <c r="B298">
        <v>0</v>
      </c>
      <c r="C298">
        <v>-171.00317132019964</v>
      </c>
      <c r="D298">
        <v>0.9</v>
      </c>
      <c r="F298">
        <v>0</v>
      </c>
      <c r="G298">
        <v>0</v>
      </c>
      <c r="H298">
        <v>-171.00317132019964</v>
      </c>
      <c r="I298">
        <v>0.9</v>
      </c>
      <c r="K298">
        <v>-2.7396012768999998</v>
      </c>
      <c r="L298">
        <v>2.7012836534</v>
      </c>
      <c r="M298">
        <v>1191.3908159876066</v>
      </c>
      <c r="N298">
        <v>0.65</v>
      </c>
      <c r="P298">
        <v>-2.6644724309999996</v>
      </c>
      <c r="Q298">
        <v>6.3874828405000006</v>
      </c>
      <c r="R298">
        <v>1152.721531536843</v>
      </c>
      <c r="S298">
        <v>0.65</v>
      </c>
      <c r="U298">
        <v>0</v>
      </c>
      <c r="V298">
        <v>0</v>
      </c>
      <c r="W298">
        <v>-171.00317132019964</v>
      </c>
      <c r="X298">
        <v>0.9</v>
      </c>
      <c r="Z298">
        <v>2.0128789895999999</v>
      </c>
      <c r="AA298">
        <v>4.7978428822000003</v>
      </c>
      <c r="AB298">
        <v>1169.8514223386223</v>
      </c>
      <c r="AC298">
        <v>0.65</v>
      </c>
      <c r="AE298">
        <v>2.1916640710999999</v>
      </c>
      <c r="AF298">
        <v>2.1566351818</v>
      </c>
      <c r="AG298">
        <v>1197.0808791860093</v>
      </c>
      <c r="AH298">
        <v>0.65</v>
      </c>
      <c r="AJ298">
        <v>0</v>
      </c>
      <c r="AK298">
        <v>0</v>
      </c>
      <c r="AL298">
        <v>-171.00317132019964</v>
      </c>
      <c r="AM298">
        <v>0.9</v>
      </c>
    </row>
    <row r="299" spans="1:39" x14ac:dyDescent="0.25">
      <c r="A299">
        <v>0</v>
      </c>
      <c r="B299">
        <v>0</v>
      </c>
      <c r="C299">
        <v>-171.00317132019964</v>
      </c>
      <c r="D299">
        <v>0.9</v>
      </c>
      <c r="F299">
        <v>0</v>
      </c>
      <c r="G299">
        <v>0</v>
      </c>
      <c r="H299">
        <v>-171.00317132019964</v>
      </c>
      <c r="I299">
        <v>0.9</v>
      </c>
      <c r="K299">
        <v>-2.5612606296</v>
      </c>
      <c r="L299">
        <v>2.5461785001999999</v>
      </c>
      <c r="M299">
        <v>1192.9823175558101</v>
      </c>
      <c r="N299">
        <v>0.65</v>
      </c>
      <c r="P299">
        <v>-3.8489335727999996</v>
      </c>
      <c r="Q299">
        <v>9.3999398286999991</v>
      </c>
      <c r="R299">
        <v>1118.8307470027389</v>
      </c>
      <c r="S299">
        <v>0.65</v>
      </c>
      <c r="U299">
        <v>0</v>
      </c>
      <c r="V299">
        <v>-4.93</v>
      </c>
      <c r="W299">
        <v>-120.00317132020007</v>
      </c>
      <c r="X299">
        <v>0.9</v>
      </c>
      <c r="Z299">
        <v>2.9470150021000001</v>
      </c>
      <c r="AA299">
        <v>7.0994723081999993</v>
      </c>
      <c r="AB299">
        <v>1144.9199435721946</v>
      </c>
      <c r="AC299">
        <v>0.65</v>
      </c>
      <c r="AE299">
        <v>2.5493443373</v>
      </c>
      <c r="AF299">
        <v>2.5379132714999999</v>
      </c>
      <c r="AG299">
        <v>1193.1694833205556</v>
      </c>
      <c r="AH299">
        <v>0.65</v>
      </c>
      <c r="AJ299">
        <v>0</v>
      </c>
      <c r="AK299">
        <v>0</v>
      </c>
      <c r="AL299">
        <v>-171.00317132019964</v>
      </c>
      <c r="AM299">
        <v>0.9</v>
      </c>
    </row>
    <row r="300" spans="1:39" x14ac:dyDescent="0.25">
      <c r="A300">
        <v>0</v>
      </c>
      <c r="B300">
        <v>0</v>
      </c>
      <c r="C300">
        <v>-171.00317132019964</v>
      </c>
      <c r="D300">
        <v>0.9</v>
      </c>
      <c r="F300">
        <v>0</v>
      </c>
      <c r="G300">
        <v>0</v>
      </c>
      <c r="H300">
        <v>-171.00317132019964</v>
      </c>
      <c r="I300">
        <v>0.9</v>
      </c>
      <c r="K300">
        <v>-2.5283434515000001</v>
      </c>
      <c r="L300">
        <v>2.5722347884999999</v>
      </c>
      <c r="M300">
        <v>1192.8046403562453</v>
      </c>
      <c r="N300">
        <v>0.65</v>
      </c>
      <c r="P300">
        <v>-3.0620234958999997</v>
      </c>
      <c r="Q300">
        <v>7.2138540624999994</v>
      </c>
      <c r="R300">
        <v>1143.6404090711173</v>
      </c>
      <c r="S300">
        <v>0.65</v>
      </c>
      <c r="U300">
        <v>0</v>
      </c>
      <c r="V300">
        <v>-4.93</v>
      </c>
      <c r="W300">
        <v>-120.00317132020007</v>
      </c>
      <c r="X300">
        <v>0.9</v>
      </c>
      <c r="Z300">
        <v>2.9250244027000001</v>
      </c>
      <c r="AA300">
        <v>7.0944955452</v>
      </c>
      <c r="AB300">
        <v>1144.9863004129011</v>
      </c>
      <c r="AC300">
        <v>0.65</v>
      </c>
      <c r="AE300">
        <v>0.54952785059999998</v>
      </c>
      <c r="AF300">
        <v>0.5548122996</v>
      </c>
      <c r="AG300">
        <v>1221.1047930694529</v>
      </c>
      <c r="AH300">
        <v>0.65</v>
      </c>
      <c r="AJ300">
        <v>0</v>
      </c>
      <c r="AK300">
        <v>0</v>
      </c>
      <c r="AL300">
        <v>-171.00317132019964</v>
      </c>
      <c r="AM300">
        <v>0.9</v>
      </c>
    </row>
    <row r="301" spans="1:39" x14ac:dyDescent="0.25">
      <c r="A301">
        <v>0</v>
      </c>
      <c r="B301">
        <v>0</v>
      </c>
      <c r="C301">
        <v>-171.00317132019964</v>
      </c>
      <c r="D301">
        <v>0.9</v>
      </c>
      <c r="F301">
        <v>0</v>
      </c>
      <c r="G301">
        <v>0</v>
      </c>
      <c r="H301">
        <v>-171.00317132019964</v>
      </c>
      <c r="I301">
        <v>0.9</v>
      </c>
      <c r="K301">
        <v>-2.8750682787000001</v>
      </c>
      <c r="L301">
        <v>2.8652154142000001</v>
      </c>
      <c r="M301">
        <v>1189.9999612622121</v>
      </c>
      <c r="N301">
        <v>0.65</v>
      </c>
      <c r="P301">
        <v>-2.8502088604</v>
      </c>
      <c r="Q301">
        <v>6.7421774535000001</v>
      </c>
      <c r="R301">
        <v>1148.8380724994677</v>
      </c>
      <c r="S301">
        <v>0.65</v>
      </c>
      <c r="U301">
        <v>0</v>
      </c>
      <c r="V301">
        <v>0</v>
      </c>
      <c r="W301">
        <v>-171.00317132019964</v>
      </c>
      <c r="X301">
        <v>0.9</v>
      </c>
      <c r="Z301">
        <v>2.6645260538000004</v>
      </c>
      <c r="AA301">
        <v>6.3874631423000006</v>
      </c>
      <c r="AB301">
        <v>1152.7217941793954</v>
      </c>
      <c r="AC301">
        <v>0.65</v>
      </c>
      <c r="AE301">
        <v>2.3774756759</v>
      </c>
      <c r="AF301">
        <v>2.3477558590000003</v>
      </c>
      <c r="AG301">
        <v>1195.1254381238471</v>
      </c>
      <c r="AH301">
        <v>0.65</v>
      </c>
      <c r="AJ301">
        <v>0</v>
      </c>
      <c r="AK301">
        <v>0</v>
      </c>
      <c r="AL301">
        <v>-171.00317132019964</v>
      </c>
      <c r="AM301">
        <v>0.9</v>
      </c>
    </row>
    <row r="302" spans="1:39" x14ac:dyDescent="0.25">
      <c r="A302">
        <v>0</v>
      </c>
      <c r="B302">
        <v>0</v>
      </c>
      <c r="C302">
        <v>-171.00317132019964</v>
      </c>
      <c r="D302">
        <v>0.9</v>
      </c>
      <c r="F302">
        <v>0</v>
      </c>
      <c r="G302">
        <v>0</v>
      </c>
      <c r="H302">
        <v>-171.00317132019964</v>
      </c>
      <c r="I302">
        <v>0.9</v>
      </c>
      <c r="K302">
        <v>3.3360063208999997</v>
      </c>
      <c r="L302">
        <v>-3.3517456202</v>
      </c>
      <c r="M302">
        <v>1185.0495626343925</v>
      </c>
      <c r="N302">
        <v>0.65</v>
      </c>
      <c r="P302">
        <v>-2.9470386283000001</v>
      </c>
      <c r="Q302">
        <v>7.0994636291999997</v>
      </c>
      <c r="R302">
        <v>1144.9200592920615</v>
      </c>
      <c r="S302">
        <v>0.65</v>
      </c>
      <c r="U302">
        <v>0</v>
      </c>
      <c r="V302">
        <v>0</v>
      </c>
      <c r="W302">
        <v>-171.00317132019964</v>
      </c>
      <c r="X302">
        <v>0.9</v>
      </c>
      <c r="Z302">
        <v>2.0794631154999998</v>
      </c>
      <c r="AA302">
        <v>4.9282266172</v>
      </c>
      <c r="AB302">
        <v>1168.4676638972128</v>
      </c>
      <c r="AC302">
        <v>0.65</v>
      </c>
      <c r="AE302">
        <v>2.5204095759</v>
      </c>
      <c r="AF302">
        <v>2.5364014036000002</v>
      </c>
      <c r="AG302">
        <v>1193.360250877683</v>
      </c>
      <c r="AH302">
        <v>0.65</v>
      </c>
      <c r="AJ302">
        <v>0</v>
      </c>
      <c r="AK302">
        <v>0</v>
      </c>
      <c r="AL302">
        <v>-171.00317132019964</v>
      </c>
      <c r="AM302">
        <v>0.9</v>
      </c>
    </row>
    <row r="303" spans="1:39" x14ac:dyDescent="0.25">
      <c r="A303">
        <v>9.86</v>
      </c>
      <c r="B303">
        <v>0</v>
      </c>
      <c r="C303">
        <v>-120.00317132020007</v>
      </c>
      <c r="D303">
        <v>0.9</v>
      </c>
      <c r="F303">
        <v>0</v>
      </c>
      <c r="G303">
        <v>0</v>
      </c>
      <c r="H303">
        <v>-171.00317132019964</v>
      </c>
      <c r="I303">
        <v>0.9</v>
      </c>
      <c r="K303">
        <v>-3.0351645223999997</v>
      </c>
      <c r="L303">
        <v>3.0340581474999997</v>
      </c>
      <c r="M303">
        <v>1188.2242125166756</v>
      </c>
      <c r="N303">
        <v>0.65</v>
      </c>
      <c r="P303">
        <v>-2.6927241690999999</v>
      </c>
      <c r="Q303">
        <v>6.6253583841000001</v>
      </c>
      <c r="R303">
        <v>1150.1501045364473</v>
      </c>
      <c r="S303">
        <v>0.65</v>
      </c>
      <c r="U303">
        <v>0</v>
      </c>
      <c r="V303">
        <v>0</v>
      </c>
      <c r="W303">
        <v>-171.00317132019964</v>
      </c>
      <c r="X303">
        <v>0.9</v>
      </c>
      <c r="Z303">
        <v>2.0245764829000001</v>
      </c>
      <c r="AA303">
        <v>4.9222791688000003</v>
      </c>
      <c r="AB303">
        <v>1168.5469632092243</v>
      </c>
      <c r="AC303">
        <v>0.65</v>
      </c>
      <c r="AE303">
        <v>2.2034246654</v>
      </c>
      <c r="AF303">
        <v>2.1779561115000003</v>
      </c>
      <c r="AG303">
        <v>1196.7091025751242</v>
      </c>
      <c r="AH303">
        <v>0.65</v>
      </c>
      <c r="AJ303">
        <v>0</v>
      </c>
      <c r="AK303">
        <v>0</v>
      </c>
      <c r="AL303">
        <v>-171.00317132019964</v>
      </c>
      <c r="AM303">
        <v>0.9</v>
      </c>
    </row>
    <row r="304" spans="1:39" x14ac:dyDescent="0.25">
      <c r="A304">
        <v>0</v>
      </c>
      <c r="B304">
        <v>0</v>
      </c>
      <c r="C304">
        <v>-171.00317132019964</v>
      </c>
      <c r="D304">
        <v>0.9</v>
      </c>
      <c r="F304">
        <v>0</v>
      </c>
      <c r="G304">
        <v>0</v>
      </c>
      <c r="H304">
        <v>-171.00317132019964</v>
      </c>
      <c r="I304">
        <v>0.9</v>
      </c>
      <c r="K304">
        <v>4.8720399908000003</v>
      </c>
      <c r="L304">
        <v>-4.8739215646999998</v>
      </c>
      <c r="M304">
        <v>1168.5914843506484</v>
      </c>
      <c r="N304">
        <v>0.65</v>
      </c>
      <c r="P304">
        <v>-3.4250304432000003</v>
      </c>
      <c r="Q304">
        <v>8.2645859269000006</v>
      </c>
      <c r="R304">
        <v>1131.8406508784308</v>
      </c>
      <c r="S304">
        <v>0.65</v>
      </c>
      <c r="U304">
        <v>0</v>
      </c>
      <c r="V304">
        <v>0</v>
      </c>
      <c r="W304">
        <v>-171.00317132019964</v>
      </c>
      <c r="X304">
        <v>0.9</v>
      </c>
      <c r="Z304">
        <v>2.6928351473999999</v>
      </c>
      <c r="AA304">
        <v>6.6253176165000003</v>
      </c>
      <c r="AB304">
        <v>1150.1506481038482</v>
      </c>
      <c r="AC304">
        <v>0.65</v>
      </c>
      <c r="AE304">
        <v>1.8526108027999999</v>
      </c>
      <c r="AF304">
        <v>1.8363930662000001</v>
      </c>
      <c r="AG304">
        <v>1203.6151694252312</v>
      </c>
      <c r="AH304">
        <v>0.65</v>
      </c>
      <c r="AJ304">
        <v>0</v>
      </c>
      <c r="AK304">
        <v>0</v>
      </c>
      <c r="AL304">
        <v>-171.00317132019964</v>
      </c>
      <c r="AM304">
        <v>0.9</v>
      </c>
    </row>
    <row r="305" spans="1:39" x14ac:dyDescent="0.25">
      <c r="A305">
        <v>0</v>
      </c>
      <c r="B305">
        <v>0</v>
      </c>
      <c r="C305">
        <v>-171.00317132019964</v>
      </c>
      <c r="D305">
        <v>0.9</v>
      </c>
      <c r="F305">
        <v>0</v>
      </c>
      <c r="G305">
        <v>0</v>
      </c>
      <c r="H305">
        <v>-171.00317132019964</v>
      </c>
      <c r="I305">
        <v>0.9</v>
      </c>
      <c r="K305">
        <v>4.9283959196999998</v>
      </c>
      <c r="L305">
        <v>-4.8662743290999995</v>
      </c>
      <c r="M305">
        <v>1168.6934474910331</v>
      </c>
      <c r="N305">
        <v>0.65</v>
      </c>
      <c r="P305">
        <v>-3.6445402260999997</v>
      </c>
      <c r="Q305">
        <v>8.7230789820999988</v>
      </c>
      <c r="R305">
        <v>1126.6004965618511</v>
      </c>
      <c r="S305">
        <v>0.65</v>
      </c>
      <c r="U305">
        <v>0</v>
      </c>
      <c r="V305">
        <v>0</v>
      </c>
      <c r="W305">
        <v>-171.00317132019964</v>
      </c>
      <c r="X305">
        <v>0.9</v>
      </c>
      <c r="Z305">
        <v>3.8611212273</v>
      </c>
      <c r="AA305">
        <v>9.4085176736000005</v>
      </c>
      <c r="AB305">
        <v>1118.7163757376277</v>
      </c>
      <c r="AC305">
        <v>0.65</v>
      </c>
      <c r="AE305">
        <v>2.5598686830999999</v>
      </c>
      <c r="AF305">
        <v>2.5467308599000003</v>
      </c>
      <c r="AG305">
        <v>1192.982612147661</v>
      </c>
      <c r="AH305">
        <v>0.65</v>
      </c>
      <c r="AJ305">
        <v>0</v>
      </c>
      <c r="AK305">
        <v>0</v>
      </c>
      <c r="AL305">
        <v>-171.00317132019964</v>
      </c>
      <c r="AM305">
        <v>0.9</v>
      </c>
    </row>
    <row r="306" spans="1:39" x14ac:dyDescent="0.25">
      <c r="A306">
        <v>0</v>
      </c>
      <c r="B306">
        <v>0</v>
      </c>
      <c r="C306">
        <v>-171.00317132019964</v>
      </c>
      <c r="D306">
        <v>0.9</v>
      </c>
      <c r="F306">
        <v>0</v>
      </c>
      <c r="G306">
        <v>0</v>
      </c>
      <c r="H306">
        <v>-171.00317132019964</v>
      </c>
      <c r="I306">
        <v>0.9</v>
      </c>
      <c r="K306">
        <v>-2.8636457087999996</v>
      </c>
      <c r="L306">
        <v>2.8827420961000003</v>
      </c>
      <c r="M306">
        <v>1189.8177349392088</v>
      </c>
      <c r="N306">
        <v>0.65</v>
      </c>
      <c r="P306">
        <v>-4.0884417013999999</v>
      </c>
      <c r="Q306">
        <v>9.7424495073999999</v>
      </c>
      <c r="R306">
        <v>1114.7823463485347</v>
      </c>
      <c r="S306">
        <v>0.65</v>
      </c>
      <c r="U306">
        <v>0</v>
      </c>
      <c r="V306">
        <v>0</v>
      </c>
      <c r="W306">
        <v>-171.00317132019964</v>
      </c>
      <c r="X306">
        <v>0.9</v>
      </c>
      <c r="Z306">
        <v>3.6445471682999999</v>
      </c>
      <c r="AA306">
        <v>8.7230764320000009</v>
      </c>
      <c r="AB306">
        <v>1126.6005305643316</v>
      </c>
      <c r="AC306">
        <v>0.65</v>
      </c>
      <c r="AE306">
        <v>1.9871790808000001</v>
      </c>
      <c r="AF306">
        <v>1.9779016973000001</v>
      </c>
      <c r="AG306">
        <v>1200.8170323947861</v>
      </c>
      <c r="AH306">
        <v>0.65</v>
      </c>
      <c r="AJ306">
        <v>0</v>
      </c>
      <c r="AK306">
        <v>0</v>
      </c>
      <c r="AL306">
        <v>-171.00317132019964</v>
      </c>
      <c r="AM306">
        <v>0.9</v>
      </c>
    </row>
    <row r="307" spans="1:39" x14ac:dyDescent="0.25">
      <c r="A307">
        <v>0</v>
      </c>
      <c r="B307">
        <v>0</v>
      </c>
      <c r="C307">
        <v>-171.00317132019964</v>
      </c>
      <c r="D307">
        <v>0.9</v>
      </c>
      <c r="F307">
        <v>0</v>
      </c>
      <c r="G307">
        <v>0</v>
      </c>
      <c r="H307">
        <v>-171.00317132019964</v>
      </c>
      <c r="I307">
        <v>0.9</v>
      </c>
      <c r="K307">
        <v>-5.0374871604999996</v>
      </c>
      <c r="L307">
        <v>5.0040698957999998</v>
      </c>
      <c r="M307">
        <v>1167.2108646273487</v>
      </c>
      <c r="N307">
        <v>0.65</v>
      </c>
      <c r="P307">
        <v>-2.9250467593000002</v>
      </c>
      <c r="Q307">
        <v>7.0944873325</v>
      </c>
      <c r="R307">
        <v>1144.9864099148842</v>
      </c>
      <c r="S307">
        <v>0.65</v>
      </c>
      <c r="U307">
        <v>0</v>
      </c>
      <c r="V307">
        <v>0</v>
      </c>
      <c r="W307">
        <v>-171.00317132019964</v>
      </c>
      <c r="X307">
        <v>0.9</v>
      </c>
      <c r="Z307">
        <v>3.4335769642999998</v>
      </c>
      <c r="AA307">
        <v>8.4955013309999998</v>
      </c>
      <c r="AB307">
        <v>1129.2528899350093</v>
      </c>
      <c r="AC307">
        <v>0.65</v>
      </c>
      <c r="AE307">
        <v>1.7095648357</v>
      </c>
      <c r="AF307">
        <v>1.6952693568000001</v>
      </c>
      <c r="AG307">
        <v>1205.8986989744071</v>
      </c>
      <c r="AH307">
        <v>0.65</v>
      </c>
      <c r="AJ307">
        <v>0</v>
      </c>
      <c r="AK307">
        <v>0</v>
      </c>
      <c r="AL307">
        <v>-171.00317132019964</v>
      </c>
      <c r="AM307">
        <v>0.9</v>
      </c>
    </row>
    <row r="308" spans="1:39" x14ac:dyDescent="0.25">
      <c r="A308">
        <v>0</v>
      </c>
      <c r="B308">
        <v>0</v>
      </c>
      <c r="C308">
        <v>-171.00317132019964</v>
      </c>
      <c r="D308">
        <v>0.9</v>
      </c>
      <c r="F308">
        <v>0</v>
      </c>
      <c r="G308">
        <v>0</v>
      </c>
      <c r="H308">
        <v>-171.00317132019964</v>
      </c>
      <c r="I308">
        <v>0.9</v>
      </c>
      <c r="K308">
        <v>-4.0326987437000001</v>
      </c>
      <c r="L308">
        <v>4.0801050212000005</v>
      </c>
      <c r="M308">
        <v>1177.7023715965647</v>
      </c>
      <c r="N308">
        <v>0.65</v>
      </c>
      <c r="P308">
        <v>-2.2759287822999998</v>
      </c>
      <c r="Q308">
        <v>5.4299810618000004</v>
      </c>
      <c r="R308">
        <v>1163.0872342657688</v>
      </c>
      <c r="S308">
        <v>0.65</v>
      </c>
      <c r="U308">
        <v>0</v>
      </c>
      <c r="V308">
        <v>0</v>
      </c>
      <c r="W308">
        <v>-171.00317132019964</v>
      </c>
      <c r="X308">
        <v>0.9</v>
      </c>
      <c r="Z308">
        <v>3.7431603784999998</v>
      </c>
      <c r="AA308">
        <v>9.1768438979999996</v>
      </c>
      <c r="AB308">
        <v>1121.4233841039825</v>
      </c>
      <c r="AC308">
        <v>0.65</v>
      </c>
      <c r="AE308">
        <v>2.7396011231999999</v>
      </c>
      <c r="AF308">
        <v>2.7012837144000001</v>
      </c>
      <c r="AG308">
        <v>1191.3908160201345</v>
      </c>
      <c r="AH308">
        <v>0.65</v>
      </c>
      <c r="AJ308">
        <v>0</v>
      </c>
      <c r="AK308">
        <v>0</v>
      </c>
      <c r="AL308">
        <v>1228.5022903979216</v>
      </c>
      <c r="AM308">
        <v>0.65</v>
      </c>
    </row>
    <row r="309" spans="1:39" x14ac:dyDescent="0.25">
      <c r="A309">
        <v>0</v>
      </c>
      <c r="B309">
        <v>0</v>
      </c>
      <c r="C309">
        <v>-171.00317132019964</v>
      </c>
      <c r="D309">
        <v>0.9</v>
      </c>
      <c r="F309">
        <v>0</v>
      </c>
      <c r="G309">
        <v>0</v>
      </c>
      <c r="H309">
        <v>-171.00317132019964</v>
      </c>
      <c r="I309">
        <v>0.9</v>
      </c>
      <c r="K309">
        <v>3.3685415819999998</v>
      </c>
      <c r="L309">
        <v>-3.3518287184000002</v>
      </c>
      <c r="M309">
        <v>1184.8580330667423</v>
      </c>
      <c r="N309">
        <v>0.65</v>
      </c>
      <c r="P309">
        <v>-3.9441632580999997</v>
      </c>
      <c r="Q309">
        <v>9.6279366167999996</v>
      </c>
      <c r="R309">
        <v>1116.1727651367626</v>
      </c>
      <c r="S309">
        <v>0.65</v>
      </c>
      <c r="U309">
        <v>0</v>
      </c>
      <c r="V309">
        <v>0</v>
      </c>
      <c r="W309">
        <v>-171.00317132019964</v>
      </c>
      <c r="X309">
        <v>0.9</v>
      </c>
      <c r="Z309">
        <v>3.9427652662000003</v>
      </c>
      <c r="AA309">
        <v>9.6284501649000003</v>
      </c>
      <c r="AB309">
        <v>1116.1659178292221</v>
      </c>
      <c r="AC309">
        <v>0.65</v>
      </c>
      <c r="AE309">
        <v>2.4040229980999999</v>
      </c>
      <c r="AF309">
        <v>2.3632090395000001</v>
      </c>
      <c r="AG309">
        <v>1194.7505320467594</v>
      </c>
      <c r="AH309">
        <v>0.65</v>
      </c>
      <c r="AJ309">
        <v>0</v>
      </c>
      <c r="AK309">
        <v>0</v>
      </c>
      <c r="AL309">
        <v>-171.00317132019964</v>
      </c>
      <c r="AM309">
        <v>0.9</v>
      </c>
    </row>
    <row r="310" spans="1:39" x14ac:dyDescent="0.25">
      <c r="A310">
        <v>9.86</v>
      </c>
      <c r="B310">
        <v>0</v>
      </c>
      <c r="C310">
        <v>-120.00317132020007</v>
      </c>
      <c r="D310">
        <v>0.9</v>
      </c>
      <c r="F310">
        <v>0</v>
      </c>
      <c r="G310">
        <v>0</v>
      </c>
      <c r="H310">
        <v>-171.00317132019964</v>
      </c>
      <c r="I310">
        <v>0.9</v>
      </c>
      <c r="K310">
        <v>-2.8876508755999999</v>
      </c>
      <c r="L310">
        <v>2.8862101524000003</v>
      </c>
      <c r="M310">
        <v>1189.6280106825361</v>
      </c>
      <c r="N310">
        <v>0.65</v>
      </c>
      <c r="P310">
        <v>-2.0737203205000001</v>
      </c>
      <c r="Q310">
        <v>5.0530559348000006</v>
      </c>
      <c r="R310">
        <v>1167.1579643533696</v>
      </c>
      <c r="S310">
        <v>0.65</v>
      </c>
      <c r="U310">
        <v>0</v>
      </c>
      <c r="V310">
        <v>0</v>
      </c>
      <c r="W310">
        <v>-171.00317132019964</v>
      </c>
      <c r="X310">
        <v>0.9</v>
      </c>
      <c r="Z310">
        <v>2.2759239919000001</v>
      </c>
      <c r="AA310">
        <v>5.4299828215000003</v>
      </c>
      <c r="AB310">
        <v>1163.0872108027795</v>
      </c>
      <c r="AC310">
        <v>0.65</v>
      </c>
      <c r="AE310">
        <v>2.1550853704000001</v>
      </c>
      <c r="AF310">
        <v>2.1581566232</v>
      </c>
      <c r="AG310">
        <v>1197.2732645080755</v>
      </c>
      <c r="AH310">
        <v>0.65</v>
      </c>
      <c r="AJ310">
        <v>0</v>
      </c>
      <c r="AK310">
        <v>0</v>
      </c>
      <c r="AL310">
        <v>-171.00317132019964</v>
      </c>
      <c r="AM310">
        <v>0.9</v>
      </c>
    </row>
    <row r="311" spans="1:39" x14ac:dyDescent="0.25">
      <c r="A311">
        <v>0</v>
      </c>
      <c r="B311">
        <v>0</v>
      </c>
      <c r="C311">
        <v>-171.00317132019964</v>
      </c>
      <c r="D311">
        <v>0.9</v>
      </c>
      <c r="F311">
        <v>0</v>
      </c>
      <c r="G311">
        <v>0</v>
      </c>
      <c r="H311">
        <v>1228.5022903979216</v>
      </c>
      <c r="I311">
        <v>0.65</v>
      </c>
      <c r="K311">
        <v>-4.6748953540000002</v>
      </c>
      <c r="L311">
        <v>4.7558022182000004</v>
      </c>
      <c r="M311">
        <v>1170.0299892169821</v>
      </c>
      <c r="N311">
        <v>0.65</v>
      </c>
      <c r="P311">
        <v>-3.9607735109999997</v>
      </c>
      <c r="Q311">
        <v>9.6348898337000008</v>
      </c>
      <c r="R311">
        <v>1116.0800555784826</v>
      </c>
      <c r="S311">
        <v>0.65</v>
      </c>
      <c r="U311">
        <v>0</v>
      </c>
      <c r="V311">
        <v>0</v>
      </c>
      <c r="W311">
        <v>-171.00317132019964</v>
      </c>
      <c r="X311">
        <v>0.9</v>
      </c>
      <c r="Z311">
        <v>3.0619738612999998</v>
      </c>
      <c r="AA311">
        <v>7.2138722956000008</v>
      </c>
      <c r="AB311">
        <v>1143.6401659629221</v>
      </c>
      <c r="AC311">
        <v>0.65</v>
      </c>
      <c r="AE311">
        <v>2.5636386749</v>
      </c>
      <c r="AF311">
        <v>2.5582287475000003</v>
      </c>
      <c r="AG311">
        <v>1192.7971704676991</v>
      </c>
      <c r="AH311">
        <v>0.65</v>
      </c>
      <c r="AJ311">
        <v>0</v>
      </c>
      <c r="AK311">
        <v>0</v>
      </c>
      <c r="AL311">
        <v>-171.00317132019964</v>
      </c>
      <c r="AM311">
        <v>0.9</v>
      </c>
    </row>
    <row r="312" spans="1:39" x14ac:dyDescent="0.25">
      <c r="A312">
        <v>0</v>
      </c>
      <c r="B312">
        <v>0</v>
      </c>
      <c r="C312">
        <v>-171.00317132019964</v>
      </c>
      <c r="D312">
        <v>0.9</v>
      </c>
      <c r="F312">
        <v>0</v>
      </c>
      <c r="G312">
        <v>0</v>
      </c>
      <c r="H312">
        <v>-171.00317132019964</v>
      </c>
      <c r="I312">
        <v>0.9</v>
      </c>
      <c r="K312">
        <v>-4.4421195132999998</v>
      </c>
      <c r="L312">
        <v>4.4897989536000003</v>
      </c>
      <c r="M312">
        <v>1172.9764524985603</v>
      </c>
      <c r="N312">
        <v>0.65</v>
      </c>
      <c r="P312">
        <v>-2.1426997205</v>
      </c>
      <c r="Q312">
        <v>5.0668813906999999</v>
      </c>
      <c r="R312">
        <v>1166.973624941571</v>
      </c>
      <c r="S312">
        <v>0.65</v>
      </c>
      <c r="U312">
        <v>0</v>
      </c>
      <c r="V312">
        <v>0</v>
      </c>
      <c r="W312">
        <v>-171.00317132019964</v>
      </c>
      <c r="X312">
        <v>0.9</v>
      </c>
      <c r="Z312">
        <v>4.8772280584000001</v>
      </c>
      <c r="AA312">
        <v>11.704732506499999</v>
      </c>
      <c r="AB312">
        <v>1091.1832643853797</v>
      </c>
      <c r="AC312">
        <v>0.65</v>
      </c>
      <c r="AE312">
        <v>2.8734385472999997</v>
      </c>
      <c r="AF312">
        <v>2.8658621329999998</v>
      </c>
      <c r="AG312">
        <v>1190.000306178908</v>
      </c>
      <c r="AH312">
        <v>0.65</v>
      </c>
      <c r="AJ312">
        <v>0</v>
      </c>
      <c r="AK312">
        <v>0</v>
      </c>
      <c r="AL312">
        <v>-171.00317132019964</v>
      </c>
      <c r="AM312">
        <v>0.9</v>
      </c>
    </row>
    <row r="313" spans="1:39" x14ac:dyDescent="0.25">
      <c r="A313">
        <v>0</v>
      </c>
      <c r="B313">
        <v>0</v>
      </c>
      <c r="C313">
        <v>-171.00317132019964</v>
      </c>
      <c r="D313">
        <v>0.9</v>
      </c>
      <c r="F313">
        <v>0</v>
      </c>
      <c r="G313">
        <v>0</v>
      </c>
      <c r="H313">
        <v>-171.00317132019964</v>
      </c>
      <c r="I313">
        <v>0.9</v>
      </c>
      <c r="K313">
        <v>3.1986849639000003</v>
      </c>
      <c r="L313">
        <v>-3.1933553282999996</v>
      </c>
      <c r="M313">
        <v>1186.6393121286151</v>
      </c>
      <c r="N313">
        <v>0.65</v>
      </c>
      <c r="P313">
        <v>-4.8776677367000003</v>
      </c>
      <c r="Q313">
        <v>11.704570991999999</v>
      </c>
      <c r="R313">
        <v>1091.1854179121103</v>
      </c>
      <c r="S313">
        <v>0.65</v>
      </c>
      <c r="U313">
        <v>0</v>
      </c>
      <c r="V313">
        <v>0</v>
      </c>
      <c r="W313">
        <v>-171.00317132019964</v>
      </c>
      <c r="X313">
        <v>0.9</v>
      </c>
      <c r="Z313">
        <v>2.1427223926000001</v>
      </c>
      <c r="AA313">
        <v>5.0668730622</v>
      </c>
      <c r="AB313">
        <v>1166.9737359888175</v>
      </c>
      <c r="AC313">
        <v>0.65</v>
      </c>
      <c r="AE313">
        <v>2.8646341649</v>
      </c>
      <c r="AF313">
        <v>2.8823498515999999</v>
      </c>
      <c r="AG313">
        <v>1189.8175257421547</v>
      </c>
      <c r="AH313">
        <v>0.65</v>
      </c>
      <c r="AJ313">
        <v>0</v>
      </c>
      <c r="AK313">
        <v>0</v>
      </c>
      <c r="AL313">
        <v>-171.00317132019964</v>
      </c>
      <c r="AM313">
        <v>0.9</v>
      </c>
    </row>
    <row r="314" spans="1:39" x14ac:dyDescent="0.25">
      <c r="A314">
        <v>0</v>
      </c>
      <c r="B314">
        <v>0</v>
      </c>
      <c r="C314">
        <v>-171.00317132019964</v>
      </c>
      <c r="D314">
        <v>0.9</v>
      </c>
      <c r="F314">
        <v>0</v>
      </c>
      <c r="G314">
        <v>0</v>
      </c>
      <c r="H314">
        <v>-171.00317132019964</v>
      </c>
      <c r="I314">
        <v>0.9</v>
      </c>
      <c r="K314">
        <v>3.2374316011000004</v>
      </c>
      <c r="L314">
        <v>-3.1909735947</v>
      </c>
      <c r="M314">
        <v>1186.4464679840025</v>
      </c>
      <c r="N314">
        <v>0.65</v>
      </c>
      <c r="P314">
        <v>-4.5945697095</v>
      </c>
      <c r="Q314">
        <v>11.1717738536</v>
      </c>
      <c r="R314">
        <v>1097.7164167946271</v>
      </c>
      <c r="S314">
        <v>0.65</v>
      </c>
      <c r="U314">
        <v>0</v>
      </c>
      <c r="V314">
        <v>0</v>
      </c>
      <c r="W314">
        <v>-171.00317132019964</v>
      </c>
      <c r="X314">
        <v>0.9</v>
      </c>
      <c r="Z314">
        <v>2.0737208587999998</v>
      </c>
      <c r="AA314">
        <v>5.0530557370999993</v>
      </c>
      <c r="AB314">
        <v>1167.1579669902096</v>
      </c>
      <c r="AC314">
        <v>0.65</v>
      </c>
      <c r="AE314">
        <v>2.8876206064000001</v>
      </c>
      <c r="AF314">
        <v>2.8862221638999999</v>
      </c>
      <c r="AG314">
        <v>1189.6280170887021</v>
      </c>
      <c r="AH314">
        <v>0.65</v>
      </c>
      <c r="AJ314">
        <v>0</v>
      </c>
      <c r="AK314">
        <v>0</v>
      </c>
      <c r="AL314">
        <v>1228.5022903979216</v>
      </c>
      <c r="AM314">
        <v>0.65</v>
      </c>
    </row>
    <row r="315" spans="1:39" x14ac:dyDescent="0.25">
      <c r="A315">
        <v>0</v>
      </c>
      <c r="B315">
        <v>0</v>
      </c>
      <c r="C315">
        <v>-171.00317132019964</v>
      </c>
      <c r="D315">
        <v>0.9</v>
      </c>
      <c r="F315">
        <v>0</v>
      </c>
      <c r="G315">
        <v>0</v>
      </c>
      <c r="H315">
        <v>-171.00317132019964</v>
      </c>
      <c r="I315">
        <v>0.9</v>
      </c>
      <c r="K315">
        <v>-3.7901062944000001</v>
      </c>
      <c r="L315">
        <v>3.7921334057</v>
      </c>
      <c r="M315">
        <v>1180.6580072398515</v>
      </c>
      <c r="N315">
        <v>0.65</v>
      </c>
      <c r="P315">
        <v>-4.1110115925000006</v>
      </c>
      <c r="Q315">
        <v>9.7472134694000001</v>
      </c>
      <c r="R315">
        <v>1114.7188268548257</v>
      </c>
      <c r="S315">
        <v>0.65</v>
      </c>
      <c r="U315">
        <v>0</v>
      </c>
      <c r="V315">
        <v>-4.93</v>
      </c>
      <c r="W315">
        <v>-120.00317132020007</v>
      </c>
      <c r="X315">
        <v>0.9</v>
      </c>
      <c r="Z315">
        <v>4.5380031880000002</v>
      </c>
      <c r="AA315">
        <v>10.9508143982</v>
      </c>
      <c r="AB315">
        <v>1100.3897033597252</v>
      </c>
      <c r="AC315">
        <v>0.65</v>
      </c>
      <c r="AE315">
        <v>-4.9322401129999998</v>
      </c>
      <c r="AF315">
        <v>-5.0166221915999998</v>
      </c>
      <c r="AG315">
        <v>1167.0435006825326</v>
      </c>
      <c r="AH315">
        <v>0.65</v>
      </c>
      <c r="AJ315">
        <v>0</v>
      </c>
      <c r="AK315">
        <v>0</v>
      </c>
      <c r="AL315">
        <v>-171.00317132019964</v>
      </c>
      <c r="AM315">
        <v>0.9</v>
      </c>
    </row>
    <row r="316" spans="1:39" x14ac:dyDescent="0.25">
      <c r="A316">
        <v>0</v>
      </c>
      <c r="B316">
        <v>0</v>
      </c>
      <c r="C316">
        <v>-171.00317132019964</v>
      </c>
      <c r="D316">
        <v>0.9</v>
      </c>
      <c r="F316">
        <v>0</v>
      </c>
      <c r="G316">
        <v>0</v>
      </c>
      <c r="H316">
        <v>-171.00317132019964</v>
      </c>
      <c r="I316">
        <v>0.9</v>
      </c>
      <c r="K316">
        <v>-3.8954323577000003</v>
      </c>
      <c r="L316">
        <v>3.947673634</v>
      </c>
      <c r="M316">
        <v>1179.1134320678841</v>
      </c>
      <c r="N316">
        <v>0.65</v>
      </c>
      <c r="P316">
        <v>-4.3806771298000005</v>
      </c>
      <c r="Q316">
        <v>10.624437668500001</v>
      </c>
      <c r="R316">
        <v>1104.3321338297219</v>
      </c>
      <c r="S316">
        <v>0.65</v>
      </c>
      <c r="U316">
        <v>0</v>
      </c>
      <c r="V316">
        <v>0</v>
      </c>
      <c r="W316">
        <v>-171.00317132019964</v>
      </c>
      <c r="X316">
        <v>0.9</v>
      </c>
      <c r="Z316">
        <v>4.1118101847999995</v>
      </c>
      <c r="AA316">
        <v>9.7469201089999995</v>
      </c>
      <c r="AB316">
        <v>1114.7227383271368</v>
      </c>
      <c r="AC316">
        <v>0.65</v>
      </c>
      <c r="AE316">
        <v>3.0351645223999997</v>
      </c>
      <c r="AF316">
        <v>3.0340581474999997</v>
      </c>
      <c r="AG316">
        <v>1188.224212516674</v>
      </c>
      <c r="AH316">
        <v>0.65</v>
      </c>
      <c r="AJ316">
        <v>0</v>
      </c>
      <c r="AK316">
        <v>0</v>
      </c>
      <c r="AL316">
        <v>-171.00317132019964</v>
      </c>
      <c r="AM316">
        <v>0.9</v>
      </c>
    </row>
    <row r="317" spans="1:39" x14ac:dyDescent="0.25">
      <c r="A317">
        <v>0</v>
      </c>
      <c r="B317">
        <v>0</v>
      </c>
      <c r="C317">
        <v>-171.00317132019964</v>
      </c>
      <c r="D317">
        <v>0.9</v>
      </c>
      <c r="F317">
        <v>0</v>
      </c>
      <c r="G317">
        <v>0</v>
      </c>
      <c r="H317">
        <v>-171.00317132019964</v>
      </c>
      <c r="I317">
        <v>0.9</v>
      </c>
      <c r="K317">
        <v>-4.4886672692000005</v>
      </c>
      <c r="L317">
        <v>4.4857547204000001</v>
      </c>
      <c r="M317">
        <v>1173.0303756079277</v>
      </c>
      <c r="N317">
        <v>0.65</v>
      </c>
      <c r="P317">
        <v>-4.2059316995999998</v>
      </c>
      <c r="Q317">
        <v>10.2994740179</v>
      </c>
      <c r="R317">
        <v>1108.2557232455702</v>
      </c>
      <c r="S317">
        <v>0.65</v>
      </c>
      <c r="U317">
        <v>0</v>
      </c>
      <c r="V317">
        <v>0</v>
      </c>
      <c r="W317">
        <v>-171.00317132019964</v>
      </c>
      <c r="X317">
        <v>0.9</v>
      </c>
      <c r="Z317">
        <v>2.8502586610999998</v>
      </c>
      <c r="AA317">
        <v>6.7421591593999999</v>
      </c>
      <c r="AB317">
        <v>1148.8383164211236</v>
      </c>
      <c r="AC317">
        <v>0.65</v>
      </c>
      <c r="AE317">
        <v>5.0373985447000003</v>
      </c>
      <c r="AF317">
        <v>5.0041024485000003</v>
      </c>
      <c r="AG317">
        <v>1167.2104305907437</v>
      </c>
      <c r="AH317">
        <v>0.65</v>
      </c>
      <c r="AJ317">
        <v>0</v>
      </c>
      <c r="AK317">
        <v>0</v>
      </c>
      <c r="AL317">
        <v>1228.5022903979216</v>
      </c>
      <c r="AM317">
        <v>0.65</v>
      </c>
    </row>
    <row r="318" spans="1:39" x14ac:dyDescent="0.25">
      <c r="A318">
        <v>0</v>
      </c>
      <c r="B318">
        <v>0</v>
      </c>
      <c r="C318">
        <v>-171.00317132019964</v>
      </c>
      <c r="D318">
        <v>0.9</v>
      </c>
      <c r="F318">
        <v>0</v>
      </c>
      <c r="G318">
        <v>0</v>
      </c>
      <c r="H318">
        <v>-171.00317132019964</v>
      </c>
      <c r="I318">
        <v>0.9</v>
      </c>
      <c r="K318">
        <v>-5.9931059009999998</v>
      </c>
      <c r="L318">
        <v>5.9888421832999992</v>
      </c>
      <c r="M318">
        <v>1155.8267403002303</v>
      </c>
      <c r="N318">
        <v>0.65</v>
      </c>
      <c r="P318">
        <v>-4.8498228755000001</v>
      </c>
      <c r="Q318">
        <v>11.7017447741</v>
      </c>
      <c r="R318">
        <v>1091.223100817363</v>
      </c>
      <c r="S318">
        <v>0.65</v>
      </c>
      <c r="U318">
        <v>0</v>
      </c>
      <c r="V318">
        <v>0</v>
      </c>
      <c r="W318">
        <v>-171.00317132019964</v>
      </c>
      <c r="X318">
        <v>0.9</v>
      </c>
      <c r="Z318">
        <v>4.3802343954000005</v>
      </c>
      <c r="AA318">
        <v>10.624600305700001</v>
      </c>
      <c r="AB318">
        <v>1104.3299653346085</v>
      </c>
      <c r="AC318">
        <v>0.65</v>
      </c>
      <c r="AE318">
        <v>5.5721105351999993</v>
      </c>
      <c r="AF318">
        <v>5.4939477624000004</v>
      </c>
      <c r="AG318">
        <v>1161.4431103559543</v>
      </c>
      <c r="AH318">
        <v>0.65</v>
      </c>
      <c r="AJ318">
        <v>0</v>
      </c>
      <c r="AK318">
        <v>0</v>
      </c>
      <c r="AL318">
        <v>-171.00317132019964</v>
      </c>
      <c r="AM318">
        <v>0.9</v>
      </c>
    </row>
    <row r="319" spans="1:39" x14ac:dyDescent="0.25">
      <c r="A319">
        <v>0</v>
      </c>
      <c r="B319">
        <v>0</v>
      </c>
      <c r="C319">
        <v>-171.00317132019964</v>
      </c>
      <c r="D319">
        <v>0.9</v>
      </c>
      <c r="F319">
        <v>0</v>
      </c>
      <c r="G319">
        <v>0</v>
      </c>
      <c r="H319">
        <v>-171.00317132019964</v>
      </c>
      <c r="I319">
        <v>0.9</v>
      </c>
      <c r="K319">
        <v>-5.3155298813999998</v>
      </c>
      <c r="L319">
        <v>5.2480736194999995</v>
      </c>
      <c r="M319">
        <v>1164.3394569530708</v>
      </c>
      <c r="N319">
        <v>0.65</v>
      </c>
      <c r="P319">
        <v>-4.9951299153000006</v>
      </c>
      <c r="Q319">
        <v>12.1377421543</v>
      </c>
      <c r="R319">
        <v>1085.8463456244631</v>
      </c>
      <c r="S319">
        <v>0.65</v>
      </c>
      <c r="U319">
        <v>0</v>
      </c>
      <c r="V319">
        <v>0</v>
      </c>
      <c r="W319">
        <v>-171.00317132019964</v>
      </c>
      <c r="X319">
        <v>0.9</v>
      </c>
      <c r="Z319">
        <v>3.8605124104999997</v>
      </c>
      <c r="AA319">
        <v>9.3956863781000006</v>
      </c>
      <c r="AB319">
        <v>1118.8874596769981</v>
      </c>
      <c r="AC319">
        <v>0.65</v>
      </c>
      <c r="AE319">
        <v>4.2527506297999995</v>
      </c>
      <c r="AF319">
        <v>4.2088780076000001</v>
      </c>
      <c r="AG319">
        <v>1176.1218181972311</v>
      </c>
      <c r="AH319">
        <v>0.65</v>
      </c>
      <c r="AJ319">
        <v>0</v>
      </c>
      <c r="AK319">
        <v>0</v>
      </c>
      <c r="AL319">
        <v>1228.5022903979216</v>
      </c>
      <c r="AM319">
        <v>0.65</v>
      </c>
    </row>
    <row r="320" spans="1:39" x14ac:dyDescent="0.25">
      <c r="A320">
        <v>0</v>
      </c>
      <c r="B320">
        <v>0</v>
      </c>
      <c r="C320">
        <v>-171.00317132019964</v>
      </c>
      <c r="D320">
        <v>0.9</v>
      </c>
      <c r="F320">
        <v>0</v>
      </c>
      <c r="G320">
        <v>0</v>
      </c>
      <c r="H320">
        <v>-171.00317132019964</v>
      </c>
      <c r="I320">
        <v>0.9</v>
      </c>
      <c r="K320">
        <v>-5.5717125256999998</v>
      </c>
      <c r="L320">
        <v>5.4940939699999998</v>
      </c>
      <c r="M320">
        <v>1161.4411609215792</v>
      </c>
      <c r="N320">
        <v>0.65</v>
      </c>
      <c r="P320">
        <v>-4.1286714396000006</v>
      </c>
      <c r="Q320">
        <v>9.9726095413999989</v>
      </c>
      <c r="R320">
        <v>1112.0955212042984</v>
      </c>
      <c r="S320">
        <v>0.65</v>
      </c>
      <c r="U320">
        <v>0</v>
      </c>
      <c r="V320">
        <v>0</v>
      </c>
      <c r="W320">
        <v>-171.00317132019964</v>
      </c>
      <c r="X320">
        <v>0.9</v>
      </c>
      <c r="Z320">
        <v>4.6177033304000004</v>
      </c>
      <c r="AA320">
        <v>11.274611011699999</v>
      </c>
      <c r="AB320">
        <v>1096.4816744390141</v>
      </c>
      <c r="AC320">
        <v>0.65</v>
      </c>
      <c r="AE320">
        <v>4.9373282619999994</v>
      </c>
      <c r="AF320">
        <v>4.8760480030000002</v>
      </c>
      <c r="AG320">
        <v>1168.5631318399794</v>
      </c>
      <c r="AH320">
        <v>0.65</v>
      </c>
      <c r="AJ320">
        <v>-1.972</v>
      </c>
      <c r="AK320">
        <v>-0.81599999999999995</v>
      </c>
      <c r="AL320">
        <v>-160.80317132019968</v>
      </c>
      <c r="AM320">
        <v>0.9</v>
      </c>
    </row>
    <row r="321" spans="1:39" x14ac:dyDescent="0.25">
      <c r="A321">
        <v>0</v>
      </c>
      <c r="B321">
        <v>0</v>
      </c>
      <c r="C321">
        <v>-171.00317132019964</v>
      </c>
      <c r="D321">
        <v>0.9</v>
      </c>
      <c r="F321">
        <v>0</v>
      </c>
      <c r="G321">
        <v>0</v>
      </c>
      <c r="H321">
        <v>-171.00317132019964</v>
      </c>
      <c r="I321">
        <v>0.9</v>
      </c>
      <c r="K321">
        <v>-4.9367118514000001</v>
      </c>
      <c r="L321">
        <v>4.8762744394999995</v>
      </c>
      <c r="M321">
        <v>1168.5601126856614</v>
      </c>
      <c r="N321">
        <v>0.65</v>
      </c>
      <c r="P321">
        <v>-4.6781954165000004</v>
      </c>
      <c r="Q321">
        <v>11.4951561544</v>
      </c>
      <c r="R321">
        <v>1093.8139120423662</v>
      </c>
      <c r="S321">
        <v>0.65</v>
      </c>
      <c r="U321">
        <v>0</v>
      </c>
      <c r="V321">
        <v>0</v>
      </c>
      <c r="W321">
        <v>-171.00317132019964</v>
      </c>
      <c r="X321">
        <v>0.9</v>
      </c>
      <c r="Z321">
        <v>4.6785162116999999</v>
      </c>
      <c r="AA321">
        <v>11.4950383113</v>
      </c>
      <c r="AB321">
        <v>1093.8154832841572</v>
      </c>
      <c r="AC321">
        <v>0.65</v>
      </c>
      <c r="AE321">
        <v>-3.2025517936000001</v>
      </c>
      <c r="AF321">
        <v>-3.1918208721000001</v>
      </c>
      <c r="AG321">
        <v>1186.6384937519567</v>
      </c>
      <c r="AH321">
        <v>0.65</v>
      </c>
      <c r="AJ321">
        <v>0</v>
      </c>
      <c r="AK321">
        <v>0</v>
      </c>
      <c r="AL321">
        <v>1228.5022903979216</v>
      </c>
      <c r="AM321">
        <v>0.65</v>
      </c>
    </row>
    <row r="322" spans="1:39" x14ac:dyDescent="0.25">
      <c r="A322">
        <v>0</v>
      </c>
      <c r="B322">
        <v>0</v>
      </c>
      <c r="C322">
        <v>-171.00317132019964</v>
      </c>
      <c r="D322">
        <v>0.9</v>
      </c>
      <c r="F322">
        <v>0</v>
      </c>
      <c r="G322">
        <v>0</v>
      </c>
      <c r="H322">
        <v>-171.00317132019964</v>
      </c>
      <c r="I322">
        <v>0.9</v>
      </c>
      <c r="K322">
        <v>-4.2535278620000003</v>
      </c>
      <c r="L322">
        <v>4.2085924938000003</v>
      </c>
      <c r="M322">
        <v>1176.1256250488655</v>
      </c>
      <c r="N322">
        <v>0.65</v>
      </c>
      <c r="P322">
        <v>-5.0364134901000002</v>
      </c>
      <c r="Q322">
        <v>11.916919398299999</v>
      </c>
      <c r="R322">
        <v>1088.5178095318083</v>
      </c>
      <c r="S322">
        <v>0.65</v>
      </c>
      <c r="U322">
        <v>0</v>
      </c>
      <c r="V322">
        <v>0</v>
      </c>
      <c r="W322">
        <v>-171.00317132019964</v>
      </c>
      <c r="X322">
        <v>0.9</v>
      </c>
      <c r="Z322">
        <v>3.9602398566999999</v>
      </c>
      <c r="AA322">
        <v>9.6350858700000011</v>
      </c>
      <c r="AB322">
        <v>1116.0774417611976</v>
      </c>
      <c r="AC322">
        <v>0.65</v>
      </c>
      <c r="AE322">
        <v>6.3859348024999996</v>
      </c>
      <c r="AF322">
        <v>6.3391241420999993</v>
      </c>
      <c r="AG322">
        <v>1151.6747092438952</v>
      </c>
      <c r="AH322">
        <v>0.65</v>
      </c>
      <c r="AJ322">
        <v>0</v>
      </c>
      <c r="AK322">
        <v>0</v>
      </c>
      <c r="AL322">
        <v>1228.5022903979216</v>
      </c>
      <c r="AM322">
        <v>0.65</v>
      </c>
    </row>
    <row r="323" spans="1:39" x14ac:dyDescent="0.25">
      <c r="A323">
        <v>0</v>
      </c>
      <c r="B323">
        <v>0</v>
      </c>
      <c r="C323">
        <v>-171.00317132019964</v>
      </c>
      <c r="D323">
        <v>0.9</v>
      </c>
      <c r="F323">
        <v>0</v>
      </c>
      <c r="G323">
        <v>0</v>
      </c>
      <c r="H323">
        <v>1228.5022903979216</v>
      </c>
      <c r="I323">
        <v>0.65</v>
      </c>
      <c r="K323">
        <v>-5.9231627291999995</v>
      </c>
      <c r="L323">
        <v>6.0014806508000005</v>
      </c>
      <c r="M323">
        <v>1155.6582273989375</v>
      </c>
      <c r="N323">
        <v>0.65</v>
      </c>
      <c r="P323">
        <v>-4.5378607656000005</v>
      </c>
      <c r="Q323">
        <v>10.9508667167</v>
      </c>
      <c r="R323">
        <v>1100.3890057805565</v>
      </c>
      <c r="S323">
        <v>0.65</v>
      </c>
      <c r="U323">
        <v>0</v>
      </c>
      <c r="V323">
        <v>-4.93</v>
      </c>
      <c r="W323">
        <v>-120.00317132020007</v>
      </c>
      <c r="X323">
        <v>0.9</v>
      </c>
      <c r="Z323">
        <v>4.4155095641000006</v>
      </c>
      <c r="AA323">
        <v>10.624697022800001</v>
      </c>
      <c r="AB323">
        <v>1104.3286757722865</v>
      </c>
      <c r="AC323">
        <v>0.65</v>
      </c>
      <c r="AE323">
        <v>3.8909146513000001</v>
      </c>
      <c r="AF323">
        <v>3.9493331995999998</v>
      </c>
      <c r="AG323">
        <v>1179.0913045261671</v>
      </c>
      <c r="AH323">
        <v>0.65</v>
      </c>
      <c r="AJ323">
        <v>0</v>
      </c>
      <c r="AK323">
        <v>0</v>
      </c>
      <c r="AL323">
        <v>1228.5022903979216</v>
      </c>
      <c r="AM323">
        <v>0.65</v>
      </c>
    </row>
    <row r="324" spans="1:39" x14ac:dyDescent="0.25">
      <c r="A324">
        <v>0</v>
      </c>
      <c r="B324">
        <v>0</v>
      </c>
      <c r="C324">
        <v>-171.00317132019964</v>
      </c>
      <c r="D324">
        <v>0.9</v>
      </c>
      <c r="F324">
        <v>0</v>
      </c>
      <c r="G324">
        <v>0</v>
      </c>
      <c r="H324">
        <v>-171.00317132019964</v>
      </c>
      <c r="I324">
        <v>0.9</v>
      </c>
      <c r="K324">
        <v>-6.1798949808999994</v>
      </c>
      <c r="L324">
        <v>6.2423132309000007</v>
      </c>
      <c r="M324">
        <v>1152.8291016403352</v>
      </c>
      <c r="N324">
        <v>0.65</v>
      </c>
      <c r="P324">
        <v>-4.4166036648000002</v>
      </c>
      <c r="Q324">
        <v>10.6242951083</v>
      </c>
      <c r="R324">
        <v>1104.3340346328318</v>
      </c>
      <c r="S324">
        <v>0.65</v>
      </c>
      <c r="U324">
        <v>0</v>
      </c>
      <c r="V324">
        <v>0</v>
      </c>
      <c r="W324">
        <v>-171.00317132019964</v>
      </c>
      <c r="X324">
        <v>0.9</v>
      </c>
      <c r="Z324">
        <v>4.6345372428000005</v>
      </c>
      <c r="AA324">
        <v>11.281482068000001</v>
      </c>
      <c r="AB324">
        <v>1096.390060356003</v>
      </c>
      <c r="AC324">
        <v>0.65</v>
      </c>
      <c r="AE324">
        <v>4.6835611978999996</v>
      </c>
      <c r="AF324">
        <v>4.7526188469999999</v>
      </c>
      <c r="AG324">
        <v>1170.0724341665339</v>
      </c>
      <c r="AH324">
        <v>0.65</v>
      </c>
      <c r="AJ324">
        <v>0</v>
      </c>
      <c r="AK324">
        <v>0</v>
      </c>
      <c r="AL324">
        <v>1228.5022903979216</v>
      </c>
      <c r="AM324">
        <v>0.65</v>
      </c>
    </row>
    <row r="325" spans="1:39" x14ac:dyDescent="0.25">
      <c r="A325">
        <v>0</v>
      </c>
      <c r="B325">
        <v>0</v>
      </c>
      <c r="C325">
        <v>-171.00317132019964</v>
      </c>
      <c r="D325">
        <v>0.9</v>
      </c>
      <c r="F325">
        <v>0</v>
      </c>
      <c r="G325">
        <v>0</v>
      </c>
      <c r="H325">
        <v>-171.00317132019964</v>
      </c>
      <c r="I325">
        <v>0.9</v>
      </c>
      <c r="K325">
        <v>3.0676460719</v>
      </c>
      <c r="L325">
        <v>-3.0341625598000004</v>
      </c>
      <c r="M325">
        <v>1188.0326943165719</v>
      </c>
      <c r="N325">
        <v>0.65</v>
      </c>
      <c r="P325">
        <v>-5.9316829584000006</v>
      </c>
      <c r="Q325">
        <v>13.979143647900001</v>
      </c>
      <c r="R325">
        <v>1062.2219800307664</v>
      </c>
      <c r="S325">
        <v>0.65</v>
      </c>
      <c r="U325">
        <v>0</v>
      </c>
      <c r="V325">
        <v>0</v>
      </c>
      <c r="W325">
        <v>-171.00317132019964</v>
      </c>
      <c r="X325">
        <v>0.9</v>
      </c>
      <c r="Z325">
        <v>4.2033922218999997</v>
      </c>
      <c r="AA325">
        <v>10.300406887300001</v>
      </c>
      <c r="AB325">
        <v>1108.2432849872898</v>
      </c>
      <c r="AC325">
        <v>0.65</v>
      </c>
      <c r="AE325">
        <v>-3.2362745201000003</v>
      </c>
      <c r="AF325">
        <v>-3.1914327537999996</v>
      </c>
      <c r="AG325">
        <v>1186.4467128688802</v>
      </c>
      <c r="AH325">
        <v>0.65</v>
      </c>
      <c r="AJ325">
        <v>0</v>
      </c>
      <c r="AK325">
        <v>0</v>
      </c>
      <c r="AL325">
        <v>1228.5022903979216</v>
      </c>
      <c r="AM325">
        <v>0.65</v>
      </c>
    </row>
    <row r="326" spans="1:39" x14ac:dyDescent="0.25">
      <c r="A326">
        <v>0</v>
      </c>
      <c r="B326">
        <v>0</v>
      </c>
      <c r="C326">
        <v>-171.00317132019964</v>
      </c>
      <c r="D326">
        <v>0.9</v>
      </c>
      <c r="F326">
        <v>0</v>
      </c>
      <c r="G326">
        <v>0</v>
      </c>
      <c r="H326">
        <v>1228.5022903979216</v>
      </c>
      <c r="I326">
        <v>0.65</v>
      </c>
      <c r="K326">
        <v>-5.6916504851000003</v>
      </c>
      <c r="L326">
        <v>5.6186921110000005</v>
      </c>
      <c r="M326">
        <v>1160.0254079301992</v>
      </c>
      <c r="N326">
        <v>0.65</v>
      </c>
      <c r="P326">
        <v>-4.6350195729000001</v>
      </c>
      <c r="Q326">
        <v>11.281304885500001</v>
      </c>
      <c r="R326">
        <v>1096.3924227888842</v>
      </c>
      <c r="S326">
        <v>0.65</v>
      </c>
      <c r="U326">
        <v>0</v>
      </c>
      <c r="V326">
        <v>0</v>
      </c>
      <c r="W326">
        <v>-171.00317132019964</v>
      </c>
      <c r="X326">
        <v>0.9</v>
      </c>
      <c r="Z326">
        <v>4.0884326754</v>
      </c>
      <c r="AA326">
        <v>9.7424528231000007</v>
      </c>
      <c r="AB326">
        <v>1114.7823021398406</v>
      </c>
      <c r="AC326">
        <v>0.65</v>
      </c>
      <c r="AE326">
        <v>-4.8170713049999998</v>
      </c>
      <c r="AF326">
        <v>-4.8941141431000004</v>
      </c>
      <c r="AG326">
        <v>1168.3222499714175</v>
      </c>
      <c r="AH326">
        <v>0.65</v>
      </c>
      <c r="AJ326">
        <v>0</v>
      </c>
      <c r="AK326">
        <v>0</v>
      </c>
      <c r="AL326">
        <v>1228.5022903979216</v>
      </c>
      <c r="AM326">
        <v>0.65</v>
      </c>
    </row>
    <row r="327" spans="1:39" x14ac:dyDescent="0.25">
      <c r="A327">
        <v>0</v>
      </c>
      <c r="B327">
        <v>0</v>
      </c>
      <c r="C327">
        <v>-171.00317132019964</v>
      </c>
      <c r="D327">
        <v>0.9</v>
      </c>
      <c r="F327">
        <v>0</v>
      </c>
      <c r="G327">
        <v>0</v>
      </c>
      <c r="H327">
        <v>-171.00317132019964</v>
      </c>
      <c r="I327">
        <v>0.9</v>
      </c>
      <c r="K327">
        <v>-4.0482625356000002</v>
      </c>
      <c r="L327">
        <v>4.0874426523</v>
      </c>
      <c r="M327">
        <v>1177.6045365149701</v>
      </c>
      <c r="N327">
        <v>0.65</v>
      </c>
      <c r="P327">
        <v>-4.9908757516</v>
      </c>
      <c r="Q327">
        <v>12.245654257399998</v>
      </c>
      <c r="R327">
        <v>1084.5439373360155</v>
      </c>
      <c r="S327">
        <v>0.65</v>
      </c>
      <c r="U327">
        <v>0</v>
      </c>
      <c r="V327">
        <v>0</v>
      </c>
      <c r="W327">
        <v>-171.00317132019964</v>
      </c>
      <c r="X327">
        <v>0.9</v>
      </c>
      <c r="Z327">
        <v>5.1805124654999997</v>
      </c>
      <c r="AA327">
        <v>12.555818607199999</v>
      </c>
      <c r="AB327">
        <v>1080.5994003271435</v>
      </c>
      <c r="AC327">
        <v>0.65</v>
      </c>
      <c r="AE327">
        <v>3.8115751506</v>
      </c>
      <c r="AF327">
        <v>3.7836140182999998</v>
      </c>
      <c r="AG327">
        <v>1180.6534635665694</v>
      </c>
      <c r="AH327">
        <v>0.65</v>
      </c>
      <c r="AJ327">
        <v>-1.972</v>
      </c>
      <c r="AK327">
        <v>-0.81599999999999995</v>
      </c>
      <c r="AL327">
        <v>-160.80317132019968</v>
      </c>
      <c r="AM327">
        <v>0.9</v>
      </c>
    </row>
    <row r="328" spans="1:39" x14ac:dyDescent="0.25">
      <c r="A328">
        <v>0</v>
      </c>
      <c r="B328">
        <v>0</v>
      </c>
      <c r="C328">
        <v>-171.00317132019964</v>
      </c>
      <c r="D328">
        <v>0.9</v>
      </c>
      <c r="F328">
        <v>0</v>
      </c>
      <c r="G328">
        <v>0</v>
      </c>
      <c r="H328">
        <v>-171.00317132019964</v>
      </c>
      <c r="I328">
        <v>0.9</v>
      </c>
      <c r="K328">
        <v>-6.4709185383000003</v>
      </c>
      <c r="L328">
        <v>6.4645353993000008</v>
      </c>
      <c r="M328">
        <v>1150.2481147040296</v>
      </c>
      <c r="N328">
        <v>0.65</v>
      </c>
      <c r="P328">
        <v>-5.7023717876999998</v>
      </c>
      <c r="Q328">
        <v>13.8811418811</v>
      </c>
      <c r="R328">
        <v>1063.6105221073506</v>
      </c>
      <c r="S328">
        <v>0.65</v>
      </c>
      <c r="U328">
        <v>0</v>
      </c>
      <c r="V328">
        <v>0</v>
      </c>
      <c r="W328">
        <v>-171.00317132019964</v>
      </c>
      <c r="X328">
        <v>0.9</v>
      </c>
      <c r="Z328">
        <v>4.1287837889999999</v>
      </c>
      <c r="AA328">
        <v>9.9725682701</v>
      </c>
      <c r="AB328">
        <v>1112.0960714875359</v>
      </c>
      <c r="AC328">
        <v>0.65</v>
      </c>
      <c r="AE328">
        <v>-3.3356671758999998</v>
      </c>
      <c r="AF328">
        <v>-3.3518802016000002</v>
      </c>
      <c r="AG328">
        <v>1185.0496344111079</v>
      </c>
      <c r="AH328">
        <v>0.65</v>
      </c>
      <c r="AJ328">
        <v>2.2233755016000001</v>
      </c>
      <c r="AK328">
        <v>0.90962925159999997</v>
      </c>
      <c r="AL328">
        <v>1214.6153285923624</v>
      </c>
      <c r="AM328">
        <v>0.65</v>
      </c>
    </row>
    <row r="329" spans="1:39" x14ac:dyDescent="0.25">
      <c r="A329">
        <v>0</v>
      </c>
      <c r="B329">
        <v>0</v>
      </c>
      <c r="C329">
        <v>-171.00317132019964</v>
      </c>
      <c r="D329">
        <v>0.9</v>
      </c>
      <c r="F329">
        <v>0</v>
      </c>
      <c r="G329">
        <v>0</v>
      </c>
      <c r="H329">
        <v>-171.00317132019964</v>
      </c>
      <c r="I329">
        <v>0.9</v>
      </c>
      <c r="K329">
        <v>-6.3860049427000005</v>
      </c>
      <c r="L329">
        <v>6.3390983762999999</v>
      </c>
      <c r="M329">
        <v>1151.6750527879642</v>
      </c>
      <c r="N329">
        <v>0.65</v>
      </c>
      <c r="P329">
        <v>-5.2261590665000002</v>
      </c>
      <c r="Q329">
        <v>12.766590671199999</v>
      </c>
      <c r="R329">
        <v>1077.9528098431801</v>
      </c>
      <c r="S329">
        <v>0.65</v>
      </c>
      <c r="U329">
        <v>0</v>
      </c>
      <c r="V329">
        <v>0</v>
      </c>
      <c r="W329">
        <v>-171.00317132019964</v>
      </c>
      <c r="X329">
        <v>0.9</v>
      </c>
      <c r="Z329">
        <v>5.0367627530999997</v>
      </c>
      <c r="AA329">
        <v>11.916791097600001</v>
      </c>
      <c r="AB329">
        <v>1088.5195202074058</v>
      </c>
      <c r="AC329">
        <v>0.65</v>
      </c>
      <c r="AE329">
        <v>5.9194323766000005</v>
      </c>
      <c r="AF329">
        <v>6.0028509844999993</v>
      </c>
      <c r="AG329">
        <v>1155.639956283851</v>
      </c>
      <c r="AH329">
        <v>0.65</v>
      </c>
      <c r="AJ329">
        <v>1.9719140436999998</v>
      </c>
      <c r="AK329">
        <v>0.81559963210000008</v>
      </c>
      <c r="AL329">
        <v>1217.2342101479903</v>
      </c>
      <c r="AM329">
        <v>0.65</v>
      </c>
    </row>
    <row r="330" spans="1:39" x14ac:dyDescent="0.25">
      <c r="A330">
        <v>0</v>
      </c>
      <c r="B330">
        <v>0</v>
      </c>
      <c r="C330">
        <v>-171.00317132019964</v>
      </c>
      <c r="D330">
        <v>0.9</v>
      </c>
      <c r="F330">
        <v>0</v>
      </c>
      <c r="G330">
        <v>0</v>
      </c>
      <c r="H330">
        <v>1228.5022903979216</v>
      </c>
      <c r="I330">
        <v>0.65</v>
      </c>
      <c r="K330">
        <v>-6.7006825669000003</v>
      </c>
      <c r="L330">
        <v>6.7032474626000003</v>
      </c>
      <c r="M330">
        <v>1147.4472625015412</v>
      </c>
      <c r="N330">
        <v>0.65</v>
      </c>
      <c r="P330">
        <v>-5.5250783484000001</v>
      </c>
      <c r="Q330">
        <v>13.2679926331</v>
      </c>
      <c r="R330">
        <v>1071.5130059072785</v>
      </c>
      <c r="S330">
        <v>0.65</v>
      </c>
      <c r="U330">
        <v>0</v>
      </c>
      <c r="V330">
        <v>0</v>
      </c>
      <c r="W330">
        <v>-171.00317132019964</v>
      </c>
      <c r="X330">
        <v>0.9</v>
      </c>
      <c r="Z330">
        <v>4.9905273415</v>
      </c>
      <c r="AA330">
        <v>12.245782244800001</v>
      </c>
      <c r="AB330">
        <v>1084.5422308376519</v>
      </c>
      <c r="AC330">
        <v>0.65</v>
      </c>
      <c r="AE330">
        <v>4.0512711620999999</v>
      </c>
      <c r="AF330">
        <v>4.0732825001999995</v>
      </c>
      <c r="AG330">
        <v>1177.7933385437016</v>
      </c>
      <c r="AH330">
        <v>0.65</v>
      </c>
      <c r="AJ330">
        <v>4.1051609536000004</v>
      </c>
      <c r="AK330">
        <v>1.6881542952999999</v>
      </c>
      <c r="AL330">
        <v>1194.3905028498118</v>
      </c>
      <c r="AM330">
        <v>0.65</v>
      </c>
    </row>
    <row r="331" spans="1:39" x14ac:dyDescent="0.25">
      <c r="A331">
        <v>0</v>
      </c>
      <c r="B331">
        <v>0</v>
      </c>
      <c r="C331">
        <v>-171.00317132019964</v>
      </c>
      <c r="D331">
        <v>0.9</v>
      </c>
      <c r="F331">
        <v>0</v>
      </c>
      <c r="G331">
        <v>0</v>
      </c>
      <c r="H331">
        <v>1228.5022903979216</v>
      </c>
      <c r="I331">
        <v>0.65</v>
      </c>
      <c r="K331">
        <v>-6.5072271907000001</v>
      </c>
      <c r="L331">
        <v>6.5919580627000007</v>
      </c>
      <c r="M331">
        <v>1148.9038372157138</v>
      </c>
      <c r="N331">
        <v>0.65</v>
      </c>
      <c r="P331">
        <v>-5.0119238359000002</v>
      </c>
      <c r="Q331">
        <v>11.912860655399999</v>
      </c>
      <c r="R331">
        <v>1088.5719261039992</v>
      </c>
      <c r="S331">
        <v>0.65</v>
      </c>
      <c r="U331">
        <v>0</v>
      </c>
      <c r="V331">
        <v>0</v>
      </c>
      <c r="W331">
        <v>-171.00317132019964</v>
      </c>
      <c r="X331">
        <v>0.9</v>
      </c>
      <c r="Z331">
        <v>4.8485762365999996</v>
      </c>
      <c r="AA331">
        <v>11.702202723099999</v>
      </c>
      <c r="AB331">
        <v>1091.2169948309581</v>
      </c>
      <c r="AC331">
        <v>0.65</v>
      </c>
      <c r="AE331">
        <v>6.1804078822999999</v>
      </c>
      <c r="AF331">
        <v>6.2421248180999998</v>
      </c>
      <c r="AG331">
        <v>1152.8316138106798</v>
      </c>
      <c r="AH331">
        <v>0.65</v>
      </c>
      <c r="AJ331">
        <v>2.6572817950000003</v>
      </c>
      <c r="AK331">
        <v>1.1272616975</v>
      </c>
      <c r="AL331">
        <v>1208.9841826293734</v>
      </c>
      <c r="AM331">
        <v>0.65</v>
      </c>
    </row>
    <row r="332" spans="1:39" x14ac:dyDescent="0.25">
      <c r="A332">
        <v>0</v>
      </c>
      <c r="B332">
        <v>0</v>
      </c>
      <c r="C332">
        <v>-171.00317132019964</v>
      </c>
      <c r="D332">
        <v>0.9</v>
      </c>
      <c r="F332">
        <v>0</v>
      </c>
      <c r="G332">
        <v>0</v>
      </c>
      <c r="H332">
        <v>1228.5022903979216</v>
      </c>
      <c r="I332">
        <v>0.65</v>
      </c>
      <c r="K332">
        <v>-7.3219289635999996</v>
      </c>
      <c r="L332">
        <v>7.3952434530999991</v>
      </c>
      <c r="M332">
        <v>1139.3665752206141</v>
      </c>
      <c r="N332">
        <v>0.65</v>
      </c>
      <c r="P332">
        <v>-5.1806707093000002</v>
      </c>
      <c r="Q332">
        <v>12.555760476800002</v>
      </c>
      <c r="R332">
        <v>1080.6001753987443</v>
      </c>
      <c r="S332">
        <v>0.65</v>
      </c>
      <c r="U332">
        <v>0</v>
      </c>
      <c r="V332">
        <v>0</v>
      </c>
      <c r="W332">
        <v>-171.00317132019964</v>
      </c>
      <c r="X332">
        <v>0.9</v>
      </c>
      <c r="Z332">
        <v>5.2273595515000002</v>
      </c>
      <c r="AA332">
        <v>12.766149676800001</v>
      </c>
      <c r="AB332">
        <v>1077.9586897694878</v>
      </c>
      <c r="AC332">
        <v>0.65</v>
      </c>
      <c r="AE332">
        <v>5.3151882541999997</v>
      </c>
      <c r="AF332">
        <v>5.2481991152000003</v>
      </c>
      <c r="AG332">
        <v>1164.3377836768782</v>
      </c>
      <c r="AH332">
        <v>0.65</v>
      </c>
      <c r="AJ332">
        <v>3.7722678347</v>
      </c>
      <c r="AK332">
        <v>1.5424053821999999</v>
      </c>
      <c r="AL332">
        <v>1196.5617160728534</v>
      </c>
      <c r="AM332">
        <v>0.65</v>
      </c>
    </row>
    <row r="333" spans="1:39" x14ac:dyDescent="0.25">
      <c r="A333">
        <v>0</v>
      </c>
      <c r="B333">
        <v>0</v>
      </c>
      <c r="C333">
        <v>-171.00317132019964</v>
      </c>
      <c r="D333">
        <v>0.9</v>
      </c>
      <c r="F333">
        <v>0</v>
      </c>
      <c r="G333">
        <v>0</v>
      </c>
      <c r="H333">
        <v>-171.00317132019964</v>
      </c>
      <c r="I333">
        <v>0.9</v>
      </c>
      <c r="K333">
        <v>-6.8770294037999999</v>
      </c>
      <c r="L333">
        <v>6.8049523953999991</v>
      </c>
      <c r="M333">
        <v>1146.2276164837024</v>
      </c>
      <c r="N333">
        <v>0.65</v>
      </c>
      <c r="P333">
        <v>-5.1090070425</v>
      </c>
      <c r="Q333">
        <v>12.3485320968</v>
      </c>
      <c r="R333">
        <v>1083.1995167620705</v>
      </c>
      <c r="S333">
        <v>0.65</v>
      </c>
      <c r="U333">
        <v>0</v>
      </c>
      <c r="V333">
        <v>0</v>
      </c>
      <c r="W333">
        <v>-171.00317132019964</v>
      </c>
      <c r="X333">
        <v>0.9</v>
      </c>
      <c r="Z333">
        <v>5.1083498057000005</v>
      </c>
      <c r="AA333">
        <v>12.348773530700001</v>
      </c>
      <c r="AB333">
        <v>1083.1962976429936</v>
      </c>
      <c r="AC333">
        <v>0.65</v>
      </c>
      <c r="AE333">
        <v>3.0443209759000003</v>
      </c>
      <c r="AF333">
        <v>3.0434185502999997</v>
      </c>
      <c r="AG333">
        <v>1188.0376308448099</v>
      </c>
      <c r="AH333">
        <v>0.65</v>
      </c>
      <c r="AJ333">
        <v>4.0642723158000003</v>
      </c>
      <c r="AK333">
        <v>1.6653981969</v>
      </c>
      <c r="AL333">
        <v>1194.9530879240951</v>
      </c>
      <c r="AM333">
        <v>0.65</v>
      </c>
    </row>
    <row r="334" spans="1:39" x14ac:dyDescent="0.25">
      <c r="A334">
        <v>0</v>
      </c>
      <c r="B334">
        <v>0</v>
      </c>
      <c r="C334">
        <v>-171.00317132019964</v>
      </c>
      <c r="D334">
        <v>0.9</v>
      </c>
      <c r="F334">
        <v>0</v>
      </c>
      <c r="G334">
        <v>0</v>
      </c>
      <c r="H334">
        <v>1228.5022903979216</v>
      </c>
      <c r="I334">
        <v>0.65</v>
      </c>
      <c r="K334">
        <v>-7.1734503303999997</v>
      </c>
      <c r="L334">
        <v>7.1577672074000001</v>
      </c>
      <c r="M334">
        <v>1142.1509498553371</v>
      </c>
      <c r="N334">
        <v>0.65</v>
      </c>
      <c r="P334">
        <v>-5.7377970293000002</v>
      </c>
      <c r="Q334">
        <v>13.8811834694</v>
      </c>
      <c r="R334">
        <v>1063.6099675956909</v>
      </c>
      <c r="S334">
        <v>0.65</v>
      </c>
      <c r="U334">
        <v>0</v>
      </c>
      <c r="V334">
        <v>0</v>
      </c>
      <c r="W334">
        <v>-171.00317132019964</v>
      </c>
      <c r="X334">
        <v>0.9</v>
      </c>
      <c r="Z334">
        <v>5.9306284116999999</v>
      </c>
      <c r="AA334">
        <v>13.979531032400001</v>
      </c>
      <c r="AB334">
        <v>1062.216814903727</v>
      </c>
      <c r="AC334">
        <v>0.65</v>
      </c>
      <c r="AE334">
        <v>-3.3686450206000003</v>
      </c>
      <c r="AF334">
        <v>-3.3517876713999999</v>
      </c>
      <c r="AG334">
        <v>1184.8580111749641</v>
      </c>
      <c r="AH334">
        <v>0.65</v>
      </c>
      <c r="AJ334">
        <v>2.9387354590000001</v>
      </c>
      <c r="AK334">
        <v>1.210482477</v>
      </c>
      <c r="AL334">
        <v>1206.1549587447419</v>
      </c>
      <c r="AM334">
        <v>0.65</v>
      </c>
    </row>
    <row r="335" spans="1:39" x14ac:dyDescent="0.25">
      <c r="A335">
        <v>0</v>
      </c>
      <c r="B335">
        <v>0</v>
      </c>
      <c r="C335">
        <v>-171.00317132019964</v>
      </c>
      <c r="D335">
        <v>0.9</v>
      </c>
      <c r="F335">
        <v>0</v>
      </c>
      <c r="G335">
        <v>0</v>
      </c>
      <c r="H335">
        <v>-171.00317132019964</v>
      </c>
      <c r="I335">
        <v>0.9</v>
      </c>
      <c r="K335">
        <v>-7.6055301749000002</v>
      </c>
      <c r="L335">
        <v>7.4772600820999999</v>
      </c>
      <c r="M335">
        <v>1138.1911683157393</v>
      </c>
      <c r="N335">
        <v>0.65</v>
      </c>
      <c r="P335">
        <v>-6.0177047735999993</v>
      </c>
      <c r="Q335">
        <v>14.283103795699999</v>
      </c>
      <c r="R335">
        <v>1058.2510299121002</v>
      </c>
      <c r="S335">
        <v>0.65</v>
      </c>
      <c r="U335">
        <v>0</v>
      </c>
      <c r="V335">
        <v>0</v>
      </c>
      <c r="W335">
        <v>-171.00317132019964</v>
      </c>
      <c r="X335">
        <v>0.9</v>
      </c>
      <c r="Z335">
        <v>4.9964454549999999</v>
      </c>
      <c r="AA335">
        <v>12.1372588949</v>
      </c>
      <c r="AB335">
        <v>1085.85278908384</v>
      </c>
      <c r="AC335">
        <v>0.65</v>
      </c>
      <c r="AE335">
        <v>4.5104036815999997</v>
      </c>
      <c r="AF335">
        <v>4.4777699157999997</v>
      </c>
      <c r="AG335">
        <v>1173.1368396683779</v>
      </c>
      <c r="AH335">
        <v>0.65</v>
      </c>
      <c r="AJ335">
        <v>4.0998883964999999</v>
      </c>
      <c r="AK335">
        <v>1.7162344119999999</v>
      </c>
      <c r="AL335">
        <v>1194.0223311387003</v>
      </c>
      <c r="AM335">
        <v>0.65</v>
      </c>
    </row>
    <row r="336" spans="1:39" x14ac:dyDescent="0.25">
      <c r="A336">
        <v>0</v>
      </c>
      <c r="B336">
        <v>0</v>
      </c>
      <c r="C336">
        <v>-171.00317132019964</v>
      </c>
      <c r="D336">
        <v>0.9</v>
      </c>
      <c r="F336">
        <v>0</v>
      </c>
      <c r="G336">
        <v>0</v>
      </c>
      <c r="H336">
        <v>1228.5022903979216</v>
      </c>
      <c r="I336">
        <v>0.65</v>
      </c>
      <c r="K336">
        <v>-8.5966421511999993</v>
      </c>
      <c r="L336">
        <v>8.5885272034</v>
      </c>
      <c r="M336">
        <v>1124.7384708962591</v>
      </c>
      <c r="N336">
        <v>0.65</v>
      </c>
      <c r="P336">
        <v>-5.7076693256999995</v>
      </c>
      <c r="Q336">
        <v>13.5725600274</v>
      </c>
      <c r="R336">
        <v>1067.5339591680033</v>
      </c>
      <c r="S336">
        <v>0.65</v>
      </c>
      <c r="U336">
        <v>0</v>
      </c>
      <c r="V336">
        <v>0</v>
      </c>
      <c r="W336">
        <v>-171.00317132019964</v>
      </c>
      <c r="X336">
        <v>0.9</v>
      </c>
      <c r="Z336">
        <v>7.5990096895999999</v>
      </c>
      <c r="AA336">
        <v>18.507625840300001</v>
      </c>
      <c r="AB336">
        <v>998.89555079878608</v>
      </c>
      <c r="AC336">
        <v>0.65</v>
      </c>
      <c r="AE336">
        <v>5.9930519704999998</v>
      </c>
      <c r="AF336">
        <v>5.9888619944000006</v>
      </c>
      <c r="AG336">
        <v>1155.8264761510561</v>
      </c>
      <c r="AH336">
        <v>0.65</v>
      </c>
      <c r="AJ336">
        <v>3.6781732796000002</v>
      </c>
      <c r="AK336">
        <v>1.5017809947999998</v>
      </c>
      <c r="AL336">
        <v>1197.6894930530409</v>
      </c>
      <c r="AM336">
        <v>0.65</v>
      </c>
    </row>
    <row r="337" spans="1:39" x14ac:dyDescent="0.25">
      <c r="A337">
        <v>0</v>
      </c>
      <c r="B337">
        <v>0</v>
      </c>
      <c r="C337">
        <v>-171.00317132019964</v>
      </c>
      <c r="D337">
        <v>0.9</v>
      </c>
      <c r="F337">
        <v>0</v>
      </c>
      <c r="G337">
        <v>0</v>
      </c>
      <c r="H337">
        <v>1228.5022903979216</v>
      </c>
      <c r="I337">
        <v>0.65</v>
      </c>
      <c r="K337">
        <v>-8.7879639098000002</v>
      </c>
      <c r="L337">
        <v>8.6896009017999987</v>
      </c>
      <c r="M337">
        <v>1123.4181055344334</v>
      </c>
      <c r="N337">
        <v>0.65</v>
      </c>
      <c r="P337">
        <v>-5.9074653082999999</v>
      </c>
      <c r="Q337">
        <v>13.974984985100001</v>
      </c>
      <c r="R337">
        <v>1062.2774288680971</v>
      </c>
      <c r="S337">
        <v>0.65</v>
      </c>
      <c r="U337">
        <v>0</v>
      </c>
      <c r="V337">
        <v>0</v>
      </c>
      <c r="W337">
        <v>-171.00317132019964</v>
      </c>
      <c r="X337">
        <v>0.9</v>
      </c>
      <c r="Z337">
        <v>5.5257345651000005</v>
      </c>
      <c r="AA337">
        <v>13.2677515739</v>
      </c>
      <c r="AB337">
        <v>1071.5162200300256</v>
      </c>
      <c r="AC337">
        <v>0.65</v>
      </c>
      <c r="AE337">
        <v>3.5067181240999998</v>
      </c>
      <c r="AF337">
        <v>3.5016929074000003</v>
      </c>
      <c r="AG337">
        <v>1183.4596756363646</v>
      </c>
      <c r="AH337">
        <v>0.65</v>
      </c>
      <c r="AJ337">
        <v>3.6935325504000001</v>
      </c>
      <c r="AK337">
        <v>1.5086799621</v>
      </c>
      <c r="AL337">
        <v>1197.5015986156191</v>
      </c>
      <c r="AM337">
        <v>0.65</v>
      </c>
    </row>
    <row r="338" spans="1:39" x14ac:dyDescent="0.25">
      <c r="A338">
        <v>0</v>
      </c>
      <c r="B338">
        <v>0</v>
      </c>
      <c r="C338">
        <v>-171.00317132019964</v>
      </c>
      <c r="D338">
        <v>0.9</v>
      </c>
      <c r="F338">
        <v>0</v>
      </c>
      <c r="G338">
        <v>0</v>
      </c>
      <c r="H338">
        <v>1228.5022903979216</v>
      </c>
      <c r="I338">
        <v>0.65</v>
      </c>
      <c r="K338">
        <v>-7.8468199562999992</v>
      </c>
      <c r="L338">
        <v>7.8290870239000006</v>
      </c>
      <c r="M338">
        <v>1134.0185374873195</v>
      </c>
      <c r="N338">
        <v>0.65</v>
      </c>
      <c r="P338">
        <v>-6.8685485368000005</v>
      </c>
      <c r="Q338">
        <v>16.598901945800002</v>
      </c>
      <c r="R338">
        <v>1026.7189064293682</v>
      </c>
      <c r="S338">
        <v>0.65</v>
      </c>
      <c r="U338">
        <v>0</v>
      </c>
      <c r="V338">
        <v>0</v>
      </c>
      <c r="W338">
        <v>-171.00317132019964</v>
      </c>
      <c r="X338">
        <v>0.9</v>
      </c>
      <c r="Z338">
        <v>5.7076693483999996</v>
      </c>
      <c r="AA338">
        <v>13.572560019099999</v>
      </c>
      <c r="AB338">
        <v>1067.5339592789162</v>
      </c>
      <c r="AC338">
        <v>0.65</v>
      </c>
      <c r="AE338">
        <v>-4.4576171632000001</v>
      </c>
      <c r="AF338">
        <v>-4.4841059393</v>
      </c>
      <c r="AG338">
        <v>1173.0523593551336</v>
      </c>
      <c r="AH338">
        <v>0.65</v>
      </c>
      <c r="AJ338">
        <v>2.4533279413</v>
      </c>
      <c r="AK338">
        <v>1.0132870248999999</v>
      </c>
      <c r="AL338">
        <v>1211.7970044377419</v>
      </c>
      <c r="AM338">
        <v>0.65</v>
      </c>
    </row>
    <row r="339" spans="1:39" x14ac:dyDescent="0.25">
      <c r="A339">
        <v>0</v>
      </c>
      <c r="B339">
        <v>0</v>
      </c>
      <c r="C339">
        <v>-171.00317132019964</v>
      </c>
      <c r="D339">
        <v>0.9</v>
      </c>
      <c r="F339">
        <v>-2.2141345638000001</v>
      </c>
      <c r="G339">
        <v>0.91329629040000004</v>
      </c>
      <c r="H339">
        <v>1214.6172843463862</v>
      </c>
      <c r="I339">
        <v>0.65</v>
      </c>
      <c r="K339">
        <v>-7.1521136406999997</v>
      </c>
      <c r="L339">
        <v>7.1525502326000003</v>
      </c>
      <c r="M339">
        <v>1142.2205095188656</v>
      </c>
      <c r="N339">
        <v>0.65</v>
      </c>
      <c r="P339">
        <v>-6.0270859507000001</v>
      </c>
      <c r="Q339">
        <v>14.292712591399999</v>
      </c>
      <c r="R339">
        <v>1058.1229126357714</v>
      </c>
      <c r="S339">
        <v>0.65</v>
      </c>
      <c r="U339">
        <v>0</v>
      </c>
      <c r="V339">
        <v>0</v>
      </c>
      <c r="W339">
        <v>-171.00317132019964</v>
      </c>
      <c r="X339">
        <v>0.9</v>
      </c>
      <c r="Z339">
        <v>5.8649896450999996</v>
      </c>
      <c r="AA339">
        <v>14.1890881975</v>
      </c>
      <c r="AB339">
        <v>1059.5864230731304</v>
      </c>
      <c r="AC339">
        <v>0.65</v>
      </c>
      <c r="AE339">
        <v>4.0531811255000001</v>
      </c>
      <c r="AF339">
        <v>4.0856358233999996</v>
      </c>
      <c r="AG339">
        <v>1177.628627567278</v>
      </c>
      <c r="AH339">
        <v>0.65</v>
      </c>
      <c r="AJ339">
        <v>4.3788695585999999</v>
      </c>
      <c r="AK339">
        <v>1.8249051157</v>
      </c>
      <c r="AL339">
        <v>1192.5976384174087</v>
      </c>
      <c r="AM339">
        <v>0.65</v>
      </c>
    </row>
    <row r="340" spans="1:39" x14ac:dyDescent="0.25">
      <c r="A340">
        <v>0</v>
      </c>
      <c r="B340">
        <v>0</v>
      </c>
      <c r="C340">
        <v>-171.00317132019964</v>
      </c>
      <c r="D340">
        <v>0.9</v>
      </c>
      <c r="F340">
        <v>-3.7718747595000002</v>
      </c>
      <c r="G340">
        <v>1.5425613644</v>
      </c>
      <c r="H340">
        <v>1196.5617992633609</v>
      </c>
      <c r="I340">
        <v>0.65</v>
      </c>
      <c r="K340">
        <v>-7.7293334343</v>
      </c>
      <c r="L340">
        <v>7.7177871454</v>
      </c>
      <c r="M340">
        <v>1135.3661161131076</v>
      </c>
      <c r="N340">
        <v>0.65</v>
      </c>
      <c r="P340">
        <v>-5.4950208492000003</v>
      </c>
      <c r="Q340">
        <v>13.265979221</v>
      </c>
      <c r="R340">
        <v>1071.539851402322</v>
      </c>
      <c r="S340">
        <v>0.65</v>
      </c>
      <c r="U340">
        <v>0</v>
      </c>
      <c r="V340">
        <v>0</v>
      </c>
      <c r="W340">
        <v>-171.00317132019964</v>
      </c>
      <c r="X340">
        <v>0.9</v>
      </c>
      <c r="Z340">
        <v>5.9069408097</v>
      </c>
      <c r="AA340">
        <v>13.9751776581</v>
      </c>
      <c r="AB340">
        <v>1062.2748598955056</v>
      </c>
      <c r="AC340">
        <v>0.65</v>
      </c>
      <c r="AE340">
        <v>6.4711795374999994</v>
      </c>
      <c r="AF340">
        <v>6.4644395220000002</v>
      </c>
      <c r="AG340">
        <v>1150.2493930672474</v>
      </c>
      <c r="AH340">
        <v>0.65</v>
      </c>
      <c r="AJ340">
        <v>3.7250468540000004</v>
      </c>
      <c r="AK340">
        <v>1.5221621182999998</v>
      </c>
      <c r="AL340">
        <v>1197.1256413255194</v>
      </c>
      <c r="AM340">
        <v>0.65</v>
      </c>
    </row>
    <row r="341" spans="1:39" x14ac:dyDescent="0.25">
      <c r="A341">
        <v>0</v>
      </c>
      <c r="B341">
        <v>0</v>
      </c>
      <c r="C341">
        <v>-171.00317132019964</v>
      </c>
      <c r="D341">
        <v>0.9</v>
      </c>
      <c r="F341">
        <v>-1.9718146003999999</v>
      </c>
      <c r="G341">
        <v>0.81563616229999991</v>
      </c>
      <c r="H341">
        <v>1217.2347783958674</v>
      </c>
      <c r="I341">
        <v>0.65</v>
      </c>
      <c r="K341">
        <v>-8.3329938683000009</v>
      </c>
      <c r="L341">
        <v>8.3786327874999991</v>
      </c>
      <c r="M341">
        <v>1127.3733594041364</v>
      </c>
      <c r="N341">
        <v>0.65</v>
      </c>
      <c r="P341">
        <v>-10.0873536384</v>
      </c>
      <c r="Q341">
        <v>24.842346967299999</v>
      </c>
      <c r="R341">
        <v>887.70738261311328</v>
      </c>
      <c r="S341">
        <v>0.65</v>
      </c>
      <c r="U341">
        <v>0</v>
      </c>
      <c r="V341">
        <v>0</v>
      </c>
      <c r="W341">
        <v>-171.00317132019964</v>
      </c>
      <c r="X341">
        <v>0.9</v>
      </c>
      <c r="Z341">
        <v>5.7252258010000006</v>
      </c>
      <c r="AA341">
        <v>13.885801471699999</v>
      </c>
      <c r="AB341">
        <v>1063.5483942326541</v>
      </c>
      <c r="AC341">
        <v>0.65</v>
      </c>
      <c r="AE341">
        <v>3.6580604111000001</v>
      </c>
      <c r="AF341">
        <v>3.6350292434</v>
      </c>
      <c r="AG341">
        <v>1182.0481379189941</v>
      </c>
      <c r="AH341">
        <v>0.65</v>
      </c>
      <c r="AJ341">
        <v>3.7565146954999999</v>
      </c>
      <c r="AK341">
        <v>1.5356627117999999</v>
      </c>
      <c r="AL341">
        <v>1196.7496938686759</v>
      </c>
      <c r="AM341">
        <v>0.65</v>
      </c>
    </row>
    <row r="342" spans="1:39" x14ac:dyDescent="0.25">
      <c r="A342">
        <v>0</v>
      </c>
      <c r="B342">
        <v>0</v>
      </c>
      <c r="C342">
        <v>-171.00317132019964</v>
      </c>
      <c r="D342">
        <v>0.9</v>
      </c>
      <c r="F342">
        <v>-4.0812423346000006</v>
      </c>
      <c r="G342">
        <v>1.6716579785999999</v>
      </c>
      <c r="H342">
        <v>1194.7648525876232</v>
      </c>
      <c r="I342">
        <v>0.65</v>
      </c>
      <c r="K342">
        <v>-8.3674607398000003</v>
      </c>
      <c r="L342">
        <v>8.3790264301999997</v>
      </c>
      <c r="M342">
        <v>1127.3681108348255</v>
      </c>
      <c r="N342">
        <v>0.65</v>
      </c>
      <c r="P342">
        <v>-5.8657878732999995</v>
      </c>
      <c r="Q342">
        <v>14.1887949708</v>
      </c>
      <c r="R342">
        <v>1059.5903327621195</v>
      </c>
      <c r="S342">
        <v>0.65</v>
      </c>
      <c r="U342">
        <v>0</v>
      </c>
      <c r="V342">
        <v>0</v>
      </c>
      <c r="W342">
        <v>-171.00317132019964</v>
      </c>
      <c r="X342">
        <v>0.9</v>
      </c>
      <c r="Z342">
        <v>5.7023750424999999</v>
      </c>
      <c r="AA342">
        <v>13.8811406854</v>
      </c>
      <c r="AB342">
        <v>1063.6105380491699</v>
      </c>
      <c r="AC342">
        <v>0.65</v>
      </c>
      <c r="AE342">
        <v>5.6914240936000002</v>
      </c>
      <c r="AF342">
        <v>5.6187752752999991</v>
      </c>
      <c r="AG342">
        <v>1160.0242990735965</v>
      </c>
      <c r="AH342">
        <v>0.65</v>
      </c>
      <c r="AJ342">
        <v>3.7092904508999998</v>
      </c>
      <c r="AK342">
        <v>1.5154207431</v>
      </c>
      <c r="AL342">
        <v>1197.3136198121185</v>
      </c>
      <c r="AM342">
        <v>0.65</v>
      </c>
    </row>
    <row r="343" spans="1:39" x14ac:dyDescent="0.25">
      <c r="A343">
        <v>0</v>
      </c>
      <c r="B343">
        <v>0</v>
      </c>
      <c r="C343">
        <v>1228.5022903979216</v>
      </c>
      <c r="D343">
        <v>0.65</v>
      </c>
      <c r="F343">
        <v>-3.7104738178999996</v>
      </c>
      <c r="G343">
        <v>1.5149511530000002</v>
      </c>
      <c r="H343">
        <v>1197.3133693640693</v>
      </c>
      <c r="I343">
        <v>0.65</v>
      </c>
      <c r="K343">
        <v>-8.1072454508000007</v>
      </c>
      <c r="L343">
        <v>8.0391375895999992</v>
      </c>
      <c r="M343">
        <v>1131.3815669807093</v>
      </c>
      <c r="N343">
        <v>0.65</v>
      </c>
      <c r="P343">
        <v>-7.5991712026000009</v>
      </c>
      <c r="Q343">
        <v>18.507566509</v>
      </c>
      <c r="R343">
        <v>998.89634188320485</v>
      </c>
      <c r="S343">
        <v>0.65</v>
      </c>
      <c r="U343">
        <v>0</v>
      </c>
      <c r="V343">
        <v>0</v>
      </c>
      <c r="W343">
        <v>1228.5022903979216</v>
      </c>
      <c r="X343">
        <v>0.65</v>
      </c>
      <c r="Z343">
        <v>6.0297702907999993</v>
      </c>
      <c r="AA343">
        <v>14.2917265073</v>
      </c>
      <c r="AB343">
        <v>1058.1360604237007</v>
      </c>
      <c r="AC343">
        <v>0.65</v>
      </c>
      <c r="AE343">
        <v>6.5071107599000007</v>
      </c>
      <c r="AF343">
        <v>6.5920008333000002</v>
      </c>
      <c r="AG343">
        <v>1148.9032669420155</v>
      </c>
      <c r="AH343">
        <v>0.65</v>
      </c>
      <c r="AJ343">
        <v>4.7204955152000005</v>
      </c>
      <c r="AK343">
        <v>1.9719973479000001</v>
      </c>
      <c r="AL343">
        <v>1190.239933176648</v>
      </c>
      <c r="AM343">
        <v>0.65</v>
      </c>
    </row>
    <row r="344" spans="1:39" x14ac:dyDescent="0.25">
      <c r="A344">
        <v>0</v>
      </c>
      <c r="B344">
        <v>0</v>
      </c>
      <c r="C344">
        <v>-171.00317132019964</v>
      </c>
      <c r="D344">
        <v>0.9</v>
      </c>
      <c r="F344">
        <v>-4.0633584345999996</v>
      </c>
      <c r="G344">
        <v>1.6657608482000001</v>
      </c>
      <c r="H344">
        <v>1194.9532813381118</v>
      </c>
      <c r="I344">
        <v>0.65</v>
      </c>
      <c r="K344">
        <v>-6.9654201491000007</v>
      </c>
      <c r="L344">
        <v>6.9230984925999994</v>
      </c>
      <c r="M344">
        <v>1144.897890742988</v>
      </c>
      <c r="N344">
        <v>0.65</v>
      </c>
      <c r="P344">
        <v>-10.9245432608</v>
      </c>
      <c r="Q344">
        <v>27.0186100733</v>
      </c>
      <c r="R344">
        <v>837.87750139726506</v>
      </c>
      <c r="S344">
        <v>0.65</v>
      </c>
      <c r="U344">
        <v>0</v>
      </c>
      <c r="V344">
        <v>0</v>
      </c>
      <c r="W344">
        <v>1228.5022903979216</v>
      </c>
      <c r="X344">
        <v>0.65</v>
      </c>
      <c r="Z344">
        <v>6.8686956542999997</v>
      </c>
      <c r="AA344">
        <v>16.598847902700001</v>
      </c>
      <c r="AB344">
        <v>1026.7196270045104</v>
      </c>
      <c r="AC344">
        <v>0.65</v>
      </c>
      <c r="AE344">
        <v>7.6055573311</v>
      </c>
      <c r="AF344">
        <v>7.4772501063000005</v>
      </c>
      <c r="AG344">
        <v>1138.1913013258147</v>
      </c>
      <c r="AH344">
        <v>0.65</v>
      </c>
      <c r="AJ344">
        <v>4.0804560648999999</v>
      </c>
      <c r="AK344">
        <v>1.6719699904000001</v>
      </c>
      <c r="AL344">
        <v>1194.7650189939088</v>
      </c>
      <c r="AM344">
        <v>0.65</v>
      </c>
    </row>
    <row r="345" spans="1:39" x14ac:dyDescent="0.25">
      <c r="A345">
        <v>0</v>
      </c>
      <c r="B345">
        <v>0</v>
      </c>
      <c r="C345">
        <v>-171.00317132019964</v>
      </c>
      <c r="D345">
        <v>0.9</v>
      </c>
      <c r="F345">
        <v>-1.7392835694</v>
      </c>
      <c r="G345">
        <v>0.72098443130000012</v>
      </c>
      <c r="H345">
        <v>1218.5635271443059</v>
      </c>
      <c r="I345">
        <v>0.65</v>
      </c>
      <c r="K345">
        <v>-8.2293418299999992</v>
      </c>
      <c r="L345">
        <v>8.2682644592999992</v>
      </c>
      <c r="M345">
        <v>1128.7085173609339</v>
      </c>
      <c r="N345">
        <v>0.65</v>
      </c>
      <c r="P345">
        <v>-9.0865843638000001</v>
      </c>
      <c r="Q345">
        <v>21.944778050199996</v>
      </c>
      <c r="R345">
        <v>943.29920034609586</v>
      </c>
      <c r="S345">
        <v>0.65</v>
      </c>
      <c r="U345">
        <v>0</v>
      </c>
      <c r="V345">
        <v>0</v>
      </c>
      <c r="W345">
        <v>-171.00317132019964</v>
      </c>
      <c r="X345">
        <v>0.9</v>
      </c>
      <c r="Z345">
        <v>5.0084883538000007</v>
      </c>
      <c r="AA345">
        <v>11.914122669200001</v>
      </c>
      <c r="AB345">
        <v>1088.5550992528817</v>
      </c>
      <c r="AC345">
        <v>0.65</v>
      </c>
      <c r="AE345">
        <v>6.8773768314999995</v>
      </c>
      <c r="AF345">
        <v>6.8048247689000005</v>
      </c>
      <c r="AG345">
        <v>1146.2293181701409</v>
      </c>
      <c r="AH345">
        <v>0.65</v>
      </c>
      <c r="AJ345">
        <v>3.4151686435999999</v>
      </c>
      <c r="AK345">
        <v>1.4112391724</v>
      </c>
      <c r="AL345">
        <v>1200.5148123814849</v>
      </c>
      <c r="AM345">
        <v>0.65</v>
      </c>
    </row>
    <row r="346" spans="1:39" x14ac:dyDescent="0.25">
      <c r="A346">
        <v>0</v>
      </c>
      <c r="B346">
        <v>0</v>
      </c>
      <c r="C346">
        <v>-171.00317132019964</v>
      </c>
      <c r="D346">
        <v>0.9</v>
      </c>
      <c r="F346">
        <v>-3.7565558532000001</v>
      </c>
      <c r="G346">
        <v>1.5356463794000001</v>
      </c>
      <c r="H346">
        <v>1196.7496851580552</v>
      </c>
      <c r="I346">
        <v>0.65</v>
      </c>
      <c r="K346">
        <v>-9.378697432200001</v>
      </c>
      <c r="L346">
        <v>9.3175847073</v>
      </c>
      <c r="M346">
        <v>1115.5360992393912</v>
      </c>
      <c r="N346">
        <v>0.65</v>
      </c>
      <c r="P346">
        <v>-12.786316805199998</v>
      </c>
      <c r="Q346">
        <v>30.184237900700001</v>
      </c>
      <c r="R346">
        <v>743.15501785178355</v>
      </c>
      <c r="S346">
        <v>0.65</v>
      </c>
      <c r="U346">
        <v>0</v>
      </c>
      <c r="V346">
        <v>0</v>
      </c>
      <c r="W346">
        <v>-171.00317132019964</v>
      </c>
      <c r="X346">
        <v>0.9</v>
      </c>
      <c r="Z346">
        <v>5.4939898675999999</v>
      </c>
      <c r="AA346">
        <v>13.2663579489</v>
      </c>
      <c r="AB346">
        <v>1071.5348016965861</v>
      </c>
      <c r="AC346">
        <v>0.65</v>
      </c>
      <c r="AE346">
        <v>7.1521136406999997</v>
      </c>
      <c r="AF346">
        <v>7.1525502326000003</v>
      </c>
      <c r="AG346">
        <v>1142.2205095188638</v>
      </c>
      <c r="AH346">
        <v>0.65</v>
      </c>
      <c r="AJ346">
        <v>4.1212060755</v>
      </c>
      <c r="AK346">
        <v>1.6947810995000001</v>
      </c>
      <c r="AL346">
        <v>1194.2024632587195</v>
      </c>
      <c r="AM346">
        <v>0.65</v>
      </c>
    </row>
    <row r="347" spans="1:39" x14ac:dyDescent="0.25">
      <c r="A347">
        <v>0</v>
      </c>
      <c r="B347">
        <v>0</v>
      </c>
      <c r="C347">
        <v>-171.00317132019964</v>
      </c>
      <c r="D347">
        <v>0.9</v>
      </c>
      <c r="F347">
        <v>-3.6770414326000003</v>
      </c>
      <c r="G347">
        <v>1.5022301404</v>
      </c>
      <c r="H347">
        <v>1197.6897325973935</v>
      </c>
      <c r="I347">
        <v>0.65</v>
      </c>
      <c r="K347">
        <v>-8.9753996035999997</v>
      </c>
      <c r="L347">
        <v>9.0219300338000004</v>
      </c>
      <c r="M347">
        <v>1119.3963097001506</v>
      </c>
      <c r="N347">
        <v>0.65</v>
      </c>
      <c r="P347">
        <v>-12.813801265899999</v>
      </c>
      <c r="Q347">
        <v>30.783670739200002</v>
      </c>
      <c r="R347">
        <v>721.93342805289637</v>
      </c>
      <c r="S347">
        <v>0.65</v>
      </c>
      <c r="U347">
        <v>0</v>
      </c>
      <c r="V347">
        <v>0</v>
      </c>
      <c r="W347">
        <v>-171.00317132019964</v>
      </c>
      <c r="X347">
        <v>0.9</v>
      </c>
      <c r="Z347">
        <v>13.402184593899999</v>
      </c>
      <c r="AA347">
        <v>32.145132268499999</v>
      </c>
      <c r="AB347">
        <v>660.7487949796697</v>
      </c>
      <c r="AC347">
        <v>0.65</v>
      </c>
      <c r="AE347">
        <v>6.9652105690999999</v>
      </c>
      <c r="AF347">
        <v>6.9231754811999995</v>
      </c>
      <c r="AG347">
        <v>1144.896864228356</v>
      </c>
      <c r="AH347">
        <v>0.65</v>
      </c>
      <c r="AJ347">
        <v>4.7599477911000001</v>
      </c>
      <c r="AK347">
        <v>1.9303538506000002</v>
      </c>
      <c r="AL347">
        <v>1190.6008710848446</v>
      </c>
      <c r="AM347">
        <v>0.65</v>
      </c>
    </row>
    <row r="348" spans="1:39" x14ac:dyDescent="0.25">
      <c r="A348">
        <v>0</v>
      </c>
      <c r="B348">
        <v>0</v>
      </c>
      <c r="C348">
        <v>-171.00317132019964</v>
      </c>
      <c r="D348">
        <v>0.9</v>
      </c>
      <c r="F348">
        <v>-3.7231707343</v>
      </c>
      <c r="G348">
        <v>1.5229066103</v>
      </c>
      <c r="H348">
        <v>1197.1260383878966</v>
      </c>
      <c r="I348">
        <v>0.65</v>
      </c>
      <c r="K348">
        <v>-8.7625271571999992</v>
      </c>
      <c r="L348">
        <v>8.6858900725999995</v>
      </c>
      <c r="M348">
        <v>1123.4675832576122</v>
      </c>
      <c r="N348">
        <v>0.65</v>
      </c>
      <c r="P348">
        <v>-12.170639682799999</v>
      </c>
      <c r="Q348">
        <v>28.703901933200001</v>
      </c>
      <c r="R348">
        <v>790.50325033159584</v>
      </c>
      <c r="S348">
        <v>0.65</v>
      </c>
      <c r="U348">
        <v>0</v>
      </c>
      <c r="V348">
        <v>0</v>
      </c>
      <c r="W348">
        <v>-171.00317132019964</v>
      </c>
      <c r="X348">
        <v>0.9</v>
      </c>
      <c r="Z348">
        <v>9.0823878099000002</v>
      </c>
      <c r="AA348">
        <v>21.946319641399999</v>
      </c>
      <c r="AB348">
        <v>943.27864579669358</v>
      </c>
      <c r="AC348">
        <v>0.65</v>
      </c>
      <c r="AE348">
        <v>6.7006323529999996</v>
      </c>
      <c r="AF348">
        <v>6.7032659084999997</v>
      </c>
      <c r="AG348">
        <v>1147.4470165556745</v>
      </c>
      <c r="AH348">
        <v>0.65</v>
      </c>
      <c r="AJ348">
        <v>3.7408019015000002</v>
      </c>
      <c r="AK348">
        <v>1.5289040314</v>
      </c>
      <c r="AL348">
        <v>1196.9376631258187</v>
      </c>
      <c r="AM348">
        <v>0.65</v>
      </c>
    </row>
    <row r="349" spans="1:39" x14ac:dyDescent="0.25">
      <c r="A349">
        <v>0</v>
      </c>
      <c r="B349">
        <v>0</v>
      </c>
      <c r="C349">
        <v>1228.5022903979216</v>
      </c>
      <c r="D349">
        <v>0.65</v>
      </c>
      <c r="F349">
        <v>-4.1000354278</v>
      </c>
      <c r="G349">
        <v>1.7161760663000001</v>
      </c>
      <c r="H349">
        <v>1194.0223000209692</v>
      </c>
      <c r="I349">
        <v>0.65</v>
      </c>
      <c r="K349">
        <v>-10.149838636</v>
      </c>
      <c r="L349">
        <v>10.154429777399999</v>
      </c>
      <c r="M349">
        <v>1104.6574356527253</v>
      </c>
      <c r="N349">
        <v>0.65</v>
      </c>
      <c r="P349">
        <v>-11.5662565687</v>
      </c>
      <c r="Q349">
        <v>28.084593486799999</v>
      </c>
      <c r="R349">
        <v>809.28051141122364</v>
      </c>
      <c r="S349">
        <v>0.65</v>
      </c>
      <c r="U349">
        <v>0</v>
      </c>
      <c r="V349">
        <v>0</v>
      </c>
      <c r="W349">
        <v>-171.00317132019964</v>
      </c>
      <c r="X349">
        <v>0.9</v>
      </c>
      <c r="Z349">
        <v>6.0184037136999997</v>
      </c>
      <c r="AA349">
        <v>14.2828470422</v>
      </c>
      <c r="AB349">
        <v>1058.2544532922889</v>
      </c>
      <c r="AC349">
        <v>0.65</v>
      </c>
      <c r="AE349">
        <v>7.1737742815000001</v>
      </c>
      <c r="AF349">
        <v>7.1576482049000001</v>
      </c>
      <c r="AG349">
        <v>1142.1525365545351</v>
      </c>
      <c r="AH349">
        <v>0.65</v>
      </c>
      <c r="AJ349">
        <v>3.7876484627999996</v>
      </c>
      <c r="AK349">
        <v>1.5492958745000001</v>
      </c>
      <c r="AL349">
        <v>1196.373817115362</v>
      </c>
      <c r="AM349">
        <v>0.65</v>
      </c>
    </row>
    <row r="350" spans="1:39" x14ac:dyDescent="0.25">
      <c r="A350">
        <v>0</v>
      </c>
      <c r="B350">
        <v>0</v>
      </c>
      <c r="C350">
        <v>-171.00317132019964</v>
      </c>
      <c r="D350">
        <v>0.9</v>
      </c>
      <c r="F350">
        <v>-2.4544737664</v>
      </c>
      <c r="G350">
        <v>1.0128323323999999</v>
      </c>
      <c r="H350">
        <v>1211.7967619350738</v>
      </c>
      <c r="I350">
        <v>0.65</v>
      </c>
      <c r="K350">
        <v>-25.256947533799998</v>
      </c>
      <c r="L350">
        <v>25.211905442799999</v>
      </c>
      <c r="M350">
        <v>801.880053779538</v>
      </c>
      <c r="N350">
        <v>0.65</v>
      </c>
      <c r="P350">
        <v>-12.2366597394</v>
      </c>
      <c r="Q350">
        <v>29.592323879700004</v>
      </c>
      <c r="R350">
        <v>764.3762522545311</v>
      </c>
      <c r="S350">
        <v>0.65</v>
      </c>
      <c r="U350">
        <v>0</v>
      </c>
      <c r="V350">
        <v>0</v>
      </c>
      <c r="W350">
        <v>1228.5022903979216</v>
      </c>
      <c r="X350">
        <v>0.65</v>
      </c>
      <c r="Z350">
        <v>10.0888941305</v>
      </c>
      <c r="AA350">
        <v>24.8417356609</v>
      </c>
      <c r="AB350">
        <v>887.70705658303314</v>
      </c>
      <c r="AC350">
        <v>0.65</v>
      </c>
      <c r="AE350">
        <v>7.3217612482000005</v>
      </c>
      <c r="AF350">
        <v>7.3953050628999994</v>
      </c>
      <c r="AG350">
        <v>1139.3657537573804</v>
      </c>
      <c r="AH350">
        <v>0.65</v>
      </c>
      <c r="AJ350">
        <v>1.0485443256</v>
      </c>
      <c r="AK350">
        <v>0.43451149780000003</v>
      </c>
      <c r="AL350">
        <v>1222.5106085374991</v>
      </c>
      <c r="AM350">
        <v>0.65</v>
      </c>
    </row>
    <row r="351" spans="1:39" x14ac:dyDescent="0.25">
      <c r="A351">
        <v>0</v>
      </c>
      <c r="B351">
        <v>0</v>
      </c>
      <c r="C351">
        <v>-171.00317132019964</v>
      </c>
      <c r="D351">
        <v>0.9</v>
      </c>
      <c r="F351">
        <v>-4.1045521918999999</v>
      </c>
      <c r="G351">
        <v>1.6883958673999999</v>
      </c>
      <c r="H351">
        <v>1194.3906316882847</v>
      </c>
      <c r="I351">
        <v>0.65</v>
      </c>
      <c r="K351">
        <v>-9.0053216078000009</v>
      </c>
      <c r="L351">
        <v>9.0239932195999994</v>
      </c>
      <c r="M351">
        <v>1119.3688005567017</v>
      </c>
      <c r="N351">
        <v>0.65</v>
      </c>
      <c r="P351">
        <v>-13.851490937299999</v>
      </c>
      <c r="Q351">
        <v>32.7326524076</v>
      </c>
      <c r="R351">
        <v>623.22681381111272</v>
      </c>
      <c r="S351">
        <v>0.65</v>
      </c>
      <c r="U351">
        <v>0</v>
      </c>
      <c r="V351">
        <v>0.95250380989999994</v>
      </c>
      <c r="W351">
        <v>1215.8022395996136</v>
      </c>
      <c r="X351">
        <v>0.65</v>
      </c>
      <c r="Z351">
        <v>12.237508164200001</v>
      </c>
      <c r="AA351">
        <v>29.591987203200002</v>
      </c>
      <c r="AB351">
        <v>764.37607269373052</v>
      </c>
      <c r="AC351">
        <v>0.65</v>
      </c>
      <c r="AE351">
        <v>7.7306124314</v>
      </c>
      <c r="AF351">
        <v>7.7173173097999994</v>
      </c>
      <c r="AG351">
        <v>1135.372380588791</v>
      </c>
      <c r="AH351">
        <v>0.65</v>
      </c>
      <c r="AJ351">
        <v>4.6528234889000002</v>
      </c>
      <c r="AK351">
        <v>1.9338817461</v>
      </c>
      <c r="AL351">
        <v>1191.1774742891434</v>
      </c>
      <c r="AM351">
        <v>0.65</v>
      </c>
    </row>
    <row r="352" spans="1:39" x14ac:dyDescent="0.25">
      <c r="A352">
        <v>0</v>
      </c>
      <c r="B352">
        <v>0</v>
      </c>
      <c r="C352">
        <v>1228.5022903979216</v>
      </c>
      <c r="D352">
        <v>0.65</v>
      </c>
      <c r="F352">
        <v>-2.9373666184</v>
      </c>
      <c r="G352">
        <v>1.2110256677</v>
      </c>
      <c r="H352">
        <v>1206.1552484464571</v>
      </c>
      <c r="I352">
        <v>0.65</v>
      </c>
      <c r="K352">
        <v>-10.1326964155</v>
      </c>
      <c r="L352">
        <v>10.029683068199999</v>
      </c>
      <c r="M352">
        <v>1106.0648236401651</v>
      </c>
      <c r="N352">
        <v>0.65</v>
      </c>
      <c r="P352">
        <v>-9.6250756123999999</v>
      </c>
      <c r="Q352">
        <v>23.413350728800001</v>
      </c>
      <c r="R352">
        <v>916.29411390729069</v>
      </c>
      <c r="S352">
        <v>0.65</v>
      </c>
      <c r="U352">
        <v>0</v>
      </c>
      <c r="V352">
        <v>0</v>
      </c>
      <c r="W352">
        <v>1228.5022903979216</v>
      </c>
      <c r="X352">
        <v>0.65</v>
      </c>
      <c r="Z352">
        <v>11.697388865499999</v>
      </c>
      <c r="AA352">
        <v>28.873250729000002</v>
      </c>
      <c r="AB352">
        <v>788.06816722022245</v>
      </c>
      <c r="AC352">
        <v>0.65</v>
      </c>
      <c r="AE352">
        <v>8.7878726918999988</v>
      </c>
      <c r="AF352">
        <v>8.6896344104000001</v>
      </c>
      <c r="AG352">
        <v>1123.4176587530205</v>
      </c>
      <c r="AH352">
        <v>0.65</v>
      </c>
      <c r="AJ352">
        <v>4.0882228032999999</v>
      </c>
      <c r="AK352">
        <v>1.6818818674</v>
      </c>
      <c r="AL352">
        <v>1194.5787314416496</v>
      </c>
      <c r="AM352">
        <v>0.65</v>
      </c>
    </row>
    <row r="353" spans="1:39" x14ac:dyDescent="0.25">
      <c r="A353">
        <v>0</v>
      </c>
      <c r="B353">
        <v>0</v>
      </c>
      <c r="C353">
        <v>-171.00317132019964</v>
      </c>
      <c r="D353">
        <v>0.9</v>
      </c>
      <c r="F353">
        <v>-3.1804974764000002</v>
      </c>
      <c r="G353">
        <v>1.30945391</v>
      </c>
      <c r="H353">
        <v>1203.3341352085929</v>
      </c>
      <c r="I353">
        <v>0.65</v>
      </c>
      <c r="K353">
        <v>-18.6606670181</v>
      </c>
      <c r="L353">
        <v>18.759501993499999</v>
      </c>
      <c r="M353">
        <v>963.80171556941218</v>
      </c>
      <c r="N353">
        <v>0.65</v>
      </c>
      <c r="P353">
        <v>-8.4480464045999994</v>
      </c>
      <c r="Q353">
        <v>20.191130367300001</v>
      </c>
      <c r="R353">
        <v>972.51993488374637</v>
      </c>
      <c r="S353">
        <v>0.65</v>
      </c>
      <c r="U353">
        <v>0</v>
      </c>
      <c r="V353">
        <v>0</v>
      </c>
      <c r="W353">
        <v>-171.00317132019964</v>
      </c>
      <c r="X353">
        <v>0.9</v>
      </c>
      <c r="Z353">
        <v>11.5676780541</v>
      </c>
      <c r="AA353">
        <v>28.084029405299997</v>
      </c>
      <c r="AB353">
        <v>809.28021056775094</v>
      </c>
      <c r="AC353">
        <v>0.65</v>
      </c>
      <c r="AE353">
        <v>8.1070408101999991</v>
      </c>
      <c r="AF353">
        <v>8.0392127637000002</v>
      </c>
      <c r="AG353">
        <v>1131.3805646596754</v>
      </c>
      <c r="AH353">
        <v>0.65</v>
      </c>
      <c r="AJ353">
        <v>3.1812353741999999</v>
      </c>
      <c r="AK353">
        <v>1.3091610934</v>
      </c>
      <c r="AL353">
        <v>1203.3339790397497</v>
      </c>
      <c r="AM353">
        <v>0.65</v>
      </c>
    </row>
    <row r="354" spans="1:39" x14ac:dyDescent="0.25">
      <c r="A354">
        <v>0</v>
      </c>
      <c r="B354">
        <v>0</v>
      </c>
      <c r="C354">
        <v>1228.5022903979216</v>
      </c>
      <c r="D354">
        <v>0.65</v>
      </c>
      <c r="F354">
        <v>-4.0893170095000002</v>
      </c>
      <c r="G354">
        <v>1.6814476586</v>
      </c>
      <c r="H354">
        <v>1194.5784998636047</v>
      </c>
      <c r="I354">
        <v>0.65</v>
      </c>
      <c r="K354">
        <v>-9.3929929635999994</v>
      </c>
      <c r="L354">
        <v>9.3253882299999997</v>
      </c>
      <c r="M354">
        <v>1115.4320522695602</v>
      </c>
      <c r="N354">
        <v>0.65</v>
      </c>
      <c r="P354">
        <v>-13.0382514231</v>
      </c>
      <c r="Q354">
        <v>31.317155403000001</v>
      </c>
      <c r="R354">
        <v>700.72905107936924</v>
      </c>
      <c r="S354">
        <v>0.65</v>
      </c>
      <c r="U354">
        <v>0</v>
      </c>
      <c r="V354">
        <v>0</v>
      </c>
      <c r="W354">
        <v>1228.5022903979216</v>
      </c>
      <c r="X354">
        <v>0.65</v>
      </c>
      <c r="Z354">
        <v>12.7861305114</v>
      </c>
      <c r="AA354">
        <v>30.184311826899997</v>
      </c>
      <c r="AB354">
        <v>743.1550572790519</v>
      </c>
      <c r="AC354">
        <v>0.65</v>
      </c>
      <c r="AE354">
        <v>8.3671523488999995</v>
      </c>
      <c r="AF354">
        <v>8.379139716600001</v>
      </c>
      <c r="AG354">
        <v>1127.3666003489541</v>
      </c>
      <c r="AH354">
        <v>0.65</v>
      </c>
      <c r="AJ354">
        <v>4.7183521008000007</v>
      </c>
      <c r="AK354">
        <v>1.9338661608999999</v>
      </c>
      <c r="AL354">
        <v>1190.7943182036456</v>
      </c>
      <c r="AM354">
        <v>0.65</v>
      </c>
    </row>
    <row r="355" spans="1:39" x14ac:dyDescent="0.25">
      <c r="A355">
        <v>-3.7019634101000003</v>
      </c>
      <c r="B355">
        <v>0</v>
      </c>
      <c r="C355">
        <v>1207.3482137688036</v>
      </c>
      <c r="D355">
        <v>0.65</v>
      </c>
      <c r="F355">
        <v>-4.6709209781999999</v>
      </c>
      <c r="G355">
        <v>1.9396941187999999</v>
      </c>
      <c r="H355">
        <v>1190.9890003345888</v>
      </c>
      <c r="I355">
        <v>0.65</v>
      </c>
      <c r="K355">
        <v>-20.170159173800002</v>
      </c>
      <c r="L355">
        <v>20.0412942122</v>
      </c>
      <c r="M355">
        <v>936.39262855113509</v>
      </c>
      <c r="N355">
        <v>0.65</v>
      </c>
      <c r="P355">
        <v>-10.750304614599999</v>
      </c>
      <c r="Q355">
        <v>25.9351769851</v>
      </c>
      <c r="R355">
        <v>862.78403427283001</v>
      </c>
      <c r="S355">
        <v>0.65</v>
      </c>
      <c r="U355">
        <v>0</v>
      </c>
      <c r="V355">
        <v>0</v>
      </c>
      <c r="W355">
        <v>-171.00317132019964</v>
      </c>
      <c r="X355">
        <v>0.9</v>
      </c>
      <c r="Z355">
        <v>8.4477741632000001</v>
      </c>
      <c r="AA355">
        <v>20.191230374300002</v>
      </c>
      <c r="AB355">
        <v>972.51860145653598</v>
      </c>
      <c r="AC355">
        <v>0.65</v>
      </c>
      <c r="AE355">
        <v>8.9754896944000002</v>
      </c>
      <c r="AF355">
        <v>9.0218969391999995</v>
      </c>
      <c r="AG355">
        <v>1119.3967509613142</v>
      </c>
      <c r="AH355">
        <v>0.65</v>
      </c>
      <c r="AJ355">
        <v>4.6695100133</v>
      </c>
      <c r="AK355">
        <v>1.9402540255</v>
      </c>
      <c r="AL355">
        <v>1190.9892989514963</v>
      </c>
      <c r="AM355">
        <v>0.65</v>
      </c>
    </row>
    <row r="356" spans="1:39" x14ac:dyDescent="0.25">
      <c r="A356">
        <v>0</v>
      </c>
      <c r="B356">
        <v>0</v>
      </c>
      <c r="C356">
        <v>1228.5022903979216</v>
      </c>
      <c r="D356">
        <v>0.65</v>
      </c>
      <c r="F356">
        <v>-3.4148134261000003</v>
      </c>
      <c r="G356">
        <v>1.4113801316999999</v>
      </c>
      <c r="H356">
        <v>1200.5148875598038</v>
      </c>
      <c r="I356">
        <v>0.65</v>
      </c>
      <c r="K356">
        <v>-9.5628727489000003</v>
      </c>
      <c r="L356">
        <v>9.6591805974000007</v>
      </c>
      <c r="M356">
        <v>1111.3907466305859</v>
      </c>
      <c r="N356">
        <v>0.65</v>
      </c>
      <c r="P356">
        <v>-13.752782689600002</v>
      </c>
      <c r="Q356">
        <v>34.006023495800001</v>
      </c>
      <c r="R356">
        <v>502.71231816118956</v>
      </c>
      <c r="S356">
        <v>0.65</v>
      </c>
      <c r="U356">
        <v>0</v>
      </c>
      <c r="V356">
        <v>0</v>
      </c>
      <c r="W356">
        <v>1228.5022903979216</v>
      </c>
      <c r="X356">
        <v>0.65</v>
      </c>
      <c r="Z356">
        <v>12.983485137299999</v>
      </c>
      <c r="AA356">
        <v>31.791435245500001</v>
      </c>
      <c r="AB356">
        <v>680.74052042339986</v>
      </c>
      <c r="AC356">
        <v>0.65</v>
      </c>
      <c r="AE356">
        <v>8.3328380480999993</v>
      </c>
      <c r="AF356">
        <v>8.3786900275999994</v>
      </c>
      <c r="AG356">
        <v>1127.3725962033643</v>
      </c>
      <c r="AH356">
        <v>0.65</v>
      </c>
      <c r="AJ356">
        <v>5.5288597908999995</v>
      </c>
      <c r="AK356">
        <v>2.2847948597999999</v>
      </c>
      <c r="AL356">
        <v>1185.9719035229234</v>
      </c>
      <c r="AM356">
        <v>0.65</v>
      </c>
    </row>
    <row r="357" spans="1:39" x14ac:dyDescent="0.25">
      <c r="A357">
        <v>-0.76079895129999997</v>
      </c>
      <c r="B357">
        <v>0</v>
      </c>
      <c r="C357">
        <v>1224.1548678192596</v>
      </c>
      <c r="D357">
        <v>0.65</v>
      </c>
      <c r="F357">
        <v>-4.3781870084000003</v>
      </c>
      <c r="G357">
        <v>1.8251759689</v>
      </c>
      <c r="H357">
        <v>1192.5977828724724</v>
      </c>
      <c r="I357">
        <v>0.65</v>
      </c>
      <c r="K357">
        <v>-17.210271386900001</v>
      </c>
      <c r="L357">
        <v>17.242288461299999</v>
      </c>
      <c r="M357">
        <v>992.42434085021046</v>
      </c>
      <c r="N357">
        <v>0.65</v>
      </c>
      <c r="P357">
        <v>-12.983485250700001</v>
      </c>
      <c r="Q357">
        <v>31.7914352005</v>
      </c>
      <c r="R357">
        <v>680.74052039939113</v>
      </c>
      <c r="S357">
        <v>0.65</v>
      </c>
      <c r="U357">
        <v>0</v>
      </c>
      <c r="V357">
        <v>0</v>
      </c>
      <c r="W357">
        <v>-171.00317132019964</v>
      </c>
      <c r="X357">
        <v>0.9</v>
      </c>
      <c r="Z357">
        <v>11.0913021616</v>
      </c>
      <c r="AA357">
        <v>26.9445755301</v>
      </c>
      <c r="AB357">
        <v>839.10290025815311</v>
      </c>
      <c r="AC357">
        <v>0.65</v>
      </c>
      <c r="AE357">
        <v>9.0051140094999997</v>
      </c>
      <c r="AF357">
        <v>9.0240694801999997</v>
      </c>
      <c r="AG357">
        <v>1119.3677837485507</v>
      </c>
      <c r="AH357">
        <v>0.65</v>
      </c>
      <c r="AJ357">
        <v>5.5153768828</v>
      </c>
      <c r="AK357">
        <v>2.2771513039999998</v>
      </c>
      <c r="AL357">
        <v>1186.1594008465431</v>
      </c>
      <c r="AM357">
        <v>0.65</v>
      </c>
    </row>
    <row r="358" spans="1:39" x14ac:dyDescent="0.25">
      <c r="A358">
        <v>-5.6627397159999999</v>
      </c>
      <c r="B358">
        <v>0</v>
      </c>
      <c r="C358">
        <v>1196.1437777351664</v>
      </c>
      <c r="D358">
        <v>0.65</v>
      </c>
      <c r="F358">
        <v>-4.6549669792000001</v>
      </c>
      <c r="G358">
        <v>1.9330311546999999</v>
      </c>
      <c r="H358">
        <v>1191.1770206404133</v>
      </c>
      <c r="I358">
        <v>0.65</v>
      </c>
      <c r="K358">
        <v>-24.706500912900001</v>
      </c>
      <c r="L358">
        <v>24.299133661400003</v>
      </c>
      <c r="M358">
        <v>828.03335416688253</v>
      </c>
      <c r="N358">
        <v>0.65</v>
      </c>
      <c r="P358">
        <v>-13.4024801618</v>
      </c>
      <c r="Q358">
        <v>32.145014979599999</v>
      </c>
      <c r="R358">
        <v>660.74873242562819</v>
      </c>
      <c r="S358">
        <v>0.65</v>
      </c>
      <c r="U358">
        <v>0</v>
      </c>
      <c r="V358">
        <v>0</v>
      </c>
      <c r="W358">
        <v>-171.00317132019964</v>
      </c>
      <c r="X358">
        <v>0.9</v>
      </c>
      <c r="Z358">
        <v>10.7513882308</v>
      </c>
      <c r="AA358">
        <v>25.934746978700002</v>
      </c>
      <c r="AB358">
        <v>862.78380493606733</v>
      </c>
      <c r="AC358">
        <v>0.65</v>
      </c>
      <c r="AE358">
        <v>8.5966652220000004</v>
      </c>
      <c r="AF358">
        <v>8.5885187284000004</v>
      </c>
      <c r="AG358">
        <v>1124.738583896333</v>
      </c>
      <c r="AH358">
        <v>0.65</v>
      </c>
      <c r="AJ358">
        <v>5.0053094407999996</v>
      </c>
      <c r="AK358">
        <v>2.0718572841</v>
      </c>
      <c r="AL358">
        <v>1188.8105413793962</v>
      </c>
      <c r="AM358">
        <v>0.65</v>
      </c>
    </row>
    <row r="359" spans="1:39" x14ac:dyDescent="0.25">
      <c r="A359">
        <v>-2.2313811806999997</v>
      </c>
      <c r="B359">
        <v>0</v>
      </c>
      <c r="C359">
        <v>1215.7515407940316</v>
      </c>
      <c r="D359">
        <v>0.65</v>
      </c>
      <c r="F359">
        <v>-2.6920118576999998</v>
      </c>
      <c r="G359">
        <v>1.1134799264999999</v>
      </c>
      <c r="H359">
        <v>1208.9768323515405</v>
      </c>
      <c r="I359">
        <v>0.65</v>
      </c>
      <c r="K359">
        <v>-27.492943561200001</v>
      </c>
      <c r="L359">
        <v>27.117447764399998</v>
      </c>
      <c r="M359">
        <v>725.85937490670972</v>
      </c>
      <c r="N359">
        <v>0.65</v>
      </c>
      <c r="P359">
        <v>-13.5931787499</v>
      </c>
      <c r="Q359">
        <v>33.6075814513</v>
      </c>
      <c r="R359">
        <v>556.83332548225906</v>
      </c>
      <c r="S359">
        <v>0.65</v>
      </c>
      <c r="U359">
        <v>0</v>
      </c>
      <c r="V359">
        <v>0.5608555368</v>
      </c>
      <c r="W359">
        <v>1221.0242165745667</v>
      </c>
      <c r="X359">
        <v>0.65</v>
      </c>
      <c r="Z359">
        <v>12.8131909202</v>
      </c>
      <c r="AA359">
        <v>30.783912939900002</v>
      </c>
      <c r="AB359">
        <v>721.93355722659987</v>
      </c>
      <c r="AC359">
        <v>0.65</v>
      </c>
      <c r="AE359">
        <v>9.3931403004000007</v>
      </c>
      <c r="AF359">
        <v>9.3253341062999997</v>
      </c>
      <c r="AG359">
        <v>1115.4327739191299</v>
      </c>
      <c r="AH359">
        <v>0.65</v>
      </c>
      <c r="AJ359">
        <v>1.7351268733</v>
      </c>
      <c r="AK359">
        <v>0.72251138079999999</v>
      </c>
      <c r="AL359">
        <v>1218.5872796930862</v>
      </c>
      <c r="AM359">
        <v>0.65</v>
      </c>
    </row>
    <row r="360" spans="1:39" x14ac:dyDescent="0.25">
      <c r="A360">
        <v>-4.6823515630000001</v>
      </c>
      <c r="B360">
        <v>0</v>
      </c>
      <c r="C360">
        <v>1201.745995751985</v>
      </c>
      <c r="D360">
        <v>0.65</v>
      </c>
      <c r="F360">
        <v>-3.7410956487</v>
      </c>
      <c r="G360">
        <v>1.5287874651000002</v>
      </c>
      <c r="H360">
        <v>1196.9376009570992</v>
      </c>
      <c r="I360">
        <v>0.65</v>
      </c>
      <c r="K360">
        <v>-10.294526938599999</v>
      </c>
      <c r="L360">
        <v>10.358421574599999</v>
      </c>
      <c r="M360">
        <v>1102.0143314652737</v>
      </c>
      <c r="N360">
        <v>0.65</v>
      </c>
      <c r="P360">
        <v>-14.243725944299999</v>
      </c>
      <c r="Q360">
        <v>33.608518789899996</v>
      </c>
      <c r="R360">
        <v>541.73482450320864</v>
      </c>
      <c r="S360">
        <v>0.65</v>
      </c>
      <c r="U360">
        <v>0</v>
      </c>
      <c r="V360">
        <v>0</v>
      </c>
      <c r="W360">
        <v>-171.00317132019964</v>
      </c>
      <c r="X360">
        <v>0.9</v>
      </c>
      <c r="Z360">
        <v>13.597604351899999</v>
      </c>
      <c r="AA360">
        <v>33.450738094199998</v>
      </c>
      <c r="AB360">
        <v>573.12665683166745</v>
      </c>
      <c r="AC360">
        <v>0.65</v>
      </c>
      <c r="AE360">
        <v>7.8468199336</v>
      </c>
      <c r="AF360">
        <v>7.8290870322000004</v>
      </c>
      <c r="AG360">
        <v>1134.018537376239</v>
      </c>
      <c r="AH360">
        <v>0.65</v>
      </c>
      <c r="AJ360">
        <v>5.5976528432999997</v>
      </c>
      <c r="AK360">
        <v>2.2964777776999998</v>
      </c>
      <c r="AL360">
        <v>1185.4034127524164</v>
      </c>
      <c r="AM360">
        <v>0.65</v>
      </c>
    </row>
    <row r="361" spans="1:39" x14ac:dyDescent="0.25">
      <c r="A361">
        <v>0</v>
      </c>
      <c r="B361">
        <v>0</v>
      </c>
      <c r="C361">
        <v>1228.5022903979216</v>
      </c>
      <c r="D361">
        <v>0.65</v>
      </c>
      <c r="F361">
        <v>-3.6951674344999996</v>
      </c>
      <c r="G361">
        <v>1.5080311986000001</v>
      </c>
      <c r="H361">
        <v>1197.5012526084072</v>
      </c>
      <c r="I361">
        <v>0.65</v>
      </c>
      <c r="K361">
        <v>14.038824380200001</v>
      </c>
      <c r="L361">
        <v>-13.932184811199999</v>
      </c>
      <c r="M361">
        <v>1048.4453935289303</v>
      </c>
      <c r="N361">
        <v>0.65</v>
      </c>
      <c r="P361">
        <v>-14.634393043499999</v>
      </c>
      <c r="Q361">
        <v>35.313808961599996</v>
      </c>
      <c r="R361">
        <v>457.41349985100322</v>
      </c>
      <c r="S361">
        <v>0.69069206033481756</v>
      </c>
      <c r="U361">
        <v>0</v>
      </c>
      <c r="V361">
        <v>0</v>
      </c>
      <c r="W361">
        <v>1228.5022903979216</v>
      </c>
      <c r="X361">
        <v>0.65</v>
      </c>
      <c r="Z361">
        <v>9.6246076684999995</v>
      </c>
      <c r="AA361">
        <v>23.4135364208</v>
      </c>
      <c r="AB361">
        <v>916.29421294303154</v>
      </c>
      <c r="AC361">
        <v>0.65</v>
      </c>
      <c r="AE361">
        <v>25.284776573499997</v>
      </c>
      <c r="AF361">
        <v>25.200862173000001</v>
      </c>
      <c r="AG361">
        <v>801.87416403567306</v>
      </c>
      <c r="AH361">
        <v>0.65</v>
      </c>
      <c r="AJ361">
        <v>4.7287666442000003</v>
      </c>
      <c r="AK361">
        <v>1.9557212376999999</v>
      </c>
      <c r="AL361">
        <v>1190.422826471254</v>
      </c>
      <c r="AM361">
        <v>0.65</v>
      </c>
    </row>
    <row r="362" spans="1:39" x14ac:dyDescent="0.25">
      <c r="A362">
        <v>0</v>
      </c>
      <c r="B362">
        <v>0</v>
      </c>
      <c r="C362">
        <v>-171.00317132019964</v>
      </c>
      <c r="D362">
        <v>0.9</v>
      </c>
      <c r="F362">
        <v>-3.7898279249</v>
      </c>
      <c r="G362">
        <v>1.5484310085000002</v>
      </c>
      <c r="H362">
        <v>1196.3733558535314</v>
      </c>
      <c r="I362">
        <v>0.65</v>
      </c>
      <c r="K362">
        <v>15.812452025899999</v>
      </c>
      <c r="L362">
        <v>-15.6655590665</v>
      </c>
      <c r="M362">
        <v>1019.8201873005312</v>
      </c>
      <c r="N362">
        <v>0.65</v>
      </c>
      <c r="P362">
        <v>-13.6162814638</v>
      </c>
      <c r="Q362">
        <v>32.439963180900001</v>
      </c>
      <c r="R362">
        <v>643.20742242518133</v>
      </c>
      <c r="S362">
        <v>0.65</v>
      </c>
      <c r="U362">
        <v>0</v>
      </c>
      <c r="V362">
        <v>0</v>
      </c>
      <c r="W362">
        <v>-171.00317132019964</v>
      </c>
      <c r="X362">
        <v>0.9</v>
      </c>
      <c r="Z362">
        <v>13.8505743214</v>
      </c>
      <c r="AA362">
        <v>32.733016144099999</v>
      </c>
      <c r="AB362">
        <v>623.22700780390028</v>
      </c>
      <c r="AC362">
        <v>0.65</v>
      </c>
      <c r="AE362">
        <v>8.7625911497000004</v>
      </c>
      <c r="AF362">
        <v>8.6858665650999995</v>
      </c>
      <c r="AG362">
        <v>1123.4678966906179</v>
      </c>
      <c r="AH362">
        <v>0.65</v>
      </c>
      <c r="AJ362">
        <v>5.5855914175999999</v>
      </c>
      <c r="AK362">
        <v>2.2882701417</v>
      </c>
      <c r="AL362">
        <v>1185.5906092332107</v>
      </c>
      <c r="AM362">
        <v>0.65</v>
      </c>
    </row>
    <row r="363" spans="1:39" x14ac:dyDescent="0.25">
      <c r="A363">
        <v>0</v>
      </c>
      <c r="B363">
        <v>0</v>
      </c>
      <c r="C363">
        <v>-171.00317132019964</v>
      </c>
      <c r="D363">
        <v>0.9</v>
      </c>
      <c r="F363">
        <v>-4.7179002190999997</v>
      </c>
      <c r="G363">
        <v>1.9730272273</v>
      </c>
      <c r="H363">
        <v>1190.2404824456539</v>
      </c>
      <c r="I363">
        <v>0.65</v>
      </c>
      <c r="K363">
        <v>-28.3103875587</v>
      </c>
      <c r="L363">
        <v>28.072339498800002</v>
      </c>
      <c r="M363">
        <v>678.47536970004421</v>
      </c>
      <c r="N363">
        <v>0.65</v>
      </c>
      <c r="P363">
        <v>-13.5965453753</v>
      </c>
      <c r="Q363">
        <v>33.451158323000001</v>
      </c>
      <c r="R363">
        <v>573.12688095369811</v>
      </c>
      <c r="S363">
        <v>0.65</v>
      </c>
      <c r="U363">
        <v>0</v>
      </c>
      <c r="V363">
        <v>0</v>
      </c>
      <c r="W363">
        <v>1228.5022903979216</v>
      </c>
      <c r="X363">
        <v>0.65</v>
      </c>
      <c r="Z363">
        <v>14.243995491</v>
      </c>
      <c r="AA363">
        <v>33.608411826999998</v>
      </c>
      <c r="AB363">
        <v>541.73476745628511</v>
      </c>
      <c r="AC363">
        <v>0.65</v>
      </c>
      <c r="AE363">
        <v>9.6196362276000009</v>
      </c>
      <c r="AF363">
        <v>9.5276361986999998</v>
      </c>
      <c r="AG363">
        <v>1112.7899805887203</v>
      </c>
      <c r="AH363">
        <v>0.65</v>
      </c>
      <c r="AJ363">
        <v>6.6537338537000004</v>
      </c>
      <c r="AK363">
        <v>2.7057985151999997</v>
      </c>
      <c r="AL363">
        <v>1179.5257341320066</v>
      </c>
      <c r="AM363">
        <v>0.65</v>
      </c>
    </row>
    <row r="364" spans="1:39" x14ac:dyDescent="0.25">
      <c r="A364">
        <v>0</v>
      </c>
      <c r="B364">
        <v>0</v>
      </c>
      <c r="C364">
        <v>1228.5022903979216</v>
      </c>
      <c r="D364">
        <v>0.65</v>
      </c>
      <c r="F364">
        <v>-1.5122272813000002</v>
      </c>
      <c r="G364">
        <v>0.62432157020000001</v>
      </c>
      <c r="H364">
        <v>1219.8609916473799</v>
      </c>
      <c r="I364">
        <v>0.65</v>
      </c>
      <c r="K364">
        <v>-9.901835888199999</v>
      </c>
      <c r="L364">
        <v>9.9604276056999996</v>
      </c>
      <c r="M364">
        <v>1107.455971704999</v>
      </c>
      <c r="N364">
        <v>0.65</v>
      </c>
      <c r="P364">
        <v>-14.001171443600001</v>
      </c>
      <c r="Q364">
        <v>33.817590998300005</v>
      </c>
      <c r="R364">
        <v>511.60467357403854</v>
      </c>
      <c r="S364">
        <v>0.65</v>
      </c>
      <c r="U364">
        <v>0</v>
      </c>
      <c r="V364">
        <v>0</v>
      </c>
      <c r="W364">
        <v>1228.5022903979216</v>
      </c>
      <c r="X364">
        <v>0.65</v>
      </c>
      <c r="Z364">
        <v>13.740068605799999</v>
      </c>
      <c r="AA364">
        <v>33.2241762831</v>
      </c>
      <c r="AB364">
        <v>589.40463216614853</v>
      </c>
      <c r="AC364">
        <v>0.65</v>
      </c>
      <c r="AE364">
        <v>8.2295144956000001</v>
      </c>
      <c r="AF364">
        <v>8.2682010311000003</v>
      </c>
      <c r="AG364">
        <v>1128.7093630697868</v>
      </c>
      <c r="AH364">
        <v>0.65</v>
      </c>
      <c r="AJ364">
        <v>6.5870259099999995</v>
      </c>
      <c r="AK364">
        <v>2.7062820892000001</v>
      </c>
      <c r="AL364">
        <v>1179.9091398115575</v>
      </c>
      <c r="AM364">
        <v>0.65</v>
      </c>
    </row>
    <row r="365" spans="1:39" x14ac:dyDescent="0.25">
      <c r="A365">
        <v>-1.2509930276999999</v>
      </c>
      <c r="B365">
        <v>0</v>
      </c>
      <c r="C365">
        <v>1221.3537588108502</v>
      </c>
      <c r="D365">
        <v>0.65</v>
      </c>
      <c r="F365">
        <v>-4.1212798385999996</v>
      </c>
      <c r="G365">
        <v>1.6947518284</v>
      </c>
      <c r="H365">
        <v>1194.2024476474771</v>
      </c>
      <c r="I365">
        <v>0.65</v>
      </c>
      <c r="K365">
        <v>-26.536221316800003</v>
      </c>
      <c r="L365">
        <v>26.649454669600001</v>
      </c>
      <c r="M365">
        <v>750.79292763060732</v>
      </c>
      <c r="N365">
        <v>0.65</v>
      </c>
      <c r="P365">
        <v>-14.140993460899999</v>
      </c>
      <c r="Q365">
        <v>33.730121491599995</v>
      </c>
      <c r="R365">
        <v>526.67448579185577</v>
      </c>
      <c r="S365">
        <v>0.65</v>
      </c>
      <c r="U365">
        <v>0</v>
      </c>
      <c r="V365">
        <v>2.9107451754999998</v>
      </c>
      <c r="W365">
        <v>1189.6923547248482</v>
      </c>
      <c r="X365">
        <v>0.65</v>
      </c>
      <c r="Z365">
        <v>13.037442325100001</v>
      </c>
      <c r="AA365">
        <v>31.317476473599999</v>
      </c>
      <c r="AB365">
        <v>700.72922231704126</v>
      </c>
      <c r="AC365">
        <v>0.65</v>
      </c>
      <c r="AE365">
        <v>17.145375366</v>
      </c>
      <c r="AF365">
        <v>17.339433854700001</v>
      </c>
      <c r="AG365">
        <v>991.19817147974709</v>
      </c>
      <c r="AH365">
        <v>0.65</v>
      </c>
      <c r="AJ365">
        <v>9.2464570344000006</v>
      </c>
      <c r="AK365">
        <v>3.8334983805</v>
      </c>
      <c r="AL365">
        <v>1163.3524334736628</v>
      </c>
      <c r="AM365">
        <v>0.65</v>
      </c>
    </row>
    <row r="366" spans="1:39" x14ac:dyDescent="0.25">
      <c r="A366">
        <v>-2.7215752572</v>
      </c>
      <c r="B366">
        <v>0</v>
      </c>
      <c r="C366">
        <v>1212.9504317856222</v>
      </c>
      <c r="D366">
        <v>0.65</v>
      </c>
      <c r="F366">
        <v>-4.7281916581000001</v>
      </c>
      <c r="G366">
        <v>1.9559494068000001</v>
      </c>
      <c r="H366">
        <v>1190.4229481614366</v>
      </c>
      <c r="I366">
        <v>0.65</v>
      </c>
      <c r="K366">
        <v>-27.617960340899998</v>
      </c>
      <c r="L366">
        <v>27.720532386999999</v>
      </c>
      <c r="M366">
        <v>702.17544630623559</v>
      </c>
      <c r="N366">
        <v>0.65</v>
      </c>
      <c r="P366">
        <v>-13.740749668099999</v>
      </c>
      <c r="Q366">
        <v>33.223906020299999</v>
      </c>
      <c r="R366">
        <v>589.40448802598996</v>
      </c>
      <c r="S366">
        <v>0.65</v>
      </c>
      <c r="U366">
        <v>0</v>
      </c>
      <c r="V366">
        <v>0</v>
      </c>
      <c r="W366">
        <v>1228.5022903979216</v>
      </c>
      <c r="X366">
        <v>0.65</v>
      </c>
      <c r="Z366">
        <v>13.616330947900002</v>
      </c>
      <c r="AA366">
        <v>32.4399435443</v>
      </c>
      <c r="AB366">
        <v>643.20741195234541</v>
      </c>
      <c r="AC366">
        <v>0.65</v>
      </c>
      <c r="AE366">
        <v>9.9000267326999989</v>
      </c>
      <c r="AF366">
        <v>9.961092193399999</v>
      </c>
      <c r="AG366">
        <v>1107.4471105350449</v>
      </c>
      <c r="AH366">
        <v>0.65</v>
      </c>
      <c r="AJ366">
        <v>6.7002836235999998</v>
      </c>
      <c r="AK366">
        <v>2.7133142164999997</v>
      </c>
      <c r="AL366">
        <v>1179.1465947326481</v>
      </c>
      <c r="AM366">
        <v>0.65</v>
      </c>
    </row>
    <row r="367" spans="1:39" x14ac:dyDescent="0.25">
      <c r="A367">
        <v>0</v>
      </c>
      <c r="B367">
        <v>0</v>
      </c>
      <c r="C367">
        <v>1228.5022903979216</v>
      </c>
      <c r="D367">
        <v>0.65</v>
      </c>
      <c r="F367">
        <v>-4.7566641631</v>
      </c>
      <c r="G367">
        <v>1.9316568776</v>
      </c>
      <c r="H367">
        <v>1190.6015660325613</v>
      </c>
      <c r="I367">
        <v>0.65</v>
      </c>
      <c r="K367">
        <v>21.311046922999999</v>
      </c>
      <c r="L367">
        <v>-21.2903233354</v>
      </c>
      <c r="M367">
        <v>908.992260474452</v>
      </c>
      <c r="N367">
        <v>0.65</v>
      </c>
      <c r="P367">
        <v>-13.799325990299998</v>
      </c>
      <c r="Q367">
        <v>33.001854999300001</v>
      </c>
      <c r="R367">
        <v>606.93665676951116</v>
      </c>
      <c r="S367">
        <v>0.65</v>
      </c>
      <c r="U367">
        <v>0</v>
      </c>
      <c r="V367">
        <v>0</v>
      </c>
      <c r="W367">
        <v>1228.5022903979216</v>
      </c>
      <c r="X367">
        <v>0.65</v>
      </c>
      <c r="Z367">
        <v>13.7528334433</v>
      </c>
      <c r="AA367">
        <v>34.006003355399997</v>
      </c>
      <c r="AB367">
        <v>502.71230741967349</v>
      </c>
      <c r="AC367">
        <v>0.65</v>
      </c>
      <c r="AE367">
        <v>9.9112026345000004</v>
      </c>
      <c r="AF367">
        <v>9.8364386204000009</v>
      </c>
      <c r="AG367">
        <v>1108.8636026199229</v>
      </c>
      <c r="AH367">
        <v>0.65</v>
      </c>
      <c r="AJ367">
        <v>7.8824652625000002</v>
      </c>
      <c r="AK367">
        <v>3.2527371752000001</v>
      </c>
      <c r="AL367">
        <v>1171.6815413753714</v>
      </c>
      <c r="AM367">
        <v>0.65</v>
      </c>
    </row>
    <row r="368" spans="1:39" x14ac:dyDescent="0.25">
      <c r="A368">
        <v>-1.7411871042000002</v>
      </c>
      <c r="B368">
        <v>0</v>
      </c>
      <c r="C368">
        <v>1218.5526498024408</v>
      </c>
      <c r="D368">
        <v>0.65</v>
      </c>
      <c r="F368">
        <v>-4.7177933574999997</v>
      </c>
      <c r="G368">
        <v>1.9340878844</v>
      </c>
      <c r="H368">
        <v>1190.794436456202</v>
      </c>
      <c r="I368">
        <v>0.65</v>
      </c>
      <c r="K368">
        <v>-28.7810662636</v>
      </c>
      <c r="L368">
        <v>28.798971722600001</v>
      </c>
      <c r="M368">
        <v>633.56487547046106</v>
      </c>
      <c r="N368">
        <v>0.65</v>
      </c>
      <c r="P368">
        <v>-14.218838086799998</v>
      </c>
      <c r="Q368">
        <v>34.320446646100002</v>
      </c>
      <c r="R368">
        <v>482.162685411734</v>
      </c>
      <c r="S368">
        <v>0.6606260344311351</v>
      </c>
      <c r="U368">
        <v>0</v>
      </c>
      <c r="V368">
        <v>0.75667967329999997</v>
      </c>
      <c r="W368">
        <v>1218.4132280870901</v>
      </c>
      <c r="X368">
        <v>0.65</v>
      </c>
      <c r="Z368">
        <v>14.6346943884</v>
      </c>
      <c r="AA368">
        <v>35.313700568099996</v>
      </c>
      <c r="AB368">
        <v>457.4137281337641</v>
      </c>
      <c r="AC368">
        <v>0.69069240504062845</v>
      </c>
      <c r="AE368">
        <v>9.1122631542000008</v>
      </c>
      <c r="AF368">
        <v>9.2505019854999997</v>
      </c>
      <c r="AG368">
        <v>1116.6215231837962</v>
      </c>
      <c r="AH368">
        <v>0.65</v>
      </c>
      <c r="AJ368">
        <v>9.2405655056999993</v>
      </c>
      <c r="AK368">
        <v>3.8488302048999996</v>
      </c>
      <c r="AL368">
        <v>1163.1690365599479</v>
      </c>
      <c r="AM368">
        <v>0.65</v>
      </c>
    </row>
    <row r="369" spans="1:39" x14ac:dyDescent="0.25">
      <c r="A369">
        <v>-3.2117693336000004</v>
      </c>
      <c r="B369">
        <v>0</v>
      </c>
      <c r="C369">
        <v>1210.1493227772128</v>
      </c>
      <c r="D369">
        <v>0.65</v>
      </c>
      <c r="F369">
        <v>-6.6463422112000003</v>
      </c>
      <c r="G369">
        <v>2.7087317066999996</v>
      </c>
      <c r="H369">
        <v>1179.5272985008007</v>
      </c>
      <c r="I369">
        <v>0.65</v>
      </c>
      <c r="K369">
        <v>-28.758573448000003</v>
      </c>
      <c r="L369">
        <v>28.403032205399999</v>
      </c>
      <c r="M369">
        <v>656.01145429996609</v>
      </c>
      <c r="N369">
        <v>0.65</v>
      </c>
      <c r="P369">
        <v>-14.698990504000001</v>
      </c>
      <c r="Q369">
        <v>36.1242348476</v>
      </c>
      <c r="R369">
        <v>432.6867937401874</v>
      </c>
      <c r="S369">
        <v>0.72076360218118907</v>
      </c>
      <c r="U369">
        <v>0</v>
      </c>
      <c r="V369">
        <v>1.344152083</v>
      </c>
      <c r="W369">
        <v>1210.5802626246605</v>
      </c>
      <c r="X369">
        <v>0.65</v>
      </c>
      <c r="Z369">
        <v>14.699029175600002</v>
      </c>
      <c r="AA369">
        <v>36.124220773799998</v>
      </c>
      <c r="AB369">
        <v>432.68681923588372</v>
      </c>
      <c r="AC369">
        <v>0.7207636446515655</v>
      </c>
      <c r="AE369">
        <v>-14.031483017699999</v>
      </c>
      <c r="AF369">
        <v>-13.935098050300001</v>
      </c>
      <c r="AG369">
        <v>1048.4469472564383</v>
      </c>
      <c r="AH369">
        <v>0.65</v>
      </c>
      <c r="AJ369">
        <v>6.5957531110000005</v>
      </c>
      <c r="AK369">
        <v>2.7158128303</v>
      </c>
      <c r="AL369">
        <v>1179.7226489867767</v>
      </c>
      <c r="AM369">
        <v>0.65</v>
      </c>
    </row>
    <row r="370" spans="1:39" x14ac:dyDescent="0.25">
      <c r="A370">
        <v>-4.1921574865999993</v>
      </c>
      <c r="B370">
        <v>0</v>
      </c>
      <c r="C370">
        <v>1204.5471047603942</v>
      </c>
      <c r="D370">
        <v>0.65</v>
      </c>
      <c r="F370">
        <v>-6.7034554797999997</v>
      </c>
      <c r="G370">
        <v>2.7120555434</v>
      </c>
      <c r="H370">
        <v>1179.1459234403317</v>
      </c>
      <c r="I370">
        <v>0.65</v>
      </c>
      <c r="K370">
        <v>-9.8175581037999997</v>
      </c>
      <c r="L370">
        <v>9.7374852772999994</v>
      </c>
      <c r="M370">
        <v>1110.1304387646146</v>
      </c>
      <c r="N370">
        <v>0.65</v>
      </c>
      <c r="P370">
        <v>-14.573202611700001</v>
      </c>
      <c r="Q370">
        <v>34.794939263299995</v>
      </c>
      <c r="R370">
        <v>468.41240720630003</v>
      </c>
      <c r="S370">
        <v>0.67570310383982846</v>
      </c>
      <c r="U370">
        <v>0</v>
      </c>
      <c r="V370">
        <v>2.9760198876999997</v>
      </c>
      <c r="W370">
        <v>1188.8220252290225</v>
      </c>
      <c r="X370">
        <v>0.65</v>
      </c>
      <c r="Z370">
        <v>13.7988343329</v>
      </c>
      <c r="AA370">
        <v>33.002050101400002</v>
      </c>
      <c r="AB370">
        <v>606.93676082396917</v>
      </c>
      <c r="AC370">
        <v>0.65</v>
      </c>
      <c r="AE370">
        <v>18.660615336500001</v>
      </c>
      <c r="AF370">
        <v>18.759522501999999</v>
      </c>
      <c r="AG370">
        <v>963.80172650731106</v>
      </c>
      <c r="AH370">
        <v>0.65</v>
      </c>
      <c r="AJ370">
        <v>5.5571566081000006</v>
      </c>
      <c r="AK370">
        <v>2.2865598801</v>
      </c>
      <c r="AL370">
        <v>1185.7812709804159</v>
      </c>
      <c r="AM370">
        <v>0.65</v>
      </c>
    </row>
    <row r="371" spans="1:39" x14ac:dyDescent="0.25">
      <c r="A371">
        <v>0</v>
      </c>
      <c r="B371">
        <v>0</v>
      </c>
      <c r="C371">
        <v>1228.5022903979216</v>
      </c>
      <c r="D371">
        <v>0.65</v>
      </c>
      <c r="F371">
        <v>-9.2592838338999996</v>
      </c>
      <c r="G371">
        <v>3.8414022968000001</v>
      </c>
      <c r="H371">
        <v>1163.1650750089909</v>
      </c>
      <c r="I371">
        <v>0.65</v>
      </c>
      <c r="K371">
        <v>-29.598805201099999</v>
      </c>
      <c r="L371">
        <v>29.5943353694</v>
      </c>
      <c r="M371">
        <v>534.79740816041362</v>
      </c>
      <c r="N371">
        <v>0.65</v>
      </c>
      <c r="P371">
        <v>-14.6677933014</v>
      </c>
      <c r="Q371">
        <v>35.026007802599999</v>
      </c>
      <c r="R371">
        <v>461.74707149986904</v>
      </c>
      <c r="S371">
        <v>0.68321024249461682</v>
      </c>
      <c r="U371">
        <v>0</v>
      </c>
      <c r="V371">
        <v>0.36503140019999997</v>
      </c>
      <c r="W371">
        <v>1223.6352050620433</v>
      </c>
      <c r="X371">
        <v>0.65</v>
      </c>
      <c r="Z371">
        <v>14.8557255806</v>
      </c>
      <c r="AA371">
        <v>35.462605379700001</v>
      </c>
      <c r="AB371">
        <v>450.33810352734105</v>
      </c>
      <c r="AC371">
        <v>0.69832763666909947</v>
      </c>
      <c r="AE371">
        <v>26.6894831611</v>
      </c>
      <c r="AF371">
        <v>26.5677837438</v>
      </c>
      <c r="AG371">
        <v>752.01425375410713</v>
      </c>
      <c r="AH371">
        <v>0.65</v>
      </c>
      <c r="AJ371">
        <v>5.8628297473000002</v>
      </c>
      <c r="AK371">
        <v>2.4106279202000001</v>
      </c>
      <c r="AL371">
        <v>1183.79006851181</v>
      </c>
      <c r="AM371">
        <v>0.65</v>
      </c>
    </row>
    <row r="372" spans="1:39" x14ac:dyDescent="0.25">
      <c r="A372">
        <v>-6.1529337925000007</v>
      </c>
      <c r="B372">
        <v>0</v>
      </c>
      <c r="C372">
        <v>1193.3426687267572</v>
      </c>
      <c r="D372">
        <v>0.65</v>
      </c>
      <c r="F372">
        <v>-5.5900260875000001</v>
      </c>
      <c r="G372">
        <v>2.2865103521000001</v>
      </c>
      <c r="H372">
        <v>1185.5896706787523</v>
      </c>
      <c r="I372">
        <v>0.65</v>
      </c>
      <c r="K372">
        <v>-12.096761753700001</v>
      </c>
      <c r="L372">
        <v>12.1817841666</v>
      </c>
      <c r="M372">
        <v>1075.8490202509997</v>
      </c>
      <c r="N372">
        <v>0.65</v>
      </c>
      <c r="P372">
        <v>-14.726971734199999</v>
      </c>
      <c r="Q372">
        <v>35.740048129500003</v>
      </c>
      <c r="R372">
        <v>445.54162223717998</v>
      </c>
      <c r="S372">
        <v>0.7057687677370803</v>
      </c>
      <c r="U372">
        <v>0</v>
      </c>
      <c r="V372">
        <v>2.9890748301000003</v>
      </c>
      <c r="W372">
        <v>1188.6479593298575</v>
      </c>
      <c r="X372">
        <v>0.65</v>
      </c>
      <c r="Z372">
        <v>14.068972808399998</v>
      </c>
      <c r="AA372">
        <v>34.635264536099996</v>
      </c>
      <c r="AB372">
        <v>476.0116950292994</v>
      </c>
      <c r="AC372">
        <v>0.66810143408841294</v>
      </c>
      <c r="AE372">
        <v>29.484339872300001</v>
      </c>
      <c r="AF372">
        <v>29.639173462899997</v>
      </c>
      <c r="AG372">
        <v>536.0338205756799</v>
      </c>
      <c r="AH372">
        <v>0.65</v>
      </c>
      <c r="AJ372">
        <v>5.6531154872</v>
      </c>
      <c r="AK372">
        <v>2.2874627082000001</v>
      </c>
      <c r="AL372">
        <v>1185.2070308286266</v>
      </c>
      <c r="AM372">
        <v>0.65</v>
      </c>
    </row>
    <row r="373" spans="1:39" x14ac:dyDescent="0.25">
      <c r="A373">
        <v>0</v>
      </c>
      <c r="B373">
        <v>0</v>
      </c>
      <c r="C373">
        <v>1228.5022903979216</v>
      </c>
      <c r="D373">
        <v>0.65</v>
      </c>
      <c r="F373">
        <v>-5.5997872579000001</v>
      </c>
      <c r="G373">
        <v>2.2956307878</v>
      </c>
      <c r="H373">
        <v>1185.40296102447</v>
      </c>
      <c r="I373">
        <v>0.65</v>
      </c>
      <c r="K373">
        <v>-9.6196877550999993</v>
      </c>
      <c r="L373">
        <v>9.5276172702000004</v>
      </c>
      <c r="M373">
        <v>1112.7902329683675</v>
      </c>
      <c r="N373">
        <v>0.65</v>
      </c>
      <c r="P373">
        <v>-15.001326650799999</v>
      </c>
      <c r="Q373">
        <v>35.889135213499998</v>
      </c>
      <c r="R373">
        <v>439.27264803737421</v>
      </c>
      <c r="S373">
        <v>0.71333495514284628</v>
      </c>
      <c r="U373">
        <v>0</v>
      </c>
      <c r="V373">
        <v>2.1274486291999999</v>
      </c>
      <c r="W373">
        <v>1200.1363086747542</v>
      </c>
      <c r="X373">
        <v>0.65</v>
      </c>
      <c r="Z373">
        <v>14.726606284899999</v>
      </c>
      <c r="AA373">
        <v>35.740180353599996</v>
      </c>
      <c r="AB373">
        <v>445.54136374852675</v>
      </c>
      <c r="AC373">
        <v>0.70576835827316453</v>
      </c>
      <c r="AE373">
        <v>24.707566764500001</v>
      </c>
      <c r="AF373">
        <v>24.298710704400001</v>
      </c>
      <c r="AG373">
        <v>828.03312858983338</v>
      </c>
      <c r="AH373">
        <v>0.65</v>
      </c>
      <c r="AJ373">
        <v>7.8495481299000005</v>
      </c>
      <c r="AK373">
        <v>3.2268177810999998</v>
      </c>
      <c r="AL373">
        <v>1172.2424393585927</v>
      </c>
      <c r="AM373">
        <v>0.65</v>
      </c>
    </row>
    <row r="374" spans="1:39" x14ac:dyDescent="0.25">
      <c r="A374">
        <v>0</v>
      </c>
      <c r="B374">
        <v>0</v>
      </c>
      <c r="C374">
        <v>-171.00317132019964</v>
      </c>
      <c r="D374">
        <v>0.9</v>
      </c>
      <c r="F374">
        <v>-9.2017668798999992</v>
      </c>
      <c r="G374">
        <v>3.8772204010000002</v>
      </c>
      <c r="H374">
        <v>1162.9926041112019</v>
      </c>
      <c r="I374">
        <v>0.65</v>
      </c>
      <c r="K374">
        <v>-29.181757012899997</v>
      </c>
      <c r="L374">
        <v>29.258970125099999</v>
      </c>
      <c r="M374">
        <v>591.10742591891778</v>
      </c>
      <c r="N374">
        <v>0.65</v>
      </c>
      <c r="P374">
        <v>-14.8554389745</v>
      </c>
      <c r="Q374">
        <v>35.462708784599997</v>
      </c>
      <c r="R374">
        <v>450.33789438187011</v>
      </c>
      <c r="S374">
        <v>0.6983273123526309</v>
      </c>
      <c r="U374">
        <v>0</v>
      </c>
      <c r="V374">
        <v>2.3232727658000001</v>
      </c>
      <c r="W374">
        <v>1197.5253201872777</v>
      </c>
      <c r="X374">
        <v>0.65</v>
      </c>
      <c r="Z374">
        <v>13.991605993799999</v>
      </c>
      <c r="AA374">
        <v>33.821386811700002</v>
      </c>
      <c r="AB374">
        <v>511.60669800787144</v>
      </c>
      <c r="AC374">
        <v>0.65</v>
      </c>
      <c r="AE374">
        <v>28.008835871500001</v>
      </c>
      <c r="AF374">
        <v>28.163419680400001</v>
      </c>
      <c r="AG374">
        <v>678.48029147590159</v>
      </c>
      <c r="AH374">
        <v>0.65</v>
      </c>
      <c r="AJ374">
        <v>7.8985659275</v>
      </c>
      <c r="AK374">
        <v>3.2593419385</v>
      </c>
      <c r="AL374">
        <v>1171.4934900291103</v>
      </c>
      <c r="AM374">
        <v>0.65</v>
      </c>
    </row>
    <row r="375" spans="1:39" x14ac:dyDescent="0.25">
      <c r="A375">
        <v>-7.7869140474000007</v>
      </c>
      <c r="B375">
        <v>0</v>
      </c>
      <c r="C375">
        <v>1184.005638698726</v>
      </c>
      <c r="D375">
        <v>0.65</v>
      </c>
      <c r="F375">
        <v>-6.6725683666000002</v>
      </c>
      <c r="G375">
        <v>2.7113184181999999</v>
      </c>
      <c r="H375">
        <v>1179.3371041936014</v>
      </c>
      <c r="I375">
        <v>0.65</v>
      </c>
      <c r="K375">
        <v>-29.5827646378</v>
      </c>
      <c r="L375">
        <v>29.489657598099999</v>
      </c>
      <c r="M375">
        <v>553.56102041487509</v>
      </c>
      <c r="N375">
        <v>0.65</v>
      </c>
      <c r="P375">
        <v>-15.7023944559</v>
      </c>
      <c r="Q375">
        <v>37.148134006599996</v>
      </c>
      <c r="R375">
        <v>385.68962634019101</v>
      </c>
      <c r="S375">
        <v>0.78836659849954804</v>
      </c>
      <c r="U375">
        <v>0</v>
      </c>
      <c r="V375">
        <v>3.0021297725</v>
      </c>
      <c r="W375">
        <v>1188.4738934306924</v>
      </c>
      <c r="X375">
        <v>0.65</v>
      </c>
      <c r="Z375">
        <v>14.5736056366</v>
      </c>
      <c r="AA375">
        <v>34.794795132499999</v>
      </c>
      <c r="AB375">
        <v>468.41273356225503</v>
      </c>
      <c r="AC375">
        <v>0.67570357462098019</v>
      </c>
      <c r="AE375">
        <v>9.5629608829999988</v>
      </c>
      <c r="AF375">
        <v>9.6591482215999989</v>
      </c>
      <c r="AG375">
        <v>1111.3911783078031</v>
      </c>
      <c r="AH375">
        <v>0.65</v>
      </c>
      <c r="AJ375">
        <v>6.8049241521999999</v>
      </c>
      <c r="AK375">
        <v>2.8846730910999998</v>
      </c>
      <c r="AL375">
        <v>1177.563761815853</v>
      </c>
      <c r="AM375">
        <v>0.65</v>
      </c>
    </row>
    <row r="376" spans="1:39" x14ac:dyDescent="0.25">
      <c r="A376">
        <v>-6.6431278688999997</v>
      </c>
      <c r="B376">
        <v>0</v>
      </c>
      <c r="C376">
        <v>1190.5415597183478</v>
      </c>
      <c r="D376">
        <v>0.65</v>
      </c>
      <c r="F376">
        <v>-5.5314608469</v>
      </c>
      <c r="G376">
        <v>2.2837626947</v>
      </c>
      <c r="H376">
        <v>1185.9713530348754</v>
      </c>
      <c r="I376">
        <v>0.65</v>
      </c>
      <c r="K376">
        <v>-22.394740667600001</v>
      </c>
      <c r="L376">
        <v>22.3828189213</v>
      </c>
      <c r="M376">
        <v>882.83004241246954</v>
      </c>
      <c r="N376">
        <v>0.65</v>
      </c>
      <c r="P376">
        <v>-15.0711348984</v>
      </c>
      <c r="Q376">
        <v>36.566414959500001</v>
      </c>
      <c r="R376">
        <v>414.52714990921663</v>
      </c>
      <c r="S376">
        <v>0.74335647851475661</v>
      </c>
      <c r="U376">
        <v>0</v>
      </c>
      <c r="V376">
        <v>6.6279600402999996</v>
      </c>
      <c r="W376">
        <v>1150.770230601534</v>
      </c>
      <c r="X376">
        <v>0.65</v>
      </c>
      <c r="Z376">
        <v>14.1402260575</v>
      </c>
      <c r="AA376">
        <v>33.730426016800003</v>
      </c>
      <c r="AB376">
        <v>526.67464820527459</v>
      </c>
      <c r="AC376">
        <v>0.65</v>
      </c>
      <c r="AE376">
        <v>27.492942312899999</v>
      </c>
      <c r="AF376">
        <v>27.1174482598</v>
      </c>
      <c r="AG376">
        <v>725.85937517090042</v>
      </c>
      <c r="AH376">
        <v>0.65</v>
      </c>
      <c r="AJ376">
        <v>7.8587159754</v>
      </c>
      <c r="AK376">
        <v>3.210185831</v>
      </c>
      <c r="AL376">
        <v>1172.4251428719383</v>
      </c>
      <c r="AM376">
        <v>0.65</v>
      </c>
    </row>
    <row r="377" spans="1:39" x14ac:dyDescent="0.25">
      <c r="A377">
        <v>-5.1725456395</v>
      </c>
      <c r="B377">
        <v>0</v>
      </c>
      <c r="C377">
        <v>1198.9448867435756</v>
      </c>
      <c r="D377">
        <v>0.65</v>
      </c>
      <c r="F377">
        <v>-5.8623160567000001</v>
      </c>
      <c r="G377">
        <v>2.4108317657000002</v>
      </c>
      <c r="H377">
        <v>1183.7901772294151</v>
      </c>
      <c r="I377">
        <v>0.65</v>
      </c>
      <c r="K377">
        <v>-29.553710834499999</v>
      </c>
      <c r="L377">
        <v>29.675850928900001</v>
      </c>
      <c r="M377">
        <v>516.04326988679941</v>
      </c>
      <c r="N377">
        <v>0.65</v>
      </c>
      <c r="P377">
        <v>-15.2250330653</v>
      </c>
      <c r="Q377">
        <v>36.691635106099994</v>
      </c>
      <c r="R377">
        <v>408.51612706656533</v>
      </c>
      <c r="S377">
        <v>0.75088361340033871</v>
      </c>
      <c r="U377">
        <v>0</v>
      </c>
      <c r="V377">
        <v>2.9499100027999998</v>
      </c>
      <c r="W377">
        <v>1189.1701570273528</v>
      </c>
      <c r="X377">
        <v>0.65</v>
      </c>
      <c r="Z377">
        <v>14.224660647</v>
      </c>
      <c r="AA377">
        <v>34.3183766159</v>
      </c>
      <c r="AB377">
        <v>482.1677600897562</v>
      </c>
      <c r="AC377">
        <v>0.66063298740472687</v>
      </c>
      <c r="AE377">
        <v>10.0992515038</v>
      </c>
      <c r="AF377">
        <v>10.0429548585</v>
      </c>
      <c r="AG377">
        <v>1106.0719019283483</v>
      </c>
      <c r="AH377">
        <v>0.65</v>
      </c>
      <c r="AJ377">
        <v>7.9638016312</v>
      </c>
      <c r="AK377">
        <v>3.2594425866000001</v>
      </c>
      <c r="AL377">
        <v>1171.1103959347474</v>
      </c>
      <c r="AM377">
        <v>0.65</v>
      </c>
    </row>
    <row r="378" spans="1:39" x14ac:dyDescent="0.25">
      <c r="A378">
        <v>-15.430898839999999</v>
      </c>
      <c r="B378">
        <v>0</v>
      </c>
      <c r="C378">
        <v>1144.1844557564232</v>
      </c>
      <c r="D378">
        <v>0.65</v>
      </c>
      <c r="F378">
        <v>-6.5939097806999998</v>
      </c>
      <c r="G378">
        <v>2.7165443105999998</v>
      </c>
      <c r="H378">
        <v>1179.7230391096023</v>
      </c>
      <c r="I378">
        <v>0.65</v>
      </c>
      <c r="K378">
        <v>-28.867873102200001</v>
      </c>
      <c r="L378">
        <v>29.093189625700003</v>
      </c>
      <c r="M378">
        <v>612.33765992826795</v>
      </c>
      <c r="N378">
        <v>0.65</v>
      </c>
      <c r="P378">
        <v>-15.185704665699999</v>
      </c>
      <c r="Q378">
        <v>36.817780296800002</v>
      </c>
      <c r="R378">
        <v>402.32037394828916</v>
      </c>
      <c r="S378">
        <v>0.75844833272484413</v>
      </c>
      <c r="U378">
        <v>0</v>
      </c>
      <c r="V378">
        <v>2.9629649452</v>
      </c>
      <c r="W378">
        <v>1188.9960911281876</v>
      </c>
      <c r="X378">
        <v>0.65</v>
      </c>
      <c r="Z378">
        <v>14.669684906499999</v>
      </c>
      <c r="AA378">
        <v>35.025329308700002</v>
      </c>
      <c r="AB378">
        <v>461.74854903455099</v>
      </c>
      <c r="AC378">
        <v>0.6832124286846144</v>
      </c>
      <c r="AE378">
        <v>20.168610715100002</v>
      </c>
      <c r="AF378">
        <v>20.041908679999999</v>
      </c>
      <c r="AG378">
        <v>936.39295626726118</v>
      </c>
      <c r="AH378">
        <v>0.65</v>
      </c>
      <c r="AJ378">
        <v>7.8897404046999995</v>
      </c>
      <c r="AK378">
        <v>3.2368562979000002</v>
      </c>
      <c r="AL378">
        <v>1171.8646454608372</v>
      </c>
      <c r="AM378">
        <v>0.65</v>
      </c>
    </row>
    <row r="379" spans="1:39" x14ac:dyDescent="0.25">
      <c r="A379">
        <v>-15.398219234900001</v>
      </c>
      <c r="B379">
        <v>0</v>
      </c>
      <c r="C379">
        <v>1144.3711963569838</v>
      </c>
      <c r="D379">
        <v>0.65</v>
      </c>
      <c r="F379">
        <v>-7.8566614303999991</v>
      </c>
      <c r="G379">
        <v>3.2110011266999998</v>
      </c>
      <c r="H379">
        <v>1172.425577696278</v>
      </c>
      <c r="I379">
        <v>0.65</v>
      </c>
      <c r="K379">
        <v>-25.9203321323</v>
      </c>
      <c r="L379">
        <v>26.034452277099998</v>
      </c>
      <c r="M379">
        <v>774.50105811177229</v>
      </c>
      <c r="N379">
        <v>0.65</v>
      </c>
      <c r="P379">
        <v>-15.830515673200001</v>
      </c>
      <c r="Q379">
        <v>37.3456089361</v>
      </c>
      <c r="R379">
        <v>369.88329265598776</v>
      </c>
      <c r="S379">
        <v>0.81800582574530867</v>
      </c>
      <c r="U379">
        <v>0</v>
      </c>
      <c r="V379">
        <v>2.7149210389</v>
      </c>
      <c r="W379">
        <v>1192.3033432123248</v>
      </c>
      <c r="X379">
        <v>0.65</v>
      </c>
      <c r="Z379">
        <v>15.002075123800001</v>
      </c>
      <c r="AA379">
        <v>35.888863665499997</v>
      </c>
      <c r="AB379">
        <v>439.27315901589242</v>
      </c>
      <c r="AC379">
        <v>0.71333578492098293</v>
      </c>
      <c r="AE379">
        <v>10.1502564856</v>
      </c>
      <c r="AF379">
        <v>10.1542639641</v>
      </c>
      <c r="AG379">
        <v>1104.6573472189448</v>
      </c>
      <c r="AH379">
        <v>0.65</v>
      </c>
      <c r="AJ379">
        <v>9.3576294545999996</v>
      </c>
      <c r="AK379">
        <v>3.8283640890999999</v>
      </c>
      <c r="AL379">
        <v>1162.7749735247978</v>
      </c>
      <c r="AM379">
        <v>0.65</v>
      </c>
    </row>
    <row r="380" spans="1:39" x14ac:dyDescent="0.25">
      <c r="A380">
        <v>-0.27060487480000001</v>
      </c>
      <c r="B380">
        <v>0</v>
      </c>
      <c r="C380">
        <v>1226.9559768276688</v>
      </c>
      <c r="D380">
        <v>0.65</v>
      </c>
      <c r="F380">
        <v>-5.5135724703000006</v>
      </c>
      <c r="G380">
        <v>2.2778673407999999</v>
      </c>
      <c r="H380">
        <v>1186.1597827327987</v>
      </c>
      <c r="I380">
        <v>0.65</v>
      </c>
      <c r="K380">
        <v>-29.4936444135</v>
      </c>
      <c r="L380">
        <v>29.361750415400003</v>
      </c>
      <c r="M380">
        <v>572.32970537828896</v>
      </c>
      <c r="N380">
        <v>0.65</v>
      </c>
      <c r="P380">
        <v>-14.324701695000002</v>
      </c>
      <c r="Q380">
        <v>34.566801695999999</v>
      </c>
      <c r="R380">
        <v>474.80195845283674</v>
      </c>
      <c r="S380">
        <v>0.66817493978216502</v>
      </c>
      <c r="U380">
        <v>0</v>
      </c>
      <c r="V380">
        <v>6.6410149826999998</v>
      </c>
      <c r="W380">
        <v>1150.5961647023689</v>
      </c>
      <c r="X380">
        <v>0.65</v>
      </c>
      <c r="Z380">
        <v>13.5938906417</v>
      </c>
      <c r="AA380">
        <v>33.607298954599997</v>
      </c>
      <c r="AB380">
        <v>556.83317481732365</v>
      </c>
      <c r="AC380">
        <v>0.65</v>
      </c>
      <c r="AE380">
        <v>10.3289722089</v>
      </c>
      <c r="AF380">
        <v>10.474611429100001</v>
      </c>
      <c r="AG380">
        <v>1100.7983191407695</v>
      </c>
      <c r="AH380">
        <v>0.65</v>
      </c>
      <c r="AJ380">
        <v>9.2089798482000003</v>
      </c>
      <c r="AK380">
        <v>3.8743581119999999</v>
      </c>
      <c r="AL380">
        <v>1162.991077557075</v>
      </c>
      <c r="AM380">
        <v>0.65</v>
      </c>
    </row>
    <row r="381" spans="1:39" x14ac:dyDescent="0.25">
      <c r="A381">
        <v>-15.3328600247</v>
      </c>
      <c r="B381">
        <v>0</v>
      </c>
      <c r="C381">
        <v>1144.744677558105</v>
      </c>
      <c r="D381">
        <v>0.65</v>
      </c>
      <c r="F381">
        <v>-7.8460560180000005</v>
      </c>
      <c r="G381">
        <v>3.2282035398</v>
      </c>
      <c r="H381">
        <v>1172.2431784299047</v>
      </c>
      <c r="I381">
        <v>0.65</v>
      </c>
      <c r="K381">
        <v>-30.808402409500001</v>
      </c>
      <c r="L381">
        <v>30.695888989899998</v>
      </c>
      <c r="M381">
        <v>422.9940356583777</v>
      </c>
      <c r="N381">
        <v>0.70330636498599708</v>
      </c>
      <c r="P381">
        <v>-14.3009782485</v>
      </c>
      <c r="Q381">
        <v>34.015058047899998</v>
      </c>
      <c r="R381">
        <v>489.26990057345108</v>
      </c>
      <c r="S381">
        <v>0.65312692279695383</v>
      </c>
      <c r="U381">
        <v>0</v>
      </c>
      <c r="V381">
        <v>1.7358003561000002</v>
      </c>
      <c r="W381">
        <v>1205.3582856497073</v>
      </c>
      <c r="X381">
        <v>0.65</v>
      </c>
      <c r="Z381">
        <v>15.224271051600001</v>
      </c>
      <c r="AA381">
        <v>36.691915402599996</v>
      </c>
      <c r="AB381">
        <v>408.51568958583448</v>
      </c>
      <c r="AC381">
        <v>0.75088280927759077</v>
      </c>
      <c r="AE381">
        <v>-15.809756385</v>
      </c>
      <c r="AF381">
        <v>-15.666628765299999</v>
      </c>
      <c r="AG381">
        <v>1019.8207578065426</v>
      </c>
      <c r="AH381">
        <v>0.65</v>
      </c>
      <c r="AJ381">
        <v>6.6660692544000009</v>
      </c>
      <c r="AK381">
        <v>2.7138974309999999</v>
      </c>
      <c r="AL381">
        <v>1179.3384796670846</v>
      </c>
      <c r="AM381">
        <v>0.65</v>
      </c>
    </row>
    <row r="382" spans="1:39" x14ac:dyDescent="0.25">
      <c r="A382">
        <v>-15.2675008145</v>
      </c>
      <c r="B382">
        <v>0</v>
      </c>
      <c r="C382">
        <v>1145.1181587592262</v>
      </c>
      <c r="D382">
        <v>0.65</v>
      </c>
      <c r="F382">
        <v>-6.6013548555000003</v>
      </c>
      <c r="G382">
        <v>2.7005959997000004</v>
      </c>
      <c r="H382">
        <v>1179.9061072304976</v>
      </c>
      <c r="I382">
        <v>0.65</v>
      </c>
      <c r="K382">
        <v>29.628205319300001</v>
      </c>
      <c r="L382">
        <v>-29.707377085299999</v>
      </c>
      <c r="M382">
        <v>500.95235207967175</v>
      </c>
      <c r="N382">
        <v>0.65</v>
      </c>
      <c r="P382">
        <v>-15.012712967600001</v>
      </c>
      <c r="Q382">
        <v>36.253404736600004</v>
      </c>
      <c r="R382">
        <v>427.37042753965784</v>
      </c>
      <c r="S382">
        <v>0.72840370662968756</v>
      </c>
      <c r="U382">
        <v>0</v>
      </c>
      <c r="V382">
        <v>1.5399762196</v>
      </c>
      <c r="W382">
        <v>1207.9692741371839</v>
      </c>
      <c r="X382">
        <v>0.65</v>
      </c>
      <c r="Z382">
        <v>15.012497912799999</v>
      </c>
      <c r="AA382">
        <v>36.253483207000002</v>
      </c>
      <c r="AB382">
        <v>427.37029042100028</v>
      </c>
      <c r="AC382">
        <v>0.72840347292671959</v>
      </c>
      <c r="AE382">
        <v>28.779036427899999</v>
      </c>
      <c r="AF382">
        <v>28.799777212899997</v>
      </c>
      <c r="AG382">
        <v>633.56530506531226</v>
      </c>
      <c r="AH382">
        <v>0.65</v>
      </c>
      <c r="AJ382">
        <v>9.2007381539999997</v>
      </c>
      <c r="AK382">
        <v>3.8386468773</v>
      </c>
      <c r="AL382">
        <v>1163.5467532253022</v>
      </c>
      <c r="AM382">
        <v>0.65</v>
      </c>
    </row>
    <row r="383" spans="1:39" x14ac:dyDescent="0.25">
      <c r="A383">
        <v>-7.6561956269999998</v>
      </c>
      <c r="B383">
        <v>0</v>
      </c>
      <c r="C383">
        <v>1184.7526011009686</v>
      </c>
      <c r="D383">
        <v>0.65</v>
      </c>
      <c r="F383">
        <v>-9.3103019743999997</v>
      </c>
      <c r="G383">
        <v>3.8601387512999996</v>
      </c>
      <c r="H383">
        <v>1162.6003461246235</v>
      </c>
      <c r="I383">
        <v>0.65</v>
      </c>
      <c r="K383">
        <v>29.747706033700002</v>
      </c>
      <c r="L383">
        <v>-30.1771938053</v>
      </c>
      <c r="M383">
        <v>465.58322154121487</v>
      </c>
      <c r="N383">
        <v>0.66546587652867351</v>
      </c>
      <c r="P383">
        <v>-15.629745503700001</v>
      </c>
      <c r="Q383">
        <v>37.7849947988</v>
      </c>
      <c r="R383">
        <v>369.93404049816399</v>
      </c>
      <c r="S383">
        <v>0.83277518107723925</v>
      </c>
      <c r="U383">
        <v>0</v>
      </c>
      <c r="V383">
        <v>1.1483279464</v>
      </c>
      <c r="W383">
        <v>1213.191251112137</v>
      </c>
      <c r="X383">
        <v>0.65</v>
      </c>
      <c r="Z383">
        <v>15.5565580102</v>
      </c>
      <c r="AA383">
        <v>37.8493181921</v>
      </c>
      <c r="AB383">
        <v>366.63845678452361</v>
      </c>
      <c r="AC383">
        <v>0.84018314147721396</v>
      </c>
      <c r="AE383">
        <v>12.096767804700001</v>
      </c>
      <c r="AF383">
        <v>12.1817817654</v>
      </c>
      <c r="AG383">
        <v>1075.8490189703552</v>
      </c>
      <c r="AH383">
        <v>0.65</v>
      </c>
      <c r="AJ383">
        <v>9.2234740441999996</v>
      </c>
      <c r="AK383">
        <v>3.9075881951999998</v>
      </c>
      <c r="AL383">
        <v>1162.434078608034</v>
      </c>
      <c r="AM383">
        <v>0.65</v>
      </c>
    </row>
    <row r="384" spans="1:39" x14ac:dyDescent="0.25">
      <c r="A384">
        <v>-7.6888752321</v>
      </c>
      <c r="B384">
        <v>0</v>
      </c>
      <c r="C384">
        <v>1184.565860500408</v>
      </c>
      <c r="D384">
        <v>0.65</v>
      </c>
      <c r="F384">
        <v>-5.5538485122000001</v>
      </c>
      <c r="G384">
        <v>2.2878726166000001</v>
      </c>
      <c r="H384">
        <v>1185.7819711065467</v>
      </c>
      <c r="I384">
        <v>0.65</v>
      </c>
      <c r="K384">
        <v>-31.015468412300002</v>
      </c>
      <c r="L384">
        <v>30.630519178099998</v>
      </c>
      <c r="M384">
        <v>411.18394929110008</v>
      </c>
      <c r="N384">
        <v>0.71090305223368533</v>
      </c>
      <c r="P384">
        <v>-15.191392424</v>
      </c>
      <c r="Q384">
        <v>37.211253630800002</v>
      </c>
      <c r="R384">
        <v>391.44786253915163</v>
      </c>
      <c r="S384">
        <v>0.78082110582500186</v>
      </c>
      <c r="U384">
        <v>0</v>
      </c>
      <c r="V384">
        <v>2.9238001179000004</v>
      </c>
      <c r="W384">
        <v>1189.5182888256832</v>
      </c>
      <c r="X384">
        <v>0.65</v>
      </c>
      <c r="Z384">
        <v>15.2628791708</v>
      </c>
      <c r="AA384">
        <v>37.059467724900003</v>
      </c>
      <c r="AB384">
        <v>393.79348127773403</v>
      </c>
      <c r="AC384">
        <v>0.7734147105267406</v>
      </c>
      <c r="AE384">
        <v>27.898150028199996</v>
      </c>
      <c r="AF384">
        <v>27.609410964899997</v>
      </c>
      <c r="AG384">
        <v>703.39416179471868</v>
      </c>
      <c r="AH384">
        <v>0.65</v>
      </c>
      <c r="AJ384">
        <v>9.3084458436999995</v>
      </c>
      <c r="AK384">
        <v>3.8608753111</v>
      </c>
      <c r="AL384">
        <v>1162.6007389565073</v>
      </c>
      <c r="AM384">
        <v>0.65</v>
      </c>
    </row>
    <row r="385" spans="1:39" x14ac:dyDescent="0.25">
      <c r="A385">
        <v>-7.1333219454000005</v>
      </c>
      <c r="B385">
        <v>0</v>
      </c>
      <c r="C385">
        <v>1187.7404507099384</v>
      </c>
      <c r="D385">
        <v>0.65</v>
      </c>
      <c r="F385">
        <v>-9.2164589953</v>
      </c>
      <c r="G385">
        <v>3.8454023642999999</v>
      </c>
      <c r="H385">
        <v>1163.3587822650095</v>
      </c>
      <c r="I385">
        <v>0.65</v>
      </c>
      <c r="K385">
        <v>-31.070362897599999</v>
      </c>
      <c r="L385">
        <v>30.747488583799999</v>
      </c>
      <c r="M385">
        <v>404.4058382517407</v>
      </c>
      <c r="N385">
        <v>0.71841688786784164</v>
      </c>
      <c r="P385">
        <v>-15.528443342299999</v>
      </c>
      <c r="Q385">
        <v>37.896145753300004</v>
      </c>
      <c r="R385">
        <v>363.19777274437359</v>
      </c>
      <c r="S385">
        <v>0.84760240242231655</v>
      </c>
      <c r="U385">
        <v>0</v>
      </c>
      <c r="V385">
        <v>6.5757402705000008</v>
      </c>
      <c r="W385">
        <v>1151.4664941981944</v>
      </c>
      <c r="X385">
        <v>0.65</v>
      </c>
      <c r="Z385">
        <v>15.0625058989</v>
      </c>
      <c r="AA385">
        <v>36.3398514418</v>
      </c>
      <c r="AB385">
        <v>419.00421087065871</v>
      </c>
      <c r="AC385">
        <v>0.73593578979355678</v>
      </c>
      <c r="AE385">
        <v>-21.309511066100001</v>
      </c>
      <c r="AF385">
        <v>-21.290932802399997</v>
      </c>
      <c r="AG385">
        <v>908.99258552353047</v>
      </c>
      <c r="AH385">
        <v>0.65</v>
      </c>
      <c r="AJ385">
        <v>7.9459849947999999</v>
      </c>
      <c r="AK385">
        <v>3.2535187644000003</v>
      </c>
      <c r="AL385">
        <v>1171.2988104495601</v>
      </c>
      <c r="AM385">
        <v>0.65</v>
      </c>
    </row>
    <row r="386" spans="1:39" x14ac:dyDescent="0.25">
      <c r="A386">
        <v>-15.300180419599998</v>
      </c>
      <c r="B386">
        <v>0</v>
      </c>
      <c r="C386">
        <v>1144.9314181586656</v>
      </c>
      <c r="D386">
        <v>0.65</v>
      </c>
      <c r="F386">
        <v>-5.0059781386999997</v>
      </c>
      <c r="G386">
        <v>2.0715919278000001</v>
      </c>
      <c r="H386">
        <v>1188.8103998560339</v>
      </c>
      <c r="I386">
        <v>0.65</v>
      </c>
      <c r="K386">
        <v>-30.7401607336</v>
      </c>
      <c r="L386">
        <v>30.568206002699998</v>
      </c>
      <c r="M386">
        <v>430.55463948009515</v>
      </c>
      <c r="N386">
        <v>0.6957790423190835</v>
      </c>
      <c r="P386">
        <v>-15.560574540699999</v>
      </c>
      <c r="Q386">
        <v>37.847992867999999</v>
      </c>
      <c r="R386">
        <v>366.61955789091235</v>
      </c>
      <c r="S386">
        <v>0.84019061627530067</v>
      </c>
      <c r="U386">
        <v>0</v>
      </c>
      <c r="V386">
        <v>2.5190969023999998</v>
      </c>
      <c r="W386">
        <v>1194.9143316998013</v>
      </c>
      <c r="X386">
        <v>0.65</v>
      </c>
      <c r="Z386">
        <v>14.3427809144</v>
      </c>
      <c r="AA386">
        <v>34.000243538399999</v>
      </c>
      <c r="AB386">
        <v>489.30769412697271</v>
      </c>
      <c r="AC386">
        <v>0.65317737345268578</v>
      </c>
      <c r="AE386">
        <v>29.574962637300001</v>
      </c>
      <c r="AF386">
        <v>29.492753630000003</v>
      </c>
      <c r="AG386">
        <v>553.56267163189341</v>
      </c>
      <c r="AH386">
        <v>0.65</v>
      </c>
      <c r="AJ386">
        <v>6.6119825865999999</v>
      </c>
      <c r="AK386">
        <v>2.7613482266</v>
      </c>
      <c r="AL386">
        <v>1178.9806389846892</v>
      </c>
      <c r="AM386">
        <v>0.65</v>
      </c>
    </row>
    <row r="387" spans="1:39" x14ac:dyDescent="0.25">
      <c r="A387">
        <v>-7.8195936525</v>
      </c>
      <c r="B387">
        <v>0</v>
      </c>
      <c r="C387">
        <v>1183.8188980981654</v>
      </c>
      <c r="D387">
        <v>0.65</v>
      </c>
      <c r="F387">
        <v>-7.8945115470999996</v>
      </c>
      <c r="G387">
        <v>3.2349629873999999</v>
      </c>
      <c r="H387">
        <v>1171.8636356952497</v>
      </c>
      <c r="I387">
        <v>0.65</v>
      </c>
      <c r="K387">
        <v>31.075422525600001</v>
      </c>
      <c r="L387">
        <v>-31.154908119800002</v>
      </c>
      <c r="M387">
        <v>331.38688407734895</v>
      </c>
      <c r="N387">
        <v>0.79371205964269875</v>
      </c>
      <c r="P387">
        <v>-15.534973643799999</v>
      </c>
      <c r="Q387">
        <v>37.502196911399999</v>
      </c>
      <c r="R387">
        <v>377.66794308346289</v>
      </c>
      <c r="S387">
        <v>0.81051994904680491</v>
      </c>
      <c r="U387">
        <v>0</v>
      </c>
      <c r="V387">
        <v>6.7062896949000006</v>
      </c>
      <c r="W387">
        <v>1149.7258352065435</v>
      </c>
      <c r="X387">
        <v>0.65</v>
      </c>
      <c r="Z387">
        <v>15.6564099483</v>
      </c>
      <c r="AA387">
        <v>38.009955354699997</v>
      </c>
      <c r="AB387">
        <v>357.55528888493285</v>
      </c>
      <c r="AC387">
        <v>0.86245592464970888</v>
      </c>
      <c r="AE387">
        <v>28.755335179499998</v>
      </c>
      <c r="AF387">
        <v>28.4043172326</v>
      </c>
      <c r="AG387">
        <v>656.01213964779492</v>
      </c>
      <c r="AH387">
        <v>0.65</v>
      </c>
      <c r="AJ387">
        <v>7.8627500440999993</v>
      </c>
      <c r="AK387">
        <v>3.2345728423000004</v>
      </c>
      <c r="AL387">
        <v>1172.0550015045806</v>
      </c>
      <c r="AM387">
        <v>0.65</v>
      </c>
    </row>
    <row r="388" spans="1:39" x14ac:dyDescent="0.25">
      <c r="A388">
        <v>-15.2021416044</v>
      </c>
      <c r="B388">
        <v>0</v>
      </c>
      <c r="C388">
        <v>1145.4916399603476</v>
      </c>
      <c r="D388">
        <v>0.65</v>
      </c>
      <c r="F388">
        <v>-7.9637308895999999</v>
      </c>
      <c r="G388">
        <v>3.2594706587000002</v>
      </c>
      <c r="H388">
        <v>1171.1104109065245</v>
      </c>
      <c r="I388">
        <v>0.65</v>
      </c>
      <c r="K388">
        <v>-30.774444990900001</v>
      </c>
      <c r="L388">
        <v>30.980934698299997</v>
      </c>
      <c r="M388">
        <v>388.73994700422259</v>
      </c>
      <c r="N388">
        <v>0.7333951286511502</v>
      </c>
      <c r="P388">
        <v>-15.2490145686</v>
      </c>
      <c r="Q388">
        <v>37.332497733499999</v>
      </c>
      <c r="R388">
        <v>383.25407322603633</v>
      </c>
      <c r="S388">
        <v>0.79569783420312845</v>
      </c>
      <c r="U388">
        <v>0</v>
      </c>
      <c r="V388">
        <v>6.6018501554000002</v>
      </c>
      <c r="W388">
        <v>1151.1183623998643</v>
      </c>
      <c r="X388">
        <v>0.65</v>
      </c>
      <c r="Z388">
        <v>15.1845629283</v>
      </c>
      <c r="AA388">
        <v>36.818201441299998</v>
      </c>
      <c r="AB388">
        <v>402.31974091486768</v>
      </c>
      <c r="AC388">
        <v>0.75844713933973884</v>
      </c>
      <c r="AE388">
        <v>-22.205585240599998</v>
      </c>
      <c r="AF388">
        <v>-22.491985537000001</v>
      </c>
      <c r="AG388">
        <v>881.60591892847253</v>
      </c>
      <c r="AH388">
        <v>0.65</v>
      </c>
      <c r="AJ388">
        <v>10.773174272799999</v>
      </c>
      <c r="AK388">
        <v>4.5134593295999998</v>
      </c>
      <c r="AL388">
        <v>1153.2366264912173</v>
      </c>
      <c r="AM388">
        <v>0.65</v>
      </c>
    </row>
    <row r="389" spans="1:39" x14ac:dyDescent="0.25">
      <c r="A389">
        <v>-15.071423184</v>
      </c>
      <c r="B389">
        <v>0</v>
      </c>
      <c r="C389">
        <v>1146.23860236259</v>
      </c>
      <c r="D389">
        <v>0.65</v>
      </c>
      <c r="F389">
        <v>-9.2200505686999996</v>
      </c>
      <c r="G389">
        <v>3.9089467173000001</v>
      </c>
      <c r="H389">
        <v>1162.434803153124</v>
      </c>
      <c r="I389">
        <v>0.65</v>
      </c>
      <c r="K389">
        <v>30.599709095200001</v>
      </c>
      <c r="L389">
        <v>-30.438919322500002</v>
      </c>
      <c r="M389">
        <v>437.83102052755828</v>
      </c>
      <c r="N389">
        <v>0.68821607335497914</v>
      </c>
      <c r="P389">
        <v>-15.535163967799999</v>
      </c>
      <c r="Q389">
        <v>37.928952140900002</v>
      </c>
      <c r="R389">
        <v>359.66553953424659</v>
      </c>
      <c r="S389">
        <v>0.85501189441003866</v>
      </c>
      <c r="U389">
        <v>0</v>
      </c>
      <c r="V389">
        <v>1.9316244926999999</v>
      </c>
      <c r="W389">
        <v>1202.7472971622308</v>
      </c>
      <c r="X389">
        <v>0.65</v>
      </c>
      <c r="Z389">
        <v>15.248796151300001</v>
      </c>
      <c r="AA389">
        <v>37.332567753799999</v>
      </c>
      <c r="AB389">
        <v>383.25506840167316</v>
      </c>
      <c r="AC389">
        <v>0.79569740636739172</v>
      </c>
      <c r="AE389">
        <v>23.831338415999998</v>
      </c>
      <c r="AF389">
        <v>23.552700337600001</v>
      </c>
      <c r="AG389">
        <v>850.52873629951887</v>
      </c>
      <c r="AH389">
        <v>0.65</v>
      </c>
      <c r="AJ389">
        <v>10.843086444299999</v>
      </c>
      <c r="AK389">
        <v>4.4987103204999999</v>
      </c>
      <c r="AL389">
        <v>1153.037186466335</v>
      </c>
      <c r="AM389">
        <v>0.65</v>
      </c>
    </row>
    <row r="390" spans="1:39" x14ac:dyDescent="0.25">
      <c r="A390">
        <v>-7.7215548372000002</v>
      </c>
      <c r="B390">
        <v>0</v>
      </c>
      <c r="C390">
        <v>1184.3791198998472</v>
      </c>
      <c r="D390">
        <v>0.65</v>
      </c>
      <c r="F390">
        <v>-7.9454464826000004</v>
      </c>
      <c r="G390">
        <v>3.2537324597000001</v>
      </c>
      <c r="H390">
        <v>1171.2989244203986</v>
      </c>
      <c r="I390">
        <v>0.65</v>
      </c>
      <c r="K390">
        <v>-31.268815737899999</v>
      </c>
      <c r="L390">
        <v>30.800031023699997</v>
      </c>
      <c r="M390">
        <v>397.41809072875952</v>
      </c>
      <c r="N390">
        <v>0.72597283772249432</v>
      </c>
      <c r="P390">
        <v>-15.0613926289</v>
      </c>
      <c r="Q390">
        <v>36.340258899600002</v>
      </c>
      <c r="R390">
        <v>419.00352885636329</v>
      </c>
      <c r="S390">
        <v>0.73593459190886401</v>
      </c>
      <c r="U390">
        <v>0</v>
      </c>
      <c r="V390">
        <v>6.6801798099999994</v>
      </c>
      <c r="W390">
        <v>1150.0739670048736</v>
      </c>
      <c r="X390">
        <v>0.65</v>
      </c>
      <c r="Z390">
        <v>15.702394389399998</v>
      </c>
      <c r="AA390">
        <v>37.148134027800005</v>
      </c>
      <c r="AB390">
        <v>385.68962664111518</v>
      </c>
      <c r="AC390">
        <v>0.7883665983683007</v>
      </c>
      <c r="AE390">
        <v>26.069055118400001</v>
      </c>
      <c r="AF390">
        <v>25.952893479</v>
      </c>
      <c r="AG390">
        <v>775.72680946882792</v>
      </c>
      <c r="AH390">
        <v>0.65</v>
      </c>
      <c r="AJ390">
        <v>9.6348354099999991</v>
      </c>
      <c r="AK390">
        <v>3.9211121395999999</v>
      </c>
      <c r="AL390">
        <v>1160.98483354106</v>
      </c>
      <c r="AM390">
        <v>0.65</v>
      </c>
    </row>
    <row r="391" spans="1:39" x14ac:dyDescent="0.25">
      <c r="A391">
        <v>-7.6235160218999996</v>
      </c>
      <c r="B391">
        <v>0</v>
      </c>
      <c r="C391">
        <v>1184.9393417015292</v>
      </c>
      <c r="D391">
        <v>0.65</v>
      </c>
      <c r="F391">
        <v>-7.8833839306000009</v>
      </c>
      <c r="G391">
        <v>3.2523726243</v>
      </c>
      <c r="H391">
        <v>1171.6813469482611</v>
      </c>
      <c r="I391">
        <v>0.65</v>
      </c>
      <c r="K391">
        <v>30.150385499099997</v>
      </c>
      <c r="L391">
        <v>-30.4371807721</v>
      </c>
      <c r="M391">
        <v>447.35523849265775</v>
      </c>
      <c r="N391">
        <v>0.6805607076460336</v>
      </c>
      <c r="P391">
        <v>-15.280913779600001</v>
      </c>
      <c r="Q391">
        <v>37.0537828207</v>
      </c>
      <c r="R391">
        <v>393.71297846490864</v>
      </c>
      <c r="S391">
        <v>0.77345097198538537</v>
      </c>
      <c r="U391">
        <v>0</v>
      </c>
      <c r="V391">
        <v>10.073509464700001</v>
      </c>
      <c r="W391">
        <v>1112.1962382765496</v>
      </c>
      <c r="X391">
        <v>0.65</v>
      </c>
      <c r="Z391">
        <v>15.4711614265</v>
      </c>
      <c r="AA391">
        <v>36.957338071899997</v>
      </c>
      <c r="AB391">
        <v>319.53244741607364</v>
      </c>
      <c r="AC391">
        <v>0.9</v>
      </c>
      <c r="AE391">
        <v>29.1186030418</v>
      </c>
      <c r="AF391">
        <v>29.010128949999999</v>
      </c>
      <c r="AG391">
        <v>613.56261028397523</v>
      </c>
      <c r="AH391">
        <v>0.65</v>
      </c>
      <c r="AJ391">
        <v>10.893988012100001</v>
      </c>
      <c r="AK391">
        <v>4.4915052017999999</v>
      </c>
      <c r="AL391">
        <v>1152.8417698496519</v>
      </c>
      <c r="AM391">
        <v>0.65</v>
      </c>
    </row>
    <row r="392" spans="1:39" x14ac:dyDescent="0.25">
      <c r="A392">
        <v>-22.0935784451</v>
      </c>
      <c r="B392">
        <v>0</v>
      </c>
      <c r="C392">
        <v>1107.1643818225293</v>
      </c>
      <c r="D392">
        <v>0.65</v>
      </c>
      <c r="F392">
        <v>-7.8599179174999998</v>
      </c>
      <c r="G392">
        <v>3.2356967021000003</v>
      </c>
      <c r="H392">
        <v>1172.0556008964568</v>
      </c>
      <c r="I392">
        <v>0.65</v>
      </c>
      <c r="K392">
        <v>-30.696670094000002</v>
      </c>
      <c r="L392">
        <v>31.216051925400002</v>
      </c>
      <c r="M392">
        <v>376.35135754402529</v>
      </c>
      <c r="N392">
        <v>0.74841474491388982</v>
      </c>
      <c r="P392">
        <v>-15.211128955100001</v>
      </c>
      <c r="Q392">
        <v>36.964556574</v>
      </c>
      <c r="R392">
        <v>397.44209136426809</v>
      </c>
      <c r="S392">
        <v>0.76602107782627593</v>
      </c>
      <c r="U392">
        <v>0</v>
      </c>
      <c r="V392">
        <v>2.9368550604000001</v>
      </c>
      <c r="W392">
        <v>1189.3442229265179</v>
      </c>
      <c r="X392">
        <v>0.65</v>
      </c>
      <c r="Z392">
        <v>15.070637684000001</v>
      </c>
      <c r="AA392">
        <v>36.566597381299999</v>
      </c>
      <c r="AB392">
        <v>414.52685442038126</v>
      </c>
      <c r="AC392">
        <v>0.7433559486253658</v>
      </c>
      <c r="AE392">
        <v>29.4698797169</v>
      </c>
      <c r="AF392">
        <v>29.3711808505</v>
      </c>
      <c r="AG392">
        <v>572.33473494371185</v>
      </c>
      <c r="AH392">
        <v>0.65</v>
      </c>
      <c r="AJ392">
        <v>10.457906919800001</v>
      </c>
      <c r="AK392">
        <v>4.2794551038000002</v>
      </c>
      <c r="AL392">
        <v>1155.8811857784917</v>
      </c>
      <c r="AM392">
        <v>0.65</v>
      </c>
    </row>
    <row r="393" spans="1:39" x14ac:dyDescent="0.25">
      <c r="A393">
        <v>-7.8522732576000003</v>
      </c>
      <c r="B393">
        <v>0</v>
      </c>
      <c r="C393">
        <v>1183.6321574976048</v>
      </c>
      <c r="D393">
        <v>0.65</v>
      </c>
      <c r="F393">
        <v>-9.3569054401000002</v>
      </c>
      <c r="G393">
        <v>3.8286513963999997</v>
      </c>
      <c r="H393">
        <v>1162.7751267553806</v>
      </c>
      <c r="I393">
        <v>0.65</v>
      </c>
      <c r="K393">
        <v>-31.208286663600003</v>
      </c>
      <c r="L393">
        <v>31.0995710111</v>
      </c>
      <c r="M393">
        <v>368.44171595816772</v>
      </c>
      <c r="N393">
        <v>0.75596313576640584</v>
      </c>
      <c r="P393">
        <v>-15.9740274557</v>
      </c>
      <c r="Q393">
        <v>38.148628765799998</v>
      </c>
      <c r="R393">
        <v>353.22988656121834</v>
      </c>
      <c r="S393">
        <v>0.87728214464070475</v>
      </c>
      <c r="U393">
        <v>0</v>
      </c>
      <c r="V393">
        <v>6.6932347525000004</v>
      </c>
      <c r="W393">
        <v>1149.8999011057085</v>
      </c>
      <c r="X393">
        <v>0.65</v>
      </c>
      <c r="Z393">
        <v>15.3941907472</v>
      </c>
      <c r="AA393">
        <v>38.020804607300001</v>
      </c>
      <c r="AB393">
        <v>361.28533581567768</v>
      </c>
      <c r="AC393">
        <v>0.85501005441804057</v>
      </c>
      <c r="AE393">
        <v>29.336557816399999</v>
      </c>
      <c r="AF393">
        <v>29.7503946016</v>
      </c>
      <c r="AG393">
        <v>517.27369811715528</v>
      </c>
      <c r="AH393">
        <v>0.65</v>
      </c>
      <c r="AJ393">
        <v>-13.2073122424</v>
      </c>
      <c r="AK393">
        <v>-5.4816622335999998</v>
      </c>
      <c r="AL393">
        <v>1136.8914572705132</v>
      </c>
      <c r="AM393">
        <v>0.65</v>
      </c>
    </row>
    <row r="394" spans="1:39" x14ac:dyDescent="0.25">
      <c r="A394">
        <v>-15.365539629800001</v>
      </c>
      <c r="B394">
        <v>0</v>
      </c>
      <c r="C394">
        <v>1144.5579369575444</v>
      </c>
      <c r="D394">
        <v>0.65</v>
      </c>
      <c r="F394">
        <v>-6.8047137485999993</v>
      </c>
      <c r="G394">
        <v>2.8847565845999998</v>
      </c>
      <c r="H394">
        <v>1177.5638063457102</v>
      </c>
      <c r="I394">
        <v>0.65</v>
      </c>
      <c r="K394">
        <v>-31.551559192900001</v>
      </c>
      <c r="L394">
        <v>31.555602392800001</v>
      </c>
      <c r="M394">
        <v>314.6948548572916</v>
      </c>
      <c r="N394">
        <v>0.82375889556706428</v>
      </c>
      <c r="P394">
        <v>-16.161372599</v>
      </c>
      <c r="Q394">
        <v>38.209695973300001</v>
      </c>
      <c r="R394">
        <v>351.06853558161362</v>
      </c>
      <c r="S394">
        <v>0.88464604790950807</v>
      </c>
      <c r="U394">
        <v>0</v>
      </c>
      <c r="V394">
        <v>6.7454545222000002</v>
      </c>
      <c r="W394">
        <v>1149.2036375090481</v>
      </c>
      <c r="X394">
        <v>0.65</v>
      </c>
      <c r="Z394">
        <v>15.6295967114</v>
      </c>
      <c r="AA394">
        <v>37.785043655800003</v>
      </c>
      <c r="AB394">
        <v>369.93473679736405</v>
      </c>
      <c r="AC394">
        <v>0.83277490192577619</v>
      </c>
      <c r="AE394">
        <v>29.173277084599999</v>
      </c>
      <c r="AF394">
        <v>29.262335176000001</v>
      </c>
      <c r="AG394">
        <v>591.10922061272606</v>
      </c>
      <c r="AH394">
        <v>0.65</v>
      </c>
      <c r="AJ394">
        <v>-13.8983444693</v>
      </c>
      <c r="AK394">
        <v>-5.6958938910999999</v>
      </c>
      <c r="AL394">
        <v>1132.8017219366848</v>
      </c>
      <c r="AM394">
        <v>0.65</v>
      </c>
    </row>
    <row r="395" spans="1:39" x14ac:dyDescent="0.25">
      <c r="A395">
        <v>-15.234821209500002</v>
      </c>
      <c r="B395">
        <v>0</v>
      </c>
      <c r="C395">
        <v>1145.304899359787</v>
      </c>
      <c r="D395">
        <v>0.65</v>
      </c>
      <c r="F395">
        <v>-5.5774596670000003</v>
      </c>
      <c r="G395">
        <v>2.3174848589999999</v>
      </c>
      <c r="H395">
        <v>1185.2230426424217</v>
      </c>
      <c r="I395">
        <v>0.65</v>
      </c>
      <c r="K395">
        <v>-30.999563282700002</v>
      </c>
      <c r="L395">
        <v>31.249027149700002</v>
      </c>
      <c r="M395">
        <v>354.83347443326386</v>
      </c>
      <c r="N395">
        <v>0.77105868315519088</v>
      </c>
      <c r="P395">
        <v>-15.469779401599999</v>
      </c>
      <c r="Q395">
        <v>36.957845754499999</v>
      </c>
      <c r="R395">
        <v>319.53921651769878</v>
      </c>
      <c r="S395">
        <v>0.9</v>
      </c>
      <c r="U395">
        <v>0</v>
      </c>
      <c r="V395">
        <v>6.7193446372999999</v>
      </c>
      <c r="W395">
        <v>1149.5517693073782</v>
      </c>
      <c r="X395">
        <v>0.65</v>
      </c>
      <c r="Z395">
        <v>15.2108082545</v>
      </c>
      <c r="AA395">
        <v>36.964657082000002</v>
      </c>
      <c r="AB395">
        <v>397.44351251900571</v>
      </c>
      <c r="AC395">
        <v>0.76602042716454721</v>
      </c>
      <c r="AE395">
        <v>30.7478932243</v>
      </c>
      <c r="AF395">
        <v>30.565430133199996</v>
      </c>
      <c r="AG395">
        <v>430.55993551455089</v>
      </c>
      <c r="AH395">
        <v>0.69578760074452961</v>
      </c>
      <c r="AJ395">
        <v>-13.0793301377</v>
      </c>
      <c r="AK395">
        <v>-5.3686785589000001</v>
      </c>
      <c r="AL395">
        <v>1138.2876571479892</v>
      </c>
      <c r="AM395">
        <v>0.65</v>
      </c>
    </row>
    <row r="396" spans="1:39" x14ac:dyDescent="0.25">
      <c r="A396">
        <v>-22.126258050200001</v>
      </c>
      <c r="B396">
        <v>0</v>
      </c>
      <c r="C396">
        <v>1106.9776412219687</v>
      </c>
      <c r="D396">
        <v>0.65</v>
      </c>
      <c r="F396">
        <v>-7.8944511603</v>
      </c>
      <c r="G396">
        <v>3.2609747826</v>
      </c>
      <c r="H396">
        <v>1171.4943608793119</v>
      </c>
      <c r="I396">
        <v>0.65</v>
      </c>
      <c r="K396">
        <v>-31.552700487900001</v>
      </c>
      <c r="L396">
        <v>31.063375427300002</v>
      </c>
      <c r="M396">
        <v>338.89086129942922</v>
      </c>
      <c r="N396">
        <v>0.78608812025517327</v>
      </c>
      <c r="P396">
        <v>-15.808436871700001</v>
      </c>
      <c r="Q396">
        <v>37.999107261500001</v>
      </c>
      <c r="R396">
        <v>338.93825883350576</v>
      </c>
      <c r="S396">
        <v>0.9</v>
      </c>
      <c r="U396">
        <v>0</v>
      </c>
      <c r="V396">
        <v>10.1648940617</v>
      </c>
      <c r="W396">
        <v>1110.9777769823938</v>
      </c>
      <c r="X396">
        <v>0.65</v>
      </c>
      <c r="Z396">
        <v>15.973855762400001</v>
      </c>
      <c r="AA396">
        <v>38.148686622100001</v>
      </c>
      <c r="AB396">
        <v>353.2307123006272</v>
      </c>
      <c r="AC396">
        <v>0.87728183801269688</v>
      </c>
      <c r="AE396">
        <v>30.823116689600003</v>
      </c>
      <c r="AF396">
        <v>30.867318435400001</v>
      </c>
      <c r="AG396">
        <v>405.70610388636464</v>
      </c>
      <c r="AH396">
        <v>0.71831642061561229</v>
      </c>
      <c r="AJ396">
        <v>-12.5780677668</v>
      </c>
      <c r="AK396">
        <v>-5.2451187692999994</v>
      </c>
      <c r="AL396">
        <v>1141.1215779718407</v>
      </c>
      <c r="AM396">
        <v>0.65</v>
      </c>
    </row>
    <row r="397" spans="1:39" x14ac:dyDescent="0.25">
      <c r="A397">
        <v>-15.169461999299999</v>
      </c>
      <c r="B397">
        <v>0</v>
      </c>
      <c r="C397">
        <v>1145.6783805609082</v>
      </c>
      <c r="D397">
        <v>0.65</v>
      </c>
      <c r="F397">
        <v>-6.6116406778999997</v>
      </c>
      <c r="G397">
        <v>2.7614839046999999</v>
      </c>
      <c r="H397">
        <v>1178.9807113463307</v>
      </c>
      <c r="I397">
        <v>0.65</v>
      </c>
      <c r="K397">
        <v>-31.374638929299998</v>
      </c>
      <c r="L397">
        <v>31.413353840499997</v>
      </c>
      <c r="M397">
        <v>331.15232031604029</v>
      </c>
      <c r="N397">
        <v>0.80111473982266523</v>
      </c>
      <c r="P397">
        <v>-15.888371156</v>
      </c>
      <c r="Q397">
        <v>38.403485297900005</v>
      </c>
      <c r="R397">
        <v>350.61892143044452</v>
      </c>
      <c r="S397">
        <v>0.89196922717136551</v>
      </c>
      <c r="U397">
        <v>0</v>
      </c>
      <c r="V397">
        <v>6.6149050978000004</v>
      </c>
      <c r="W397">
        <v>1150.9442965006992</v>
      </c>
      <c r="X397">
        <v>0.65</v>
      </c>
      <c r="Z397">
        <v>15.8297557856</v>
      </c>
      <c r="AA397">
        <v>37.345856439599999</v>
      </c>
      <c r="AB397">
        <v>369.88681951708026</v>
      </c>
      <c r="AC397">
        <v>0.81800437690421846</v>
      </c>
      <c r="AE397">
        <v>-30.591089589799999</v>
      </c>
      <c r="AF397">
        <v>-30.442003524900002</v>
      </c>
      <c r="AG397">
        <v>437.82488960363196</v>
      </c>
      <c r="AH397">
        <v>0.68820643630279787</v>
      </c>
      <c r="AJ397">
        <v>10.806509998199999</v>
      </c>
      <c r="AK397">
        <v>4.5781943636999998</v>
      </c>
      <c r="AL397">
        <v>1152.1217085225996</v>
      </c>
      <c r="AM397">
        <v>0.65</v>
      </c>
    </row>
    <row r="398" spans="1:39" x14ac:dyDescent="0.25">
      <c r="A398">
        <v>-15.006063973800002</v>
      </c>
      <c r="B398">
        <v>0</v>
      </c>
      <c r="C398">
        <v>1146.6120835637112</v>
      </c>
      <c r="D398">
        <v>0.65</v>
      </c>
      <c r="F398">
        <v>-9.1984685381000002</v>
      </c>
      <c r="G398">
        <v>3.8395475184999999</v>
      </c>
      <c r="H398">
        <v>1163.5472335672828</v>
      </c>
      <c r="I398">
        <v>0.65</v>
      </c>
      <c r="K398">
        <v>30.3031858913</v>
      </c>
      <c r="L398">
        <v>-30.164400786400002</v>
      </c>
      <c r="M398">
        <v>454.16212674437941</v>
      </c>
      <c r="N398">
        <v>0.67312557387651462</v>
      </c>
      <c r="P398">
        <v>-15.4050979484</v>
      </c>
      <c r="Q398">
        <v>37.7580518424</v>
      </c>
      <c r="R398">
        <v>373.41814334197966</v>
      </c>
      <c r="S398">
        <v>0.82524336998935266</v>
      </c>
      <c r="U398">
        <v>0</v>
      </c>
      <c r="V398">
        <v>10.217113831499999</v>
      </c>
      <c r="W398">
        <v>1110.2815133857337</v>
      </c>
      <c r="X398">
        <v>0.65</v>
      </c>
      <c r="Z398">
        <v>15.400994175099999</v>
      </c>
      <c r="AA398">
        <v>37.6297788782</v>
      </c>
      <c r="AB398">
        <v>331.44499150020778</v>
      </c>
      <c r="AC398">
        <v>0.9</v>
      </c>
      <c r="AE398">
        <v>31.269533694900002</v>
      </c>
      <c r="AF398">
        <v>30.799769847500002</v>
      </c>
      <c r="AG398">
        <v>397.41850899454613</v>
      </c>
      <c r="AH398">
        <v>0.72597360177830361</v>
      </c>
      <c r="AJ398">
        <v>10.881295188799999</v>
      </c>
      <c r="AK398">
        <v>4.5225298686000004</v>
      </c>
      <c r="AL398">
        <v>1152.4751685652407</v>
      </c>
      <c r="AM398">
        <v>0.65</v>
      </c>
    </row>
    <row r="399" spans="1:39" x14ac:dyDescent="0.25">
      <c r="A399">
        <v>-22.191617260399997</v>
      </c>
      <c r="B399">
        <v>0</v>
      </c>
      <c r="C399">
        <v>1106.6041600208475</v>
      </c>
      <c r="D399">
        <v>0.65</v>
      </c>
      <c r="F399">
        <v>13.873932492900002</v>
      </c>
      <c r="G399">
        <v>-5.8631135171999995</v>
      </c>
      <c r="H399">
        <v>1131.6085600582617</v>
      </c>
      <c r="I399">
        <v>0.65</v>
      </c>
      <c r="K399">
        <v>-31.088685623299998</v>
      </c>
      <c r="L399">
        <v>31.133155402900002</v>
      </c>
      <c r="M399">
        <v>360.27953316752712</v>
      </c>
      <c r="N399">
        <v>0.76347172956186693</v>
      </c>
      <c r="P399">
        <v>-15.683711411300001</v>
      </c>
      <c r="Q399">
        <v>38.1818786149</v>
      </c>
      <c r="R399">
        <v>357.18414486272201</v>
      </c>
      <c r="S399">
        <v>0.86982983432083805</v>
      </c>
      <c r="U399">
        <v>0</v>
      </c>
      <c r="V399">
        <v>6.6540699252</v>
      </c>
      <c r="W399">
        <v>1150.4220988032037</v>
      </c>
      <c r="X399">
        <v>0.65</v>
      </c>
      <c r="Z399">
        <v>15.191868529500001</v>
      </c>
      <c r="AA399">
        <v>37.211102732000001</v>
      </c>
      <c r="AB399">
        <v>391.44572328318242</v>
      </c>
      <c r="AC399">
        <v>0.78082205495648227</v>
      </c>
      <c r="AE399">
        <v>31.012544492299998</v>
      </c>
      <c r="AF399">
        <v>30.6315762666</v>
      </c>
      <c r="AG399">
        <v>411.18211424910027</v>
      </c>
      <c r="AH399">
        <v>0.71089987959778811</v>
      </c>
      <c r="AJ399">
        <v>24.182447199799999</v>
      </c>
      <c r="AK399">
        <v>10.0498120105</v>
      </c>
      <c r="AL399">
        <v>1050.8995024508736</v>
      </c>
      <c r="AM399">
        <v>0.65</v>
      </c>
    </row>
    <row r="400" spans="1:39" x14ac:dyDescent="0.25">
      <c r="A400">
        <v>-7.7542344422999996</v>
      </c>
      <c r="B400">
        <v>0</v>
      </c>
      <c r="C400">
        <v>1184.1923792992866</v>
      </c>
      <c r="D400">
        <v>0.65</v>
      </c>
      <c r="F400">
        <v>-10.7854849006</v>
      </c>
      <c r="G400">
        <v>4.5085741598000002</v>
      </c>
      <c r="H400">
        <v>1153.2340210673478</v>
      </c>
      <c r="I400">
        <v>0.65</v>
      </c>
      <c r="K400">
        <v>30.084249939299998</v>
      </c>
      <c r="L400">
        <v>-29.8384680305</v>
      </c>
      <c r="M400">
        <v>474.28419897591669</v>
      </c>
      <c r="N400">
        <v>0.65800987279276035</v>
      </c>
      <c r="P400">
        <v>-15.4011849128</v>
      </c>
      <c r="Q400">
        <v>37.629708811299999</v>
      </c>
      <c r="R400">
        <v>331.44405727453113</v>
      </c>
      <c r="S400">
        <v>0.9</v>
      </c>
      <c r="U400">
        <v>0</v>
      </c>
      <c r="V400">
        <v>10.1387841768</v>
      </c>
      <c r="W400">
        <v>1111.3259087807241</v>
      </c>
      <c r="X400">
        <v>0.65</v>
      </c>
      <c r="Z400">
        <v>15.5352917613</v>
      </c>
      <c r="AA400">
        <v>37.502093927499999</v>
      </c>
      <c r="AB400">
        <v>377.66647754987991</v>
      </c>
      <c r="AC400">
        <v>0.81052056119702298</v>
      </c>
      <c r="AE400">
        <v>-29.7514387079</v>
      </c>
      <c r="AF400">
        <v>-30.175871938599997</v>
      </c>
      <c r="AG400">
        <v>465.58623514713543</v>
      </c>
      <c r="AH400">
        <v>0.66547018392595914</v>
      </c>
      <c r="AJ400">
        <v>-13.625223928</v>
      </c>
      <c r="AK400">
        <v>-5.6354378148000004</v>
      </c>
      <c r="AL400">
        <v>1134.2390328295601</v>
      </c>
      <c r="AM400">
        <v>0.65</v>
      </c>
    </row>
    <row r="401" spans="1:39" x14ac:dyDescent="0.25">
      <c r="A401">
        <v>-22.485733706300003</v>
      </c>
      <c r="B401">
        <v>0</v>
      </c>
      <c r="C401">
        <v>1104.9234946158019</v>
      </c>
      <c r="D401">
        <v>0.65</v>
      </c>
      <c r="F401">
        <v>-9.6211732413000011</v>
      </c>
      <c r="G401">
        <v>3.9265336351000002</v>
      </c>
      <c r="H401">
        <v>1160.9877250053248</v>
      </c>
      <c r="I401">
        <v>0.65</v>
      </c>
      <c r="K401">
        <v>-31.477201454800003</v>
      </c>
      <c r="L401">
        <v>31.011940992499998</v>
      </c>
      <c r="M401">
        <v>344.78706474462695</v>
      </c>
      <c r="N401">
        <v>0.77862216432405063</v>
      </c>
      <c r="P401">
        <v>-15.561949497500001</v>
      </c>
      <c r="Q401">
        <v>36.958209045700002</v>
      </c>
      <c r="R401">
        <v>319.54406040026481</v>
      </c>
      <c r="S401">
        <v>0.9</v>
      </c>
      <c r="U401">
        <v>0</v>
      </c>
      <c r="V401">
        <v>10.099619349499999</v>
      </c>
      <c r="W401">
        <v>1111.8481064782195</v>
      </c>
      <c r="X401">
        <v>0.65</v>
      </c>
      <c r="Z401">
        <v>15.077146625600001</v>
      </c>
      <c r="AA401">
        <v>36.497142223300003</v>
      </c>
      <c r="AB401">
        <v>310.56316943518902</v>
      </c>
      <c r="AC401">
        <v>0.9</v>
      </c>
      <c r="AE401">
        <v>31.0886855639</v>
      </c>
      <c r="AF401">
        <v>31.133155424800002</v>
      </c>
      <c r="AG401">
        <v>360.27953313903214</v>
      </c>
      <c r="AH401">
        <v>0.76347172950148623</v>
      </c>
      <c r="AJ401">
        <v>-14.229029089999999</v>
      </c>
      <c r="AK401">
        <v>-5.9074113418000005</v>
      </c>
      <c r="AL401">
        <v>1129.9623266801989</v>
      </c>
      <c r="AM401">
        <v>0.65</v>
      </c>
    </row>
    <row r="402" spans="1:39" x14ac:dyDescent="0.25">
      <c r="A402">
        <v>-22.5184133114</v>
      </c>
      <c r="B402">
        <v>0</v>
      </c>
      <c r="C402">
        <v>1104.7367540152413</v>
      </c>
      <c r="D402">
        <v>0.65</v>
      </c>
      <c r="F402">
        <v>-14.5714937664</v>
      </c>
      <c r="G402">
        <v>6.0976239496999991</v>
      </c>
      <c r="H402">
        <v>1127.1377614334767</v>
      </c>
      <c r="I402">
        <v>0.65</v>
      </c>
      <c r="K402">
        <v>-31.103043315499999</v>
      </c>
      <c r="L402">
        <v>31.0062577289</v>
      </c>
      <c r="M402">
        <v>382.66289120993872</v>
      </c>
      <c r="N402">
        <v>0.74093425365454157</v>
      </c>
      <c r="P402">
        <v>-14.579820144099999</v>
      </c>
      <c r="Q402">
        <v>35.746259733999999</v>
      </c>
      <c r="R402">
        <v>296.88695846607186</v>
      </c>
      <c r="S402">
        <v>0.9</v>
      </c>
      <c r="U402">
        <v>0</v>
      </c>
      <c r="V402">
        <v>10.086564407099999</v>
      </c>
      <c r="W402">
        <v>1112.0221723773845</v>
      </c>
      <c r="X402">
        <v>0.65</v>
      </c>
      <c r="Z402">
        <v>15.561580664699999</v>
      </c>
      <c r="AA402">
        <v>36.9583445353</v>
      </c>
      <c r="AB402">
        <v>319.54586692816309</v>
      </c>
      <c r="AC402">
        <v>0.9</v>
      </c>
      <c r="AE402">
        <v>-30.306992593300002</v>
      </c>
      <c r="AF402">
        <v>-30.163047808000002</v>
      </c>
      <c r="AG402">
        <v>454.16505754567254</v>
      </c>
      <c r="AH402">
        <v>0.67312991769381103</v>
      </c>
      <c r="AJ402">
        <v>14.5853136718</v>
      </c>
      <c r="AK402">
        <v>6.0921398601999996</v>
      </c>
      <c r="AL402">
        <v>1127.1348365857648</v>
      </c>
      <c r="AM402">
        <v>0.65</v>
      </c>
    </row>
    <row r="403" spans="1:39" x14ac:dyDescent="0.25">
      <c r="A403">
        <v>-15.104102789100001</v>
      </c>
      <c r="B403">
        <v>0</v>
      </c>
      <c r="C403">
        <v>1146.0518617620294</v>
      </c>
      <c r="D403">
        <v>0.65</v>
      </c>
      <c r="F403">
        <v>13.194760475600001</v>
      </c>
      <c r="G403">
        <v>-5.4866430935000006</v>
      </c>
      <c r="H403">
        <v>1136.8941137290844</v>
      </c>
      <c r="I403">
        <v>0.65</v>
      </c>
      <c r="K403">
        <v>-31.0336179233</v>
      </c>
      <c r="L403">
        <v>30.944124607200003</v>
      </c>
      <c r="M403">
        <v>312.53408012372756</v>
      </c>
      <c r="N403">
        <v>0.80852821568919442</v>
      </c>
      <c r="P403">
        <v>-15.655482368800001</v>
      </c>
      <c r="Q403">
        <v>38.010265556099995</v>
      </c>
      <c r="R403">
        <v>357.55971635976772</v>
      </c>
      <c r="S403">
        <v>0.86245424037292695</v>
      </c>
      <c r="U403">
        <v>0</v>
      </c>
      <c r="V403">
        <v>6.588795213</v>
      </c>
      <c r="W403">
        <v>1151.2924282990293</v>
      </c>
      <c r="X403">
        <v>0.65</v>
      </c>
      <c r="Z403">
        <v>15.889571035500001</v>
      </c>
      <c r="AA403">
        <v>37.867890704800004</v>
      </c>
      <c r="AB403">
        <v>336.77314918888555</v>
      </c>
      <c r="AC403">
        <v>0.9</v>
      </c>
      <c r="AE403">
        <v>29.863811047700001</v>
      </c>
      <c r="AF403">
        <v>29.623821902</v>
      </c>
      <c r="AG403">
        <v>499.72148314245788</v>
      </c>
      <c r="AH403">
        <v>0.65</v>
      </c>
      <c r="AJ403">
        <v>10.868853363099999</v>
      </c>
      <c r="AK403">
        <v>4.5144731848999999</v>
      </c>
      <c r="AL403">
        <v>1152.6624455539759</v>
      </c>
      <c r="AM403">
        <v>0.65</v>
      </c>
    </row>
    <row r="404" spans="1:39" x14ac:dyDescent="0.25">
      <c r="A404">
        <v>-22.420374496099999</v>
      </c>
      <c r="B404">
        <v>0</v>
      </c>
      <c r="C404">
        <v>1105.2969758169231</v>
      </c>
      <c r="D404">
        <v>0.65</v>
      </c>
      <c r="F404">
        <v>-10.8947573231</v>
      </c>
      <c r="G404">
        <v>4.4911999195999996</v>
      </c>
      <c r="H404">
        <v>1152.8416070325165</v>
      </c>
      <c r="I404">
        <v>0.65</v>
      </c>
      <c r="K404">
        <v>-31.1170079945</v>
      </c>
      <c r="L404">
        <v>31.315911416799999</v>
      </c>
      <c r="M404">
        <v>313.56707968791517</v>
      </c>
      <c r="N404">
        <v>0.81597541661001061</v>
      </c>
      <c r="P404">
        <v>-15.988990958199999</v>
      </c>
      <c r="Q404">
        <v>38.250363099200001</v>
      </c>
      <c r="R404">
        <v>344.22494359792853</v>
      </c>
      <c r="S404">
        <v>0.8995360922819915</v>
      </c>
      <c r="U404">
        <v>0</v>
      </c>
      <c r="V404">
        <v>6.7323995798</v>
      </c>
      <c r="W404">
        <v>1149.3777034082132</v>
      </c>
      <c r="X404">
        <v>0.65</v>
      </c>
      <c r="Z404">
        <v>15.528843262400001</v>
      </c>
      <c r="AA404">
        <v>37.896013161599996</v>
      </c>
      <c r="AB404">
        <v>363.19588110464093</v>
      </c>
      <c r="AC404">
        <v>0.84760314065675402</v>
      </c>
      <c r="AE404">
        <v>30.808402865799998</v>
      </c>
      <c r="AF404">
        <v>30.695888825600001</v>
      </c>
      <c r="AG404">
        <v>422.99403595916783</v>
      </c>
      <c r="AH404">
        <v>0.70330636548611869</v>
      </c>
      <c r="AJ404">
        <v>15.146966297599999</v>
      </c>
      <c r="AK404">
        <v>6.1657489894999999</v>
      </c>
      <c r="AL404">
        <v>1124.4658492964161</v>
      </c>
      <c r="AM404">
        <v>0.65</v>
      </c>
    </row>
    <row r="405" spans="1:39" x14ac:dyDescent="0.25">
      <c r="A405">
        <v>-22.322335680800002</v>
      </c>
      <c r="B405">
        <v>0</v>
      </c>
      <c r="C405">
        <v>1105.8571976186049</v>
      </c>
      <c r="D405">
        <v>0.65</v>
      </c>
      <c r="F405">
        <v>-10.4604384301</v>
      </c>
      <c r="G405">
        <v>4.2784505362000003</v>
      </c>
      <c r="H405">
        <v>1155.8806500091148</v>
      </c>
      <c r="I405">
        <v>0.65</v>
      </c>
      <c r="K405">
        <v>-31.156330279200002</v>
      </c>
      <c r="L405">
        <v>31.0706467123</v>
      </c>
      <c r="M405">
        <v>270.47973523988782</v>
      </c>
      <c r="N405">
        <v>0.86868777539886166</v>
      </c>
      <c r="P405">
        <v>-15.3706112274</v>
      </c>
      <c r="Q405">
        <v>36.331872308500003</v>
      </c>
      <c r="R405">
        <v>308.24623723754115</v>
      </c>
      <c r="S405">
        <v>0.9</v>
      </c>
      <c r="U405">
        <v>0</v>
      </c>
      <c r="V405">
        <v>0.16920726359999999</v>
      </c>
      <c r="W405">
        <v>1226.2461935495198</v>
      </c>
      <c r="X405">
        <v>0.65</v>
      </c>
      <c r="Z405">
        <v>16.1616686853</v>
      </c>
      <c r="AA405">
        <v>38.209595838199995</v>
      </c>
      <c r="AB405">
        <v>351.06710654276691</v>
      </c>
      <c r="AC405">
        <v>0.88464657237552491</v>
      </c>
      <c r="AE405">
        <v>31.5243595094</v>
      </c>
      <c r="AF405">
        <v>31.0739314922</v>
      </c>
      <c r="AG405">
        <v>338.87877543788863</v>
      </c>
      <c r="AH405">
        <v>0.78606008600207367</v>
      </c>
      <c r="AJ405">
        <v>-14.080414939100001</v>
      </c>
      <c r="AK405">
        <v>-5.9533912951000003</v>
      </c>
      <c r="AL405">
        <v>1130.178423208655</v>
      </c>
      <c r="AM405">
        <v>0.65</v>
      </c>
    </row>
    <row r="406" spans="1:39" x14ac:dyDescent="0.25">
      <c r="A406">
        <v>-15.136782394199999</v>
      </c>
      <c r="B406">
        <v>0</v>
      </c>
      <c r="C406">
        <v>1145.8651211614688</v>
      </c>
      <c r="D406">
        <v>0.65</v>
      </c>
      <c r="F406">
        <v>-24.1740296579</v>
      </c>
      <c r="G406">
        <v>10.053152304799999</v>
      </c>
      <c r="H406">
        <v>1050.9012839412117</v>
      </c>
      <c r="I406">
        <v>0.65</v>
      </c>
      <c r="K406">
        <v>-31.2006989817</v>
      </c>
      <c r="L406">
        <v>31.192107160900001</v>
      </c>
      <c r="M406">
        <v>269.33484055222061</v>
      </c>
      <c r="N406">
        <v>0.87605741486091881</v>
      </c>
      <c r="P406">
        <v>-15.076780208099999</v>
      </c>
      <c r="Q406">
        <v>36.497276825699998</v>
      </c>
      <c r="R406">
        <v>310.56496413323487</v>
      </c>
      <c r="S406">
        <v>0.9</v>
      </c>
      <c r="U406">
        <v>0</v>
      </c>
      <c r="V406">
        <v>10.1779490042</v>
      </c>
      <c r="W406">
        <v>1110.8037110832288</v>
      </c>
      <c r="X406">
        <v>0.65</v>
      </c>
      <c r="Z406">
        <v>15.989075875200001</v>
      </c>
      <c r="AA406">
        <v>38.250338667299999</v>
      </c>
      <c r="AB406">
        <v>344.2245924333177</v>
      </c>
      <c r="AC406">
        <v>0.8995362301394223</v>
      </c>
      <c r="AE406">
        <v>31.477289795699999</v>
      </c>
      <c r="AF406">
        <v>31.0119081709</v>
      </c>
      <c r="AG406">
        <v>344.78710378372216</v>
      </c>
      <c r="AH406">
        <v>0.77862225248485828</v>
      </c>
      <c r="AJ406">
        <v>11.688787424800001</v>
      </c>
      <c r="AK406">
        <v>4.8735461499000001</v>
      </c>
      <c r="AL406">
        <v>1147.0193889218831</v>
      </c>
      <c r="AM406">
        <v>0.65</v>
      </c>
    </row>
    <row r="407" spans="1:39" x14ac:dyDescent="0.25">
      <c r="A407">
        <v>-28.886059436</v>
      </c>
      <c r="B407">
        <v>0</v>
      </c>
      <c r="C407">
        <v>1066.5962364779837</v>
      </c>
      <c r="D407">
        <v>0.65</v>
      </c>
      <c r="F407">
        <v>-11.6918255612</v>
      </c>
      <c r="G407">
        <v>4.8723405401999997</v>
      </c>
      <c r="H407">
        <v>1147.0187459300475</v>
      </c>
      <c r="I407">
        <v>0.65</v>
      </c>
      <c r="K407">
        <v>29.163780377200002</v>
      </c>
      <c r="L407">
        <v>-29.535031865600001</v>
      </c>
      <c r="M407">
        <v>224.08169799889183</v>
      </c>
      <c r="N407">
        <v>0.9</v>
      </c>
      <c r="P407">
        <v>-14.6356213974</v>
      </c>
      <c r="Q407">
        <v>36.109340756400002</v>
      </c>
      <c r="R407">
        <v>303.12581654236027</v>
      </c>
      <c r="S407">
        <v>0.9</v>
      </c>
      <c r="U407">
        <v>0</v>
      </c>
      <c r="V407">
        <v>10.1910039466</v>
      </c>
      <c r="W407">
        <v>1110.6296451840637</v>
      </c>
      <c r="X407">
        <v>0.65</v>
      </c>
      <c r="Z407">
        <v>15.887866257299999</v>
      </c>
      <c r="AA407">
        <v>38.403656674200001</v>
      </c>
      <c r="AB407">
        <v>350.62136714671362</v>
      </c>
      <c r="AC407">
        <v>0.8919683392240173</v>
      </c>
      <c r="AE407">
        <v>-31.062119552600002</v>
      </c>
      <c r="AF407">
        <v>-31.159878184300002</v>
      </c>
      <c r="AG407">
        <v>331.38143552248539</v>
      </c>
      <c r="AH407">
        <v>0.79369900968836316</v>
      </c>
      <c r="AJ407">
        <v>12.6082845017</v>
      </c>
      <c r="AK407">
        <v>5.2201340853999998</v>
      </c>
      <c r="AL407">
        <v>1141.2998266937782</v>
      </c>
      <c r="AM407">
        <v>0.65</v>
      </c>
    </row>
    <row r="408" spans="1:39" x14ac:dyDescent="0.25">
      <c r="A408">
        <v>-29.082137066599998</v>
      </c>
      <c r="B408">
        <v>0</v>
      </c>
      <c r="C408">
        <v>1065.4757928746199</v>
      </c>
      <c r="D408">
        <v>0.65</v>
      </c>
      <c r="F408">
        <v>-14.859463075399999</v>
      </c>
      <c r="G408">
        <v>6.1372464467999999</v>
      </c>
      <c r="H408">
        <v>1125.7111664588506</v>
      </c>
      <c r="I408">
        <v>0.65</v>
      </c>
      <c r="K408">
        <v>-31.142553574499999</v>
      </c>
      <c r="L408">
        <v>31.230816764900002</v>
      </c>
      <c r="M408">
        <v>266.34916644872419</v>
      </c>
      <c r="N408">
        <v>0.88346761633039361</v>
      </c>
      <c r="P408">
        <v>-14.8635824128</v>
      </c>
      <c r="Q408">
        <v>35.837337465099999</v>
      </c>
      <c r="R408">
        <v>298.81910599229411</v>
      </c>
      <c r="S408">
        <v>0.9</v>
      </c>
      <c r="U408">
        <v>0</v>
      </c>
      <c r="V408">
        <v>10.230168773899999</v>
      </c>
      <c r="W408">
        <v>1110.1074474865684</v>
      </c>
      <c r="X408">
        <v>0.65</v>
      </c>
      <c r="Z408">
        <v>15.684616822900001</v>
      </c>
      <c r="AA408">
        <v>38.181574773599998</v>
      </c>
      <c r="AB408">
        <v>357.1798088246731</v>
      </c>
      <c r="AC408">
        <v>0.86983146521808141</v>
      </c>
      <c r="AE408">
        <v>30.774622171300003</v>
      </c>
      <c r="AF408">
        <v>30.980870023500003</v>
      </c>
      <c r="AG408">
        <v>388.74004610019239</v>
      </c>
      <c r="AH408">
        <v>0.73339531560518734</v>
      </c>
      <c r="AJ408">
        <v>12.5280879553</v>
      </c>
      <c r="AK408">
        <v>5.2389641956000004</v>
      </c>
      <c r="AL408">
        <v>1141.5014433059284</v>
      </c>
      <c r="AM408">
        <v>0.65</v>
      </c>
    </row>
    <row r="409" spans="1:39" x14ac:dyDescent="0.25">
      <c r="A409">
        <v>-22.453054101199999</v>
      </c>
      <c r="B409">
        <v>0</v>
      </c>
      <c r="C409">
        <v>1105.1102352163625</v>
      </c>
      <c r="D409">
        <v>0.65</v>
      </c>
      <c r="F409">
        <v>13.749419591900001</v>
      </c>
      <c r="G409">
        <v>-5.5861538211000008</v>
      </c>
      <c r="H409">
        <v>1134.2127480329511</v>
      </c>
      <c r="I409">
        <v>0.65</v>
      </c>
      <c r="K409">
        <v>30.858553089500003</v>
      </c>
      <c r="L409">
        <v>-31.384903357700001</v>
      </c>
      <c r="M409">
        <v>278.75012326880824</v>
      </c>
      <c r="N409">
        <v>0.86106933758701465</v>
      </c>
      <c r="P409">
        <v>-15.8892502128</v>
      </c>
      <c r="Q409">
        <v>37.868008558100001</v>
      </c>
      <c r="R409">
        <v>336.77472056558429</v>
      </c>
      <c r="S409">
        <v>0.9</v>
      </c>
      <c r="U409">
        <v>0</v>
      </c>
      <c r="V409">
        <v>13.456272527599999</v>
      </c>
      <c r="W409">
        <v>1071.1853233632542</v>
      </c>
      <c r="X409">
        <v>0.65</v>
      </c>
      <c r="Z409">
        <v>15.808707830200001</v>
      </c>
      <c r="AA409">
        <v>37.999007725799999</v>
      </c>
      <c r="AB409">
        <v>338.9369316899087</v>
      </c>
      <c r="AC409">
        <v>0.9</v>
      </c>
      <c r="AE409">
        <v>30.696595092300001</v>
      </c>
      <c r="AF409">
        <v>31.2160794626</v>
      </c>
      <c r="AG409">
        <v>376.35131847354921</v>
      </c>
      <c r="AH409">
        <v>0.74841466721809113</v>
      </c>
      <c r="AJ409">
        <v>21.131390853599999</v>
      </c>
      <c r="AK409">
        <v>8.9361925303999996</v>
      </c>
      <c r="AL409">
        <v>1075.8466865347407</v>
      </c>
      <c r="AM409">
        <v>0.65</v>
      </c>
    </row>
    <row r="410" spans="1:39" x14ac:dyDescent="0.25">
      <c r="A410">
        <v>-22.256976470599998</v>
      </c>
      <c r="B410">
        <v>0</v>
      </c>
      <c r="C410">
        <v>1106.2306788197261</v>
      </c>
      <c r="D410">
        <v>0.65</v>
      </c>
      <c r="F410">
        <v>13.0899190226</v>
      </c>
      <c r="G410">
        <v>-5.3644766204999996</v>
      </c>
      <c r="H410">
        <v>1138.2854161141611</v>
      </c>
      <c r="I410">
        <v>0.65</v>
      </c>
      <c r="K410">
        <v>-30.554380877100002</v>
      </c>
      <c r="L410">
        <v>30.604122234999998</v>
      </c>
      <c r="M410">
        <v>246.19401403574182</v>
      </c>
      <c r="N410">
        <v>0.9</v>
      </c>
      <c r="P410">
        <v>-14.8121336743</v>
      </c>
      <c r="Q410">
        <v>35.363834430499999</v>
      </c>
      <c r="R410">
        <v>290.69239886422673</v>
      </c>
      <c r="S410">
        <v>0.9</v>
      </c>
      <c r="U410">
        <v>0</v>
      </c>
      <c r="V410">
        <v>10.243223716299999</v>
      </c>
      <c r="W410">
        <v>1109.9333815874033</v>
      </c>
      <c r="X410">
        <v>0.65</v>
      </c>
      <c r="Z410">
        <v>14.636053791899998</v>
      </c>
      <c r="AA410">
        <v>36.109181917599997</v>
      </c>
      <c r="AB410">
        <v>303.12369869165701</v>
      </c>
      <c r="AC410">
        <v>0.9</v>
      </c>
      <c r="AE410">
        <v>-30.502399929700001</v>
      </c>
      <c r="AF410">
        <v>-30.3323210233</v>
      </c>
      <c r="AG410">
        <v>447.41298385395032</v>
      </c>
      <c r="AH410">
        <v>0.6806485555587487</v>
      </c>
      <c r="AJ410">
        <v>13.147980972099999</v>
      </c>
      <c r="AK410">
        <v>5.3284422483</v>
      </c>
      <c r="AL410">
        <v>1138.4577716689839</v>
      </c>
      <c r="AM410">
        <v>0.65</v>
      </c>
    </row>
    <row r="411" spans="1:39" x14ac:dyDescent="0.25">
      <c r="A411">
        <v>-22.158937655300001</v>
      </c>
      <c r="B411">
        <v>0</v>
      </c>
      <c r="C411">
        <v>1106.7909006214079</v>
      </c>
      <c r="D411">
        <v>0.65</v>
      </c>
      <c r="F411">
        <v>-10.8418633445</v>
      </c>
      <c r="G411">
        <v>4.4991956776000004</v>
      </c>
      <c r="H411">
        <v>1153.0374453234463</v>
      </c>
      <c r="I411">
        <v>0.65</v>
      </c>
      <c r="K411">
        <v>-31.531953695199999</v>
      </c>
      <c r="L411">
        <v>31.164152379200001</v>
      </c>
      <c r="M411">
        <v>259.99482340967057</v>
      </c>
      <c r="N411">
        <v>0.89832901715229241</v>
      </c>
      <c r="P411">
        <v>-15.372887308999999</v>
      </c>
      <c r="Q411">
        <v>37.6058821556</v>
      </c>
      <c r="R411">
        <v>331.12636853272068</v>
      </c>
      <c r="S411">
        <v>0.9</v>
      </c>
      <c r="U411">
        <v>0</v>
      </c>
      <c r="V411">
        <v>10.204058889000001</v>
      </c>
      <c r="W411">
        <v>1110.4555792848987</v>
      </c>
      <c r="X411">
        <v>0.65</v>
      </c>
      <c r="Z411">
        <v>15.4047943945</v>
      </c>
      <c r="AA411">
        <v>37.758151048499997</v>
      </c>
      <c r="AB411">
        <v>373.41955662548821</v>
      </c>
      <c r="AC411">
        <v>0.82524279536417733</v>
      </c>
      <c r="AE411">
        <v>31.2081939756</v>
      </c>
      <c r="AF411">
        <v>31.0996051413</v>
      </c>
      <c r="AG411">
        <v>368.44166962143584</v>
      </c>
      <c r="AH411">
        <v>0.75596304069340381</v>
      </c>
      <c r="AJ411">
        <v>32.547620919400003</v>
      </c>
      <c r="AK411">
        <v>13.297355835799999</v>
      </c>
      <c r="AL411">
        <v>968.75065154051151</v>
      </c>
      <c r="AM411">
        <v>0.65</v>
      </c>
    </row>
    <row r="412" spans="1:39" x14ac:dyDescent="0.25">
      <c r="A412">
        <v>-28.8207002258</v>
      </c>
      <c r="B412">
        <v>0</v>
      </c>
      <c r="C412">
        <v>1066.9697176791049</v>
      </c>
      <c r="D412">
        <v>0.65</v>
      </c>
      <c r="F412">
        <v>-21.164863076500001</v>
      </c>
      <c r="G412">
        <v>8.7814880916</v>
      </c>
      <c r="H412">
        <v>1077.0552540439135</v>
      </c>
      <c r="I412">
        <v>0.65</v>
      </c>
      <c r="K412">
        <v>-30.7932747929</v>
      </c>
      <c r="L412">
        <v>30.757548652099999</v>
      </c>
      <c r="M412">
        <v>249.52414404076507</v>
      </c>
      <c r="N412">
        <v>0.9</v>
      </c>
      <c r="P412">
        <v>-14.648535688199999</v>
      </c>
      <c r="Q412">
        <v>35.150090908500005</v>
      </c>
      <c r="R412">
        <v>286.86026301509645</v>
      </c>
      <c r="S412">
        <v>0.9</v>
      </c>
      <c r="U412">
        <v>0</v>
      </c>
      <c r="V412">
        <v>6.6671248676000001</v>
      </c>
      <c r="W412">
        <v>1150.2480329040386</v>
      </c>
      <c r="X412">
        <v>0.65</v>
      </c>
      <c r="Z412">
        <v>15.373132331399999</v>
      </c>
      <c r="AA412">
        <v>37.605792147400003</v>
      </c>
      <c r="AB412">
        <v>331.12516842299578</v>
      </c>
      <c r="AC412">
        <v>0.9</v>
      </c>
      <c r="AE412">
        <v>31.136226243900001</v>
      </c>
      <c r="AF412">
        <v>31.308680526100002</v>
      </c>
      <c r="AG412">
        <v>313.5741408252178</v>
      </c>
      <c r="AH412">
        <v>0.81599379135285532</v>
      </c>
      <c r="AJ412">
        <v>12.240132434300001</v>
      </c>
      <c r="AK412">
        <v>5.1598379018000005</v>
      </c>
      <c r="AL412">
        <v>1143.1334669324635</v>
      </c>
      <c r="AM412">
        <v>0.65</v>
      </c>
    </row>
    <row r="413" spans="1:39" x14ac:dyDescent="0.25">
      <c r="A413">
        <v>-15.0387435789</v>
      </c>
      <c r="B413">
        <v>0</v>
      </c>
      <c r="C413">
        <v>1146.4253429631506</v>
      </c>
      <c r="D413">
        <v>0.65</v>
      </c>
      <c r="F413">
        <v>14.091254699</v>
      </c>
      <c r="G413">
        <v>-5.9490898030999997</v>
      </c>
      <c r="H413">
        <v>1130.1761290795755</v>
      </c>
      <c r="I413">
        <v>0.65</v>
      </c>
      <c r="K413">
        <v>-30.849577637900001</v>
      </c>
      <c r="L413">
        <v>30.963323623299999</v>
      </c>
      <c r="M413">
        <v>253.25003254552803</v>
      </c>
      <c r="N413">
        <v>0.9</v>
      </c>
      <c r="P413">
        <v>13.9216858555</v>
      </c>
      <c r="Q413">
        <v>-34.402570738600005</v>
      </c>
      <c r="R413">
        <v>273.53110519476672</v>
      </c>
      <c r="S413">
        <v>0.9</v>
      </c>
      <c r="U413">
        <v>0</v>
      </c>
      <c r="V413">
        <v>13.482382412500002</v>
      </c>
      <c r="W413">
        <v>1070.8371915649238</v>
      </c>
      <c r="X413">
        <v>0.65</v>
      </c>
      <c r="Z413">
        <v>15.370442880900001</v>
      </c>
      <c r="AA413">
        <v>36.331934150100004</v>
      </c>
      <c r="AB413">
        <v>308.24706179165662</v>
      </c>
      <c r="AC413">
        <v>0.9</v>
      </c>
      <c r="AE413">
        <v>31.377435791699998</v>
      </c>
      <c r="AF413">
        <v>31.412307450699998</v>
      </c>
      <c r="AG413">
        <v>331.15344433501838</v>
      </c>
      <c r="AH413">
        <v>0.80111745901899112</v>
      </c>
      <c r="AJ413">
        <v>45.844955656599993</v>
      </c>
      <c r="AK413">
        <v>19.152934440300001</v>
      </c>
      <c r="AL413">
        <v>747.30438508444001</v>
      </c>
      <c r="AM413">
        <v>0.65</v>
      </c>
    </row>
    <row r="414" spans="1:39" x14ac:dyDescent="0.25">
      <c r="A414">
        <v>-22.355015285899999</v>
      </c>
      <c r="B414">
        <v>0</v>
      </c>
      <c r="C414">
        <v>1105.6704570180443</v>
      </c>
      <c r="D414">
        <v>0.65</v>
      </c>
      <c r="F414">
        <v>14.231734852600001</v>
      </c>
      <c r="G414">
        <v>-5.9063376265</v>
      </c>
      <c r="H414">
        <v>1129.9617540320114</v>
      </c>
      <c r="I414">
        <v>0.65</v>
      </c>
      <c r="K414">
        <v>-29.798195744300003</v>
      </c>
      <c r="L414">
        <v>29.399820625299999</v>
      </c>
      <c r="M414">
        <v>223.63888146134076</v>
      </c>
      <c r="N414">
        <v>0.9</v>
      </c>
      <c r="P414">
        <v>14.082711290600001</v>
      </c>
      <c r="Q414">
        <v>-34.6422388712</v>
      </c>
      <c r="R414">
        <v>277.70890251792696</v>
      </c>
      <c r="S414">
        <v>0.9</v>
      </c>
      <c r="U414">
        <v>0</v>
      </c>
      <c r="V414">
        <v>10.112674292000001</v>
      </c>
      <c r="W414">
        <v>1111.6740405790545</v>
      </c>
      <c r="X414">
        <v>0.65</v>
      </c>
      <c r="Z414">
        <v>14.8636807622</v>
      </c>
      <c r="AA414">
        <v>35.837301336800003</v>
      </c>
      <c r="AB414">
        <v>298.81862428112174</v>
      </c>
      <c r="AC414">
        <v>0.9</v>
      </c>
      <c r="AE414">
        <v>31.537044225700001</v>
      </c>
      <c r="AF414">
        <v>31.561070674699998</v>
      </c>
      <c r="AG414">
        <v>314.68960210097003</v>
      </c>
      <c r="AH414">
        <v>0.82374514572439073</v>
      </c>
      <c r="AJ414">
        <v>36.942902331100001</v>
      </c>
      <c r="AK414">
        <v>15.380466997200001</v>
      </c>
      <c r="AL414">
        <v>910.32684731222184</v>
      </c>
      <c r="AM414">
        <v>0.65</v>
      </c>
    </row>
    <row r="415" spans="1:39" x14ac:dyDescent="0.25">
      <c r="A415">
        <v>-28.755341015600003</v>
      </c>
      <c r="B415">
        <v>0</v>
      </c>
      <c r="C415">
        <v>1067.3431988802263</v>
      </c>
      <c r="D415">
        <v>0.65</v>
      </c>
      <c r="F415">
        <v>-32.675622945699999</v>
      </c>
      <c r="G415">
        <v>13.3338050611</v>
      </c>
      <c r="H415">
        <v>967.51830347301109</v>
      </c>
      <c r="I415">
        <v>0.65</v>
      </c>
      <c r="K415">
        <v>-30.1227315155</v>
      </c>
      <c r="L415">
        <v>30.018448151900003</v>
      </c>
      <c r="M415">
        <v>234.8339151495436</v>
      </c>
      <c r="N415">
        <v>0.9</v>
      </c>
      <c r="P415">
        <v>14.333724910500001</v>
      </c>
      <c r="Q415">
        <v>-34.731700459700001</v>
      </c>
      <c r="R415">
        <v>279.46839036473716</v>
      </c>
      <c r="S415">
        <v>0.9</v>
      </c>
      <c r="U415">
        <v>0</v>
      </c>
      <c r="V415">
        <v>10.1257292344</v>
      </c>
      <c r="W415">
        <v>1111.4999746798894</v>
      </c>
      <c r="X415">
        <v>0.65</v>
      </c>
      <c r="Z415">
        <v>14.5797171862</v>
      </c>
      <c r="AA415">
        <v>35.746297555200002</v>
      </c>
      <c r="AB415">
        <v>296.88746274964149</v>
      </c>
      <c r="AC415">
        <v>0.9</v>
      </c>
      <c r="AE415">
        <v>30.999048506400001</v>
      </c>
      <c r="AF415">
        <v>31.249217810499999</v>
      </c>
      <c r="AG415">
        <v>354.83323574305172</v>
      </c>
      <c r="AH415">
        <v>0.77105816447763453</v>
      </c>
      <c r="AJ415">
        <v>10.7992950585</v>
      </c>
      <c r="AK415">
        <v>4.5680635188999998</v>
      </c>
      <c r="AL415">
        <v>1152.3078792920628</v>
      </c>
      <c r="AM415">
        <v>0.65</v>
      </c>
    </row>
    <row r="416" spans="1:39" x14ac:dyDescent="0.25">
      <c r="A416">
        <v>-22.387694891000002</v>
      </c>
      <c r="B416">
        <v>0</v>
      </c>
      <c r="C416">
        <v>1105.4837164174837</v>
      </c>
      <c r="D416">
        <v>0.65</v>
      </c>
      <c r="F416">
        <v>12.580538402499998</v>
      </c>
      <c r="G416">
        <v>-5.2441383583000007</v>
      </c>
      <c r="H416">
        <v>1141.1210550859603</v>
      </c>
      <c r="I416">
        <v>0.65</v>
      </c>
      <c r="K416">
        <v>-30.425398655399999</v>
      </c>
      <c r="L416">
        <v>30.180162234800001</v>
      </c>
      <c r="M416">
        <v>238.57676958843982</v>
      </c>
      <c r="N416">
        <v>0.9</v>
      </c>
      <c r="P416">
        <v>-13.788736523499999</v>
      </c>
      <c r="Q416">
        <v>33.611267996900004</v>
      </c>
      <c r="R416">
        <v>260.52484641684862</v>
      </c>
      <c r="S416">
        <v>0.9</v>
      </c>
      <c r="U416">
        <v>0</v>
      </c>
      <c r="V416">
        <v>13.430162642699999</v>
      </c>
      <c r="W416">
        <v>1071.5334551615842</v>
      </c>
      <c r="X416">
        <v>0.65</v>
      </c>
      <c r="Z416">
        <v>14.779952227100001</v>
      </c>
      <c r="AA416">
        <v>35.375656186599997</v>
      </c>
      <c r="AB416">
        <v>290.85002227904459</v>
      </c>
      <c r="AC416">
        <v>0.9</v>
      </c>
      <c r="AE416">
        <v>31.103264660000001</v>
      </c>
      <c r="AF416">
        <v>31.006176706199998</v>
      </c>
      <c r="AG416">
        <v>382.66301065581024</v>
      </c>
      <c r="AH416">
        <v>0.74093448493262126</v>
      </c>
      <c r="AJ416">
        <v>-29.850541384700001</v>
      </c>
      <c r="AK416">
        <v>-12.374704405299999</v>
      </c>
      <c r="AL416">
        <v>996.13737413967203</v>
      </c>
      <c r="AM416">
        <v>0.65</v>
      </c>
    </row>
    <row r="417" spans="1:39" x14ac:dyDescent="0.25">
      <c r="A417">
        <v>-22.289656075699998</v>
      </c>
      <c r="B417">
        <v>0</v>
      </c>
      <c r="C417">
        <v>1106.0439382191655</v>
      </c>
      <c r="D417">
        <v>0.65</v>
      </c>
      <c r="F417">
        <v>-12.5760016928</v>
      </c>
      <c r="G417">
        <v>5.2329447238000002</v>
      </c>
      <c r="H417">
        <v>1141.3066590342708</v>
      </c>
      <c r="I417">
        <v>0.65</v>
      </c>
      <c r="K417">
        <v>-31.3353972373</v>
      </c>
      <c r="L417">
        <v>31.099461052500001</v>
      </c>
      <c r="M417">
        <v>261.3818511710719</v>
      </c>
      <c r="N417">
        <v>0.89095169628805526</v>
      </c>
      <c r="P417">
        <v>14.0243165526</v>
      </c>
      <c r="Q417">
        <v>-34.048124162899995</v>
      </c>
      <c r="R417">
        <v>267.86070640743901</v>
      </c>
      <c r="S417">
        <v>0.9</v>
      </c>
      <c r="U417">
        <v>0</v>
      </c>
      <c r="V417">
        <v>13.4954373549</v>
      </c>
      <c r="W417">
        <v>1070.6631256657586</v>
      </c>
      <c r="X417">
        <v>0.65</v>
      </c>
      <c r="Z417">
        <v>14.6491625309</v>
      </c>
      <c r="AA417">
        <v>35.149860639700002</v>
      </c>
      <c r="AB417">
        <v>286.85719276502385</v>
      </c>
      <c r="AC417">
        <v>0.9</v>
      </c>
      <c r="AE417">
        <v>31.0336179233</v>
      </c>
      <c r="AF417">
        <v>30.944124607200003</v>
      </c>
      <c r="AG417">
        <v>312.53408012372881</v>
      </c>
      <c r="AH417">
        <v>0.80852821568920263</v>
      </c>
      <c r="AJ417">
        <v>34.997075094099998</v>
      </c>
      <c r="AK417">
        <v>14.356598752499998</v>
      </c>
      <c r="AL417">
        <v>938.91574069690819</v>
      </c>
      <c r="AM417">
        <v>0.65</v>
      </c>
    </row>
    <row r="418" spans="1:39" x14ac:dyDescent="0.25">
      <c r="A418">
        <v>-34.9913516851</v>
      </c>
      <c r="B418">
        <v>0</v>
      </c>
      <c r="C418">
        <v>1027.1485347368016</v>
      </c>
      <c r="D418">
        <v>0.65</v>
      </c>
      <c r="F418">
        <v>-12.549656071799999</v>
      </c>
      <c r="G418">
        <v>5.2693871676000006</v>
      </c>
      <c r="H418">
        <v>1140.9429472308789</v>
      </c>
      <c r="I418">
        <v>0.65</v>
      </c>
      <c r="K418">
        <v>30.998941327900003</v>
      </c>
      <c r="L418">
        <v>-31.098215947499998</v>
      </c>
      <c r="M418">
        <v>278.12999872234633</v>
      </c>
      <c r="N418">
        <v>0.85380639868273089</v>
      </c>
      <c r="P418">
        <v>14.423211124</v>
      </c>
      <c r="Q418">
        <v>-35.059519054600003</v>
      </c>
      <c r="R418">
        <v>285.08597163049785</v>
      </c>
      <c r="S418">
        <v>0.9</v>
      </c>
      <c r="U418">
        <v>0</v>
      </c>
      <c r="V418">
        <v>13.5084922973</v>
      </c>
      <c r="W418">
        <v>1070.4890597665935</v>
      </c>
      <c r="X418">
        <v>0.65</v>
      </c>
      <c r="Z418">
        <v>14.301759962799999</v>
      </c>
      <c r="AA418">
        <v>34.743442685399998</v>
      </c>
      <c r="AB418">
        <v>279.62495337358371</v>
      </c>
      <c r="AC418">
        <v>0.9</v>
      </c>
      <c r="AE418">
        <v>31.530142510899999</v>
      </c>
      <c r="AF418">
        <v>31.013879186200001</v>
      </c>
      <c r="AG418">
        <v>267.42100887018256</v>
      </c>
      <c r="AH418">
        <v>0.87615039779325177</v>
      </c>
      <c r="AJ418">
        <v>-14.5627778149</v>
      </c>
      <c r="AK418">
        <v>-5.9271783975999996</v>
      </c>
      <c r="AL418">
        <v>1128.5295075689585</v>
      </c>
      <c r="AM418">
        <v>0.65</v>
      </c>
    </row>
    <row r="419" spans="1:39" x14ac:dyDescent="0.25">
      <c r="A419">
        <v>-28.689981805399999</v>
      </c>
      <c r="B419">
        <v>0</v>
      </c>
      <c r="C419">
        <v>1067.7166800813472</v>
      </c>
      <c r="D419">
        <v>0.65</v>
      </c>
      <c r="F419">
        <v>-10.8084692475</v>
      </c>
      <c r="G419">
        <v>4.5774168838000007</v>
      </c>
      <c r="H419">
        <v>1152.1212938666592</v>
      </c>
      <c r="I419">
        <v>0.65</v>
      </c>
      <c r="K419">
        <v>-29.994808612500002</v>
      </c>
      <c r="L419">
        <v>29.8239389198</v>
      </c>
      <c r="M419">
        <v>231.25823649998409</v>
      </c>
      <c r="N419">
        <v>0.9</v>
      </c>
      <c r="P419">
        <v>13.573100678599999</v>
      </c>
      <c r="Q419">
        <v>-32.698631199000005</v>
      </c>
      <c r="R419">
        <v>245.90080022251169</v>
      </c>
      <c r="S419">
        <v>0.9</v>
      </c>
      <c r="U419">
        <v>0</v>
      </c>
      <c r="V419">
        <v>13.377942873</v>
      </c>
      <c r="W419">
        <v>1072.2297187582446</v>
      </c>
      <c r="X419">
        <v>0.65</v>
      </c>
      <c r="Z419">
        <v>14.258952729899999</v>
      </c>
      <c r="AA419">
        <v>33.913706791700001</v>
      </c>
      <c r="AB419">
        <v>265.95514145757437</v>
      </c>
      <c r="AC419">
        <v>0.9</v>
      </c>
      <c r="AE419">
        <v>-30.8665123876</v>
      </c>
      <c r="AF419">
        <v>-31.3822187578</v>
      </c>
      <c r="AG419">
        <v>278.71205317082865</v>
      </c>
      <c r="AH419">
        <v>0.86108336114313855</v>
      </c>
      <c r="AJ419">
        <v>38.937156537</v>
      </c>
      <c r="AK419">
        <v>16.0480964389</v>
      </c>
      <c r="AL419">
        <v>884.16940187452997</v>
      </c>
      <c r="AM419">
        <v>0.65</v>
      </c>
    </row>
    <row r="420" spans="1:39" x14ac:dyDescent="0.25">
      <c r="A420">
        <v>-29.049457461500001</v>
      </c>
      <c r="B420">
        <v>0</v>
      </c>
      <c r="C420">
        <v>1065.6625334751805</v>
      </c>
      <c r="D420">
        <v>0.65</v>
      </c>
      <c r="F420">
        <v>14.560565941699998</v>
      </c>
      <c r="G420">
        <v>-5.9280561250999995</v>
      </c>
      <c r="H420">
        <v>1128.5299756902637</v>
      </c>
      <c r="I420">
        <v>0.65</v>
      </c>
      <c r="K420">
        <v>31.386893148200002</v>
      </c>
      <c r="L420">
        <v>-31.325445300199998</v>
      </c>
      <c r="M420">
        <v>290.41488116830266</v>
      </c>
      <c r="N420">
        <v>0.84637954956038697</v>
      </c>
      <c r="P420">
        <v>13.465232339</v>
      </c>
      <c r="Q420">
        <v>-32.458401956500005</v>
      </c>
      <c r="R420">
        <v>242.01774365583751</v>
      </c>
      <c r="S420">
        <v>0.9</v>
      </c>
      <c r="U420">
        <v>0</v>
      </c>
      <c r="V420">
        <v>13.3518329881</v>
      </c>
      <c r="W420">
        <v>1072.577850556575</v>
      </c>
      <c r="X420">
        <v>0.65</v>
      </c>
      <c r="Z420">
        <v>14.356641703600001</v>
      </c>
      <c r="AA420">
        <v>35.0839731274</v>
      </c>
      <c r="AB420">
        <v>285.41202593456273</v>
      </c>
      <c r="AC420">
        <v>0.9</v>
      </c>
      <c r="AE420">
        <v>31.335957939099998</v>
      </c>
      <c r="AF420">
        <v>31.099268626699999</v>
      </c>
      <c r="AG420">
        <v>261.37912069839859</v>
      </c>
      <c r="AH420">
        <v>0.89095265418912939</v>
      </c>
      <c r="AJ420">
        <v>12.3921493637</v>
      </c>
      <c r="AK420">
        <v>5.1125076395000004</v>
      </c>
      <c r="AL420">
        <v>1142.9166502392295</v>
      </c>
      <c r="AM420">
        <v>0.65</v>
      </c>
    </row>
    <row r="421" spans="1:39" x14ac:dyDescent="0.25">
      <c r="A421">
        <v>-28.8533798309</v>
      </c>
      <c r="B421">
        <v>0</v>
      </c>
      <c r="C421">
        <v>1066.7829770785443</v>
      </c>
      <c r="D421">
        <v>0.65</v>
      </c>
      <c r="F421">
        <v>30.078052581000001</v>
      </c>
      <c r="G421">
        <v>-12.2494727431</v>
      </c>
      <c r="H421">
        <v>996.12733453710132</v>
      </c>
      <c r="I421">
        <v>0.65</v>
      </c>
      <c r="K421">
        <v>29.2149904039</v>
      </c>
      <c r="L421">
        <v>-28.9228486654</v>
      </c>
      <c r="M421">
        <v>214.59703310787293</v>
      </c>
      <c r="N421">
        <v>0.9</v>
      </c>
      <c r="P421">
        <v>-13.1362412514</v>
      </c>
      <c r="Q421">
        <v>31.7024642885</v>
      </c>
      <c r="R421">
        <v>230.04968585989002</v>
      </c>
      <c r="S421">
        <v>0.9</v>
      </c>
      <c r="U421">
        <v>0</v>
      </c>
      <c r="V421">
        <v>13.338778045700002</v>
      </c>
      <c r="W421">
        <v>1072.75191645574</v>
      </c>
      <c r="X421">
        <v>0.65</v>
      </c>
      <c r="Z421">
        <v>-13.8295893576</v>
      </c>
      <c r="AA421">
        <v>-32.819387663800001</v>
      </c>
      <c r="AB421">
        <v>248.07755308569696</v>
      </c>
      <c r="AC421">
        <v>0.9</v>
      </c>
      <c r="AE421">
        <v>31.1422447785</v>
      </c>
      <c r="AF421">
        <v>31.230922279199998</v>
      </c>
      <c r="AG421">
        <v>266.35066361299971</v>
      </c>
      <c r="AH421">
        <v>0.88346708465807944</v>
      </c>
      <c r="AJ421">
        <v>27.418586838400003</v>
      </c>
      <c r="AK421">
        <v>11.1157106073</v>
      </c>
      <c r="AL421">
        <v>1023.4887734021062</v>
      </c>
      <c r="AM421">
        <v>0.65</v>
      </c>
    </row>
    <row r="422" spans="1:39" x14ac:dyDescent="0.25">
      <c r="A422">
        <v>-22.224296865500001</v>
      </c>
      <c r="B422">
        <v>0</v>
      </c>
      <c r="C422">
        <v>1106.4174194202867</v>
      </c>
      <c r="D422">
        <v>0.65</v>
      </c>
      <c r="F422">
        <v>-12.4197862554</v>
      </c>
      <c r="G422">
        <v>5.2689471446000002</v>
      </c>
      <c r="H422">
        <v>1141.7090080987275</v>
      </c>
      <c r="I422">
        <v>0.65</v>
      </c>
      <c r="K422">
        <v>29.253616792300001</v>
      </c>
      <c r="L422">
        <v>-28.874437686099999</v>
      </c>
      <c r="M422">
        <v>213.95155338355761</v>
      </c>
      <c r="N422">
        <v>0.9</v>
      </c>
      <c r="P422">
        <v>-13.4354631076</v>
      </c>
      <c r="Q422">
        <v>31.9702275384</v>
      </c>
      <c r="R422">
        <v>234.45097363591546</v>
      </c>
      <c r="S422">
        <v>0.9</v>
      </c>
      <c r="U422">
        <v>0</v>
      </c>
      <c r="V422">
        <v>13.3257231032</v>
      </c>
      <c r="W422">
        <v>1072.925982354905</v>
      </c>
      <c r="X422">
        <v>0.65</v>
      </c>
      <c r="Z422">
        <v>13.855424070900002</v>
      </c>
      <c r="AA422">
        <v>33.833318755000001</v>
      </c>
      <c r="AB422">
        <v>264.16552319027392</v>
      </c>
      <c r="AC422">
        <v>0.9</v>
      </c>
      <c r="AE422">
        <v>30.5543806218</v>
      </c>
      <c r="AF422">
        <v>30.604122344399997</v>
      </c>
      <c r="AG422">
        <v>246.19401549454022</v>
      </c>
      <c r="AH422">
        <v>0.9</v>
      </c>
      <c r="AJ422">
        <v>50.271824586999998</v>
      </c>
      <c r="AK422">
        <v>20.527278994899998</v>
      </c>
      <c r="AL422">
        <v>595.32108200749303</v>
      </c>
      <c r="AM422">
        <v>0.65</v>
      </c>
    </row>
    <row r="423" spans="1:39" x14ac:dyDescent="0.25">
      <c r="A423">
        <v>-34.893312869799999</v>
      </c>
      <c r="B423">
        <v>0</v>
      </c>
      <c r="C423">
        <v>1027.7087565384834</v>
      </c>
      <c r="D423">
        <v>0.65</v>
      </c>
      <c r="F423">
        <v>-10.7925669132</v>
      </c>
      <c r="G423">
        <v>4.5707334178000005</v>
      </c>
      <c r="H423">
        <v>1152.3093032381596</v>
      </c>
      <c r="I423">
        <v>0.65</v>
      </c>
      <c r="K423">
        <v>28.6772882649</v>
      </c>
      <c r="L423">
        <v>-28.618601982000001</v>
      </c>
      <c r="M423">
        <v>208.38707732892135</v>
      </c>
      <c r="N423">
        <v>0.9</v>
      </c>
      <c r="P423">
        <v>-12.595187043400001</v>
      </c>
      <c r="Q423">
        <v>30.550875127499999</v>
      </c>
      <c r="R423">
        <v>212.16405260146888</v>
      </c>
      <c r="S423">
        <v>0.9</v>
      </c>
      <c r="U423">
        <v>0</v>
      </c>
      <c r="V423">
        <v>10.1518391193</v>
      </c>
      <c r="W423">
        <v>1111.1518428815591</v>
      </c>
      <c r="X423">
        <v>0.65</v>
      </c>
      <c r="Z423">
        <v>14.156555082499999</v>
      </c>
      <c r="AA423">
        <v>34.6151125803</v>
      </c>
      <c r="AB423">
        <v>277.34721863925193</v>
      </c>
      <c r="AC423">
        <v>0.9</v>
      </c>
      <c r="AE423">
        <v>-30.990812719099999</v>
      </c>
      <c r="AF423">
        <v>-31.101312249299998</v>
      </c>
      <c r="AG423">
        <v>278.12757114956588</v>
      </c>
      <c r="AH423">
        <v>0.85379894649423893</v>
      </c>
      <c r="AJ423">
        <v>48.402789809699996</v>
      </c>
      <c r="AK423">
        <v>20.158107723200001</v>
      </c>
      <c r="AL423">
        <v>668.86744025515827</v>
      </c>
      <c r="AM423">
        <v>0.65</v>
      </c>
    </row>
    <row r="424" spans="1:39" x14ac:dyDescent="0.25">
      <c r="A424">
        <v>-28.722661410499999</v>
      </c>
      <c r="B424">
        <v>0</v>
      </c>
      <c r="C424">
        <v>1067.5299394807867</v>
      </c>
      <c r="D424">
        <v>0.65</v>
      </c>
      <c r="F424">
        <v>-44.6217474778</v>
      </c>
      <c r="G424">
        <v>18.682788203600001</v>
      </c>
      <c r="H424">
        <v>775.91357465120689</v>
      </c>
      <c r="I424">
        <v>0.65</v>
      </c>
      <c r="K424">
        <v>-27.921217009299998</v>
      </c>
      <c r="L424">
        <v>27.823530498099998</v>
      </c>
      <c r="M424">
        <v>194.42390198826968</v>
      </c>
      <c r="N424">
        <v>0.9</v>
      </c>
      <c r="P424">
        <v>-12.7443033423</v>
      </c>
      <c r="Q424">
        <v>31.220120541</v>
      </c>
      <c r="R424">
        <v>222.25843589374892</v>
      </c>
      <c r="S424">
        <v>0.9</v>
      </c>
      <c r="U424">
        <v>0</v>
      </c>
      <c r="V424">
        <v>16.489040495499999</v>
      </c>
      <c r="W424">
        <v>1031.5669356432791</v>
      </c>
      <c r="X424">
        <v>0.65</v>
      </c>
      <c r="Z424">
        <v>-14.2687608319</v>
      </c>
      <c r="AA424">
        <v>-34.2654751691</v>
      </c>
      <c r="AB424">
        <v>271.74094204520338</v>
      </c>
      <c r="AC424">
        <v>0.9</v>
      </c>
      <c r="AE424">
        <v>31.523442983599999</v>
      </c>
      <c r="AF424">
        <v>31.167082193000002</v>
      </c>
      <c r="AG424">
        <v>260.03638573603996</v>
      </c>
      <c r="AH424">
        <v>0.89831458782053519</v>
      </c>
      <c r="AJ424">
        <v>50.573327482799996</v>
      </c>
      <c r="AK424">
        <v>20.955527879599998</v>
      </c>
      <c r="AL424">
        <v>526.67805404238516</v>
      </c>
      <c r="AM424">
        <v>0.65</v>
      </c>
    </row>
    <row r="425" spans="1:39" x14ac:dyDescent="0.25">
      <c r="A425">
        <v>-28.984098251300001</v>
      </c>
      <c r="B425">
        <v>0</v>
      </c>
      <c r="C425">
        <v>1066.0360146763019</v>
      </c>
      <c r="D425">
        <v>0.65</v>
      </c>
      <c r="F425">
        <v>-36.942452125800003</v>
      </c>
      <c r="G425">
        <v>15.3806456501</v>
      </c>
      <c r="H425">
        <v>910.32694259377524</v>
      </c>
      <c r="I425">
        <v>0.65</v>
      </c>
      <c r="K425">
        <v>-27.2706211669</v>
      </c>
      <c r="L425">
        <v>27.135070692300001</v>
      </c>
      <c r="M425">
        <v>182.59999346548935</v>
      </c>
      <c r="N425">
        <v>0.9</v>
      </c>
      <c r="P425">
        <v>-12.6427643682</v>
      </c>
      <c r="Q425">
        <v>29.943177634399998</v>
      </c>
      <c r="R425">
        <v>203.30586380554061</v>
      </c>
      <c r="S425">
        <v>0.9</v>
      </c>
      <c r="U425">
        <v>0</v>
      </c>
      <c r="V425">
        <v>13.3909978154</v>
      </c>
      <c r="W425">
        <v>1072.0556528590796</v>
      </c>
      <c r="X425">
        <v>0.65</v>
      </c>
      <c r="Z425">
        <v>12.775108115</v>
      </c>
      <c r="AA425">
        <v>30.9386740397</v>
      </c>
      <c r="AB425">
        <v>218.12803809823356</v>
      </c>
      <c r="AC425">
        <v>0.9</v>
      </c>
      <c r="AE425">
        <v>-29.146516169199998</v>
      </c>
      <c r="AF425">
        <v>-29.541373819599997</v>
      </c>
      <c r="AG425">
        <v>224.16625738495202</v>
      </c>
      <c r="AH425">
        <v>0.9</v>
      </c>
      <c r="AJ425">
        <v>50.077454306699998</v>
      </c>
      <c r="AK425">
        <v>21.082120839399998</v>
      </c>
      <c r="AL425">
        <v>549.17631439047693</v>
      </c>
      <c r="AM425">
        <v>0.65</v>
      </c>
    </row>
    <row r="426" spans="1:39" x14ac:dyDescent="0.25">
      <c r="A426">
        <v>-29.016777856399997</v>
      </c>
      <c r="B426">
        <v>0</v>
      </c>
      <c r="C426">
        <v>1065.8492740757411</v>
      </c>
      <c r="D426">
        <v>0.65</v>
      </c>
      <c r="F426">
        <v>-35.037465206100002</v>
      </c>
      <c r="G426">
        <v>14.241504204800002</v>
      </c>
      <c r="H426">
        <v>940.13670261717175</v>
      </c>
      <c r="I426">
        <v>0.65</v>
      </c>
      <c r="K426">
        <v>-24.197528281700002</v>
      </c>
      <c r="L426">
        <v>23.944178346100003</v>
      </c>
      <c r="M426">
        <v>131.32809551612885</v>
      </c>
      <c r="N426">
        <v>0.9</v>
      </c>
      <c r="P426">
        <v>-13.4334261576</v>
      </c>
      <c r="Q426">
        <v>31.824924179999996</v>
      </c>
      <c r="R426">
        <v>232.24915107946805</v>
      </c>
      <c r="S426">
        <v>0.9</v>
      </c>
      <c r="U426">
        <v>0</v>
      </c>
      <c r="V426">
        <v>13.404052757899999</v>
      </c>
      <c r="W426">
        <v>1071.8815869599143</v>
      </c>
      <c r="X426">
        <v>0.65</v>
      </c>
      <c r="Z426">
        <v>13.855206456200001</v>
      </c>
      <c r="AA426">
        <v>33.712326661200002</v>
      </c>
      <c r="AB426">
        <v>262.2878508285421</v>
      </c>
      <c r="AC426">
        <v>0.9</v>
      </c>
      <c r="AE426">
        <v>30.803427354700002</v>
      </c>
      <c r="AF426">
        <v>30.753197554100002</v>
      </c>
      <c r="AG426">
        <v>249.46612940155967</v>
      </c>
      <c r="AH426">
        <v>0.9</v>
      </c>
      <c r="AJ426">
        <v>52.012901708699999</v>
      </c>
      <c r="AK426">
        <v>21.598024328000001</v>
      </c>
      <c r="AL426">
        <v>396.83265271128164</v>
      </c>
      <c r="AM426">
        <v>0.70878057240728942</v>
      </c>
    </row>
    <row r="427" spans="1:39" x14ac:dyDescent="0.25">
      <c r="A427">
        <v>-35.383506946300002</v>
      </c>
      <c r="B427">
        <v>0</v>
      </c>
      <c r="C427">
        <v>1024.9076475300742</v>
      </c>
      <c r="D427">
        <v>0.65</v>
      </c>
      <c r="F427">
        <v>-12.2375339974</v>
      </c>
      <c r="G427">
        <v>5.1608690275000004</v>
      </c>
      <c r="H427">
        <v>1143.1340168661866</v>
      </c>
      <c r="I427">
        <v>0.65</v>
      </c>
      <c r="K427">
        <v>-26.832921558500001</v>
      </c>
      <c r="L427">
        <v>27.086895113099999</v>
      </c>
      <c r="M427">
        <v>181.08876352162289</v>
      </c>
      <c r="N427">
        <v>0.9</v>
      </c>
      <c r="P427">
        <v>-12.807797018399999</v>
      </c>
      <c r="Q427">
        <v>30.926665871099999</v>
      </c>
      <c r="R427">
        <v>217.96792918367296</v>
      </c>
      <c r="S427">
        <v>0.9</v>
      </c>
      <c r="U427">
        <v>0</v>
      </c>
      <c r="V427">
        <v>13.417107700300001</v>
      </c>
      <c r="W427">
        <v>1071.7075210607493</v>
      </c>
      <c r="X427">
        <v>0.65</v>
      </c>
      <c r="Z427">
        <v>13.3092397321</v>
      </c>
      <c r="AA427">
        <v>31.565709744599999</v>
      </c>
      <c r="AB427">
        <v>228.11295860738207</v>
      </c>
      <c r="AC427">
        <v>0.9</v>
      </c>
      <c r="AE427">
        <v>30.849260318199999</v>
      </c>
      <c r="AF427">
        <v>30.963459617399998</v>
      </c>
      <c r="AG427">
        <v>253.25184580090831</v>
      </c>
      <c r="AH427">
        <v>0.9</v>
      </c>
      <c r="AJ427">
        <v>51.315570987900003</v>
      </c>
      <c r="AK427">
        <v>21.312862544400001</v>
      </c>
      <c r="AL427">
        <v>448.74161301629874</v>
      </c>
      <c r="AM427">
        <v>0.6703511269500243</v>
      </c>
    </row>
    <row r="428" spans="1:39" x14ac:dyDescent="0.25">
      <c r="A428">
        <v>-29.114816671700002</v>
      </c>
      <c r="B428">
        <v>0</v>
      </c>
      <c r="C428">
        <v>1065.2890522740593</v>
      </c>
      <c r="D428">
        <v>0.65</v>
      </c>
      <c r="F428">
        <v>-10.8814538931</v>
      </c>
      <c r="G428">
        <v>4.5224668906999996</v>
      </c>
      <c r="H428">
        <v>1152.4751349770252</v>
      </c>
      <c r="I428">
        <v>0.65</v>
      </c>
      <c r="K428">
        <v>-23.631128631699998</v>
      </c>
      <c r="L428">
        <v>23.997518428499998</v>
      </c>
      <c r="M428">
        <v>130.98151883706873</v>
      </c>
      <c r="N428">
        <v>0.9</v>
      </c>
      <c r="P428">
        <v>-13.023754740399999</v>
      </c>
      <c r="Q428">
        <v>31.048665000300002</v>
      </c>
      <c r="R428">
        <v>220.01013979539039</v>
      </c>
      <c r="S428">
        <v>0.9</v>
      </c>
      <c r="U428">
        <v>0</v>
      </c>
      <c r="V428">
        <v>16.436820725699999</v>
      </c>
      <c r="W428">
        <v>1032.2631992399395</v>
      </c>
      <c r="X428">
        <v>0.65</v>
      </c>
      <c r="Z428">
        <v>14.0254804311</v>
      </c>
      <c r="AA428">
        <v>33.308051942600002</v>
      </c>
      <c r="AB428">
        <v>255.95307680309818</v>
      </c>
      <c r="AC428">
        <v>0.9</v>
      </c>
      <c r="AE428">
        <v>30.424715527899998</v>
      </c>
      <c r="AF428">
        <v>30.180455003700001</v>
      </c>
      <c r="AG428">
        <v>238.58067317393912</v>
      </c>
      <c r="AH428">
        <v>0.9</v>
      </c>
      <c r="AJ428">
        <v>40.4106960712</v>
      </c>
      <c r="AK428">
        <v>16.9792652123</v>
      </c>
      <c r="AL428">
        <v>855.58345395702179</v>
      </c>
      <c r="AM428">
        <v>0.65</v>
      </c>
    </row>
    <row r="429" spans="1:39" x14ac:dyDescent="0.25">
      <c r="A429">
        <v>-34.860633264699999</v>
      </c>
      <c r="B429">
        <v>0</v>
      </c>
      <c r="C429">
        <v>1027.895497139044</v>
      </c>
      <c r="D429">
        <v>0.65</v>
      </c>
      <c r="F429">
        <v>-38.937492476700001</v>
      </c>
      <c r="G429">
        <v>16.047963129499998</v>
      </c>
      <c r="H429">
        <v>884.16933077618114</v>
      </c>
      <c r="I429">
        <v>0.65</v>
      </c>
      <c r="K429">
        <v>-24.386367513</v>
      </c>
      <c r="L429">
        <v>24.0967148051</v>
      </c>
      <c r="M429">
        <v>133.62635941397798</v>
      </c>
      <c r="N429">
        <v>0.9</v>
      </c>
      <c r="P429">
        <v>-13.371453685199999</v>
      </c>
      <c r="Q429">
        <v>32.458629564200002</v>
      </c>
      <c r="R429">
        <v>242.02077842461324</v>
      </c>
      <c r="S429">
        <v>0.9</v>
      </c>
      <c r="U429">
        <v>0</v>
      </c>
      <c r="V429">
        <v>16.3715460136</v>
      </c>
      <c r="W429">
        <v>1033.1335287357649</v>
      </c>
      <c r="X429">
        <v>0.65</v>
      </c>
      <c r="Z429">
        <v>12.739877699199999</v>
      </c>
      <c r="AA429">
        <v>31.341902750099997</v>
      </c>
      <c r="AB429">
        <v>224.14664312516527</v>
      </c>
      <c r="AC429">
        <v>0.9</v>
      </c>
      <c r="AE429">
        <v>-31.448562154299999</v>
      </c>
      <c r="AF429">
        <v>-30.905665889000002</v>
      </c>
      <c r="AG429">
        <v>268.74861156751382</v>
      </c>
      <c r="AH429">
        <v>0.86872052994554028</v>
      </c>
      <c r="AJ429">
        <v>-17.984894956600002</v>
      </c>
      <c r="AK429">
        <v>-7.3554329543999994</v>
      </c>
      <c r="AL429">
        <v>1103.2141909625198</v>
      </c>
      <c r="AM429">
        <v>0.65</v>
      </c>
    </row>
    <row r="430" spans="1:39" x14ac:dyDescent="0.25">
      <c r="A430">
        <v>-29.147496276799998</v>
      </c>
      <c r="B430">
        <v>0</v>
      </c>
      <c r="C430">
        <v>1065.1023116734987</v>
      </c>
      <c r="D430">
        <v>0.65</v>
      </c>
      <c r="F430">
        <v>-12.5587174702</v>
      </c>
      <c r="G430">
        <v>5.2268096261999997</v>
      </c>
      <c r="H430">
        <v>1141.4949608689094</v>
      </c>
      <c r="I430">
        <v>0.65</v>
      </c>
      <c r="K430">
        <v>-27.516666872599998</v>
      </c>
      <c r="L430">
        <v>27.637701371600002</v>
      </c>
      <c r="M430">
        <v>190.66173585641906</v>
      </c>
      <c r="N430">
        <v>0.9</v>
      </c>
      <c r="P430">
        <v>-10.888959995</v>
      </c>
      <c r="Q430">
        <v>26.801793526499999</v>
      </c>
      <c r="R430">
        <v>157.37852014396353</v>
      </c>
      <c r="S430">
        <v>0.9</v>
      </c>
      <c r="U430">
        <v>0</v>
      </c>
      <c r="V430">
        <v>16.541260265200002</v>
      </c>
      <c r="W430">
        <v>1030.8706720466184</v>
      </c>
      <c r="X430">
        <v>0.65</v>
      </c>
      <c r="Z430">
        <v>13.7958451964</v>
      </c>
      <c r="AA430">
        <v>32.866005171899999</v>
      </c>
      <c r="AB430">
        <v>248.69911986041362</v>
      </c>
      <c r="AC430">
        <v>0.9</v>
      </c>
      <c r="AE430">
        <v>30.1219596788</v>
      </c>
      <c r="AF430">
        <v>30.018778939000001</v>
      </c>
      <c r="AG430">
        <v>234.83832564474702</v>
      </c>
      <c r="AH430">
        <v>0.9</v>
      </c>
      <c r="AJ430">
        <v>51.547870751299996</v>
      </c>
      <c r="AK430">
        <v>21.442953086599999</v>
      </c>
      <c r="AL430">
        <v>439.60978256259943</v>
      </c>
      <c r="AM430">
        <v>0.67813602941414419</v>
      </c>
    </row>
    <row r="431" spans="1:39" x14ac:dyDescent="0.25">
      <c r="A431">
        <v>-28.918739041099997</v>
      </c>
      <c r="B431">
        <v>0</v>
      </c>
      <c r="C431">
        <v>1066.4094958774231</v>
      </c>
      <c r="D431">
        <v>0.65</v>
      </c>
      <c r="F431">
        <v>-10.8669088771</v>
      </c>
      <c r="G431">
        <v>4.5152448063000001</v>
      </c>
      <c r="H431">
        <v>1152.6628570853982</v>
      </c>
      <c r="I431">
        <v>0.65</v>
      </c>
      <c r="K431">
        <v>-27.4275026844</v>
      </c>
      <c r="L431">
        <v>27.387594413599999</v>
      </c>
      <c r="M431">
        <v>186.79808752794509</v>
      </c>
      <c r="N431">
        <v>0.9</v>
      </c>
      <c r="P431">
        <v>-12.636753708100001</v>
      </c>
      <c r="Q431">
        <v>30.5013840467</v>
      </c>
      <c r="R431">
        <v>211.50417152431393</v>
      </c>
      <c r="S431">
        <v>0.9</v>
      </c>
      <c r="U431">
        <v>0</v>
      </c>
      <c r="V431">
        <v>16.462930610599997</v>
      </c>
      <c r="W431">
        <v>1031.9150674416092</v>
      </c>
      <c r="X431">
        <v>0.65</v>
      </c>
      <c r="Z431">
        <v>13.407818226</v>
      </c>
      <c r="AA431">
        <v>31.834331175299997</v>
      </c>
      <c r="AB431">
        <v>232.37457768333508</v>
      </c>
      <c r="AC431">
        <v>0.9</v>
      </c>
      <c r="AE431">
        <v>29.804008912</v>
      </c>
      <c r="AF431">
        <v>29.397329267700002</v>
      </c>
      <c r="AG431">
        <v>223.60566335977904</v>
      </c>
      <c r="AH431">
        <v>0.9</v>
      </c>
      <c r="AJ431">
        <v>52.197221477599996</v>
      </c>
      <c r="AK431">
        <v>21.428385158299999</v>
      </c>
      <c r="AL431">
        <v>406.15066166681504</v>
      </c>
      <c r="AM431">
        <v>0.70129626135324097</v>
      </c>
    </row>
    <row r="432" spans="1:39" x14ac:dyDescent="0.25">
      <c r="A432">
        <v>-28.788020620699999</v>
      </c>
      <c r="B432">
        <v>0</v>
      </c>
      <c r="C432">
        <v>1067.1564582796655</v>
      </c>
      <c r="D432">
        <v>0.65</v>
      </c>
      <c r="F432">
        <v>-40.743346045100004</v>
      </c>
      <c r="G432">
        <v>16.8038667806</v>
      </c>
      <c r="H432">
        <v>855.56848590454115</v>
      </c>
      <c r="I432">
        <v>0.65</v>
      </c>
      <c r="K432">
        <v>27.880285763000003</v>
      </c>
      <c r="L432">
        <v>-27.872788159900001</v>
      </c>
      <c r="M432">
        <v>195.08067081221355</v>
      </c>
      <c r="N432">
        <v>0.9</v>
      </c>
      <c r="P432">
        <v>-12.936215451800001</v>
      </c>
      <c r="Q432">
        <v>30.763739446700001</v>
      </c>
      <c r="R432">
        <v>215.68224352494514</v>
      </c>
      <c r="S432">
        <v>0.9</v>
      </c>
      <c r="U432">
        <v>0</v>
      </c>
      <c r="V432">
        <v>13.443217585199999</v>
      </c>
      <c r="W432">
        <v>1071.3593892624192</v>
      </c>
      <c r="X432">
        <v>0.65</v>
      </c>
      <c r="Z432">
        <v>13.560351323899999</v>
      </c>
      <c r="AA432">
        <v>32.324361043899998</v>
      </c>
      <c r="AB432">
        <v>240.11719815346058</v>
      </c>
      <c r="AC432">
        <v>0.9</v>
      </c>
      <c r="AE432">
        <v>-29.353689775900001</v>
      </c>
      <c r="AF432">
        <v>-28.8718978757</v>
      </c>
      <c r="AG432">
        <v>213.91768924483691</v>
      </c>
      <c r="AH432">
        <v>0.9</v>
      </c>
      <c r="AJ432">
        <v>51.673569814000004</v>
      </c>
      <c r="AK432">
        <v>21.488539971999998</v>
      </c>
      <c r="AL432">
        <v>427.46764458844262</v>
      </c>
      <c r="AM432">
        <v>0.68577696992798287</v>
      </c>
    </row>
    <row r="433" spans="1:39" x14ac:dyDescent="0.25">
      <c r="A433">
        <v>-29.180175881899999</v>
      </c>
      <c r="B433">
        <v>0</v>
      </c>
      <c r="C433">
        <v>1064.9155710729381</v>
      </c>
      <c r="D433">
        <v>0.65</v>
      </c>
      <c r="F433">
        <v>-50.556241243400002</v>
      </c>
      <c r="G433">
        <v>20.652783419399999</v>
      </c>
      <c r="H433">
        <v>571.61381186931999</v>
      </c>
      <c r="I433">
        <v>0.65</v>
      </c>
      <c r="K433">
        <v>-24.304742776500003</v>
      </c>
      <c r="L433">
        <v>24.092477708400001</v>
      </c>
      <c r="M433">
        <v>133.56986479169655</v>
      </c>
      <c r="N433">
        <v>0.9</v>
      </c>
      <c r="P433">
        <v>-12.5646222104</v>
      </c>
      <c r="Q433">
        <v>30.4936596378</v>
      </c>
      <c r="R433">
        <v>211.40117940562197</v>
      </c>
      <c r="S433">
        <v>0.9</v>
      </c>
      <c r="U433">
        <v>0</v>
      </c>
      <c r="V433">
        <v>13.469327470000001</v>
      </c>
      <c r="W433">
        <v>1071.0112574640889</v>
      </c>
      <c r="X433">
        <v>0.65</v>
      </c>
      <c r="Z433">
        <v>12.993065590300001</v>
      </c>
      <c r="AA433">
        <v>31.059938565699998</v>
      </c>
      <c r="AB433">
        <v>220.16045400002471</v>
      </c>
      <c r="AC433">
        <v>0.9</v>
      </c>
      <c r="AE433">
        <v>-31.123670024100001</v>
      </c>
      <c r="AF433">
        <v>-31.311203913600004</v>
      </c>
      <c r="AG433">
        <v>288.7970162100093</v>
      </c>
      <c r="AH433">
        <v>0.8463234360038947</v>
      </c>
      <c r="AJ433">
        <v>45.409087755800002</v>
      </c>
      <c r="AK433">
        <v>18.3651546424</v>
      </c>
      <c r="AL433">
        <v>773.41957749263167</v>
      </c>
      <c r="AM433">
        <v>0.65</v>
      </c>
    </row>
    <row r="434" spans="1:39" x14ac:dyDescent="0.25">
      <c r="A434">
        <v>-35.220108920800001</v>
      </c>
      <c r="B434">
        <v>0</v>
      </c>
      <c r="C434">
        <v>1025.8413505328772</v>
      </c>
      <c r="D434">
        <v>0.65</v>
      </c>
      <c r="F434">
        <v>-50.572674918899999</v>
      </c>
      <c r="G434">
        <v>20.955786833600001</v>
      </c>
      <c r="H434">
        <v>526.6781921511556</v>
      </c>
      <c r="I434">
        <v>0.65</v>
      </c>
      <c r="K434">
        <v>-25.405540814999998</v>
      </c>
      <c r="L434">
        <v>25.6351429857</v>
      </c>
      <c r="M434">
        <v>157.04762404437852</v>
      </c>
      <c r="N434">
        <v>0.9</v>
      </c>
      <c r="P434">
        <v>-13.058096692399999</v>
      </c>
      <c r="Q434">
        <v>31.4649623647</v>
      </c>
      <c r="R434">
        <v>226.35410465340286</v>
      </c>
      <c r="S434">
        <v>0.9</v>
      </c>
      <c r="U434">
        <v>0</v>
      </c>
      <c r="V434">
        <v>16.358491071100001</v>
      </c>
      <c r="W434">
        <v>1033.30759463493</v>
      </c>
      <c r="X434">
        <v>0.65</v>
      </c>
      <c r="Z434">
        <v>12.5587925739</v>
      </c>
      <c r="AA434">
        <v>30.495801136899999</v>
      </c>
      <c r="AB434">
        <v>211.42973272727181</v>
      </c>
      <c r="AC434">
        <v>0.9</v>
      </c>
      <c r="AE434">
        <v>28.476605774700001</v>
      </c>
      <c r="AF434">
        <v>28.393501747199998</v>
      </c>
      <c r="AG434">
        <v>204.40351864283875</v>
      </c>
      <c r="AH434">
        <v>0.9</v>
      </c>
      <c r="AJ434">
        <v>51.6941926533</v>
      </c>
      <c r="AK434">
        <v>20.904327547100003</v>
      </c>
      <c r="AL434">
        <v>460.22957713584196</v>
      </c>
      <c r="AM434">
        <v>0.66282894840264206</v>
      </c>
    </row>
    <row r="435" spans="1:39" x14ac:dyDescent="0.25">
      <c r="A435">
        <v>-35.0240312902</v>
      </c>
      <c r="B435">
        <v>0</v>
      </c>
      <c r="C435">
        <v>1026.961794136241</v>
      </c>
      <c r="D435">
        <v>0.65</v>
      </c>
      <c r="F435">
        <v>-51.6736555409</v>
      </c>
      <c r="G435">
        <v>21.488509146000002</v>
      </c>
      <c r="H435">
        <v>427.46770252662947</v>
      </c>
      <c r="I435">
        <v>0.68577706287694373</v>
      </c>
      <c r="K435">
        <v>-25.406298744599997</v>
      </c>
      <c r="L435">
        <v>25.022893358800001</v>
      </c>
      <c r="M435">
        <v>148.43096235285643</v>
      </c>
      <c r="N435">
        <v>0.9</v>
      </c>
      <c r="P435">
        <v>8.2725487989999991</v>
      </c>
      <c r="Q435">
        <v>-19.5380692942</v>
      </c>
      <c r="R435">
        <v>60.151085935955209</v>
      </c>
      <c r="S435">
        <v>0.9</v>
      </c>
      <c r="U435">
        <v>0</v>
      </c>
      <c r="V435">
        <v>13.364887930499998</v>
      </c>
      <c r="W435">
        <v>1072.4037846574097</v>
      </c>
      <c r="X435">
        <v>0.65</v>
      </c>
      <c r="Z435">
        <v>12.5848621347</v>
      </c>
      <c r="AA435">
        <v>29.9644478427</v>
      </c>
      <c r="AB435">
        <v>203.589466581805</v>
      </c>
      <c r="AC435">
        <v>0.9</v>
      </c>
      <c r="AE435">
        <v>-28.7030891303</v>
      </c>
      <c r="AF435">
        <v>-28.609124113100002</v>
      </c>
      <c r="AG435">
        <v>208.2607057431681</v>
      </c>
      <c r="AH435">
        <v>0.9</v>
      </c>
      <c r="AJ435">
        <v>52.3667896543</v>
      </c>
      <c r="AK435">
        <v>21.330185182099999</v>
      </c>
      <c r="AL435">
        <v>419.00498341119254</v>
      </c>
      <c r="AM435">
        <v>0.69363487940352864</v>
      </c>
    </row>
    <row r="436" spans="1:39" x14ac:dyDescent="0.25">
      <c r="A436">
        <v>-35.318147736100002</v>
      </c>
      <c r="B436">
        <v>0</v>
      </c>
      <c r="C436">
        <v>1025.2811287311954</v>
      </c>
      <c r="D436">
        <v>0.65</v>
      </c>
      <c r="F436">
        <v>-52.012976272400003</v>
      </c>
      <c r="G436">
        <v>21.5979972387</v>
      </c>
      <c r="H436">
        <v>396.83269671344885</v>
      </c>
      <c r="I436">
        <v>0.70878065099931054</v>
      </c>
      <c r="K436">
        <v>-26.486020849400003</v>
      </c>
      <c r="L436">
        <v>26.719496884000002</v>
      </c>
      <c r="M436">
        <v>174.94345380040934</v>
      </c>
      <c r="N436">
        <v>0.9</v>
      </c>
      <c r="P436">
        <v>-8.7839495681000006</v>
      </c>
      <c r="Q436">
        <v>21.520370145600001</v>
      </c>
      <c r="R436">
        <v>85.826208399485125</v>
      </c>
      <c r="S436">
        <v>0.9</v>
      </c>
      <c r="U436">
        <v>0</v>
      </c>
      <c r="V436">
        <v>21.961514131399998</v>
      </c>
      <c r="W436">
        <v>950.41543531251295</v>
      </c>
      <c r="X436">
        <v>0.65</v>
      </c>
      <c r="Z436">
        <v>12.9102439959</v>
      </c>
      <c r="AA436">
        <v>30.7732799815</v>
      </c>
      <c r="AB436">
        <v>215.80945065559635</v>
      </c>
      <c r="AC436">
        <v>0.9</v>
      </c>
      <c r="AE436">
        <v>30.019453259999999</v>
      </c>
      <c r="AF436">
        <v>29.813376928100002</v>
      </c>
      <c r="AG436">
        <v>231.11740994278355</v>
      </c>
      <c r="AH436">
        <v>0.9</v>
      </c>
      <c r="AJ436">
        <v>50.411914485799997</v>
      </c>
      <c r="AK436">
        <v>21.261075265499997</v>
      </c>
      <c r="AL436">
        <v>469.82653146543709</v>
      </c>
      <c r="AM436">
        <v>0.65491900783559276</v>
      </c>
    </row>
    <row r="437" spans="1:39" x14ac:dyDescent="0.25">
      <c r="A437">
        <v>-28.9514186462</v>
      </c>
      <c r="B437">
        <v>0</v>
      </c>
      <c r="C437">
        <v>1066.2227552768622</v>
      </c>
      <c r="D437">
        <v>0.65</v>
      </c>
      <c r="F437">
        <v>-27.101276171600002</v>
      </c>
      <c r="G437">
        <v>11.159710724900002</v>
      </c>
      <c r="H437">
        <v>1024.7334697611459</v>
      </c>
      <c r="I437">
        <v>0.65</v>
      </c>
      <c r="K437">
        <v>-25.404335091299998</v>
      </c>
      <c r="L437">
        <v>25.601364210800003</v>
      </c>
      <c r="M437">
        <v>156.59724037955397</v>
      </c>
      <c r="N437">
        <v>0.9</v>
      </c>
      <c r="P437">
        <v>-12.6174469806</v>
      </c>
      <c r="Q437">
        <v>29.986699592999997</v>
      </c>
      <c r="R437">
        <v>203.88615658684265</v>
      </c>
      <c r="S437">
        <v>0.9</v>
      </c>
      <c r="U437">
        <v>0</v>
      </c>
      <c r="V437">
        <v>13.5215472398</v>
      </c>
      <c r="W437">
        <v>1070.3149938674285</v>
      </c>
      <c r="X437">
        <v>0.65</v>
      </c>
      <c r="Z437">
        <v>12.622570575699999</v>
      </c>
      <c r="AA437">
        <v>30.506594176899998</v>
      </c>
      <c r="AB437">
        <v>211.57363992781904</v>
      </c>
      <c r="AC437">
        <v>0.9</v>
      </c>
      <c r="AE437">
        <v>-29.253698302399997</v>
      </c>
      <c r="AF437">
        <v>-28.874407743699997</v>
      </c>
      <c r="AG437">
        <v>213.95115415076066</v>
      </c>
      <c r="AH437">
        <v>0.9</v>
      </c>
      <c r="AJ437">
        <v>50.550789535200003</v>
      </c>
      <c r="AK437">
        <v>20.654946795699999</v>
      </c>
      <c r="AL437">
        <v>571.61496567000438</v>
      </c>
      <c r="AM437">
        <v>0.65</v>
      </c>
    </row>
    <row r="438" spans="1:39" x14ac:dyDescent="0.25">
      <c r="A438">
        <v>-40.768930848700002</v>
      </c>
      <c r="B438">
        <v>0</v>
      </c>
      <c r="C438">
        <v>986.76712999281642</v>
      </c>
      <c r="D438">
        <v>0.65</v>
      </c>
      <c r="F438">
        <v>-49.410390720300001</v>
      </c>
      <c r="G438">
        <v>20.6237987425</v>
      </c>
      <c r="H438">
        <v>620.24139713625914</v>
      </c>
      <c r="I438">
        <v>0.65</v>
      </c>
      <c r="K438">
        <v>-25.360975974500001</v>
      </c>
      <c r="L438">
        <v>25.583070355899999</v>
      </c>
      <c r="M438">
        <v>156.35332231342932</v>
      </c>
      <c r="N438">
        <v>0.9</v>
      </c>
      <c r="P438">
        <v>7.7051012790000009</v>
      </c>
      <c r="Q438">
        <v>-19.0667645282</v>
      </c>
      <c r="R438">
        <v>53.942577945300151</v>
      </c>
      <c r="S438">
        <v>0.9</v>
      </c>
      <c r="U438">
        <v>0</v>
      </c>
      <c r="V438">
        <v>16.3976558984</v>
      </c>
      <c r="W438">
        <v>1032.7853969374348</v>
      </c>
      <c r="X438">
        <v>0.65</v>
      </c>
      <c r="Z438">
        <v>13.050989707299999</v>
      </c>
      <c r="AA438">
        <v>31.4675730939</v>
      </c>
      <c r="AB438">
        <v>226.38891437641925</v>
      </c>
      <c r="AC438">
        <v>0.9</v>
      </c>
      <c r="AE438">
        <v>27.921657707999998</v>
      </c>
      <c r="AF438">
        <v>27.823368608800003</v>
      </c>
      <c r="AG438">
        <v>194.42174346404161</v>
      </c>
      <c r="AH438">
        <v>0.9</v>
      </c>
      <c r="AJ438">
        <v>-49.444031518800003</v>
      </c>
      <c r="AK438">
        <v>-20.196294446100001</v>
      </c>
      <c r="AL438">
        <v>641.4673735156025</v>
      </c>
      <c r="AM438">
        <v>0.65</v>
      </c>
    </row>
    <row r="439" spans="1:39" x14ac:dyDescent="0.25">
      <c r="A439">
        <v>-46.414874557200001</v>
      </c>
      <c r="B439">
        <v>0</v>
      </c>
      <c r="C439">
        <v>944.33157864266457</v>
      </c>
      <c r="D439">
        <v>0.65</v>
      </c>
      <c r="F439">
        <v>-50.0767296844</v>
      </c>
      <c r="G439">
        <v>21.082408387899999</v>
      </c>
      <c r="H439">
        <v>549.17646774969444</v>
      </c>
      <c r="I439">
        <v>0.65</v>
      </c>
      <c r="K439">
        <v>-23.733935201800001</v>
      </c>
      <c r="L439">
        <v>23.437503845000002</v>
      </c>
      <c r="M439">
        <v>123.66576883555547</v>
      </c>
      <c r="N439">
        <v>0.9</v>
      </c>
      <c r="P439">
        <v>-10.0933926876</v>
      </c>
      <c r="Q439">
        <v>24.720662242499998</v>
      </c>
      <c r="R439">
        <v>128.6101030242136</v>
      </c>
      <c r="S439">
        <v>0.9</v>
      </c>
      <c r="U439">
        <v>0</v>
      </c>
      <c r="V439">
        <v>16.475985553000001</v>
      </c>
      <c r="W439">
        <v>1031.7410015424441</v>
      </c>
      <c r="X439">
        <v>0.65</v>
      </c>
      <c r="Z439">
        <v>12.603662610300001</v>
      </c>
      <c r="AA439">
        <v>30.5477616539</v>
      </c>
      <c r="AB439">
        <v>212.12253962075656</v>
      </c>
      <c r="AC439">
        <v>0.9</v>
      </c>
      <c r="AE439">
        <v>23.903677214999998</v>
      </c>
      <c r="AF439">
        <v>23.828820309399998</v>
      </c>
      <c r="AG439">
        <v>129.22332169434375</v>
      </c>
      <c r="AH439">
        <v>0.9</v>
      </c>
      <c r="AJ439">
        <v>49.416183908599997</v>
      </c>
      <c r="AK439">
        <v>20.621499858299998</v>
      </c>
      <c r="AL439">
        <v>620.24017106467852</v>
      </c>
      <c r="AM439">
        <v>0.65</v>
      </c>
    </row>
    <row r="440" spans="1:39" x14ac:dyDescent="0.25">
      <c r="A440">
        <v>-34.958672079999999</v>
      </c>
      <c r="B440">
        <v>0</v>
      </c>
      <c r="C440">
        <v>1027.3352753373622</v>
      </c>
      <c r="D440">
        <v>0.65</v>
      </c>
      <c r="F440">
        <v>-50.2843673916</v>
      </c>
      <c r="G440">
        <v>20.522301691399999</v>
      </c>
      <c r="H440">
        <v>595.31842744566268</v>
      </c>
      <c r="I440">
        <v>0.65</v>
      </c>
      <c r="K440">
        <v>-26.770350276999999</v>
      </c>
      <c r="L440">
        <v>26.947175794899998</v>
      </c>
      <c r="M440">
        <v>178.96139483396914</v>
      </c>
      <c r="N440">
        <v>0.9</v>
      </c>
      <c r="P440">
        <v>-10.7678471565</v>
      </c>
      <c r="Q440">
        <v>25.409624319700001</v>
      </c>
      <c r="R440">
        <v>138.24959738719784</v>
      </c>
      <c r="S440">
        <v>0.9</v>
      </c>
      <c r="U440">
        <v>0</v>
      </c>
      <c r="V440">
        <v>16.449875668200001</v>
      </c>
      <c r="W440">
        <v>1032.0891333407742</v>
      </c>
      <c r="X440">
        <v>0.65</v>
      </c>
      <c r="Z440">
        <v>12.623380302099999</v>
      </c>
      <c r="AA440">
        <v>29.984520005499999</v>
      </c>
      <c r="AB440">
        <v>203.85709542018873</v>
      </c>
      <c r="AC440">
        <v>0.9</v>
      </c>
      <c r="AE440">
        <v>27.426914889900001</v>
      </c>
      <c r="AF440">
        <v>27.3878103381</v>
      </c>
      <c r="AG440">
        <v>186.80096652150843</v>
      </c>
      <c r="AH440">
        <v>0.9</v>
      </c>
      <c r="AJ440">
        <v>51.032094578099993</v>
      </c>
      <c r="AK440">
        <v>20.798599454599998</v>
      </c>
      <c r="AL440">
        <v>486.6396163556924</v>
      </c>
      <c r="AM440">
        <v>0.65</v>
      </c>
    </row>
    <row r="441" spans="1:39" x14ac:dyDescent="0.25">
      <c r="A441">
        <v>-35.187429315700001</v>
      </c>
      <c r="B441">
        <v>0</v>
      </c>
      <c r="C441">
        <v>1026.0280911334378</v>
      </c>
      <c r="D441">
        <v>0.65</v>
      </c>
      <c r="F441">
        <v>-51.552025357599994</v>
      </c>
      <c r="G441">
        <v>21.441464503000002</v>
      </c>
      <c r="H441">
        <v>439.61273075667015</v>
      </c>
      <c r="I441">
        <v>0.67814057725793564</v>
      </c>
      <c r="K441">
        <v>-24.7383879128</v>
      </c>
      <c r="L441">
        <v>24.535773753100003</v>
      </c>
      <c r="M441">
        <v>140.4249231659154</v>
      </c>
      <c r="N441">
        <v>0.9</v>
      </c>
      <c r="P441">
        <v>6.7860559399999998</v>
      </c>
      <c r="Q441">
        <v>-16.634469165100001</v>
      </c>
      <c r="R441">
        <v>22.645306436567221</v>
      </c>
      <c r="S441">
        <v>0.9</v>
      </c>
      <c r="U441">
        <v>0</v>
      </c>
      <c r="V441">
        <v>16.5543152077</v>
      </c>
      <c r="W441">
        <v>1030.6966061474534</v>
      </c>
      <c r="X441">
        <v>0.65</v>
      </c>
      <c r="Z441">
        <v>10.205922109799999</v>
      </c>
      <c r="AA441">
        <v>24.8524473527</v>
      </c>
      <c r="AB441">
        <v>130.48057116024242</v>
      </c>
      <c r="AC441">
        <v>0.9</v>
      </c>
      <c r="AE441">
        <v>24.384686520800003</v>
      </c>
      <c r="AF441">
        <v>24.097332312399999</v>
      </c>
      <c r="AG441">
        <v>133.63459284512939</v>
      </c>
      <c r="AH441">
        <v>0.9</v>
      </c>
      <c r="AJ441">
        <v>42.607976198099998</v>
      </c>
      <c r="AK441">
        <v>17.2965425101</v>
      </c>
      <c r="AL441">
        <v>828.1881762648469</v>
      </c>
      <c r="AM441">
        <v>0.65</v>
      </c>
    </row>
    <row r="442" spans="1:39" x14ac:dyDescent="0.25">
      <c r="A442">
        <v>-35.0893905004</v>
      </c>
      <c r="B442">
        <v>0</v>
      </c>
      <c r="C442">
        <v>1026.5883129351198</v>
      </c>
      <c r="D442">
        <v>0.65</v>
      </c>
      <c r="F442">
        <v>-51.042770115100005</v>
      </c>
      <c r="G442">
        <v>20.794363130400001</v>
      </c>
      <c r="H442">
        <v>486.63735698279254</v>
      </c>
      <c r="I442">
        <v>0.65</v>
      </c>
      <c r="K442">
        <v>-23.748857830799999</v>
      </c>
      <c r="L442">
        <v>23.397800369199999</v>
      </c>
      <c r="M442">
        <v>123.13638915746436</v>
      </c>
      <c r="N442">
        <v>0.9</v>
      </c>
      <c r="P442">
        <v>-6.8698144257000004</v>
      </c>
      <c r="Q442">
        <v>16.993761739500002</v>
      </c>
      <c r="R442">
        <v>27.246985207041778</v>
      </c>
      <c r="S442">
        <v>0.9</v>
      </c>
      <c r="U442">
        <v>0</v>
      </c>
      <c r="V442">
        <v>16.384600956</v>
      </c>
      <c r="W442">
        <v>1032.9594628365999</v>
      </c>
      <c r="X442">
        <v>0.65</v>
      </c>
      <c r="Z442">
        <v>-8.8246183836000007</v>
      </c>
      <c r="AA442">
        <v>-21.6565802406</v>
      </c>
      <c r="AB442">
        <v>87.604565221329892</v>
      </c>
      <c r="AC442">
        <v>0.9</v>
      </c>
      <c r="AE442">
        <v>23.9116819913</v>
      </c>
      <c r="AF442">
        <v>23.860101473099999</v>
      </c>
      <c r="AG442">
        <v>129.64040387728821</v>
      </c>
      <c r="AH442">
        <v>0.9</v>
      </c>
      <c r="AJ442">
        <v>44.040759562399998</v>
      </c>
      <c r="AK442">
        <v>17.8817224033</v>
      </c>
      <c r="AL442">
        <v>800.80918242599375</v>
      </c>
      <c r="AM442">
        <v>0.65</v>
      </c>
    </row>
    <row r="443" spans="1:39" x14ac:dyDescent="0.25">
      <c r="A443">
        <v>-34.925992474899999</v>
      </c>
      <c r="B443">
        <v>0</v>
      </c>
      <c r="C443">
        <v>1027.5220159379228</v>
      </c>
      <c r="D443">
        <v>0.65</v>
      </c>
      <c r="F443">
        <v>-50.913144364899999</v>
      </c>
      <c r="G443">
        <v>21.032811323300002</v>
      </c>
      <c r="H443">
        <v>471.14239448173305</v>
      </c>
      <c r="I443">
        <v>0.65502855470711396</v>
      </c>
      <c r="K443">
        <v>-24.5008159042</v>
      </c>
      <c r="L443">
        <v>24.408068307400001</v>
      </c>
      <c r="M443">
        <v>138.15551722287097</v>
      </c>
      <c r="N443">
        <v>0.9</v>
      </c>
      <c r="P443">
        <v>6.5767877961999996</v>
      </c>
      <c r="Q443">
        <v>-16.043744991099999</v>
      </c>
      <c r="R443">
        <v>14.95787300502511</v>
      </c>
      <c r="S443">
        <v>0.9</v>
      </c>
      <c r="U443">
        <v>0</v>
      </c>
      <c r="V443">
        <v>16.528205322799998</v>
      </c>
      <c r="W443">
        <v>1031.0447379457837</v>
      </c>
      <c r="X443">
        <v>0.65</v>
      </c>
      <c r="Z443">
        <v>7.6280973348999996</v>
      </c>
      <c r="AA443">
        <v>18.198575727600002</v>
      </c>
      <c r="AB443">
        <v>42.820060603989468</v>
      </c>
      <c r="AC443">
        <v>0.9</v>
      </c>
      <c r="AE443">
        <v>-27.685064463499998</v>
      </c>
      <c r="AF443">
        <v>-28.152202787</v>
      </c>
      <c r="AG443">
        <v>198.88175472815684</v>
      </c>
      <c r="AH443">
        <v>0.9</v>
      </c>
      <c r="AJ443">
        <v>50.976320101200002</v>
      </c>
      <c r="AK443">
        <v>20.813303159900002</v>
      </c>
      <c r="AL443">
        <v>506.66193576804534</v>
      </c>
      <c r="AM443">
        <v>0.65</v>
      </c>
    </row>
    <row r="444" spans="1:39" x14ac:dyDescent="0.25">
      <c r="A444">
        <v>-40.736251243600002</v>
      </c>
      <c r="B444">
        <v>0</v>
      </c>
      <c r="C444">
        <v>986.95387059337702</v>
      </c>
      <c r="D444">
        <v>0.65</v>
      </c>
      <c r="F444">
        <v>-51.4814050317</v>
      </c>
      <c r="G444">
        <v>20.993435104499998</v>
      </c>
      <c r="H444">
        <v>458.9743844252767</v>
      </c>
      <c r="I444">
        <v>0.66282435245611349</v>
      </c>
      <c r="K444">
        <v>-24.535064413099999</v>
      </c>
      <c r="L444">
        <v>24.2434219913</v>
      </c>
      <c r="M444">
        <v>135.99801078635801</v>
      </c>
      <c r="N444">
        <v>0.9</v>
      </c>
      <c r="P444">
        <v>5.9301182564000001</v>
      </c>
      <c r="Q444">
        <v>-13.9853254114</v>
      </c>
      <c r="R444">
        <v>-11.354388057552802</v>
      </c>
      <c r="S444">
        <v>0.9</v>
      </c>
      <c r="U444">
        <v>0</v>
      </c>
      <c r="V444">
        <v>19.184868310799999</v>
      </c>
      <c r="W444">
        <v>993.16700921745962</v>
      </c>
      <c r="X444">
        <v>0.65</v>
      </c>
      <c r="Z444">
        <v>-7.7539217427999994</v>
      </c>
      <c r="AA444">
        <v>-19.048830480300001</v>
      </c>
      <c r="AB444">
        <v>53.703457306540862</v>
      </c>
      <c r="AC444">
        <v>0.9</v>
      </c>
      <c r="AE444">
        <v>25.404501466400003</v>
      </c>
      <c r="AF444">
        <v>25.601303093400002</v>
      </c>
      <c r="AG444">
        <v>156.59642548114331</v>
      </c>
      <c r="AH444">
        <v>0.9</v>
      </c>
      <c r="AJ444">
        <v>52.310947109799997</v>
      </c>
      <c r="AK444">
        <v>21.6114036327</v>
      </c>
      <c r="AL444">
        <v>352.08605742483809</v>
      </c>
      <c r="AM444">
        <v>0.74732783322227991</v>
      </c>
    </row>
    <row r="445" spans="1:39" x14ac:dyDescent="0.25">
      <c r="A445">
        <v>-40.572853218100001</v>
      </c>
      <c r="B445">
        <v>0</v>
      </c>
      <c r="C445">
        <v>987.88757359618012</v>
      </c>
      <c r="D445">
        <v>0.65</v>
      </c>
      <c r="F445">
        <v>-52.173388173100001</v>
      </c>
      <c r="G445">
        <v>21.437016809199999</v>
      </c>
      <c r="H445">
        <v>406.13598579029861</v>
      </c>
      <c r="I445">
        <v>0.70127092066490682</v>
      </c>
      <c r="K445">
        <v>-26.497821413400001</v>
      </c>
      <c r="L445">
        <v>26.177647772199997</v>
      </c>
      <c r="M445">
        <v>166.9632434202546</v>
      </c>
      <c r="N445">
        <v>0.9</v>
      </c>
      <c r="P445">
        <v>-8.3750481902999994</v>
      </c>
      <c r="Q445">
        <v>20.041627114200001</v>
      </c>
      <c r="R445">
        <v>66.638523536286328</v>
      </c>
      <c r="S445">
        <v>0.9</v>
      </c>
      <c r="U445">
        <v>0</v>
      </c>
      <c r="V445">
        <v>16.515150380400001</v>
      </c>
      <c r="W445">
        <v>1031.2188038449488</v>
      </c>
      <c r="X445">
        <v>0.65</v>
      </c>
      <c r="Z445">
        <v>6.9773316680000006</v>
      </c>
      <c r="AA445">
        <v>16.954265609700002</v>
      </c>
      <c r="AB445">
        <v>26.720370142761634</v>
      </c>
      <c r="AC445">
        <v>0.9</v>
      </c>
      <c r="AE445">
        <v>24.307130604200001</v>
      </c>
      <c r="AF445">
        <v>24.091600547200002</v>
      </c>
      <c r="AG445">
        <v>133.55816930914511</v>
      </c>
      <c r="AH445">
        <v>0.9</v>
      </c>
      <c r="AJ445">
        <v>52.001847873799996</v>
      </c>
      <c r="AK445">
        <v>21.737382005300002</v>
      </c>
      <c r="AL445">
        <v>321.23962654439907</v>
      </c>
      <c r="AM445">
        <v>0.77788066039065451</v>
      </c>
    </row>
    <row r="446" spans="1:39" x14ac:dyDescent="0.25">
      <c r="A446">
        <v>-40.605532823200001</v>
      </c>
      <c r="B446">
        <v>0</v>
      </c>
      <c r="C446">
        <v>987.70083299561941</v>
      </c>
      <c r="D446">
        <v>0.65</v>
      </c>
      <c r="F446">
        <v>-51.163475866600002</v>
      </c>
      <c r="G446">
        <v>21.362358625699997</v>
      </c>
      <c r="H446">
        <v>447.4690525952405</v>
      </c>
      <c r="I446">
        <v>0.67034162672722797</v>
      </c>
      <c r="K446">
        <v>-23.136609278300003</v>
      </c>
      <c r="L446">
        <v>23.4596563749</v>
      </c>
      <c r="M446">
        <v>122.90335812336325</v>
      </c>
      <c r="N446">
        <v>0.9</v>
      </c>
      <c r="P446">
        <v>-6.7140202331000003</v>
      </c>
      <c r="Q446">
        <v>16.262543733099999</v>
      </c>
      <c r="R446">
        <v>17.875189565809173</v>
      </c>
      <c r="S446">
        <v>0.9</v>
      </c>
      <c r="U446">
        <v>0</v>
      </c>
      <c r="V446">
        <v>19.197923253199999</v>
      </c>
      <c r="W446">
        <v>992.99294331829458</v>
      </c>
      <c r="X446">
        <v>0.65</v>
      </c>
      <c r="Z446">
        <v>-3.0916541292000002</v>
      </c>
      <c r="AA446">
        <v>-7.6149946267999997</v>
      </c>
      <c r="AB446">
        <v>-89.643242963082344</v>
      </c>
      <c r="AC446">
        <v>0.9</v>
      </c>
      <c r="AE446">
        <v>27.6326153726</v>
      </c>
      <c r="AF446">
        <v>27.493917568900002</v>
      </c>
      <c r="AG446">
        <v>188.78239626459003</v>
      </c>
      <c r="AH446">
        <v>0.9</v>
      </c>
      <c r="AJ446">
        <v>52.567339592799996</v>
      </c>
      <c r="AK446">
        <v>21.507805490199999</v>
      </c>
      <c r="AL446">
        <v>370.30513777676714</v>
      </c>
      <c r="AM446">
        <v>0.73201240311154459</v>
      </c>
    </row>
    <row r="447" spans="1:39" x14ac:dyDescent="0.25">
      <c r="A447">
        <v>-40.670892033400001</v>
      </c>
      <c r="B447">
        <v>0</v>
      </c>
      <c r="C447">
        <v>987.32735179449821</v>
      </c>
      <c r="D447">
        <v>0.65</v>
      </c>
      <c r="F447">
        <v>18.236721139099998</v>
      </c>
      <c r="G447">
        <v>-7.3800336757</v>
      </c>
      <c r="H447">
        <v>1101.9798891249468</v>
      </c>
      <c r="I447">
        <v>0.65</v>
      </c>
      <c r="K447">
        <v>-25.123291464800001</v>
      </c>
      <c r="L447">
        <v>24.754493461799999</v>
      </c>
      <c r="M447">
        <v>144.17229705928401</v>
      </c>
      <c r="N447">
        <v>0.9</v>
      </c>
      <c r="P447">
        <v>-6.2307775556000005</v>
      </c>
      <c r="Q447">
        <v>15.349096145099999</v>
      </c>
      <c r="R447">
        <v>6.0736661700339196</v>
      </c>
      <c r="S447">
        <v>0.9</v>
      </c>
      <c r="U447">
        <v>0</v>
      </c>
      <c r="V447">
        <v>16.5673701501</v>
      </c>
      <c r="W447">
        <v>1030.5225402482884</v>
      </c>
      <c r="X447">
        <v>0.65</v>
      </c>
      <c r="Z447">
        <v>6.5027879185999993</v>
      </c>
      <c r="AA447">
        <v>15.664214560600001</v>
      </c>
      <c r="AB447">
        <v>10.086356153875196</v>
      </c>
      <c r="AC447">
        <v>0.9</v>
      </c>
      <c r="AE447">
        <v>25.406769383099999</v>
      </c>
      <c r="AF447">
        <v>25.0227204712</v>
      </c>
      <c r="AG447">
        <v>148.42865718468698</v>
      </c>
      <c r="AH447">
        <v>0.9</v>
      </c>
      <c r="AJ447">
        <v>52.2347207758</v>
      </c>
      <c r="AK447">
        <v>21.522879306599997</v>
      </c>
      <c r="AL447">
        <v>376.25345710008844</v>
      </c>
      <c r="AM447">
        <v>0.72430529901320573</v>
      </c>
    </row>
    <row r="448" spans="1:39" x14ac:dyDescent="0.25">
      <c r="A448">
        <v>-35.350827341200002</v>
      </c>
      <c r="B448">
        <v>0</v>
      </c>
      <c r="C448">
        <v>1025.0943881306346</v>
      </c>
      <c r="D448">
        <v>0.65</v>
      </c>
      <c r="F448">
        <v>-50.969058865099996</v>
      </c>
      <c r="G448">
        <v>20.8161846028</v>
      </c>
      <c r="H448">
        <v>506.663472537578</v>
      </c>
      <c r="I448">
        <v>0.65</v>
      </c>
      <c r="K448">
        <v>-25.263781930300002</v>
      </c>
      <c r="L448">
        <v>24.882242467599998</v>
      </c>
      <c r="M448">
        <v>146.14006158063313</v>
      </c>
      <c r="N448">
        <v>0.9</v>
      </c>
      <c r="P448">
        <v>-3.4910684080999999</v>
      </c>
      <c r="Q448">
        <v>8.3180293178000007</v>
      </c>
      <c r="R448">
        <v>-81.289447083318123</v>
      </c>
      <c r="S448">
        <v>0.9</v>
      </c>
      <c r="U448">
        <v>0</v>
      </c>
      <c r="V448">
        <v>26.282051293399999</v>
      </c>
      <c r="W448">
        <v>871.52679167089309</v>
      </c>
      <c r="X448">
        <v>0.65</v>
      </c>
      <c r="Z448">
        <v>-3.8491874196999998</v>
      </c>
      <c r="AA448">
        <v>-9.3166517513000002</v>
      </c>
      <c r="AB448">
        <v>-69.334481302739192</v>
      </c>
      <c r="AC448">
        <v>0.9</v>
      </c>
      <c r="AE448">
        <v>26.769513377300001</v>
      </c>
      <c r="AF448">
        <v>26.947483227399999</v>
      </c>
      <c r="AG448">
        <v>178.96549393463573</v>
      </c>
      <c r="AH448">
        <v>0.9</v>
      </c>
      <c r="AJ448">
        <v>52.717001050299999</v>
      </c>
      <c r="AK448">
        <v>21.3159398504</v>
      </c>
      <c r="AL448">
        <v>306.15612628947872</v>
      </c>
      <c r="AM448">
        <v>0.79360867835561533</v>
      </c>
    </row>
    <row r="449" spans="1:39" x14ac:dyDescent="0.25">
      <c r="A449">
        <v>-68.996815321900002</v>
      </c>
      <c r="B449">
        <v>0</v>
      </c>
      <c r="C449">
        <v>695.3204885585717</v>
      </c>
      <c r="D449">
        <v>0.65</v>
      </c>
      <c r="F449">
        <v>-52.375213018799997</v>
      </c>
      <c r="G449">
        <v>21.327145425399998</v>
      </c>
      <c r="H449">
        <v>419.01044202439374</v>
      </c>
      <c r="I449">
        <v>0.69364391577459461</v>
      </c>
      <c r="K449">
        <v>-22.244959795</v>
      </c>
      <c r="L449">
        <v>22.261609473100002</v>
      </c>
      <c r="M449">
        <v>105.41828832099417</v>
      </c>
      <c r="N449">
        <v>0.9</v>
      </c>
      <c r="P449">
        <v>-4.1164086490000003</v>
      </c>
      <c r="Q449">
        <v>10.167032278100001</v>
      </c>
      <c r="R449">
        <v>-59.016074278352399</v>
      </c>
      <c r="S449">
        <v>0.9</v>
      </c>
      <c r="U449">
        <v>0</v>
      </c>
      <c r="V449">
        <v>16.5020954379</v>
      </c>
      <c r="W449">
        <v>1031.392869744114</v>
      </c>
      <c r="X449">
        <v>0.65</v>
      </c>
      <c r="Z449">
        <v>5.3401221759999995</v>
      </c>
      <c r="AA449">
        <v>12.594617168600001</v>
      </c>
      <c r="AB449">
        <v>-29.141609071580671</v>
      </c>
      <c r="AC449">
        <v>0.9</v>
      </c>
      <c r="AE449">
        <v>25.264102930600004</v>
      </c>
      <c r="AF449">
        <v>24.882124549099998</v>
      </c>
      <c r="AG449">
        <v>146.13848933417373</v>
      </c>
      <c r="AH449">
        <v>0.9</v>
      </c>
      <c r="AJ449">
        <v>51.783486543899997</v>
      </c>
      <c r="AK449">
        <v>21.2186427444</v>
      </c>
      <c r="AL449">
        <v>249.73475391437401</v>
      </c>
      <c r="AM449">
        <v>0.85488693764812751</v>
      </c>
    </row>
    <row r="450" spans="1:39" x14ac:dyDescent="0.25">
      <c r="A450">
        <v>-35.285468130999995</v>
      </c>
      <c r="B450">
        <v>0</v>
      </c>
      <c r="C450">
        <v>1025.467869331756</v>
      </c>
      <c r="D450">
        <v>0.65</v>
      </c>
      <c r="F450">
        <v>-46.802919341200003</v>
      </c>
      <c r="G450">
        <v>19.612834370999998</v>
      </c>
      <c r="H450">
        <v>718.70282711745301</v>
      </c>
      <c r="I450">
        <v>0.65</v>
      </c>
      <c r="K450">
        <v>-20.342485424199999</v>
      </c>
      <c r="L450">
        <v>20.502444049099999</v>
      </c>
      <c r="M450">
        <v>79.809416001275011</v>
      </c>
      <c r="N450">
        <v>0.9</v>
      </c>
      <c r="P450">
        <v>-4.7537742300000003</v>
      </c>
      <c r="Q450">
        <v>11.588903241400001</v>
      </c>
      <c r="R450">
        <v>-41.984461434282082</v>
      </c>
      <c r="S450">
        <v>0.9</v>
      </c>
      <c r="U450">
        <v>0</v>
      </c>
      <c r="V450">
        <v>19.1587584259</v>
      </c>
      <c r="W450">
        <v>993.51514101578982</v>
      </c>
      <c r="X450">
        <v>0.65</v>
      </c>
      <c r="Z450">
        <v>6.2387503768999997</v>
      </c>
      <c r="AA450">
        <v>14.9228002334</v>
      </c>
      <c r="AB450">
        <v>0.57860956953522025</v>
      </c>
      <c r="AC450">
        <v>0.9</v>
      </c>
      <c r="AE450">
        <v>27.253406669900002</v>
      </c>
      <c r="AF450">
        <v>27.141394384999998</v>
      </c>
      <c r="AG450">
        <v>182.68430936914012</v>
      </c>
      <c r="AH450">
        <v>0.9</v>
      </c>
      <c r="AJ450">
        <v>52.2341098355</v>
      </c>
      <c r="AK450">
        <v>21.690952936799999</v>
      </c>
      <c r="AL450">
        <v>361.3297515768694</v>
      </c>
      <c r="AM450">
        <v>0.73967240281440183</v>
      </c>
    </row>
    <row r="451" spans="1:39" x14ac:dyDescent="0.25">
      <c r="A451">
        <v>-40.638212428300001</v>
      </c>
      <c r="B451">
        <v>0</v>
      </c>
      <c r="C451">
        <v>987.51409239505892</v>
      </c>
      <c r="D451">
        <v>0.65</v>
      </c>
      <c r="F451">
        <v>-47.705244708500004</v>
      </c>
      <c r="G451">
        <v>19.8593914822</v>
      </c>
      <c r="H451">
        <v>695.00336779493136</v>
      </c>
      <c r="I451">
        <v>0.65</v>
      </c>
      <c r="K451">
        <v>-26.5021708813</v>
      </c>
      <c r="L451">
        <v>26.1418283147</v>
      </c>
      <c r="M451">
        <v>166.48565065406171</v>
      </c>
      <c r="N451">
        <v>0.9</v>
      </c>
      <c r="P451">
        <v>-2.5953333333000002</v>
      </c>
      <c r="Q451">
        <v>6.2956666666999999</v>
      </c>
      <c r="R451">
        <v>-104.70317132019969</v>
      </c>
      <c r="S451">
        <v>0.9</v>
      </c>
      <c r="U451">
        <v>0</v>
      </c>
      <c r="V451">
        <v>24.244560490200001</v>
      </c>
      <c r="W451">
        <v>910.97111349170314</v>
      </c>
      <c r="X451">
        <v>0.65</v>
      </c>
      <c r="Z451">
        <v>6.3716589228</v>
      </c>
      <c r="AA451">
        <v>15.297343806199999</v>
      </c>
      <c r="AB451">
        <v>5.3836349840829092</v>
      </c>
      <c r="AC451">
        <v>0.9</v>
      </c>
      <c r="AE451">
        <v>23.734638080700002</v>
      </c>
      <c r="AF451">
        <v>23.437245644599997</v>
      </c>
      <c r="AG451">
        <v>123.66232616317257</v>
      </c>
      <c r="AH451">
        <v>0.9</v>
      </c>
      <c r="AJ451">
        <v>52.041503900199999</v>
      </c>
      <c r="AK451">
        <v>21.7440434134</v>
      </c>
      <c r="AL451">
        <v>328.5884804958082</v>
      </c>
      <c r="AM451">
        <v>0.77031635866811843</v>
      </c>
    </row>
    <row r="452" spans="1:39" x14ac:dyDescent="0.25">
      <c r="A452">
        <v>-65.807344203599996</v>
      </c>
      <c r="B452">
        <v>0</v>
      </c>
      <c r="C452">
        <v>740.55714891713296</v>
      </c>
      <c r="D452">
        <v>0.65</v>
      </c>
      <c r="F452">
        <v>-45.794032579400003</v>
      </c>
      <c r="G452">
        <v>19.173142010599999</v>
      </c>
      <c r="H452">
        <v>747.31516245528235</v>
      </c>
      <c r="I452">
        <v>0.65</v>
      </c>
      <c r="K452">
        <v>-21.559220745399998</v>
      </c>
      <c r="L452">
        <v>21.439983228199999</v>
      </c>
      <c r="M452">
        <v>93.745493944873203</v>
      </c>
      <c r="N452">
        <v>0.9</v>
      </c>
      <c r="P452">
        <v>-5.6122167741000002</v>
      </c>
      <c r="Q452">
        <v>13.645432305</v>
      </c>
      <c r="R452">
        <v>-15.697407253044998</v>
      </c>
      <c r="S452">
        <v>0.9</v>
      </c>
      <c r="U452">
        <v>0</v>
      </c>
      <c r="V452">
        <v>32.759755497</v>
      </c>
      <c r="W452">
        <v>703.30555043774757</v>
      </c>
      <c r="X452">
        <v>0.65</v>
      </c>
      <c r="Z452">
        <v>6.0632689591999993</v>
      </c>
      <c r="AA452">
        <v>14.384759620400001</v>
      </c>
      <c r="AB452">
        <v>-6.2174874930980142</v>
      </c>
      <c r="AC452">
        <v>0.9</v>
      </c>
      <c r="AE452">
        <v>23.724863356099998</v>
      </c>
      <c r="AF452">
        <v>23.3723929722</v>
      </c>
      <c r="AG452">
        <v>122.7976238649394</v>
      </c>
      <c r="AH452">
        <v>0.9</v>
      </c>
      <c r="AJ452">
        <v>52.423073713100003</v>
      </c>
      <c r="AK452">
        <v>21.5553394704</v>
      </c>
      <c r="AL452">
        <v>344.01849328233851</v>
      </c>
      <c r="AM452">
        <v>0.75501848199221566</v>
      </c>
    </row>
    <row r="453" spans="1:39" x14ac:dyDescent="0.25">
      <c r="A453">
        <v>-40.703571638499994</v>
      </c>
      <c r="B453">
        <v>0</v>
      </c>
      <c r="C453">
        <v>987.14061119393762</v>
      </c>
      <c r="D453">
        <v>0.65</v>
      </c>
      <c r="F453">
        <v>-52.234021068399997</v>
      </c>
      <c r="G453">
        <v>21.690985604900003</v>
      </c>
      <c r="H453">
        <v>361.32970751489285</v>
      </c>
      <c r="I453">
        <v>0.73967231261582567</v>
      </c>
      <c r="K453">
        <v>10.8284225775</v>
      </c>
      <c r="L453">
        <v>-10.648228723699999</v>
      </c>
      <c r="M453">
        <v>-49.691232782371671</v>
      </c>
      <c r="N453">
        <v>0.9</v>
      </c>
      <c r="P453">
        <v>-3.7155313890000001</v>
      </c>
      <c r="Q453">
        <v>9.0335134523999994</v>
      </c>
      <c r="R453">
        <v>-72.769658620968443</v>
      </c>
      <c r="S453">
        <v>0.9</v>
      </c>
      <c r="U453">
        <v>0</v>
      </c>
      <c r="V453">
        <v>32.955579633600003</v>
      </c>
      <c r="W453">
        <v>700.69456195027101</v>
      </c>
      <c r="X453">
        <v>0.65</v>
      </c>
      <c r="Z453">
        <v>5.4912758791999998</v>
      </c>
      <c r="AA453">
        <v>13.020744153000001</v>
      </c>
      <c r="AB453">
        <v>-23.648804835658407</v>
      </c>
      <c r="AC453">
        <v>0.9</v>
      </c>
      <c r="AE453">
        <v>26.833144309200001</v>
      </c>
      <c r="AF453">
        <v>27.086813286400002</v>
      </c>
      <c r="AG453">
        <v>181.08767249790412</v>
      </c>
      <c r="AH453">
        <v>0.9</v>
      </c>
      <c r="AJ453">
        <v>52.519363151500002</v>
      </c>
      <c r="AK453">
        <v>21.557591615500002</v>
      </c>
      <c r="AL453">
        <v>337.16290707364129</v>
      </c>
      <c r="AM453">
        <v>0.76273055775179022</v>
      </c>
    </row>
    <row r="454" spans="1:39" x14ac:dyDescent="0.25">
      <c r="A454">
        <v>-35.252788525900002</v>
      </c>
      <c r="B454">
        <v>0</v>
      </c>
      <c r="C454">
        <v>1025.6546099323166</v>
      </c>
      <c r="D454">
        <v>0.65</v>
      </c>
      <c r="F454">
        <v>-52.244162671000005</v>
      </c>
      <c r="G454">
        <v>21.623449259400001</v>
      </c>
      <c r="H454">
        <v>335.70691262456677</v>
      </c>
      <c r="I454">
        <v>0.76269584030365367</v>
      </c>
      <c r="K454">
        <v>9.4720660120000009</v>
      </c>
      <c r="L454">
        <v>-9.3666949575</v>
      </c>
      <c r="M454">
        <v>-65.229460775199371</v>
      </c>
      <c r="N454">
        <v>0.9</v>
      </c>
      <c r="P454">
        <v>2.6973333333</v>
      </c>
      <c r="Q454">
        <v>-6.4486666666999994</v>
      </c>
      <c r="R454">
        <v>-103.00317132020024</v>
      </c>
      <c r="S454">
        <v>0.9</v>
      </c>
      <c r="U454">
        <v>0</v>
      </c>
      <c r="V454">
        <v>31.508662779400002</v>
      </c>
      <c r="W454">
        <v>745.36086074603406</v>
      </c>
      <c r="X454">
        <v>0.65</v>
      </c>
      <c r="Z454">
        <v>3.5008246180999998</v>
      </c>
      <c r="AA454">
        <v>8.3222105505999995</v>
      </c>
      <c r="AB454">
        <v>-81.233697312165773</v>
      </c>
      <c r="AC454">
        <v>0.9</v>
      </c>
      <c r="AE454">
        <v>23.749161727199997</v>
      </c>
      <c r="AF454">
        <v>23.397688733700001</v>
      </c>
      <c r="AG454">
        <v>123.13490068535576</v>
      </c>
      <c r="AH454">
        <v>0.9</v>
      </c>
      <c r="AJ454">
        <v>51.410833949300006</v>
      </c>
      <c r="AK454">
        <v>21.496108850300001</v>
      </c>
      <c r="AL454">
        <v>240.34423570826186</v>
      </c>
      <c r="AM454">
        <v>0.86996506913969707</v>
      </c>
    </row>
    <row r="455" spans="1:39" x14ac:dyDescent="0.25">
      <c r="A455">
        <v>-45.924680480699998</v>
      </c>
      <c r="B455">
        <v>0</v>
      </c>
      <c r="C455">
        <v>947.13268765107375</v>
      </c>
      <c r="D455">
        <v>0.65</v>
      </c>
      <c r="F455">
        <v>-52.252705759099996</v>
      </c>
      <c r="G455">
        <v>21.613178033999997</v>
      </c>
      <c r="H455">
        <v>388.78244080058681</v>
      </c>
      <c r="I455">
        <v>0.71663939803616983</v>
      </c>
      <c r="K455">
        <v>-4.1933333333</v>
      </c>
      <c r="L455">
        <v>4.1933333333</v>
      </c>
      <c r="M455">
        <v>-126.80317132019965</v>
      </c>
      <c r="N455">
        <v>0.9</v>
      </c>
      <c r="P455">
        <v>-2.2666666666999999</v>
      </c>
      <c r="Q455">
        <v>5.5193333332999996</v>
      </c>
      <c r="R455">
        <v>-113.20317132019967</v>
      </c>
      <c r="S455">
        <v>0.9</v>
      </c>
      <c r="U455">
        <v>0</v>
      </c>
      <c r="V455">
        <v>16.423765783299999</v>
      </c>
      <c r="W455">
        <v>1032.4372651391045</v>
      </c>
      <c r="X455">
        <v>0.65</v>
      </c>
      <c r="Z455">
        <v>2.6973333333</v>
      </c>
      <c r="AA455">
        <v>6.4486666666999994</v>
      </c>
      <c r="AB455">
        <v>-103.00317132019968</v>
      </c>
      <c r="AC455">
        <v>0.9</v>
      </c>
      <c r="AE455">
        <v>27.937931775100001</v>
      </c>
      <c r="AF455">
        <v>28.2463031554</v>
      </c>
      <c r="AG455">
        <v>200.854204084776</v>
      </c>
      <c r="AH455">
        <v>0.9</v>
      </c>
      <c r="AJ455">
        <v>-52.337493272899998</v>
      </c>
      <c r="AK455">
        <v>-21.461851841200001</v>
      </c>
      <c r="AL455">
        <v>312.31535328291955</v>
      </c>
      <c r="AM455">
        <v>0.78573145583888004</v>
      </c>
    </row>
    <row r="456" spans="1:39" x14ac:dyDescent="0.25">
      <c r="A456">
        <v>-66.297538280099999</v>
      </c>
      <c r="B456">
        <v>0</v>
      </c>
      <c r="C456">
        <v>737.75603990872355</v>
      </c>
      <c r="D456">
        <v>0.65</v>
      </c>
      <c r="F456">
        <v>-51.772222156999995</v>
      </c>
      <c r="G456">
        <v>21.222957952199998</v>
      </c>
      <c r="H456">
        <v>249.73180629587964</v>
      </c>
      <c r="I456">
        <v>0.8548768474203553</v>
      </c>
      <c r="K456">
        <v>4.1933333333</v>
      </c>
      <c r="L456">
        <v>-4.1933333333</v>
      </c>
      <c r="M456">
        <v>-126.80317132020019</v>
      </c>
      <c r="N456">
        <v>0.9</v>
      </c>
      <c r="P456">
        <v>-2.0966666667</v>
      </c>
      <c r="Q456">
        <v>5.0489999999999995</v>
      </c>
      <c r="R456">
        <v>-118.30317132019967</v>
      </c>
      <c r="S456">
        <v>0.9</v>
      </c>
      <c r="U456">
        <v>0</v>
      </c>
      <c r="V456">
        <v>19.1718133683</v>
      </c>
      <c r="W456">
        <v>993.34107511662478</v>
      </c>
      <c r="X456">
        <v>0.65</v>
      </c>
      <c r="Z456">
        <v>2.2666666666999999</v>
      </c>
      <c r="AA456">
        <v>5.5193333332999996</v>
      </c>
      <c r="AB456">
        <v>-113.20317132019969</v>
      </c>
      <c r="AC456">
        <v>0.9</v>
      </c>
      <c r="AE456">
        <v>25.361091490600003</v>
      </c>
      <c r="AF456">
        <v>25.583027921399999</v>
      </c>
      <c r="AG456">
        <v>156.3527565204777</v>
      </c>
      <c r="AH456">
        <v>0.9</v>
      </c>
      <c r="AJ456">
        <v>52.004244026799995</v>
      </c>
      <c r="AK456">
        <v>21.29288747</v>
      </c>
      <c r="AL456">
        <v>246.76410550347293</v>
      </c>
      <c r="AM456">
        <v>0.86255117350771759</v>
      </c>
    </row>
    <row r="457" spans="1:39" x14ac:dyDescent="0.25">
      <c r="A457">
        <v>-35.154749710600001</v>
      </c>
      <c r="B457">
        <v>0</v>
      </c>
      <c r="C457">
        <v>1026.2148317339986</v>
      </c>
      <c r="D457">
        <v>0.65</v>
      </c>
      <c r="F457">
        <v>-52.234798601999998</v>
      </c>
      <c r="G457">
        <v>21.522850833299998</v>
      </c>
      <c r="H457">
        <v>376.25349892309902</v>
      </c>
      <c r="I457">
        <v>0.72430537952443197</v>
      </c>
      <c r="K457">
        <v>-4.3633333332999999</v>
      </c>
      <c r="L457">
        <v>4.3463333333000005</v>
      </c>
      <c r="M457">
        <v>-125.10317132019965</v>
      </c>
      <c r="N457">
        <v>0.9</v>
      </c>
      <c r="P457">
        <v>0</v>
      </c>
      <c r="Q457">
        <v>0</v>
      </c>
      <c r="R457">
        <v>-171.00317132019964</v>
      </c>
      <c r="S457">
        <v>0.9</v>
      </c>
      <c r="U457">
        <v>0</v>
      </c>
      <c r="V457">
        <v>31.704486916</v>
      </c>
      <c r="W457">
        <v>742.7498722585575</v>
      </c>
      <c r="X457">
        <v>0.65</v>
      </c>
      <c r="Z457">
        <v>2.2666666666999999</v>
      </c>
      <c r="AA457">
        <v>5.5193333332999996</v>
      </c>
      <c r="AB457">
        <v>-113.20317132019969</v>
      </c>
      <c r="AC457">
        <v>0.9</v>
      </c>
      <c r="AE457">
        <v>24.501737110700002</v>
      </c>
      <c r="AF457">
        <v>24.407729905</v>
      </c>
      <c r="AG457">
        <v>138.1510051912349</v>
      </c>
      <c r="AH457">
        <v>0.9</v>
      </c>
      <c r="AJ457">
        <v>-51.9284290935</v>
      </c>
      <c r="AK457">
        <v>-21.6940627643</v>
      </c>
      <c r="AL457">
        <v>299.60682580059409</v>
      </c>
      <c r="AM457">
        <v>0.80093614986314454</v>
      </c>
    </row>
    <row r="458" spans="1:39" x14ac:dyDescent="0.25">
      <c r="A458">
        <v>-51.0795130781</v>
      </c>
      <c r="B458">
        <v>0</v>
      </c>
      <c r="C458">
        <v>904.69713630092201</v>
      </c>
      <c r="D458">
        <v>0.65</v>
      </c>
      <c r="F458">
        <v>-52.315139924100002</v>
      </c>
      <c r="G458">
        <v>21.609855489699999</v>
      </c>
      <c r="H458">
        <v>352.08804675736343</v>
      </c>
      <c r="I458">
        <v>0.74733205572281147</v>
      </c>
      <c r="K458">
        <v>4.0006666666999999</v>
      </c>
      <c r="L458">
        <v>-4.0403333333000004</v>
      </c>
      <c r="M458">
        <v>-128.50317132020018</v>
      </c>
      <c r="N458">
        <v>0.9</v>
      </c>
      <c r="P458">
        <v>0</v>
      </c>
      <c r="Q458">
        <v>0</v>
      </c>
      <c r="R458">
        <v>-171.00317132019964</v>
      </c>
      <c r="S458">
        <v>0.9</v>
      </c>
      <c r="U458">
        <v>0</v>
      </c>
      <c r="V458">
        <v>19.237088080500001</v>
      </c>
      <c r="W458">
        <v>992.47074562079922</v>
      </c>
      <c r="X458">
        <v>0.65</v>
      </c>
      <c r="Z458">
        <v>0</v>
      </c>
      <c r="AA458">
        <v>0</v>
      </c>
      <c r="AB458">
        <v>-171.00317132019964</v>
      </c>
      <c r="AC458">
        <v>0.9</v>
      </c>
      <c r="AE458">
        <v>24.739959261200003</v>
      </c>
      <c r="AF458">
        <v>24.535196523099998</v>
      </c>
      <c r="AG458">
        <v>140.41722676544069</v>
      </c>
      <c r="AH458">
        <v>0.9</v>
      </c>
      <c r="AJ458">
        <v>50.554502358999997</v>
      </c>
      <c r="AK458">
        <v>21.020736837999998</v>
      </c>
      <c r="AL458">
        <v>206.16319085374076</v>
      </c>
      <c r="AM458">
        <v>0.9</v>
      </c>
    </row>
    <row r="459" spans="1:39" x14ac:dyDescent="0.25">
      <c r="A459">
        <v>-81.868610131300002</v>
      </c>
      <c r="B459">
        <v>0</v>
      </c>
      <c r="C459">
        <v>516.61925287355723</v>
      </c>
      <c r="D459">
        <v>0.7012931034482679</v>
      </c>
      <c r="F459">
        <v>-52.423066144499998</v>
      </c>
      <c r="G459">
        <v>21.555342273600001</v>
      </c>
      <c r="H459">
        <v>344.01848984031091</v>
      </c>
      <c r="I459">
        <v>0.75501847443798353</v>
      </c>
      <c r="K459">
        <v>-4.0006666666999999</v>
      </c>
      <c r="L459">
        <v>4.0403333333000004</v>
      </c>
      <c r="M459">
        <v>-128.50317132019964</v>
      </c>
      <c r="N459">
        <v>0.9</v>
      </c>
      <c r="P459">
        <v>0</v>
      </c>
      <c r="Q459">
        <v>0</v>
      </c>
      <c r="R459">
        <v>-171.00317132019964</v>
      </c>
      <c r="S459">
        <v>0.9</v>
      </c>
      <c r="U459">
        <v>0</v>
      </c>
      <c r="V459">
        <v>19.224033138100001</v>
      </c>
      <c r="W459">
        <v>992.64481151996426</v>
      </c>
      <c r="X459">
        <v>0.65</v>
      </c>
      <c r="Z459">
        <v>0</v>
      </c>
      <c r="AA459">
        <v>0</v>
      </c>
      <c r="AB459">
        <v>-171.00317132019964</v>
      </c>
      <c r="AC459">
        <v>0.9</v>
      </c>
      <c r="AE459">
        <v>26.497821295799998</v>
      </c>
      <c r="AF459">
        <v>26.1776478154</v>
      </c>
      <c r="AG459">
        <v>166.96324399621145</v>
      </c>
      <c r="AH459">
        <v>0.9</v>
      </c>
      <c r="AJ459">
        <v>49.611833859999997</v>
      </c>
      <c r="AK459">
        <v>20.492975718500002</v>
      </c>
      <c r="AL459">
        <v>190.19168677468835</v>
      </c>
      <c r="AM459">
        <v>0.9</v>
      </c>
    </row>
    <row r="460" spans="1:39" x14ac:dyDescent="0.25">
      <c r="A460">
        <v>-63.107150127100006</v>
      </c>
      <c r="B460">
        <v>0</v>
      </c>
      <c r="C460">
        <v>780.19159125887541</v>
      </c>
      <c r="D460">
        <v>0.65</v>
      </c>
      <c r="F460">
        <v>-52.251507093000001</v>
      </c>
      <c r="G460">
        <v>21.555523976999996</v>
      </c>
      <c r="H460">
        <v>306.11713279013827</v>
      </c>
      <c r="I460">
        <v>0.79350760058247882</v>
      </c>
      <c r="K460">
        <v>-4.1933333333</v>
      </c>
      <c r="L460">
        <v>4.1933333333</v>
      </c>
      <c r="M460">
        <v>-126.80317132019965</v>
      </c>
      <c r="N460">
        <v>0.9</v>
      </c>
      <c r="P460">
        <v>0</v>
      </c>
      <c r="Q460">
        <v>0</v>
      </c>
      <c r="R460">
        <v>-171.00317132019964</v>
      </c>
      <c r="S460">
        <v>0.9</v>
      </c>
      <c r="U460">
        <v>0</v>
      </c>
      <c r="V460">
        <v>30.012014506300002</v>
      </c>
      <c r="W460">
        <v>787.41617105432033</v>
      </c>
      <c r="X460">
        <v>0.65</v>
      </c>
      <c r="Z460">
        <v>0</v>
      </c>
      <c r="AA460">
        <v>0</v>
      </c>
      <c r="AB460">
        <v>-171.00317132019964</v>
      </c>
      <c r="AC460">
        <v>0.9</v>
      </c>
      <c r="AE460">
        <v>26.486819523499999</v>
      </c>
      <c r="AF460">
        <v>26.719203493599998</v>
      </c>
      <c r="AG460">
        <v>174.93954192737553</v>
      </c>
      <c r="AH460">
        <v>0.9</v>
      </c>
      <c r="AJ460">
        <v>51.923722081899996</v>
      </c>
      <c r="AK460">
        <v>21.7185390052</v>
      </c>
      <c r="AL460">
        <v>387.37042345630169</v>
      </c>
      <c r="AM460">
        <v>0.71653143815875664</v>
      </c>
    </row>
    <row r="461" spans="1:39" x14ac:dyDescent="0.25">
      <c r="A461">
        <v>-35.0567108953</v>
      </c>
      <c r="B461">
        <v>0</v>
      </c>
      <c r="C461">
        <v>1026.7750535356804</v>
      </c>
      <c r="D461">
        <v>0.65</v>
      </c>
      <c r="F461">
        <v>49.041733433799997</v>
      </c>
      <c r="G461">
        <v>-20.3733463023</v>
      </c>
      <c r="H461">
        <v>643.93877895000549</v>
      </c>
      <c r="I461">
        <v>0.65</v>
      </c>
      <c r="K461">
        <v>4.0006666666999999</v>
      </c>
      <c r="L461">
        <v>-4.0403333333000004</v>
      </c>
      <c r="M461">
        <v>-128.50317132020018</v>
      </c>
      <c r="N461">
        <v>0.9</v>
      </c>
      <c r="P461">
        <v>0</v>
      </c>
      <c r="Q461">
        <v>0</v>
      </c>
      <c r="R461">
        <v>-171.00317132019964</v>
      </c>
      <c r="S461">
        <v>0.9</v>
      </c>
      <c r="U461">
        <v>0</v>
      </c>
      <c r="V461">
        <v>33.961116795599999</v>
      </c>
      <c r="W461">
        <v>658.63925164198452</v>
      </c>
      <c r="X461">
        <v>0.65</v>
      </c>
      <c r="Z461">
        <v>2.2666666666999999</v>
      </c>
      <c r="AA461">
        <v>5.5193333332999996</v>
      </c>
      <c r="AB461">
        <v>-113.20317132019969</v>
      </c>
      <c r="AC461">
        <v>0.9</v>
      </c>
      <c r="AE461">
        <v>24.534921061999999</v>
      </c>
      <c r="AF461">
        <v>24.243474650899998</v>
      </c>
      <c r="AG461">
        <v>135.99871291417691</v>
      </c>
      <c r="AH461">
        <v>0.9</v>
      </c>
      <c r="AJ461">
        <v>48.177158534999997</v>
      </c>
      <c r="AK461">
        <v>20.006884191200001</v>
      </c>
      <c r="AL461">
        <v>172.52018269563601</v>
      </c>
      <c r="AM461">
        <v>0.9</v>
      </c>
    </row>
    <row r="462" spans="1:39" x14ac:dyDescent="0.25">
      <c r="A462">
        <v>-75.128367933700005</v>
      </c>
      <c r="B462">
        <v>0</v>
      </c>
      <c r="C462">
        <v>562.41161649129697</v>
      </c>
      <c r="D462">
        <v>0.65</v>
      </c>
      <c r="F462">
        <v>-51.197170230800005</v>
      </c>
      <c r="G462">
        <v>21.144475604499998</v>
      </c>
      <c r="H462">
        <v>223.85284363637626</v>
      </c>
      <c r="I462">
        <v>0.88529755050857939</v>
      </c>
      <c r="K462">
        <v>-4.1933333333</v>
      </c>
      <c r="L462">
        <v>4.1933333333</v>
      </c>
      <c r="M462">
        <v>-126.80317132019965</v>
      </c>
      <c r="N462">
        <v>0.9</v>
      </c>
      <c r="P462">
        <v>0</v>
      </c>
      <c r="Q462">
        <v>0</v>
      </c>
      <c r="R462">
        <v>-171.00317132019964</v>
      </c>
      <c r="S462">
        <v>0.9</v>
      </c>
      <c r="U462">
        <v>0</v>
      </c>
      <c r="V462">
        <v>16.410710840900002</v>
      </c>
      <c r="W462">
        <v>1032.6113310382696</v>
      </c>
      <c r="X462">
        <v>0.65</v>
      </c>
      <c r="Z462">
        <v>0</v>
      </c>
      <c r="AA462">
        <v>0</v>
      </c>
      <c r="AB462">
        <v>-171.00317132019964</v>
      </c>
      <c r="AC462">
        <v>0.9</v>
      </c>
      <c r="AE462">
        <v>25.416129246599997</v>
      </c>
      <c r="AF462">
        <v>25.631253357700004</v>
      </c>
      <c r="AG462">
        <v>156.9957623384031</v>
      </c>
      <c r="AH462">
        <v>0.9</v>
      </c>
      <c r="AJ462">
        <v>52.495177403899994</v>
      </c>
      <c r="AK462">
        <v>21.308798812500001</v>
      </c>
      <c r="AL462">
        <v>291.56787755680756</v>
      </c>
      <c r="AM462">
        <v>0.80884238165512912</v>
      </c>
    </row>
    <row r="463" spans="1:39" x14ac:dyDescent="0.25">
      <c r="A463">
        <v>-35.122070105500001</v>
      </c>
      <c r="B463">
        <v>0</v>
      </c>
      <c r="C463">
        <v>1026.401572334559</v>
      </c>
      <c r="D463">
        <v>0.65</v>
      </c>
      <c r="F463">
        <v>52.3846328375</v>
      </c>
      <c r="G463">
        <v>-21.444188353400001</v>
      </c>
      <c r="H463">
        <v>312.33342085848801</v>
      </c>
      <c r="I463">
        <v>0.7857769107366549</v>
      </c>
      <c r="K463">
        <v>-3.1393333332999998</v>
      </c>
      <c r="L463">
        <v>3.0996666667000001</v>
      </c>
      <c r="M463">
        <v>-138.70317132019966</v>
      </c>
      <c r="N463">
        <v>0.9</v>
      </c>
      <c r="P463">
        <v>0</v>
      </c>
      <c r="Q463">
        <v>0</v>
      </c>
      <c r="R463">
        <v>-171.00317132019964</v>
      </c>
      <c r="S463">
        <v>0.9</v>
      </c>
      <c r="U463">
        <v>0</v>
      </c>
      <c r="V463">
        <v>19.210978195599999</v>
      </c>
      <c r="W463">
        <v>992.81887741912954</v>
      </c>
      <c r="X463">
        <v>0.65</v>
      </c>
      <c r="Z463">
        <v>0</v>
      </c>
      <c r="AA463">
        <v>0</v>
      </c>
      <c r="AB463">
        <v>-171.00317132019964</v>
      </c>
      <c r="AC463">
        <v>0.9</v>
      </c>
      <c r="AE463">
        <v>26.497066648400001</v>
      </c>
      <c r="AF463">
        <v>26.143703339100004</v>
      </c>
      <c r="AG463">
        <v>166.5106509784703</v>
      </c>
      <c r="AH463">
        <v>0.9</v>
      </c>
      <c r="AJ463">
        <v>50.685063161099997</v>
      </c>
      <c r="AK463">
        <v>21.509075476899998</v>
      </c>
      <c r="AL463">
        <v>230.49889615237623</v>
      </c>
      <c r="AM463">
        <v>0.87751085802426054</v>
      </c>
    </row>
    <row r="464" spans="1:39" x14ac:dyDescent="0.25">
      <c r="A464">
        <v>-72.185369405599999</v>
      </c>
      <c r="B464">
        <v>0</v>
      </c>
      <c r="C464">
        <v>647.28271919160102</v>
      </c>
      <c r="D464">
        <v>0.65</v>
      </c>
      <c r="F464">
        <v>-51.997478855500006</v>
      </c>
      <c r="G464">
        <v>21.295483147199999</v>
      </c>
      <c r="H464">
        <v>246.76238597453437</v>
      </c>
      <c r="I464">
        <v>0.86254516298320294</v>
      </c>
      <c r="K464">
        <v>-3.6266666666999998</v>
      </c>
      <c r="L464">
        <v>3.57</v>
      </c>
      <c r="M464">
        <v>-133.60317132019964</v>
      </c>
      <c r="N464">
        <v>0.9</v>
      </c>
      <c r="P464">
        <v>0</v>
      </c>
      <c r="Q464">
        <v>0</v>
      </c>
      <c r="R464">
        <v>-171.00317132019964</v>
      </c>
      <c r="S464">
        <v>0.9</v>
      </c>
      <c r="U464">
        <v>0</v>
      </c>
      <c r="V464">
        <v>21.765689994799999</v>
      </c>
      <c r="W464">
        <v>953.02642379998952</v>
      </c>
      <c r="X464">
        <v>0.65</v>
      </c>
      <c r="Z464">
        <v>2.0966666667</v>
      </c>
      <c r="AA464">
        <v>5.0489999999999995</v>
      </c>
      <c r="AB464">
        <v>-118.3031713201997</v>
      </c>
      <c r="AC464">
        <v>0.9</v>
      </c>
      <c r="AE464">
        <v>22.243479664400002</v>
      </c>
      <c r="AF464">
        <v>22.262153194500002</v>
      </c>
      <c r="AG464">
        <v>105.42553793979361</v>
      </c>
      <c r="AH464">
        <v>0.9</v>
      </c>
      <c r="AJ464">
        <v>-46.231943453800007</v>
      </c>
      <c r="AK464">
        <v>-19.1227382736</v>
      </c>
      <c r="AL464">
        <v>147.40126746336665</v>
      </c>
      <c r="AM464">
        <v>0.9</v>
      </c>
    </row>
    <row r="465" spans="1:39" x14ac:dyDescent="0.25">
      <c r="A465">
        <v>-69.487009398399991</v>
      </c>
      <c r="B465">
        <v>0</v>
      </c>
      <c r="C465">
        <v>692.51937955016228</v>
      </c>
      <c r="D465">
        <v>0.65</v>
      </c>
      <c r="F465">
        <v>-52.567505973500005</v>
      </c>
      <c r="G465">
        <v>21.507744440900002</v>
      </c>
      <c r="H465">
        <v>370.30522402593488</v>
      </c>
      <c r="I465">
        <v>0.73201257360731453</v>
      </c>
      <c r="K465">
        <v>0</v>
      </c>
      <c r="L465">
        <v>0</v>
      </c>
      <c r="M465">
        <v>-171.00317132019964</v>
      </c>
      <c r="N465">
        <v>0.9</v>
      </c>
      <c r="P465">
        <v>0</v>
      </c>
      <c r="Q465">
        <v>0</v>
      </c>
      <c r="R465">
        <v>-171.00317132019964</v>
      </c>
      <c r="S465">
        <v>0.9</v>
      </c>
      <c r="U465">
        <v>0</v>
      </c>
      <c r="V465">
        <v>36.483515631099998</v>
      </c>
      <c r="W465">
        <v>519.41837827974246</v>
      </c>
      <c r="X465">
        <v>0.65</v>
      </c>
      <c r="Z465">
        <v>2.0966666667</v>
      </c>
      <c r="AA465">
        <v>5.0489999999999995</v>
      </c>
      <c r="AB465">
        <v>-118.3031713201997</v>
      </c>
      <c r="AC465">
        <v>0.9</v>
      </c>
      <c r="AE465">
        <v>25.124324939100003</v>
      </c>
      <c r="AF465">
        <v>24.754113818199997</v>
      </c>
      <c r="AG465">
        <v>144.16723514434588</v>
      </c>
      <c r="AH465">
        <v>0.9</v>
      </c>
      <c r="AJ465">
        <v>49.633927124300001</v>
      </c>
      <c r="AK465">
        <v>20.923078605300002</v>
      </c>
      <c r="AL465">
        <v>197.32743881421453</v>
      </c>
      <c r="AM465">
        <v>0.9</v>
      </c>
    </row>
    <row r="466" spans="1:39" x14ac:dyDescent="0.25">
      <c r="A466">
        <v>-55.743234564399998</v>
      </c>
      <c r="B466">
        <v>0</v>
      </c>
      <c r="C466">
        <v>862.26158495076993</v>
      </c>
      <c r="D466">
        <v>0.65</v>
      </c>
      <c r="F466">
        <v>-49.655452855800007</v>
      </c>
      <c r="G466">
        <v>20.913853291800002</v>
      </c>
      <c r="H466">
        <v>197.32743881421672</v>
      </c>
      <c r="I466">
        <v>0.9</v>
      </c>
      <c r="K466">
        <v>-3.3660000000000001</v>
      </c>
      <c r="L466">
        <v>3.4169999999999998</v>
      </c>
      <c r="M466">
        <v>-135.30317132019965</v>
      </c>
      <c r="N466">
        <v>0.9</v>
      </c>
      <c r="P466">
        <v>0</v>
      </c>
      <c r="Q466">
        <v>0</v>
      </c>
      <c r="R466">
        <v>-171.00317132019964</v>
      </c>
      <c r="S466">
        <v>0.9</v>
      </c>
      <c r="U466">
        <v>0</v>
      </c>
      <c r="V466">
        <v>28.269810677599999</v>
      </c>
      <c r="W466">
        <v>829.47148136260682</v>
      </c>
      <c r="X466">
        <v>0.65</v>
      </c>
      <c r="Z466">
        <v>0</v>
      </c>
      <c r="AA466">
        <v>0</v>
      </c>
      <c r="AB466">
        <v>-171.00317132019964</v>
      </c>
      <c r="AC466">
        <v>0.9</v>
      </c>
      <c r="AE466">
        <v>20.342458513700002</v>
      </c>
      <c r="AF466">
        <v>20.502453934599998</v>
      </c>
      <c r="AG466">
        <v>79.809547807566929</v>
      </c>
      <c r="AH466">
        <v>0.9</v>
      </c>
      <c r="AJ466">
        <v>51.196664447700002</v>
      </c>
      <c r="AK466">
        <v>21.144670985900003</v>
      </c>
      <c r="AL466">
        <v>223.85273254261668</v>
      </c>
      <c r="AM466">
        <v>0.8852971111528406</v>
      </c>
    </row>
    <row r="467" spans="1:39" x14ac:dyDescent="0.25">
      <c r="A467">
        <v>-71.204981252600007</v>
      </c>
      <c r="B467">
        <v>0</v>
      </c>
      <c r="C467">
        <v>652.88493720841961</v>
      </c>
      <c r="D467">
        <v>0.65</v>
      </c>
      <c r="F467">
        <v>-51.806468586800001</v>
      </c>
      <c r="G467">
        <v>21.932477457599997</v>
      </c>
      <c r="H467">
        <v>329.9895435567642</v>
      </c>
      <c r="I467">
        <v>0.77019037265334211</v>
      </c>
      <c r="K467">
        <v>0</v>
      </c>
      <c r="L467">
        <v>0</v>
      </c>
      <c r="M467">
        <v>-171.00317132019964</v>
      </c>
      <c r="N467">
        <v>0.9</v>
      </c>
      <c r="P467">
        <v>-1.6319999999999999</v>
      </c>
      <c r="Q467">
        <v>3.944</v>
      </c>
      <c r="R467">
        <v>-130.20317132019966</v>
      </c>
      <c r="S467">
        <v>0.9</v>
      </c>
      <c r="U467">
        <v>0</v>
      </c>
      <c r="V467">
        <v>34.721098401999996</v>
      </c>
      <c r="W467">
        <v>616.58394133369802</v>
      </c>
      <c r="X467">
        <v>0.65</v>
      </c>
      <c r="Z467">
        <v>0</v>
      </c>
      <c r="AA467">
        <v>0</v>
      </c>
      <c r="AB467">
        <v>-171.00317132019964</v>
      </c>
      <c r="AC467">
        <v>0.9</v>
      </c>
      <c r="AE467">
        <v>21.559596663799997</v>
      </c>
      <c r="AF467">
        <v>21.439845135700001</v>
      </c>
      <c r="AG467">
        <v>93.743652711993363</v>
      </c>
      <c r="AH467">
        <v>0.9</v>
      </c>
      <c r="AJ467">
        <v>49.259158752800005</v>
      </c>
      <c r="AK467">
        <v>20.359169812099999</v>
      </c>
      <c r="AL467">
        <v>184.75593473516213</v>
      </c>
      <c r="AM467">
        <v>0.9</v>
      </c>
    </row>
    <row r="468" spans="1:39" x14ac:dyDescent="0.25">
      <c r="A468">
        <v>-62.616956050600002</v>
      </c>
      <c r="B468">
        <v>0</v>
      </c>
      <c r="C468">
        <v>782.99270026728482</v>
      </c>
      <c r="D468">
        <v>0.65</v>
      </c>
      <c r="F468">
        <v>-51.816744934600003</v>
      </c>
      <c r="G468">
        <v>21.407547523200002</v>
      </c>
      <c r="H468">
        <v>281.65150411268013</v>
      </c>
      <c r="I468">
        <v>0.81640163967906887</v>
      </c>
      <c r="K468">
        <v>-3.1393333332999998</v>
      </c>
      <c r="L468">
        <v>3.0996666667000001</v>
      </c>
      <c r="M468">
        <v>-138.70317132019966</v>
      </c>
      <c r="N468">
        <v>0.9</v>
      </c>
      <c r="P468">
        <v>0</v>
      </c>
      <c r="Q468">
        <v>0</v>
      </c>
      <c r="R468">
        <v>-171.00317132019964</v>
      </c>
      <c r="S468">
        <v>0.9</v>
      </c>
      <c r="U468">
        <v>0</v>
      </c>
      <c r="V468">
        <v>36.287691494500002</v>
      </c>
      <c r="W468">
        <v>522.02936676721902</v>
      </c>
      <c r="X468">
        <v>0.65</v>
      </c>
      <c r="Z468">
        <v>0</v>
      </c>
      <c r="AA468">
        <v>0</v>
      </c>
      <c r="AB468">
        <v>-171.00317132019964</v>
      </c>
      <c r="AC468">
        <v>0.9</v>
      </c>
      <c r="AE468">
        <v>4.4322492936</v>
      </c>
      <c r="AF468">
        <v>4.3758687449</v>
      </c>
      <c r="AG468">
        <v>-124.70936583279043</v>
      </c>
      <c r="AH468">
        <v>0.9</v>
      </c>
      <c r="AJ468">
        <v>51.472334613900003</v>
      </c>
      <c r="AK468">
        <v>21.578182641799998</v>
      </c>
      <c r="AL468">
        <v>281.62005045085772</v>
      </c>
      <c r="AM468">
        <v>0.81631046735898738</v>
      </c>
    </row>
    <row r="469" spans="1:39" x14ac:dyDescent="0.25">
      <c r="A469">
        <v>-66.787732356500001</v>
      </c>
      <c r="B469">
        <v>0</v>
      </c>
      <c r="C469">
        <v>734.95493090031425</v>
      </c>
      <c r="D469">
        <v>0.65</v>
      </c>
      <c r="F469">
        <v>-51.430915500200001</v>
      </c>
      <c r="G469">
        <v>21.037356017799997</v>
      </c>
      <c r="H469">
        <v>218.72695406542189</v>
      </c>
      <c r="I469">
        <v>0.89302756409963235</v>
      </c>
      <c r="K469">
        <v>0</v>
      </c>
      <c r="L469">
        <v>0</v>
      </c>
      <c r="M469">
        <v>-171.00317132019964</v>
      </c>
      <c r="N469">
        <v>0.9</v>
      </c>
      <c r="P469">
        <v>0</v>
      </c>
      <c r="Q469">
        <v>0</v>
      </c>
      <c r="R469">
        <v>-171.00317132019964</v>
      </c>
      <c r="S469">
        <v>0.9</v>
      </c>
      <c r="U469">
        <v>0</v>
      </c>
      <c r="V469">
        <v>35.8229968626</v>
      </c>
      <c r="W469">
        <v>566.69566556298196</v>
      </c>
      <c r="X469">
        <v>0.65</v>
      </c>
      <c r="Z469">
        <v>0</v>
      </c>
      <c r="AA469">
        <v>0</v>
      </c>
      <c r="AB469">
        <v>-171.00317132019964</v>
      </c>
      <c r="AC469">
        <v>0.9</v>
      </c>
      <c r="AE469">
        <v>4.3633333332999999</v>
      </c>
      <c r="AF469">
        <v>4.3463333333000005</v>
      </c>
      <c r="AG469">
        <v>-125.10317132019968</v>
      </c>
      <c r="AH469">
        <v>0.9</v>
      </c>
      <c r="AJ469">
        <v>51.355572216600002</v>
      </c>
      <c r="AK469">
        <v>21.034421184799999</v>
      </c>
      <c r="AL469">
        <v>213.29894289326694</v>
      </c>
      <c r="AM469">
        <v>0.9</v>
      </c>
    </row>
    <row r="470" spans="1:39" x14ac:dyDescent="0.25">
      <c r="A470">
        <v>-55.253040487899995</v>
      </c>
      <c r="B470">
        <v>0</v>
      </c>
      <c r="C470">
        <v>865.06269395917911</v>
      </c>
      <c r="D470">
        <v>0.65</v>
      </c>
      <c r="F470">
        <v>-51.742399186900002</v>
      </c>
      <c r="G470">
        <v>21.781946675700002</v>
      </c>
      <c r="H470">
        <v>319.74878947828671</v>
      </c>
      <c r="I470">
        <v>0.77782834213295593</v>
      </c>
      <c r="K470">
        <v>0</v>
      </c>
      <c r="L470">
        <v>0</v>
      </c>
      <c r="M470">
        <v>-171.00317132019964</v>
      </c>
      <c r="N470">
        <v>0.9</v>
      </c>
      <c r="P470">
        <v>0</v>
      </c>
      <c r="Q470">
        <v>0</v>
      </c>
      <c r="R470">
        <v>-171.00317132019964</v>
      </c>
      <c r="S470">
        <v>0.9</v>
      </c>
      <c r="U470">
        <v>0</v>
      </c>
      <c r="V470">
        <v>26.477875429999997</v>
      </c>
      <c r="W470">
        <v>868.91580318341641</v>
      </c>
      <c r="X470">
        <v>0.65</v>
      </c>
      <c r="Z470">
        <v>0</v>
      </c>
      <c r="AA470">
        <v>0</v>
      </c>
      <c r="AB470">
        <v>-171.00317132019964</v>
      </c>
      <c r="AC470">
        <v>0.9</v>
      </c>
      <c r="AE470">
        <v>4.3633333332999999</v>
      </c>
      <c r="AF470">
        <v>4.3463333333000005</v>
      </c>
      <c r="AG470">
        <v>-125.10317132019968</v>
      </c>
      <c r="AH470">
        <v>0.9</v>
      </c>
      <c r="AJ470">
        <v>51.430752546299999</v>
      </c>
      <c r="AK470">
        <v>21.0374190816</v>
      </c>
      <c r="AL470">
        <v>218.72691967348686</v>
      </c>
      <c r="AM470">
        <v>0.89302742368280896</v>
      </c>
    </row>
    <row r="471" spans="1:39" x14ac:dyDescent="0.25">
      <c r="A471">
        <v>-71.695175329099996</v>
      </c>
      <c r="B471">
        <v>0</v>
      </c>
      <c r="C471">
        <v>650.08382820001032</v>
      </c>
      <c r="D471">
        <v>0.65</v>
      </c>
      <c r="F471">
        <v>52.054472019100004</v>
      </c>
      <c r="G471">
        <v>-21.457445001099998</v>
      </c>
      <c r="H471">
        <v>277.82483694882973</v>
      </c>
      <c r="I471">
        <v>0.82425259888439717</v>
      </c>
      <c r="K471">
        <v>0</v>
      </c>
      <c r="L471">
        <v>0</v>
      </c>
      <c r="M471">
        <v>-171.00317132019964</v>
      </c>
      <c r="N471">
        <v>0.9</v>
      </c>
      <c r="P471">
        <v>0</v>
      </c>
      <c r="Q471">
        <v>0</v>
      </c>
      <c r="R471">
        <v>-171.00317132019964</v>
      </c>
      <c r="S471">
        <v>0.9</v>
      </c>
      <c r="U471">
        <v>0</v>
      </c>
      <c r="V471">
        <v>34.916922538600005</v>
      </c>
      <c r="W471">
        <v>613.97295284622146</v>
      </c>
      <c r="X471">
        <v>0.65</v>
      </c>
      <c r="Z471">
        <v>0</v>
      </c>
      <c r="AA471">
        <v>0</v>
      </c>
      <c r="AB471">
        <v>-171.00317132019964</v>
      </c>
      <c r="AC471">
        <v>0.9</v>
      </c>
      <c r="AE471">
        <v>8.2735412711000009</v>
      </c>
      <c r="AF471">
        <v>8.3786605448000007</v>
      </c>
      <c r="AG471">
        <v>-77.194364056557887</v>
      </c>
      <c r="AH471">
        <v>0.9</v>
      </c>
      <c r="AJ471">
        <v>48.656095046099999</v>
      </c>
      <c r="AK471">
        <v>19.801625686400001</v>
      </c>
      <c r="AL471">
        <v>171.29165751459345</v>
      </c>
      <c r="AM471">
        <v>0.9</v>
      </c>
    </row>
    <row r="472" spans="1:39" x14ac:dyDescent="0.25">
      <c r="A472">
        <v>-59.425650863100003</v>
      </c>
      <c r="B472">
        <v>0</v>
      </c>
      <c r="C472">
        <v>822.62714260902737</v>
      </c>
      <c r="D472">
        <v>0.65</v>
      </c>
      <c r="F472">
        <v>-51.4081360574</v>
      </c>
      <c r="G472">
        <v>21.497145999600001</v>
      </c>
      <c r="H472">
        <v>240.34357816008344</v>
      </c>
      <c r="I472">
        <v>0.8699626890370642</v>
      </c>
      <c r="K472">
        <v>0</v>
      </c>
      <c r="L472">
        <v>0</v>
      </c>
      <c r="M472">
        <v>-171.00317132019964</v>
      </c>
      <c r="N472">
        <v>0.9</v>
      </c>
      <c r="P472">
        <v>0</v>
      </c>
      <c r="Q472">
        <v>0</v>
      </c>
      <c r="R472">
        <v>-171.00317132019964</v>
      </c>
      <c r="S472">
        <v>0.9</v>
      </c>
      <c r="U472">
        <v>0</v>
      </c>
      <c r="V472">
        <v>29.816190369800001</v>
      </c>
      <c r="W472">
        <v>790.02715954179689</v>
      </c>
      <c r="X472">
        <v>0.65</v>
      </c>
      <c r="Z472">
        <v>0</v>
      </c>
      <c r="AA472">
        <v>0</v>
      </c>
      <c r="AB472">
        <v>-171.00317132019964</v>
      </c>
      <c r="AC472">
        <v>0.9</v>
      </c>
      <c r="AE472">
        <v>4.0006666666999999</v>
      </c>
      <c r="AF472">
        <v>4.0403333333000004</v>
      </c>
      <c r="AG472">
        <v>-128.50317132019967</v>
      </c>
      <c r="AH472">
        <v>0.9</v>
      </c>
      <c r="AJ472">
        <v>46.606359321100001</v>
      </c>
      <c r="AK472">
        <v>19.571036235199998</v>
      </c>
      <c r="AL472">
        <v>154.26840575302751</v>
      </c>
      <c r="AM472">
        <v>0.9</v>
      </c>
    </row>
    <row r="473" spans="1:39" x14ac:dyDescent="0.25">
      <c r="A473">
        <v>-88.48730282599999</v>
      </c>
      <c r="B473">
        <v>0</v>
      </c>
      <c r="C473">
        <v>491.56908524903628</v>
      </c>
      <c r="D473">
        <v>0.78861350574711708</v>
      </c>
      <c r="F473">
        <v>-51.360255383699993</v>
      </c>
      <c r="G473">
        <v>21.0324141131</v>
      </c>
      <c r="H473">
        <v>213.29894289326907</v>
      </c>
      <c r="I473">
        <v>0.9</v>
      </c>
      <c r="K473">
        <v>0</v>
      </c>
      <c r="L473">
        <v>0</v>
      </c>
      <c r="M473">
        <v>-171.00317132019964</v>
      </c>
      <c r="N473">
        <v>0.9</v>
      </c>
      <c r="P473">
        <v>0</v>
      </c>
      <c r="Q473">
        <v>0</v>
      </c>
      <c r="R473">
        <v>-171.00317132019964</v>
      </c>
      <c r="S473">
        <v>0.9</v>
      </c>
      <c r="U473">
        <v>0</v>
      </c>
      <c r="V473">
        <v>37.458529282400001</v>
      </c>
      <c r="W473">
        <v>492.80459770114351</v>
      </c>
      <c r="X473">
        <v>0.66896551724137143</v>
      </c>
      <c r="Z473">
        <v>0</v>
      </c>
      <c r="AA473">
        <v>0</v>
      </c>
      <c r="AB473">
        <v>-171.00317132019964</v>
      </c>
      <c r="AC473">
        <v>0.9</v>
      </c>
      <c r="AE473">
        <v>4.1933333333</v>
      </c>
      <c r="AF473">
        <v>4.1933333333</v>
      </c>
      <c r="AG473">
        <v>-126.80317132019968</v>
      </c>
      <c r="AH473">
        <v>0.9</v>
      </c>
      <c r="AJ473">
        <v>-51.563535648099993</v>
      </c>
      <c r="AK473">
        <v>-21.572785598399999</v>
      </c>
      <c r="AL473">
        <v>264.81667490011591</v>
      </c>
      <c r="AM473">
        <v>0.83925221981316489</v>
      </c>
    </row>
    <row r="474" spans="1:39" x14ac:dyDescent="0.25">
      <c r="A474">
        <v>-74.392618301599995</v>
      </c>
      <c r="B474">
        <v>0</v>
      </c>
      <c r="C474">
        <v>602.04605883303975</v>
      </c>
      <c r="D474">
        <v>0.65</v>
      </c>
      <c r="F474">
        <v>-48.645215760799999</v>
      </c>
      <c r="G474">
        <v>19.8062882372</v>
      </c>
      <c r="H474">
        <v>171.22949017022066</v>
      </c>
      <c r="I474">
        <v>0.9</v>
      </c>
      <c r="K474">
        <v>0</v>
      </c>
      <c r="L474">
        <v>0</v>
      </c>
      <c r="M474">
        <v>-171.00317132019964</v>
      </c>
      <c r="N474">
        <v>0.9</v>
      </c>
      <c r="P474">
        <v>0</v>
      </c>
      <c r="Q474">
        <v>0</v>
      </c>
      <c r="R474">
        <v>-171.00317132019964</v>
      </c>
      <c r="S474">
        <v>0.9</v>
      </c>
      <c r="U474">
        <v>0</v>
      </c>
      <c r="V474">
        <v>35.1127466752</v>
      </c>
      <c r="W474">
        <v>611.36196435874501</v>
      </c>
      <c r="X474">
        <v>0.65</v>
      </c>
      <c r="Z474">
        <v>0</v>
      </c>
      <c r="AA474">
        <v>0</v>
      </c>
      <c r="AB474">
        <v>-171.00317132019964</v>
      </c>
      <c r="AC474">
        <v>0.9</v>
      </c>
      <c r="AE474">
        <v>4.1933333333</v>
      </c>
      <c r="AF474">
        <v>4.1933333333</v>
      </c>
      <c r="AG474">
        <v>-126.80317132019968</v>
      </c>
      <c r="AH474">
        <v>0.9</v>
      </c>
      <c r="AJ474">
        <v>-45.135721097200005</v>
      </c>
      <c r="AK474">
        <v>-19.009690712099999</v>
      </c>
      <c r="AL474">
        <v>138.48190161610191</v>
      </c>
      <c r="AM474">
        <v>0.9</v>
      </c>
    </row>
    <row r="475" spans="1:39" x14ac:dyDescent="0.25">
      <c r="A475">
        <v>-80.941906441499995</v>
      </c>
      <c r="B475">
        <v>0</v>
      </c>
      <c r="C475">
        <v>510.77143199233132</v>
      </c>
      <c r="D475">
        <v>0.69335488505746345</v>
      </c>
      <c r="F475">
        <v>-48.513014441900005</v>
      </c>
      <c r="G475">
        <v>19.9948983263</v>
      </c>
      <c r="H475">
        <v>174.2201826956383</v>
      </c>
      <c r="I475">
        <v>0.9</v>
      </c>
      <c r="K475">
        <v>-3.3660000000000001</v>
      </c>
      <c r="L475">
        <v>3.4169999999999998</v>
      </c>
      <c r="M475">
        <v>-135.30317132019965</v>
      </c>
      <c r="N475">
        <v>0.9</v>
      </c>
      <c r="P475">
        <v>0</v>
      </c>
      <c r="Q475">
        <v>0</v>
      </c>
      <c r="R475">
        <v>-171.00317132019964</v>
      </c>
      <c r="S475">
        <v>0.9</v>
      </c>
      <c r="U475">
        <v>0</v>
      </c>
      <c r="V475">
        <v>31.312838642900001</v>
      </c>
      <c r="W475">
        <v>747.97184923351062</v>
      </c>
      <c r="X475">
        <v>0.65</v>
      </c>
      <c r="Z475">
        <v>0</v>
      </c>
      <c r="AA475">
        <v>0</v>
      </c>
      <c r="AB475">
        <v>-171.00317132019964</v>
      </c>
      <c r="AC475">
        <v>0.9</v>
      </c>
      <c r="AE475">
        <v>4.1933333333</v>
      </c>
      <c r="AF475">
        <v>4.1933333333</v>
      </c>
      <c r="AG475">
        <v>-126.80317132019968</v>
      </c>
      <c r="AH475">
        <v>0.9</v>
      </c>
      <c r="AJ475">
        <v>-43.415450615500006</v>
      </c>
      <c r="AK475">
        <v>-18.3602352043</v>
      </c>
      <c r="AL475">
        <v>121.18797505407748</v>
      </c>
      <c r="AM475">
        <v>0.9</v>
      </c>
    </row>
    <row r="476" spans="1:39" x14ac:dyDescent="0.25">
      <c r="A476">
        <v>-75.618562010100007</v>
      </c>
      <c r="B476">
        <v>0</v>
      </c>
      <c r="C476">
        <v>559.61050748288767</v>
      </c>
      <c r="D476">
        <v>0.65</v>
      </c>
      <c r="F476">
        <v>-49.2067128467</v>
      </c>
      <c r="G476">
        <v>20.2415990099</v>
      </c>
      <c r="H476">
        <v>183.05593473516447</v>
      </c>
      <c r="I476">
        <v>0.9</v>
      </c>
      <c r="K476">
        <v>0</v>
      </c>
      <c r="L476">
        <v>0</v>
      </c>
      <c r="M476">
        <v>-171.00317132019964</v>
      </c>
      <c r="N476">
        <v>0.9</v>
      </c>
      <c r="P476">
        <v>0</v>
      </c>
      <c r="Q476">
        <v>0</v>
      </c>
      <c r="R476">
        <v>-171.00317132019964</v>
      </c>
      <c r="S476">
        <v>0.9</v>
      </c>
      <c r="U476">
        <v>0</v>
      </c>
      <c r="V476">
        <v>35.896043221399999</v>
      </c>
      <c r="W476">
        <v>527.25134374217203</v>
      </c>
      <c r="X476">
        <v>0.65</v>
      </c>
      <c r="Z476">
        <v>0</v>
      </c>
      <c r="AA476">
        <v>0</v>
      </c>
      <c r="AB476">
        <v>-171.00317132019964</v>
      </c>
      <c r="AC476">
        <v>0.9</v>
      </c>
      <c r="AE476">
        <v>3.6266666666999998</v>
      </c>
      <c r="AF476">
        <v>3.57</v>
      </c>
      <c r="AG476">
        <v>-133.60317132019966</v>
      </c>
      <c r="AH476">
        <v>0.9</v>
      </c>
      <c r="AJ476">
        <v>48.083270407999997</v>
      </c>
      <c r="AK476">
        <v>19.628598150400002</v>
      </c>
      <c r="AL476">
        <v>165.70313577298549</v>
      </c>
      <c r="AM476">
        <v>0.9</v>
      </c>
    </row>
    <row r="477" spans="1:39" x14ac:dyDescent="0.25">
      <c r="A477">
        <v>-76.108756086599996</v>
      </c>
      <c r="B477">
        <v>0</v>
      </c>
      <c r="C477">
        <v>556.80939847447837</v>
      </c>
      <c r="D477">
        <v>0.65</v>
      </c>
      <c r="F477">
        <v>-50.683839022999997</v>
      </c>
      <c r="G477">
        <v>21.509547275399999</v>
      </c>
      <c r="H477">
        <v>230.49861446391813</v>
      </c>
      <c r="I477">
        <v>0.87750978563438586</v>
      </c>
      <c r="K477">
        <v>0</v>
      </c>
      <c r="L477">
        <v>0</v>
      </c>
      <c r="M477">
        <v>-171.00317132019964</v>
      </c>
      <c r="N477">
        <v>0.9</v>
      </c>
      <c r="P477">
        <v>0</v>
      </c>
      <c r="Q477">
        <v>0</v>
      </c>
      <c r="R477">
        <v>-171.00317132019964</v>
      </c>
      <c r="S477">
        <v>0.9</v>
      </c>
      <c r="U477">
        <v>0</v>
      </c>
      <c r="V477">
        <v>36.091867358000002</v>
      </c>
      <c r="W477">
        <v>524.64035525469546</v>
      </c>
      <c r="X477">
        <v>0.65</v>
      </c>
      <c r="Z477">
        <v>0</v>
      </c>
      <c r="AA477">
        <v>0</v>
      </c>
      <c r="AB477">
        <v>-171.00317132019964</v>
      </c>
      <c r="AC477">
        <v>0.9</v>
      </c>
      <c r="AE477">
        <v>-6.1865849673</v>
      </c>
      <c r="AF477">
        <v>-6.0797268907999999</v>
      </c>
      <c r="AG477">
        <v>-104.4845905544116</v>
      </c>
      <c r="AH477">
        <v>0.9</v>
      </c>
      <c r="AJ477">
        <v>-52.017185068500005</v>
      </c>
      <c r="AK477">
        <v>-21.471593736900001</v>
      </c>
      <c r="AL477">
        <v>277.81321151790155</v>
      </c>
      <c r="AM477">
        <v>0.82421810847755239</v>
      </c>
    </row>
    <row r="478" spans="1:39" x14ac:dyDescent="0.25">
      <c r="A478">
        <v>-82.367363934799997</v>
      </c>
      <c r="B478">
        <v>0</v>
      </c>
      <c r="C478">
        <v>487.67528735631618</v>
      </c>
      <c r="D478">
        <v>0.717169540229877</v>
      </c>
      <c r="F478">
        <v>-43.2576348391</v>
      </c>
      <c r="G478">
        <v>18.107299108499998</v>
      </c>
      <c r="H478">
        <v>118.44045633170327</v>
      </c>
      <c r="I478">
        <v>0.9</v>
      </c>
      <c r="K478">
        <v>0</v>
      </c>
      <c r="L478">
        <v>0</v>
      </c>
      <c r="M478">
        <v>-171.00317132019964</v>
      </c>
      <c r="N478">
        <v>0.9</v>
      </c>
      <c r="P478">
        <v>0</v>
      </c>
      <c r="Q478">
        <v>0</v>
      </c>
      <c r="R478">
        <v>-171.00317132019964</v>
      </c>
      <c r="S478">
        <v>0.9</v>
      </c>
      <c r="U478">
        <v>0</v>
      </c>
      <c r="V478">
        <v>33.765292659000004</v>
      </c>
      <c r="W478">
        <v>661.25024012946108</v>
      </c>
      <c r="X478">
        <v>0.65</v>
      </c>
      <c r="Z478">
        <v>0</v>
      </c>
      <c r="AA478">
        <v>0</v>
      </c>
      <c r="AB478">
        <v>-171.00317132019964</v>
      </c>
      <c r="AC478">
        <v>0.9</v>
      </c>
      <c r="AE478">
        <v>4.1933333333</v>
      </c>
      <c r="AF478">
        <v>4.1933333333</v>
      </c>
      <c r="AG478">
        <v>-126.80317132019968</v>
      </c>
      <c r="AH478">
        <v>0.9</v>
      </c>
      <c r="AJ478">
        <v>-46.006302498699995</v>
      </c>
      <c r="AK478">
        <v>-18.924774873400001</v>
      </c>
      <c r="AL478">
        <v>144.52522391049317</v>
      </c>
      <c r="AM478">
        <v>0.9</v>
      </c>
    </row>
    <row r="479" spans="1:39" x14ac:dyDescent="0.25">
      <c r="A479">
        <v>-73.412230148700004</v>
      </c>
      <c r="B479">
        <v>0</v>
      </c>
      <c r="C479">
        <v>607.64827684985823</v>
      </c>
      <c r="D479">
        <v>0.65</v>
      </c>
      <c r="F479">
        <v>-52.129822040400001</v>
      </c>
      <c r="G479">
        <v>21.508641064100001</v>
      </c>
      <c r="H479">
        <v>298.14011985499178</v>
      </c>
      <c r="I479">
        <v>0.80106021136985783</v>
      </c>
      <c r="K479">
        <v>0</v>
      </c>
      <c r="L479">
        <v>0</v>
      </c>
      <c r="M479">
        <v>-171.00317132019964</v>
      </c>
      <c r="N479">
        <v>0.9</v>
      </c>
      <c r="P479">
        <v>0</v>
      </c>
      <c r="Q479">
        <v>0</v>
      </c>
      <c r="R479">
        <v>-171.00317132019964</v>
      </c>
      <c r="S479">
        <v>0.9</v>
      </c>
      <c r="U479">
        <v>0</v>
      </c>
      <c r="V479">
        <v>36.6298719551</v>
      </c>
      <c r="W479">
        <v>481.90277777777214</v>
      </c>
      <c r="X479">
        <v>0.65416666666665912</v>
      </c>
      <c r="Z479">
        <v>0</v>
      </c>
      <c r="AA479">
        <v>0</v>
      </c>
      <c r="AB479">
        <v>-171.00317132019964</v>
      </c>
      <c r="AC479">
        <v>0.9</v>
      </c>
      <c r="AE479">
        <v>3.6266666666999998</v>
      </c>
      <c r="AF479">
        <v>3.57</v>
      </c>
      <c r="AG479">
        <v>-133.60317132019966</v>
      </c>
      <c r="AH479">
        <v>0.9</v>
      </c>
      <c r="AJ479">
        <v>46.882963567899999</v>
      </c>
      <c r="AK479">
        <v>19.608729653200001</v>
      </c>
      <c r="AL479">
        <v>157.3547157344552</v>
      </c>
      <c r="AM479">
        <v>0.9</v>
      </c>
    </row>
    <row r="480" spans="1:39" x14ac:dyDescent="0.25">
      <c r="A480">
        <v>-76.353394607500007</v>
      </c>
      <c r="B480">
        <v>0</v>
      </c>
      <c r="C480">
        <v>517.1749561327357</v>
      </c>
      <c r="D480">
        <v>0.65</v>
      </c>
      <c r="F480">
        <v>-48.829565918</v>
      </c>
      <c r="G480">
        <v>19.9281427773</v>
      </c>
      <c r="H480">
        <v>670.06206141977907</v>
      </c>
      <c r="I480">
        <v>0.65</v>
      </c>
      <c r="K480">
        <v>0</v>
      </c>
      <c r="L480">
        <v>0</v>
      </c>
      <c r="M480">
        <v>-171.00317132019964</v>
      </c>
      <c r="N480">
        <v>0.9</v>
      </c>
      <c r="P480">
        <v>0</v>
      </c>
      <c r="Q480">
        <v>0</v>
      </c>
      <c r="R480">
        <v>-171.00317132019964</v>
      </c>
      <c r="S480">
        <v>0.9</v>
      </c>
      <c r="U480">
        <v>0</v>
      </c>
      <c r="V480">
        <v>38.4560897864</v>
      </c>
      <c r="W480">
        <v>475.02298850574124</v>
      </c>
      <c r="X480">
        <v>0.69856321839079616</v>
      </c>
      <c r="Z480">
        <v>0</v>
      </c>
      <c r="AA480">
        <v>0</v>
      </c>
      <c r="AB480">
        <v>-171.00317132019964</v>
      </c>
      <c r="AC480">
        <v>0.9</v>
      </c>
      <c r="AE480">
        <v>4.0006666666999999</v>
      </c>
      <c r="AF480">
        <v>4.0403333333000004</v>
      </c>
      <c r="AG480">
        <v>-128.50317132019967</v>
      </c>
      <c r="AH480">
        <v>0.9</v>
      </c>
      <c r="AJ480">
        <v>39.9169421661</v>
      </c>
      <c r="AK480">
        <v>16.500072158800002</v>
      </c>
      <c r="AL480">
        <v>84.034593438398687</v>
      </c>
      <c r="AM480">
        <v>0.9</v>
      </c>
    </row>
    <row r="481" spans="1:39" x14ac:dyDescent="0.25">
      <c r="A481">
        <v>-77.984907295499994</v>
      </c>
      <c r="B481">
        <v>0</v>
      </c>
      <c r="C481">
        <v>524.87092911876812</v>
      </c>
      <c r="D481">
        <v>0.66160201149424558</v>
      </c>
      <c r="F481">
        <v>-50.551922340499999</v>
      </c>
      <c r="G481">
        <v>21.0218425602</v>
      </c>
      <c r="H481">
        <v>206.1631908537428</v>
      </c>
      <c r="I481">
        <v>0.9</v>
      </c>
      <c r="K481">
        <v>0</v>
      </c>
      <c r="L481">
        <v>0</v>
      </c>
      <c r="M481">
        <v>-171.00317132019964</v>
      </c>
      <c r="N481">
        <v>0.9</v>
      </c>
      <c r="P481">
        <v>0</v>
      </c>
      <c r="Q481">
        <v>0</v>
      </c>
      <c r="R481">
        <v>-171.00317132019964</v>
      </c>
      <c r="S481">
        <v>0.9</v>
      </c>
      <c r="U481">
        <v>0</v>
      </c>
      <c r="V481">
        <v>36.311006434300005</v>
      </c>
      <c r="W481">
        <v>479.97405645893252</v>
      </c>
      <c r="X481">
        <v>0.65</v>
      </c>
      <c r="Z481">
        <v>0</v>
      </c>
      <c r="AA481">
        <v>0</v>
      </c>
      <c r="AB481">
        <v>-171.00317132019964</v>
      </c>
      <c r="AC481">
        <v>0.9</v>
      </c>
      <c r="AE481">
        <v>3.1393333332999998</v>
      </c>
      <c r="AF481">
        <v>3.0996666667000001</v>
      </c>
      <c r="AG481">
        <v>-138.70317132019966</v>
      </c>
      <c r="AH481">
        <v>0.9</v>
      </c>
      <c r="AJ481">
        <v>-51.701152027199996</v>
      </c>
      <c r="AK481">
        <v>-21.2791538426</v>
      </c>
      <c r="AL481">
        <v>255.77673067888415</v>
      </c>
      <c r="AM481">
        <v>0.84710111947826416</v>
      </c>
    </row>
    <row r="482" spans="1:39" x14ac:dyDescent="0.25">
      <c r="A482">
        <v>-87.596585726300006</v>
      </c>
      <c r="B482">
        <v>0</v>
      </c>
      <c r="C482">
        <v>486.62092911876817</v>
      </c>
      <c r="D482">
        <v>0.78067528735631264</v>
      </c>
      <c r="F482">
        <v>45.974553635700005</v>
      </c>
      <c r="G482">
        <v>-18.938381529000001</v>
      </c>
      <c r="H482">
        <v>144.34380183599592</v>
      </c>
      <c r="I482">
        <v>0.9</v>
      </c>
      <c r="K482">
        <v>0</v>
      </c>
      <c r="L482">
        <v>0</v>
      </c>
      <c r="M482">
        <v>-171.00317132019964</v>
      </c>
      <c r="N482">
        <v>0.9</v>
      </c>
      <c r="P482">
        <v>0</v>
      </c>
      <c r="Q482">
        <v>0</v>
      </c>
      <c r="R482">
        <v>-171.00317132019964</v>
      </c>
      <c r="S482">
        <v>0.9</v>
      </c>
      <c r="U482">
        <v>0</v>
      </c>
      <c r="V482">
        <v>35.431348589499997</v>
      </c>
      <c r="W482">
        <v>571.91764253793508</v>
      </c>
      <c r="X482">
        <v>0.65</v>
      </c>
      <c r="Z482">
        <v>0</v>
      </c>
      <c r="AA482">
        <v>0</v>
      </c>
      <c r="AB482">
        <v>-171.00317132019964</v>
      </c>
      <c r="AC482">
        <v>0.9</v>
      </c>
      <c r="AE482">
        <v>0</v>
      </c>
      <c r="AF482">
        <v>0</v>
      </c>
      <c r="AG482">
        <v>-171.00317132019964</v>
      </c>
      <c r="AH482">
        <v>0.9</v>
      </c>
      <c r="AJ482">
        <v>-52.166460123699999</v>
      </c>
      <c r="AK482">
        <v>-21.286770790700004</v>
      </c>
      <c r="AL482">
        <v>270.63785620051971</v>
      </c>
      <c r="AM482">
        <v>0.83181981746278266</v>
      </c>
    </row>
    <row r="483" spans="1:39" x14ac:dyDescent="0.25">
      <c r="A483">
        <v>-83.279073212099988</v>
      </c>
      <c r="B483">
        <v>0</v>
      </c>
      <c r="C483">
        <v>493.07327586206316</v>
      </c>
      <c r="D483">
        <v>0.72510775862068133</v>
      </c>
      <c r="F483">
        <v>51.746068284800003</v>
      </c>
      <c r="G483">
        <v>-21.566302183399998</v>
      </c>
      <c r="H483">
        <v>289.94197314518834</v>
      </c>
      <c r="I483">
        <v>0.80856883262756418</v>
      </c>
      <c r="K483">
        <v>0</v>
      </c>
      <c r="L483">
        <v>0</v>
      </c>
      <c r="M483">
        <v>-171.00317132019964</v>
      </c>
      <c r="N483">
        <v>0.9</v>
      </c>
      <c r="P483">
        <v>0</v>
      </c>
      <c r="Q483">
        <v>0</v>
      </c>
      <c r="R483">
        <v>-171.00317132019964</v>
      </c>
      <c r="S483">
        <v>0.9</v>
      </c>
      <c r="U483">
        <v>0</v>
      </c>
      <c r="V483">
        <v>42.504518264600001</v>
      </c>
      <c r="W483">
        <v>462.94061302681399</v>
      </c>
      <c r="X483">
        <v>0.81695402298849529</v>
      </c>
      <c r="Z483">
        <v>0</v>
      </c>
      <c r="AA483">
        <v>0</v>
      </c>
      <c r="AB483">
        <v>-171.00317132019964</v>
      </c>
      <c r="AC483">
        <v>0.9</v>
      </c>
      <c r="AE483">
        <v>0</v>
      </c>
      <c r="AF483">
        <v>0</v>
      </c>
      <c r="AG483">
        <v>-171.00317132019964</v>
      </c>
      <c r="AH483">
        <v>0.9</v>
      </c>
      <c r="AJ483">
        <v>39.969548535499996</v>
      </c>
      <c r="AK483">
        <v>16.4775265719</v>
      </c>
      <c r="AL483">
        <v>84.335201263452447</v>
      </c>
      <c r="AM483">
        <v>0.9</v>
      </c>
    </row>
    <row r="484" spans="1:39" x14ac:dyDescent="0.25">
      <c r="A484">
        <v>-78.920607632799999</v>
      </c>
      <c r="B484">
        <v>0</v>
      </c>
      <c r="C484">
        <v>531.16858237547308</v>
      </c>
      <c r="D484">
        <v>0.66954022988505013</v>
      </c>
      <c r="F484">
        <v>-49.601879114900001</v>
      </c>
      <c r="G484">
        <v>20.497242037900001</v>
      </c>
      <c r="H484">
        <v>190.19168677469054</v>
      </c>
      <c r="I484">
        <v>0.9</v>
      </c>
      <c r="K484">
        <v>0</v>
      </c>
      <c r="L484">
        <v>0</v>
      </c>
      <c r="M484">
        <v>-171.00317132019964</v>
      </c>
      <c r="N484">
        <v>0.9</v>
      </c>
      <c r="P484">
        <v>0</v>
      </c>
      <c r="Q484">
        <v>0</v>
      </c>
      <c r="R484">
        <v>-171.00317132019964</v>
      </c>
      <c r="S484">
        <v>0.9</v>
      </c>
      <c r="U484">
        <v>0</v>
      </c>
      <c r="V484">
        <v>38.048749468800004</v>
      </c>
      <c r="W484">
        <v>469.99137931033903</v>
      </c>
      <c r="X484">
        <v>0.69116379310344001</v>
      </c>
      <c r="Z484">
        <v>0</v>
      </c>
      <c r="AA484">
        <v>0</v>
      </c>
      <c r="AB484">
        <v>-171.00317132019964</v>
      </c>
      <c r="AC484">
        <v>0.9</v>
      </c>
      <c r="AE484">
        <v>0</v>
      </c>
      <c r="AF484">
        <v>0</v>
      </c>
      <c r="AG484">
        <v>-171.00317132019964</v>
      </c>
      <c r="AH484">
        <v>0.9</v>
      </c>
      <c r="AJ484">
        <v>43.448036718399997</v>
      </c>
      <c r="AK484">
        <v>17.825745922100001</v>
      </c>
      <c r="AL484">
        <v>117.24560992757772</v>
      </c>
      <c r="AM484">
        <v>0.9</v>
      </c>
    </row>
    <row r="485" spans="1:39" x14ac:dyDescent="0.25">
      <c r="A485">
        <v>-84.190782489300005</v>
      </c>
      <c r="B485">
        <v>0</v>
      </c>
      <c r="C485">
        <v>498.47126436781014</v>
      </c>
      <c r="D485">
        <v>0.73304597701148577</v>
      </c>
      <c r="F485">
        <v>52.061414309900002</v>
      </c>
      <c r="G485">
        <v>-21.103135881699998</v>
      </c>
      <c r="H485">
        <v>255.8109649706754</v>
      </c>
      <c r="I485">
        <v>0.84721449924829384</v>
      </c>
      <c r="K485">
        <v>0</v>
      </c>
      <c r="L485">
        <v>0</v>
      </c>
      <c r="M485">
        <v>-171.00317132019964</v>
      </c>
      <c r="N485">
        <v>0.9</v>
      </c>
      <c r="P485">
        <v>0</v>
      </c>
      <c r="Q485">
        <v>0</v>
      </c>
      <c r="R485">
        <v>-171.00317132019964</v>
      </c>
      <c r="S485">
        <v>0.9</v>
      </c>
      <c r="U485">
        <v>0</v>
      </c>
      <c r="V485">
        <v>40.315330406500003</v>
      </c>
      <c r="W485">
        <v>467.72389846742709</v>
      </c>
      <c r="X485">
        <v>0.75035919540228957</v>
      </c>
      <c r="Z485">
        <v>0</v>
      </c>
      <c r="AA485">
        <v>0</v>
      </c>
      <c r="AB485">
        <v>-171.00317132019964</v>
      </c>
      <c r="AC485">
        <v>0.9</v>
      </c>
      <c r="AE485">
        <v>0</v>
      </c>
      <c r="AF485">
        <v>0</v>
      </c>
      <c r="AG485">
        <v>-171.00317132019964</v>
      </c>
      <c r="AH485">
        <v>0.9</v>
      </c>
      <c r="AJ485">
        <v>43.257636708900002</v>
      </c>
      <c r="AK485">
        <v>18.107298307099999</v>
      </c>
      <c r="AL485">
        <v>118.44046701612535</v>
      </c>
      <c r="AM485">
        <v>0.9</v>
      </c>
    </row>
    <row r="486" spans="1:39" x14ac:dyDescent="0.25">
      <c r="A486">
        <v>-77.049206958200003</v>
      </c>
      <c r="B486">
        <v>0</v>
      </c>
      <c r="C486">
        <v>518.57327586206338</v>
      </c>
      <c r="D486">
        <v>0.65366379310344125</v>
      </c>
      <c r="F486">
        <v>47.038336937399997</v>
      </c>
      <c r="G486">
        <v>-19.050760113900001</v>
      </c>
      <c r="H486">
        <v>152.81875403664654</v>
      </c>
      <c r="I486">
        <v>0.9</v>
      </c>
      <c r="K486">
        <v>0</v>
      </c>
      <c r="L486">
        <v>0</v>
      </c>
      <c r="M486">
        <v>-171.00317132019964</v>
      </c>
      <c r="N486">
        <v>0.9</v>
      </c>
      <c r="P486">
        <v>0</v>
      </c>
      <c r="Q486">
        <v>0</v>
      </c>
      <c r="R486">
        <v>-171.00317132019964</v>
      </c>
      <c r="S486">
        <v>0.9</v>
      </c>
      <c r="U486">
        <v>0</v>
      </c>
      <c r="V486">
        <v>35.6271727261</v>
      </c>
      <c r="W486">
        <v>569.30665405045852</v>
      </c>
      <c r="X486">
        <v>0.65</v>
      </c>
      <c r="Z486">
        <v>0</v>
      </c>
      <c r="AA486">
        <v>0</v>
      </c>
      <c r="AB486">
        <v>-171.00317132019964</v>
      </c>
      <c r="AC486">
        <v>0.9</v>
      </c>
      <c r="AE486">
        <v>-3.1393333332999998</v>
      </c>
      <c r="AF486">
        <v>-3.0996666667000001</v>
      </c>
      <c r="AG486">
        <v>-138.7031713201994</v>
      </c>
      <c r="AH486">
        <v>0.9</v>
      </c>
      <c r="AJ486">
        <v>37.757556661400002</v>
      </c>
      <c r="AK486">
        <v>15.548356401200001</v>
      </c>
      <c r="AL486">
        <v>64.409533411462135</v>
      </c>
      <c r="AM486">
        <v>0.9</v>
      </c>
    </row>
    <row r="487" spans="1:39" x14ac:dyDescent="0.25">
      <c r="A487">
        <v>-86.0142010438</v>
      </c>
      <c r="B487">
        <v>0</v>
      </c>
      <c r="C487">
        <v>509.26724137930427</v>
      </c>
      <c r="D487">
        <v>0.74892241379309477</v>
      </c>
      <c r="F487">
        <v>-52.058486712399997</v>
      </c>
      <c r="G487">
        <v>21.223357010200001</v>
      </c>
      <c r="H487">
        <v>263.29126779332194</v>
      </c>
      <c r="I487">
        <v>0.83944302834124662</v>
      </c>
      <c r="K487">
        <v>0</v>
      </c>
      <c r="L487">
        <v>0</v>
      </c>
      <c r="M487">
        <v>-171.00317132019964</v>
      </c>
      <c r="N487">
        <v>0.9</v>
      </c>
      <c r="P487">
        <v>0</v>
      </c>
      <c r="Q487">
        <v>0</v>
      </c>
      <c r="R487">
        <v>-171.00317132019964</v>
      </c>
      <c r="S487">
        <v>0.9</v>
      </c>
      <c r="U487">
        <v>0</v>
      </c>
      <c r="V487">
        <v>34.156940932099999</v>
      </c>
      <c r="W487">
        <v>656.02826315450807</v>
      </c>
      <c r="X487">
        <v>0.65</v>
      </c>
      <c r="Z487">
        <v>0</v>
      </c>
      <c r="AA487">
        <v>0</v>
      </c>
      <c r="AB487">
        <v>-171.00317132019964</v>
      </c>
      <c r="AC487">
        <v>0.9</v>
      </c>
      <c r="AE487">
        <v>0</v>
      </c>
      <c r="AF487">
        <v>0</v>
      </c>
      <c r="AG487">
        <v>-171.00317132019964</v>
      </c>
      <c r="AH487">
        <v>0.9</v>
      </c>
      <c r="AJ487">
        <v>42.180421600400003</v>
      </c>
      <c r="AK487">
        <v>17.5878190679</v>
      </c>
      <c r="AL487">
        <v>107.00685687257045</v>
      </c>
      <c r="AM487">
        <v>0.9</v>
      </c>
    </row>
    <row r="488" spans="1:39" x14ac:dyDescent="0.25">
      <c r="A488">
        <v>-73.902424225200008</v>
      </c>
      <c r="B488">
        <v>0</v>
      </c>
      <c r="C488">
        <v>604.84716784144894</v>
      </c>
      <c r="D488">
        <v>0.65</v>
      </c>
      <c r="F488">
        <v>45.347784427500002</v>
      </c>
      <c r="G488">
        <v>-18.582044522900002</v>
      </c>
      <c r="H488">
        <v>136.55273969426284</v>
      </c>
      <c r="I488">
        <v>0.9</v>
      </c>
      <c r="K488">
        <v>0</v>
      </c>
      <c r="L488">
        <v>0</v>
      </c>
      <c r="M488">
        <v>-171.00317132019964</v>
      </c>
      <c r="N488">
        <v>0.9</v>
      </c>
      <c r="P488">
        <v>0</v>
      </c>
      <c r="Q488">
        <v>0</v>
      </c>
      <c r="R488">
        <v>-171.00317132019964</v>
      </c>
      <c r="S488">
        <v>0.9</v>
      </c>
      <c r="U488">
        <v>0</v>
      </c>
      <c r="V488">
        <v>37.641409151299996</v>
      </c>
      <c r="W488">
        <v>464.95977011493687</v>
      </c>
      <c r="X488">
        <v>0.68376436781608385</v>
      </c>
      <c r="Z488">
        <v>0</v>
      </c>
      <c r="AA488">
        <v>0</v>
      </c>
      <c r="AB488">
        <v>-171.00317132019964</v>
      </c>
      <c r="AC488">
        <v>0.9</v>
      </c>
      <c r="AE488">
        <v>0</v>
      </c>
      <c r="AF488">
        <v>0</v>
      </c>
      <c r="AG488">
        <v>-171.00317132019964</v>
      </c>
      <c r="AH488">
        <v>0.9</v>
      </c>
      <c r="AJ488">
        <v>-45.348423473899999</v>
      </c>
      <c r="AK488">
        <v>-18.581770645900001</v>
      </c>
      <c r="AL488">
        <v>136.5563913880857</v>
      </c>
      <c r="AM488">
        <v>0.9</v>
      </c>
    </row>
    <row r="489" spans="1:39" x14ac:dyDescent="0.25">
      <c r="A489">
        <v>-90.988379849699996</v>
      </c>
      <c r="B489">
        <v>0</v>
      </c>
      <c r="C489">
        <v>473.87092911876823</v>
      </c>
      <c r="D489">
        <v>0.83624281609194395</v>
      </c>
      <c r="F489">
        <v>52.209687520199992</v>
      </c>
      <c r="G489">
        <v>-21.2703253924</v>
      </c>
      <c r="H489">
        <v>270.6507582982108</v>
      </c>
      <c r="I489">
        <v>0.83185947274493466</v>
      </c>
      <c r="K489">
        <v>0</v>
      </c>
      <c r="L489">
        <v>0</v>
      </c>
      <c r="M489">
        <v>-171.00317132019964</v>
      </c>
      <c r="N489">
        <v>0.9</v>
      </c>
      <c r="P489">
        <v>0</v>
      </c>
      <c r="Q489">
        <v>0</v>
      </c>
      <c r="R489">
        <v>-171.00317132019964</v>
      </c>
      <c r="S489">
        <v>0.9</v>
      </c>
      <c r="U489">
        <v>0</v>
      </c>
      <c r="V489">
        <v>40.712887039500004</v>
      </c>
      <c r="W489">
        <v>472.33620689654583</v>
      </c>
      <c r="X489">
        <v>0.75775862068964583</v>
      </c>
      <c r="Z489">
        <v>0</v>
      </c>
      <c r="AA489">
        <v>0</v>
      </c>
      <c r="AB489">
        <v>-171.00317132019964</v>
      </c>
      <c r="AC489">
        <v>0.9</v>
      </c>
      <c r="AE489">
        <v>0</v>
      </c>
      <c r="AF489">
        <v>0</v>
      </c>
      <c r="AG489">
        <v>-171.00317132019964</v>
      </c>
      <c r="AH489">
        <v>0.9</v>
      </c>
      <c r="AJ489">
        <v>-44.921078847099999</v>
      </c>
      <c r="AK489">
        <v>-18.2929659622</v>
      </c>
      <c r="AL489">
        <v>131.15156494887816</v>
      </c>
      <c r="AM489">
        <v>0.9</v>
      </c>
    </row>
    <row r="490" spans="1:39" x14ac:dyDescent="0.25">
      <c r="A490">
        <v>-86.925910321100005</v>
      </c>
      <c r="B490">
        <v>0</v>
      </c>
      <c r="C490">
        <v>514.6652298850513</v>
      </c>
      <c r="D490">
        <v>0.75686063218389921</v>
      </c>
      <c r="F490">
        <v>43.415803472999997</v>
      </c>
      <c r="G490">
        <v>-18.360083979700001</v>
      </c>
      <c r="H490">
        <v>121.18999138239073</v>
      </c>
      <c r="I490">
        <v>0.9</v>
      </c>
      <c r="K490">
        <v>0</v>
      </c>
      <c r="L490">
        <v>0</v>
      </c>
      <c r="M490">
        <v>-171.00317132019964</v>
      </c>
      <c r="N490">
        <v>0.9</v>
      </c>
      <c r="P490">
        <v>0</v>
      </c>
      <c r="Q490">
        <v>0</v>
      </c>
      <c r="R490">
        <v>-171.00317132019964</v>
      </c>
      <c r="S490">
        <v>0.9</v>
      </c>
      <c r="U490">
        <v>0</v>
      </c>
      <c r="V490">
        <v>39.520217140500002</v>
      </c>
      <c r="W490">
        <v>458.49928160918978</v>
      </c>
      <c r="X490">
        <v>0.73556034482757726</v>
      </c>
      <c r="Z490">
        <v>0</v>
      </c>
      <c r="AA490">
        <v>0</v>
      </c>
      <c r="AB490">
        <v>-171.00317132019964</v>
      </c>
      <c r="AC490">
        <v>0.9</v>
      </c>
      <c r="AE490">
        <v>0</v>
      </c>
      <c r="AF490">
        <v>0</v>
      </c>
      <c r="AG490">
        <v>-171.00317132019964</v>
      </c>
      <c r="AH490">
        <v>0.9</v>
      </c>
      <c r="AJ490">
        <v>39.880790380200004</v>
      </c>
      <c r="AK490">
        <v>16.1350895908</v>
      </c>
      <c r="AL490">
        <v>81.723249900043143</v>
      </c>
      <c r="AM490">
        <v>0.9</v>
      </c>
    </row>
    <row r="491" spans="1:39" x14ac:dyDescent="0.25">
      <c r="A491">
        <v>-86.705868626600008</v>
      </c>
      <c r="B491">
        <v>0</v>
      </c>
      <c r="C491">
        <v>481.67277298849996</v>
      </c>
      <c r="D491">
        <v>0.77273706896550809</v>
      </c>
      <c r="F491">
        <v>45.135866736799997</v>
      </c>
      <c r="G491">
        <v>-19.009628295199999</v>
      </c>
      <c r="H491">
        <v>138.4827338424019</v>
      </c>
      <c r="I491">
        <v>0.9</v>
      </c>
      <c r="K491">
        <v>0</v>
      </c>
      <c r="L491">
        <v>0</v>
      </c>
      <c r="M491">
        <v>-171.00317132019964</v>
      </c>
      <c r="N491">
        <v>0.9</v>
      </c>
      <c r="P491">
        <v>0</v>
      </c>
      <c r="Q491">
        <v>0</v>
      </c>
      <c r="R491">
        <v>-171.00317132019964</v>
      </c>
      <c r="S491">
        <v>0.9</v>
      </c>
      <c r="U491">
        <v>0</v>
      </c>
      <c r="V491">
        <v>39.917773773499995</v>
      </c>
      <c r="W491">
        <v>463.11159003830846</v>
      </c>
      <c r="X491">
        <v>0.74295977011493342</v>
      </c>
      <c r="Z491">
        <v>0</v>
      </c>
      <c r="AA491">
        <v>0</v>
      </c>
      <c r="AB491">
        <v>-171.00317132019964</v>
      </c>
      <c r="AC491">
        <v>0.9</v>
      </c>
      <c r="AE491">
        <v>0</v>
      </c>
      <c r="AF491">
        <v>0</v>
      </c>
      <c r="AG491">
        <v>-171.00317132019964</v>
      </c>
      <c r="AH491">
        <v>0.9</v>
      </c>
      <c r="AJ491">
        <v>38.621659500199996</v>
      </c>
      <c r="AK491">
        <v>15.607315624</v>
      </c>
      <c r="AL491">
        <v>70.80440677607406</v>
      </c>
      <c r="AM491">
        <v>0.9</v>
      </c>
    </row>
    <row r="492" spans="1:39" x14ac:dyDescent="0.25">
      <c r="A492">
        <v>-93.579561321300005</v>
      </c>
      <c r="B492">
        <v>0</v>
      </c>
      <c r="C492">
        <v>487.36590038313574</v>
      </c>
      <c r="D492">
        <v>0.86005747126435728</v>
      </c>
      <c r="F492">
        <v>46.175269733799993</v>
      </c>
      <c r="G492">
        <v>-19.296788915499999</v>
      </c>
      <c r="H492">
        <v>148.06503668241277</v>
      </c>
      <c r="I492">
        <v>0.9</v>
      </c>
      <c r="K492">
        <v>0</v>
      </c>
      <c r="L492">
        <v>0</v>
      </c>
      <c r="M492">
        <v>-171.00317132019964</v>
      </c>
      <c r="N492">
        <v>0.9</v>
      </c>
      <c r="P492">
        <v>0</v>
      </c>
      <c r="Q492">
        <v>0</v>
      </c>
      <c r="R492">
        <v>-171.00317132019964</v>
      </c>
      <c r="S492">
        <v>0.9</v>
      </c>
      <c r="U492">
        <v>0</v>
      </c>
      <c r="V492">
        <v>41.110443672600006</v>
      </c>
      <c r="W492">
        <v>476.94851532566446</v>
      </c>
      <c r="X492">
        <v>0.76515804597700188</v>
      </c>
      <c r="Z492">
        <v>0</v>
      </c>
      <c r="AA492">
        <v>0</v>
      </c>
      <c r="AB492">
        <v>-171.00317132019964</v>
      </c>
      <c r="AC492">
        <v>0.9</v>
      </c>
      <c r="AE492">
        <v>0</v>
      </c>
      <c r="AF492">
        <v>0</v>
      </c>
      <c r="AG492">
        <v>-171.00317132019964</v>
      </c>
      <c r="AH492">
        <v>0.9</v>
      </c>
      <c r="AJ492">
        <v>40.1914460741</v>
      </c>
      <c r="AK492">
        <v>16.566189531500001</v>
      </c>
      <c r="AL492">
        <v>86.59080624604708</v>
      </c>
      <c r="AM492">
        <v>0.9</v>
      </c>
    </row>
    <row r="493" spans="1:39" x14ac:dyDescent="0.25">
      <c r="A493">
        <v>-85.102491766599996</v>
      </c>
      <c r="B493">
        <v>0</v>
      </c>
      <c r="C493">
        <v>503.86925287355723</v>
      </c>
      <c r="D493">
        <v>0.74098419540229032</v>
      </c>
      <c r="F493">
        <v>44.922604488499999</v>
      </c>
      <c r="G493">
        <v>-18.292312115800001</v>
      </c>
      <c r="H493">
        <v>131.16028290003848</v>
      </c>
      <c r="I493">
        <v>0.9</v>
      </c>
      <c r="K493">
        <v>0</v>
      </c>
      <c r="L493">
        <v>0</v>
      </c>
      <c r="M493">
        <v>-171.00317132019964</v>
      </c>
      <c r="N493">
        <v>0.9</v>
      </c>
      <c r="P493">
        <v>0</v>
      </c>
      <c r="Q493">
        <v>0</v>
      </c>
      <c r="R493">
        <v>-171.00317132019964</v>
      </c>
      <c r="S493">
        <v>0.9</v>
      </c>
      <c r="U493">
        <v>0</v>
      </c>
      <c r="V493">
        <v>38.863430103900001</v>
      </c>
      <c r="W493">
        <v>480.05459770114351</v>
      </c>
      <c r="X493">
        <v>0.70596264367815242</v>
      </c>
      <c r="Z493">
        <v>0</v>
      </c>
      <c r="AA493">
        <v>0</v>
      </c>
      <c r="AB493">
        <v>-171.00317132019964</v>
      </c>
      <c r="AC493">
        <v>0.9</v>
      </c>
      <c r="AE493">
        <v>0</v>
      </c>
      <c r="AF493">
        <v>0</v>
      </c>
      <c r="AG493">
        <v>-171.00317132019964</v>
      </c>
      <c r="AH493">
        <v>0.9</v>
      </c>
      <c r="AJ493">
        <v>37.639905400900005</v>
      </c>
      <c r="AK493">
        <v>15.377362445799999</v>
      </c>
      <c r="AL493">
        <v>62.620097637338198</v>
      </c>
      <c r="AM493">
        <v>0.9</v>
      </c>
    </row>
    <row r="494" spans="1:39" x14ac:dyDescent="0.25">
      <c r="A494">
        <v>-79.088499061999997</v>
      </c>
      <c r="B494">
        <v>0</v>
      </c>
      <c r="C494">
        <v>499.07579022987943</v>
      </c>
      <c r="D494">
        <v>0.67747844827585457</v>
      </c>
      <c r="F494">
        <v>-39.965074717900002</v>
      </c>
      <c r="G494">
        <v>16.4794439223</v>
      </c>
      <c r="H494">
        <v>84.309636591350966</v>
      </c>
      <c r="I494">
        <v>0.9</v>
      </c>
      <c r="K494">
        <v>0</v>
      </c>
      <c r="L494">
        <v>0</v>
      </c>
      <c r="M494">
        <v>-171.00317132019964</v>
      </c>
      <c r="N494">
        <v>0.9</v>
      </c>
      <c r="P494">
        <v>0</v>
      </c>
      <c r="Q494">
        <v>0</v>
      </c>
      <c r="R494">
        <v>-171.00317132019964</v>
      </c>
      <c r="S494">
        <v>0.9</v>
      </c>
      <c r="U494">
        <v>0</v>
      </c>
      <c r="V494">
        <v>42.838253902099993</v>
      </c>
      <c r="W494">
        <v>436.80299390799962</v>
      </c>
      <c r="X494">
        <v>0.86135057471263243</v>
      </c>
      <c r="Z494">
        <v>0</v>
      </c>
      <c r="AA494">
        <v>0</v>
      </c>
      <c r="AB494">
        <v>-171.00317132019964</v>
      </c>
      <c r="AC494">
        <v>0.9</v>
      </c>
      <c r="AE494">
        <v>0</v>
      </c>
      <c r="AF494">
        <v>0</v>
      </c>
      <c r="AG494">
        <v>-171.00317132019964</v>
      </c>
      <c r="AH494">
        <v>0.9</v>
      </c>
      <c r="AJ494">
        <v>40.683150886699998</v>
      </c>
      <c r="AK494">
        <v>17.2532208023</v>
      </c>
      <c r="AL494">
        <v>94.468167080042065</v>
      </c>
      <c r="AM494">
        <v>0.9</v>
      </c>
    </row>
    <row r="495" spans="1:39" x14ac:dyDescent="0.25">
      <c r="A495">
        <v>-89.378019925699988</v>
      </c>
      <c r="B495">
        <v>0</v>
      </c>
      <c r="C495">
        <v>496.51724137930444</v>
      </c>
      <c r="D495">
        <v>0.79655172413792164</v>
      </c>
      <c r="F495">
        <v>-39.912333975599999</v>
      </c>
      <c r="G495">
        <v>16.502047097599998</v>
      </c>
      <c r="H495">
        <v>84.00826092114616</v>
      </c>
      <c r="I495">
        <v>0.9</v>
      </c>
      <c r="K495">
        <v>0</v>
      </c>
      <c r="L495">
        <v>0</v>
      </c>
      <c r="M495">
        <v>-171.00317132019964</v>
      </c>
      <c r="N495">
        <v>0.9</v>
      </c>
      <c r="P495">
        <v>0</v>
      </c>
      <c r="Q495">
        <v>0</v>
      </c>
      <c r="R495">
        <v>-171.00317132019964</v>
      </c>
      <c r="S495">
        <v>0.9</v>
      </c>
      <c r="U495">
        <v>0</v>
      </c>
      <c r="V495">
        <v>37.872857946099998</v>
      </c>
      <c r="W495">
        <v>498.25550766282925</v>
      </c>
      <c r="X495">
        <v>0.67636494252872759</v>
      </c>
      <c r="Z495">
        <v>0</v>
      </c>
      <c r="AA495">
        <v>0</v>
      </c>
      <c r="AB495">
        <v>-171.00317132019964</v>
      </c>
      <c r="AC495">
        <v>0.9</v>
      </c>
      <c r="AE495">
        <v>0</v>
      </c>
      <c r="AF495">
        <v>0</v>
      </c>
      <c r="AG495">
        <v>-171.00317132019964</v>
      </c>
      <c r="AH495">
        <v>0.9</v>
      </c>
      <c r="AJ495">
        <v>38.977177421100002</v>
      </c>
      <c r="AK495">
        <v>15.829399906599999</v>
      </c>
      <c r="AL495">
        <v>74.163556800514328</v>
      </c>
      <c r="AM495">
        <v>0.9</v>
      </c>
    </row>
    <row r="496" spans="1:39" x14ac:dyDescent="0.25">
      <c r="A496">
        <v>-90.268737025500002</v>
      </c>
      <c r="B496">
        <v>0</v>
      </c>
      <c r="C496">
        <v>501.46539750957254</v>
      </c>
      <c r="D496">
        <v>0.80448994252872608</v>
      </c>
      <c r="F496">
        <v>-38.972638645899998</v>
      </c>
      <c r="G496">
        <v>15.831345096</v>
      </c>
      <c r="H496">
        <v>74.137620942282624</v>
      </c>
      <c r="I496">
        <v>0.9</v>
      </c>
      <c r="K496">
        <v>0</v>
      </c>
      <c r="L496">
        <v>0</v>
      </c>
      <c r="M496">
        <v>-171.00317132019964</v>
      </c>
      <c r="N496">
        <v>0.9</v>
      </c>
      <c r="P496">
        <v>0</v>
      </c>
      <c r="Q496">
        <v>0</v>
      </c>
      <c r="R496">
        <v>-171.00317132019964</v>
      </c>
      <c r="S496">
        <v>0.9</v>
      </c>
      <c r="U496">
        <v>0</v>
      </c>
      <c r="V496">
        <v>37.044200618700003</v>
      </c>
      <c r="W496">
        <v>487.35368773945783</v>
      </c>
      <c r="X496">
        <v>0.66156609195401528</v>
      </c>
      <c r="Z496">
        <v>0</v>
      </c>
      <c r="AA496">
        <v>0</v>
      </c>
      <c r="AB496">
        <v>-171.00317132019964</v>
      </c>
      <c r="AC496">
        <v>0.9</v>
      </c>
      <c r="AE496">
        <v>0</v>
      </c>
      <c r="AF496">
        <v>0</v>
      </c>
      <c r="AG496">
        <v>-171.00317132019964</v>
      </c>
      <c r="AH496">
        <v>0.9</v>
      </c>
      <c r="AJ496">
        <v>41.7415610125</v>
      </c>
      <c r="AK496">
        <v>17.447235510300001</v>
      </c>
      <c r="AL496">
        <v>102.91241541794707</v>
      </c>
      <c r="AM496">
        <v>0.9</v>
      </c>
    </row>
    <row r="497" spans="1:39" x14ac:dyDescent="0.25">
      <c r="A497">
        <v>-82.795313821100009</v>
      </c>
      <c r="B497">
        <v>0</v>
      </c>
      <c r="C497">
        <v>522.46707375478331</v>
      </c>
      <c r="D497">
        <v>0.70923132183907245</v>
      </c>
      <c r="F497">
        <v>-48.122460431900002</v>
      </c>
      <c r="G497">
        <v>19.611802425800001</v>
      </c>
      <c r="H497">
        <v>165.92707876679441</v>
      </c>
      <c r="I497">
        <v>0.9</v>
      </c>
      <c r="K497">
        <v>0</v>
      </c>
      <c r="L497">
        <v>0</v>
      </c>
      <c r="M497">
        <v>-171.00317132019964</v>
      </c>
      <c r="N497">
        <v>0.9</v>
      </c>
      <c r="P497">
        <v>0</v>
      </c>
      <c r="Q497">
        <v>0</v>
      </c>
      <c r="R497">
        <v>-171.00317132019964</v>
      </c>
      <c r="S497">
        <v>0.9</v>
      </c>
      <c r="U497">
        <v>0</v>
      </c>
      <c r="V497">
        <v>42.867795281400007</v>
      </c>
      <c r="W497">
        <v>466.84427944592244</v>
      </c>
      <c r="X497">
        <v>0.82435344827585155</v>
      </c>
      <c r="Z497">
        <v>0</v>
      </c>
      <c r="AA497">
        <v>0</v>
      </c>
      <c r="AB497">
        <v>-171.00317132019964</v>
      </c>
      <c r="AC497">
        <v>0.9</v>
      </c>
      <c r="AE497">
        <v>0</v>
      </c>
      <c r="AF497">
        <v>0</v>
      </c>
      <c r="AG497">
        <v>-171.00317132019964</v>
      </c>
      <c r="AH497">
        <v>0.9</v>
      </c>
      <c r="AJ497">
        <v>38.839948782599997</v>
      </c>
      <c r="AK497">
        <v>16.0687359898</v>
      </c>
      <c r="AL497">
        <v>74.107964580458102</v>
      </c>
      <c r="AM497">
        <v>0.9</v>
      </c>
    </row>
    <row r="498" spans="1:39" x14ac:dyDescent="0.25">
      <c r="A498">
        <v>-92.497763067500003</v>
      </c>
      <c r="B498">
        <v>0</v>
      </c>
      <c r="C498">
        <v>450.77478448275303</v>
      </c>
      <c r="D498">
        <v>0.88387212643677071</v>
      </c>
      <c r="F498">
        <v>-46.935909536700002</v>
      </c>
      <c r="G498">
        <v>19.586038523799999</v>
      </c>
      <c r="H498">
        <v>157.65726412756493</v>
      </c>
      <c r="I498">
        <v>0.9</v>
      </c>
      <c r="K498">
        <v>0</v>
      </c>
      <c r="L498">
        <v>0</v>
      </c>
      <c r="M498">
        <v>-171.00317132019964</v>
      </c>
      <c r="N498">
        <v>0.9</v>
      </c>
      <c r="P498">
        <v>0</v>
      </c>
      <c r="Q498">
        <v>0</v>
      </c>
      <c r="R498">
        <v>-171.00317132019964</v>
      </c>
      <c r="S498">
        <v>0.9</v>
      </c>
      <c r="U498">
        <v>0</v>
      </c>
      <c r="V498">
        <v>40.9646078245</v>
      </c>
      <c r="W498">
        <v>446.16858237547331</v>
      </c>
      <c r="X498">
        <v>0.78735632183907056</v>
      </c>
      <c r="Z498">
        <v>1.6319999999999999</v>
      </c>
      <c r="AA498">
        <v>3.944</v>
      </c>
      <c r="AB498">
        <v>-130.20317132019966</v>
      </c>
      <c r="AC498">
        <v>0.9</v>
      </c>
      <c r="AE498">
        <v>0</v>
      </c>
      <c r="AF498">
        <v>0</v>
      </c>
      <c r="AG498">
        <v>-171.00317132019964</v>
      </c>
      <c r="AH498">
        <v>0.9</v>
      </c>
      <c r="AJ498">
        <v>38.239943410599999</v>
      </c>
      <c r="AK498">
        <v>15.759947925799999</v>
      </c>
      <c r="AL498">
        <v>68.623171978556115</v>
      </c>
      <c r="AM498">
        <v>0.9</v>
      </c>
    </row>
    <row r="499" spans="1:39" x14ac:dyDescent="0.25">
      <c r="A499">
        <v>-85.815151526799994</v>
      </c>
      <c r="B499">
        <v>0</v>
      </c>
      <c r="C499">
        <v>476.72461685823197</v>
      </c>
      <c r="D499">
        <v>0.76479885057470376</v>
      </c>
      <c r="F499">
        <v>-40.415312478099999</v>
      </c>
      <c r="G499">
        <v>16.637818215599999</v>
      </c>
      <c r="H499">
        <v>88.469090459149413</v>
      </c>
      <c r="I499">
        <v>0.9</v>
      </c>
      <c r="K499">
        <v>0</v>
      </c>
      <c r="L499">
        <v>0</v>
      </c>
      <c r="M499">
        <v>-171.00317132019964</v>
      </c>
      <c r="N499">
        <v>0.9</v>
      </c>
      <c r="P499">
        <v>0</v>
      </c>
      <c r="Q499">
        <v>0</v>
      </c>
      <c r="R499">
        <v>-171.00317132019964</v>
      </c>
      <c r="S499">
        <v>0.9</v>
      </c>
      <c r="U499">
        <v>0</v>
      </c>
      <c r="V499">
        <v>39.678110739099999</v>
      </c>
      <c r="W499">
        <v>490.11781609194793</v>
      </c>
      <c r="X499">
        <v>0.72076149425286484</v>
      </c>
      <c r="Z499">
        <v>0</v>
      </c>
      <c r="AA499">
        <v>0</v>
      </c>
      <c r="AB499">
        <v>-171.00317132019964</v>
      </c>
      <c r="AC499">
        <v>0.9</v>
      </c>
      <c r="AE499">
        <v>0</v>
      </c>
      <c r="AF499">
        <v>0</v>
      </c>
      <c r="AG499">
        <v>-171.00317132019964</v>
      </c>
      <c r="AH499">
        <v>0.9</v>
      </c>
      <c r="AJ499">
        <v>41.5950214589</v>
      </c>
      <c r="AK499">
        <v>17.337609604700003</v>
      </c>
      <c r="AL499">
        <v>101.08742749252059</v>
      </c>
      <c r="AM499">
        <v>0.9</v>
      </c>
    </row>
    <row r="500" spans="1:39" x14ac:dyDescent="0.25">
      <c r="A500">
        <v>-89.765554981000008</v>
      </c>
      <c r="B500">
        <v>0</v>
      </c>
      <c r="C500">
        <v>408</v>
      </c>
      <c r="D500">
        <v>0.9</v>
      </c>
      <c r="F500">
        <v>-40.188691184299998</v>
      </c>
      <c r="G500">
        <v>16.567370198599999</v>
      </c>
      <c r="H500">
        <v>86.57506401840557</v>
      </c>
      <c r="I500">
        <v>0.9</v>
      </c>
      <c r="K500">
        <v>0</v>
      </c>
      <c r="L500">
        <v>0</v>
      </c>
      <c r="M500">
        <v>-171.00317132019964</v>
      </c>
      <c r="N500">
        <v>0.9</v>
      </c>
      <c r="P500">
        <v>0</v>
      </c>
      <c r="Q500">
        <v>0</v>
      </c>
      <c r="R500">
        <v>-171.00317132019964</v>
      </c>
      <c r="S500">
        <v>0.9</v>
      </c>
      <c r="U500">
        <v>0</v>
      </c>
      <c r="V500">
        <v>41.7345630445</v>
      </c>
      <c r="W500">
        <v>454.55459770114362</v>
      </c>
      <c r="X500">
        <v>0.80215517241378287</v>
      </c>
      <c r="Z500">
        <v>0</v>
      </c>
      <c r="AA500">
        <v>0</v>
      </c>
      <c r="AB500">
        <v>-171.00317132019964</v>
      </c>
      <c r="AC500">
        <v>0.9</v>
      </c>
      <c r="AE500">
        <v>0</v>
      </c>
      <c r="AF500">
        <v>0</v>
      </c>
      <c r="AG500">
        <v>-171.00317132019964</v>
      </c>
      <c r="AH500">
        <v>0.9</v>
      </c>
      <c r="AJ500">
        <v>36.698360892499998</v>
      </c>
      <c r="AK500">
        <v>15.4346626085</v>
      </c>
      <c r="AL500">
        <v>57.077938541937158</v>
      </c>
      <c r="AM500">
        <v>0.9</v>
      </c>
    </row>
    <row r="501" spans="1:39" x14ac:dyDescent="0.25">
      <c r="A501">
        <v>-92.715834164100002</v>
      </c>
      <c r="B501">
        <v>0</v>
      </c>
      <c r="C501">
        <v>482.86757662834663</v>
      </c>
      <c r="D501">
        <v>0.85211925287355295</v>
      </c>
      <c r="F501">
        <v>-39.888641955499999</v>
      </c>
      <c r="G501">
        <v>16.131724630000001</v>
      </c>
      <c r="H501">
        <v>81.768116044540065</v>
      </c>
      <c r="I501">
        <v>0.9</v>
      </c>
      <c r="K501">
        <v>0</v>
      </c>
      <c r="L501">
        <v>0</v>
      </c>
      <c r="M501">
        <v>-171.00317132019964</v>
      </c>
      <c r="N501">
        <v>0.9</v>
      </c>
      <c r="P501">
        <v>0</v>
      </c>
      <c r="Q501">
        <v>0</v>
      </c>
      <c r="R501">
        <v>-171.00317132019964</v>
      </c>
      <c r="S501">
        <v>0.9</v>
      </c>
      <c r="U501">
        <v>0</v>
      </c>
      <c r="V501">
        <v>42.166629282599999</v>
      </c>
      <c r="W501">
        <v>430.15667181702662</v>
      </c>
      <c r="X501">
        <v>0.84655172413792013</v>
      </c>
      <c r="Z501">
        <v>0</v>
      </c>
      <c r="AA501">
        <v>0</v>
      </c>
      <c r="AB501">
        <v>-171.00317132019964</v>
      </c>
      <c r="AC501">
        <v>0.9</v>
      </c>
      <c r="AE501">
        <v>0</v>
      </c>
      <c r="AF501">
        <v>0</v>
      </c>
      <c r="AG501">
        <v>-171.00317132019964</v>
      </c>
      <c r="AH501">
        <v>0.9</v>
      </c>
      <c r="AJ501">
        <v>40.300492903700004</v>
      </c>
      <c r="AK501">
        <v>17.059407556900002</v>
      </c>
      <c r="AL501">
        <v>90.176788129629742</v>
      </c>
      <c r="AM501">
        <v>0.9</v>
      </c>
    </row>
    <row r="502" spans="1:39" x14ac:dyDescent="0.25">
      <c r="A502">
        <v>-80.015202751800004</v>
      </c>
      <c r="B502">
        <v>0</v>
      </c>
      <c r="C502">
        <v>504.92361111110534</v>
      </c>
      <c r="D502">
        <v>0.68541666666665901</v>
      </c>
      <c r="F502">
        <v>-38.8398480647</v>
      </c>
      <c r="G502">
        <v>16.068779154599998</v>
      </c>
      <c r="H502">
        <v>74.107389049452124</v>
      </c>
      <c r="I502">
        <v>0.9</v>
      </c>
      <c r="K502">
        <v>0</v>
      </c>
      <c r="L502">
        <v>0</v>
      </c>
      <c r="M502">
        <v>-171.00317132019964</v>
      </c>
      <c r="N502">
        <v>0.9</v>
      </c>
      <c r="P502">
        <v>0</v>
      </c>
      <c r="Q502">
        <v>0</v>
      </c>
      <c r="R502">
        <v>-171.00317132019964</v>
      </c>
      <c r="S502">
        <v>0.9</v>
      </c>
      <c r="U502">
        <v>0</v>
      </c>
      <c r="V502">
        <v>40.194652604399998</v>
      </c>
      <c r="W502">
        <v>437.78256704980294</v>
      </c>
      <c r="X502">
        <v>0.77255747126435814</v>
      </c>
      <c r="Z502">
        <v>0</v>
      </c>
      <c r="AA502">
        <v>0</v>
      </c>
      <c r="AB502">
        <v>-171.00317132019964</v>
      </c>
      <c r="AC502">
        <v>0.9</v>
      </c>
      <c r="AE502">
        <v>0</v>
      </c>
      <c r="AF502">
        <v>0</v>
      </c>
      <c r="AG502">
        <v>-171.00317132019964</v>
      </c>
      <c r="AH502">
        <v>0.9</v>
      </c>
      <c r="AJ502">
        <v>36.042440819500001</v>
      </c>
      <c r="AK502">
        <v>15.0940357064</v>
      </c>
      <c r="AL502">
        <v>51.144109553019206</v>
      </c>
      <c r="AM502">
        <v>0.9</v>
      </c>
    </row>
    <row r="503" spans="1:39" x14ac:dyDescent="0.25">
      <c r="A503">
        <v>-93.328502517100006</v>
      </c>
      <c r="B503">
        <v>0</v>
      </c>
      <c r="C503">
        <v>454.82327586206338</v>
      </c>
      <c r="D503">
        <v>0.89181034482757526</v>
      </c>
      <c r="F503">
        <v>-38.968733101600002</v>
      </c>
      <c r="G503">
        <v>16.210256996000002</v>
      </c>
      <c r="H503">
        <v>75.961017831615095</v>
      </c>
      <c r="I503">
        <v>0.9</v>
      </c>
      <c r="K503">
        <v>0</v>
      </c>
      <c r="L503">
        <v>0</v>
      </c>
      <c r="M503">
        <v>-171.00317132019964</v>
      </c>
      <c r="N503">
        <v>0.9</v>
      </c>
      <c r="P503">
        <v>0</v>
      </c>
      <c r="Q503">
        <v>0</v>
      </c>
      <c r="R503">
        <v>-171.00317132019964</v>
      </c>
      <c r="S503">
        <v>0.9</v>
      </c>
      <c r="U503">
        <v>0</v>
      </c>
      <c r="V503">
        <v>39.270770421500004</v>
      </c>
      <c r="W503">
        <v>485.08620689654566</v>
      </c>
      <c r="X503">
        <v>0.71336206896550858</v>
      </c>
      <c r="Z503">
        <v>0</v>
      </c>
      <c r="AA503">
        <v>0</v>
      </c>
      <c r="AB503">
        <v>-171.00317132019964</v>
      </c>
      <c r="AC503">
        <v>0.9</v>
      </c>
      <c r="AE503">
        <v>0</v>
      </c>
      <c r="AF503">
        <v>0</v>
      </c>
      <c r="AG503">
        <v>-171.00317132019964</v>
      </c>
      <c r="AH503">
        <v>0.9</v>
      </c>
      <c r="AJ503">
        <v>38.969941864100001</v>
      </c>
      <c r="AK503">
        <v>16.209738954900001</v>
      </c>
      <c r="AL503">
        <v>75.967925045920666</v>
      </c>
      <c r="AM503">
        <v>0.9</v>
      </c>
    </row>
    <row r="504" spans="1:39" x14ac:dyDescent="0.25">
      <c r="A504">
        <v>-91.852107006899999</v>
      </c>
      <c r="B504">
        <v>0</v>
      </c>
      <c r="C504">
        <v>478.3692528735574</v>
      </c>
      <c r="D504">
        <v>0.84418103448274839</v>
      </c>
      <c r="F504">
        <v>42.972741355400004</v>
      </c>
      <c r="G504">
        <v>-17.892634411</v>
      </c>
      <c r="H504">
        <v>114.57820785369346</v>
      </c>
      <c r="I504">
        <v>0.9</v>
      </c>
      <c r="K504">
        <v>0</v>
      </c>
      <c r="L504">
        <v>0</v>
      </c>
      <c r="M504">
        <v>-171.00317132019964</v>
      </c>
      <c r="N504">
        <v>0.9</v>
      </c>
      <c r="P504">
        <v>0</v>
      </c>
      <c r="Q504">
        <v>0</v>
      </c>
      <c r="R504">
        <v>-171.00317132019964</v>
      </c>
      <c r="S504">
        <v>0.9</v>
      </c>
      <c r="U504">
        <v>0</v>
      </c>
      <c r="V504">
        <v>43.507627669499996</v>
      </c>
      <c r="W504">
        <v>443.41930463704756</v>
      </c>
      <c r="X504">
        <v>0.87614942528734474</v>
      </c>
      <c r="Z504">
        <v>0</v>
      </c>
      <c r="AA504">
        <v>0</v>
      </c>
      <c r="AB504">
        <v>-171.00317132019964</v>
      </c>
      <c r="AC504">
        <v>0.9</v>
      </c>
      <c r="AE504">
        <v>0</v>
      </c>
      <c r="AF504">
        <v>0</v>
      </c>
      <c r="AG504">
        <v>-171.00317132019964</v>
      </c>
      <c r="AH504">
        <v>0.9</v>
      </c>
      <c r="AJ504">
        <v>24.506132914200002</v>
      </c>
      <c r="AK504">
        <v>10.0347236299</v>
      </c>
      <c r="AL504">
        <v>-31.389078476901123</v>
      </c>
      <c r="AM504">
        <v>0.9</v>
      </c>
    </row>
    <row r="505" spans="1:39" x14ac:dyDescent="0.25">
      <c r="A505">
        <v>-94.443288478499994</v>
      </c>
      <c r="B505">
        <v>0</v>
      </c>
      <c r="C505">
        <v>491.86422413792496</v>
      </c>
      <c r="D505">
        <v>0.86799568965516172</v>
      </c>
      <c r="F505">
        <v>-41.7417436952</v>
      </c>
      <c r="G505">
        <v>17.447157217699999</v>
      </c>
      <c r="H505">
        <v>102.91345931917861</v>
      </c>
      <c r="I505">
        <v>0.9</v>
      </c>
      <c r="K505">
        <v>0</v>
      </c>
      <c r="L505">
        <v>0</v>
      </c>
      <c r="M505">
        <v>-171.00317132019964</v>
      </c>
      <c r="N505">
        <v>0.9</v>
      </c>
      <c r="P505">
        <v>0</v>
      </c>
      <c r="Q505">
        <v>0</v>
      </c>
      <c r="R505">
        <v>-171.00317132019964</v>
      </c>
      <c r="S505">
        <v>0.9</v>
      </c>
      <c r="U505">
        <v>0</v>
      </c>
      <c r="V505">
        <v>40.5796302145</v>
      </c>
      <c r="W505">
        <v>441.97557471263809</v>
      </c>
      <c r="X505">
        <v>0.7799568965517143</v>
      </c>
      <c r="Z505">
        <v>0</v>
      </c>
      <c r="AA505">
        <v>0</v>
      </c>
      <c r="AB505">
        <v>-171.00317132019964</v>
      </c>
      <c r="AC505">
        <v>0.9</v>
      </c>
      <c r="AE505">
        <v>0</v>
      </c>
      <c r="AF505">
        <v>0</v>
      </c>
      <c r="AG505">
        <v>-171.00317132019964</v>
      </c>
      <c r="AH505">
        <v>0.9</v>
      </c>
      <c r="AJ505">
        <v>37.355453565299996</v>
      </c>
      <c r="AK505">
        <v>15.763525426500001</v>
      </c>
      <c r="AL505">
        <v>63.01846810060993</v>
      </c>
      <c r="AM505">
        <v>0.9</v>
      </c>
    </row>
    <row r="506" spans="1:39" x14ac:dyDescent="0.25">
      <c r="A506">
        <v>-88.397198378100001</v>
      </c>
      <c r="B506">
        <v>0</v>
      </c>
      <c r="C506">
        <v>460.37595785440061</v>
      </c>
      <c r="D506">
        <v>0.81242816091953052</v>
      </c>
      <c r="F506">
        <v>-37.759330907799999</v>
      </c>
      <c r="G506">
        <v>15.547704637300001</v>
      </c>
      <c r="H506">
        <v>64.419671962187181</v>
      </c>
      <c r="I506">
        <v>0.9</v>
      </c>
      <c r="K506">
        <v>0</v>
      </c>
      <c r="L506">
        <v>0</v>
      </c>
      <c r="M506">
        <v>-171.00317132019964</v>
      </c>
      <c r="N506">
        <v>0.9</v>
      </c>
      <c r="P506">
        <v>0</v>
      </c>
      <c r="Q506">
        <v>0</v>
      </c>
      <c r="R506">
        <v>-171.00317132019964</v>
      </c>
      <c r="S506">
        <v>0.9</v>
      </c>
      <c r="U506">
        <v>0</v>
      </c>
      <c r="V506">
        <v>41.349585434500007</v>
      </c>
      <c r="W506">
        <v>450.36159003830846</v>
      </c>
      <c r="X506">
        <v>0.79475574712642671</v>
      </c>
      <c r="Z506">
        <v>0</v>
      </c>
      <c r="AA506">
        <v>0</v>
      </c>
      <c r="AB506">
        <v>-171.00317132019964</v>
      </c>
      <c r="AC506">
        <v>0.9</v>
      </c>
      <c r="AE506">
        <v>0</v>
      </c>
      <c r="AF506">
        <v>0</v>
      </c>
      <c r="AG506">
        <v>-171.00317132019964</v>
      </c>
      <c r="AH506">
        <v>0.9</v>
      </c>
      <c r="AJ506">
        <v>44.036312189600004</v>
      </c>
      <c r="AK506">
        <v>18.393675482100001</v>
      </c>
      <c r="AL506">
        <v>125.80432690593652</v>
      </c>
      <c r="AM506">
        <v>0.9</v>
      </c>
    </row>
    <row r="507" spans="1:39" x14ac:dyDescent="0.25">
      <c r="A507">
        <v>-94.18555498100001</v>
      </c>
      <c r="B507">
        <v>0</v>
      </c>
      <c r="C507">
        <v>459</v>
      </c>
      <c r="D507">
        <v>0.9</v>
      </c>
      <c r="F507">
        <v>-41.604229105400002</v>
      </c>
      <c r="G507">
        <v>17.333663470499999</v>
      </c>
      <c r="H507">
        <v>101.14004261548286</v>
      </c>
      <c r="I507">
        <v>0.9</v>
      </c>
      <c r="K507">
        <v>0</v>
      </c>
      <c r="L507">
        <v>0</v>
      </c>
      <c r="M507">
        <v>-171.00317132019964</v>
      </c>
      <c r="N507">
        <v>0.9</v>
      </c>
      <c r="P507">
        <v>0</v>
      </c>
      <c r="Q507">
        <v>0</v>
      </c>
      <c r="R507">
        <v>-171.00317132019964</v>
      </c>
      <c r="S507">
        <v>0.9</v>
      </c>
      <c r="U507">
        <v>0</v>
      </c>
      <c r="V507">
        <v>44.174750584800002</v>
      </c>
      <c r="W507">
        <v>450.00560400417072</v>
      </c>
      <c r="X507">
        <v>0.89094827586205727</v>
      </c>
      <c r="Z507">
        <v>0</v>
      </c>
      <c r="AA507">
        <v>0</v>
      </c>
      <c r="AB507">
        <v>-171.00317132019964</v>
      </c>
      <c r="AC507">
        <v>0.9</v>
      </c>
      <c r="AE507">
        <v>0</v>
      </c>
      <c r="AF507">
        <v>0</v>
      </c>
      <c r="AG507">
        <v>-171.00317132019964</v>
      </c>
      <c r="AH507">
        <v>0.9</v>
      </c>
      <c r="AJ507">
        <v>40.272441651299999</v>
      </c>
      <c r="AK507">
        <v>16.8844295223</v>
      </c>
      <c r="AL507">
        <v>88.769828591937141</v>
      </c>
      <c r="AM507">
        <v>0.9</v>
      </c>
    </row>
    <row r="508" spans="1:39" x14ac:dyDescent="0.25">
      <c r="A508">
        <v>-89.26092553529999</v>
      </c>
      <c r="B508">
        <v>0</v>
      </c>
      <c r="C508">
        <v>464.87428160918978</v>
      </c>
      <c r="D508">
        <v>0.82036637931033496</v>
      </c>
      <c r="F508">
        <v>-24.506489654100001</v>
      </c>
      <c r="G508">
        <v>10.034876518400001</v>
      </c>
      <c r="H508">
        <v>-31.387039963405709</v>
      </c>
      <c r="I508">
        <v>0.9</v>
      </c>
      <c r="K508">
        <v>0</v>
      </c>
      <c r="L508">
        <v>0</v>
      </c>
      <c r="M508">
        <v>-171.00317132019964</v>
      </c>
      <c r="N508">
        <v>0.9</v>
      </c>
      <c r="P508">
        <v>0</v>
      </c>
      <c r="Q508">
        <v>0</v>
      </c>
      <c r="R508">
        <v>-171.00317132019964</v>
      </c>
      <c r="S508">
        <v>0.9</v>
      </c>
      <c r="U508">
        <v>0</v>
      </c>
      <c r="V508">
        <v>42.105555419399998</v>
      </c>
      <c r="W508">
        <v>399.47090093784794</v>
      </c>
      <c r="X508">
        <v>0.9</v>
      </c>
      <c r="Z508">
        <v>0</v>
      </c>
      <c r="AA508">
        <v>0</v>
      </c>
      <c r="AB508">
        <v>-171.00317132019964</v>
      </c>
      <c r="AC508">
        <v>0.9</v>
      </c>
      <c r="AE508">
        <v>0</v>
      </c>
      <c r="AF508">
        <v>0</v>
      </c>
      <c r="AG508">
        <v>-171.00317132019964</v>
      </c>
      <c r="AH508">
        <v>0.9</v>
      </c>
      <c r="AJ508">
        <v>36.440855699300002</v>
      </c>
      <c r="AK508">
        <v>15.3527442474</v>
      </c>
      <c r="AL508">
        <v>55.136956485159736</v>
      </c>
      <c r="AM508">
        <v>0.9</v>
      </c>
    </row>
    <row r="509" spans="1:39" x14ac:dyDescent="0.25">
      <c r="A509">
        <v>-95.307015635700012</v>
      </c>
      <c r="B509">
        <v>0</v>
      </c>
      <c r="C509">
        <v>496.36254789271413</v>
      </c>
      <c r="D509">
        <v>0.87593390804596616</v>
      </c>
      <c r="F509">
        <v>-42.180520010500004</v>
      </c>
      <c r="G509">
        <v>17.587776892099999</v>
      </c>
      <c r="H509">
        <v>107.00741921613633</v>
      </c>
      <c r="I509">
        <v>0.9</v>
      </c>
      <c r="K509">
        <v>0</v>
      </c>
      <c r="L509">
        <v>0</v>
      </c>
      <c r="M509">
        <v>-171.00317132019964</v>
      </c>
      <c r="N509">
        <v>0.9</v>
      </c>
      <c r="P509">
        <v>0</v>
      </c>
      <c r="Q509">
        <v>0</v>
      </c>
      <c r="R509">
        <v>-171.00317132019964</v>
      </c>
      <c r="S509">
        <v>0.9</v>
      </c>
      <c r="U509">
        <v>0</v>
      </c>
      <c r="V509">
        <v>39.122660507500001</v>
      </c>
      <c r="W509">
        <v>453.88697318007104</v>
      </c>
      <c r="X509">
        <v>0.728160919540221</v>
      </c>
      <c r="Z509">
        <v>0</v>
      </c>
      <c r="AA509">
        <v>0</v>
      </c>
      <c r="AB509">
        <v>-171.00317132019964</v>
      </c>
      <c r="AC509">
        <v>0.9</v>
      </c>
      <c r="AE509">
        <v>0</v>
      </c>
      <c r="AF509">
        <v>0</v>
      </c>
      <c r="AG509">
        <v>-171.00317132019964</v>
      </c>
      <c r="AH509">
        <v>0.9</v>
      </c>
      <c r="AJ509">
        <v>32.3118958883</v>
      </c>
      <c r="AK509">
        <v>13.160827744300001</v>
      </c>
      <c r="AL509">
        <v>20.371471851136068</v>
      </c>
      <c r="AM509">
        <v>0.9</v>
      </c>
    </row>
    <row r="510" spans="1:39" x14ac:dyDescent="0.25">
      <c r="A510">
        <v>-94.18555498100001</v>
      </c>
      <c r="B510">
        <v>0</v>
      </c>
      <c r="C510">
        <v>459</v>
      </c>
      <c r="D510">
        <v>0.9</v>
      </c>
      <c r="F510">
        <v>-38.240588309700001</v>
      </c>
      <c r="G510">
        <v>15.7597110241</v>
      </c>
      <c r="H510">
        <v>68.626857116105057</v>
      </c>
      <c r="I510">
        <v>0.9</v>
      </c>
      <c r="K510">
        <v>0</v>
      </c>
      <c r="L510">
        <v>0</v>
      </c>
      <c r="M510">
        <v>-171.00317132019964</v>
      </c>
      <c r="N510">
        <v>0.9</v>
      </c>
      <c r="P510">
        <v>0</v>
      </c>
      <c r="Q510">
        <v>0</v>
      </c>
      <c r="R510">
        <v>-171.00317132019964</v>
      </c>
      <c r="S510">
        <v>0.9</v>
      </c>
      <c r="U510">
        <v>0</v>
      </c>
      <c r="V510">
        <v>42.119540654599994</v>
      </c>
      <c r="W510">
        <v>458.74760536397883</v>
      </c>
      <c r="X510">
        <v>0.80955459770113913</v>
      </c>
      <c r="Z510">
        <v>0</v>
      </c>
      <c r="AA510">
        <v>0</v>
      </c>
      <c r="AB510">
        <v>-171.00317132019964</v>
      </c>
      <c r="AC510">
        <v>0.9</v>
      </c>
      <c r="AE510">
        <v>3.6266666666999998</v>
      </c>
      <c r="AF510">
        <v>3.57</v>
      </c>
      <c r="AG510">
        <v>-133.60317132019966</v>
      </c>
      <c r="AH510">
        <v>0.9</v>
      </c>
      <c r="AJ510">
        <v>23.515271575500002</v>
      </c>
      <c r="AK510">
        <v>9.5882116275999998</v>
      </c>
      <c r="AL510">
        <v>-37.682571841007764</v>
      </c>
      <c r="AM510">
        <v>0.9</v>
      </c>
    </row>
    <row r="511" spans="1:39" x14ac:dyDescent="0.25">
      <c r="A511">
        <v>-89.765554981000008</v>
      </c>
      <c r="B511">
        <v>0</v>
      </c>
      <c r="C511">
        <v>408</v>
      </c>
      <c r="D511">
        <v>0.9</v>
      </c>
      <c r="F511">
        <v>-25.2625674871</v>
      </c>
      <c r="G511">
        <v>10.607433685</v>
      </c>
      <c r="H511">
        <v>-25.528499965201068</v>
      </c>
      <c r="I511">
        <v>0.9</v>
      </c>
      <c r="K511">
        <v>0</v>
      </c>
      <c r="L511">
        <v>0</v>
      </c>
      <c r="M511">
        <v>-171.00317132019964</v>
      </c>
      <c r="N511">
        <v>0.9</v>
      </c>
      <c r="P511">
        <v>0</v>
      </c>
      <c r="Q511">
        <v>0</v>
      </c>
      <c r="R511">
        <v>-171.00317132019964</v>
      </c>
      <c r="S511">
        <v>0.9</v>
      </c>
      <c r="U511">
        <v>0</v>
      </c>
      <c r="V511">
        <v>42.276663888199998</v>
      </c>
      <c r="W511">
        <v>401.75234718904107</v>
      </c>
      <c r="X511">
        <v>0.9</v>
      </c>
      <c r="Z511">
        <v>0</v>
      </c>
      <c r="AA511">
        <v>0</v>
      </c>
      <c r="AB511">
        <v>-171.00317132019964</v>
      </c>
      <c r="AC511">
        <v>0.9</v>
      </c>
      <c r="AE511">
        <v>0</v>
      </c>
      <c r="AF511">
        <v>0</v>
      </c>
      <c r="AG511">
        <v>-171.00317132019964</v>
      </c>
      <c r="AH511">
        <v>0.9</v>
      </c>
      <c r="AJ511">
        <v>24.716550336000001</v>
      </c>
      <c r="AK511">
        <v>10.3491406202</v>
      </c>
      <c r="AL511">
        <v>-29.19907416230205</v>
      </c>
      <c r="AM511">
        <v>0.9</v>
      </c>
    </row>
    <row r="512" spans="1:39" x14ac:dyDescent="0.25">
      <c r="A512">
        <v>-90.124652692500007</v>
      </c>
      <c r="B512">
        <v>0</v>
      </c>
      <c r="C512">
        <v>469.37260536397895</v>
      </c>
      <c r="D512">
        <v>0.8283045977011394</v>
      </c>
      <c r="F512">
        <v>-36.6986854421</v>
      </c>
      <c r="G512">
        <v>15.4345433862</v>
      </c>
      <c r="H512">
        <v>57.079793111043493</v>
      </c>
      <c r="I512">
        <v>0.9</v>
      </c>
      <c r="K512">
        <v>0</v>
      </c>
      <c r="L512">
        <v>0</v>
      </c>
      <c r="M512">
        <v>-171.00317132019964</v>
      </c>
      <c r="N512">
        <v>0.9</v>
      </c>
      <c r="P512">
        <v>0</v>
      </c>
      <c r="Q512">
        <v>0</v>
      </c>
      <c r="R512">
        <v>-171.00317132019964</v>
      </c>
      <c r="S512">
        <v>0.9</v>
      </c>
      <c r="U512">
        <v>0</v>
      </c>
      <c r="V512">
        <v>43.220951448200005</v>
      </c>
      <c r="W512">
        <v>470.61300119937681</v>
      </c>
      <c r="X512">
        <v>0.8317528735632076</v>
      </c>
      <c r="Z512">
        <v>0</v>
      </c>
      <c r="AA512">
        <v>0</v>
      </c>
      <c r="AB512">
        <v>-171.00317132019964</v>
      </c>
      <c r="AC512">
        <v>0.9</v>
      </c>
      <c r="AE512">
        <v>0</v>
      </c>
      <c r="AF512">
        <v>0</v>
      </c>
      <c r="AG512">
        <v>-171.00317132019964</v>
      </c>
      <c r="AH512">
        <v>0.9</v>
      </c>
      <c r="AJ512">
        <v>25.263221806499999</v>
      </c>
      <c r="AK512">
        <v>10.6077141076</v>
      </c>
      <c r="AL512">
        <v>-25.524760997269105</v>
      </c>
      <c r="AM512">
        <v>0.9</v>
      </c>
    </row>
    <row r="513" spans="1:39" x14ac:dyDescent="0.25">
      <c r="A513">
        <v>-89.765554981000008</v>
      </c>
      <c r="B513">
        <v>0</v>
      </c>
      <c r="C513">
        <v>408</v>
      </c>
      <c r="D513">
        <v>0.9</v>
      </c>
      <c r="F513">
        <v>-37.646008698000003</v>
      </c>
      <c r="G513">
        <v>15.3751204183</v>
      </c>
      <c r="H513">
        <v>62.654973620572598</v>
      </c>
      <c r="I513">
        <v>0.9</v>
      </c>
      <c r="K513">
        <v>0</v>
      </c>
      <c r="L513">
        <v>0</v>
      </c>
      <c r="M513">
        <v>-171.00317132019964</v>
      </c>
      <c r="N513">
        <v>0.9</v>
      </c>
      <c r="P513">
        <v>0</v>
      </c>
      <c r="Q513">
        <v>0</v>
      </c>
      <c r="R513">
        <v>-171.00317132019964</v>
      </c>
      <c r="S513">
        <v>0.9</v>
      </c>
      <c r="U513">
        <v>0</v>
      </c>
      <c r="V513">
        <v>43.841470483599998</v>
      </c>
      <c r="W513">
        <v>446.71620574084983</v>
      </c>
      <c r="X513">
        <v>0.88354885057470112</v>
      </c>
      <c r="Z513">
        <v>0</v>
      </c>
      <c r="AA513">
        <v>0</v>
      </c>
      <c r="AB513">
        <v>-171.00317132019964</v>
      </c>
      <c r="AC513">
        <v>0.9</v>
      </c>
      <c r="AE513">
        <v>0</v>
      </c>
      <c r="AF513">
        <v>0</v>
      </c>
      <c r="AG513">
        <v>-171.00317132019964</v>
      </c>
      <c r="AH513">
        <v>0.9</v>
      </c>
      <c r="AJ513">
        <v>36.1482671188</v>
      </c>
      <c r="AK513">
        <v>15.067570803999999</v>
      </c>
      <c r="AL513">
        <v>51.748831263595513</v>
      </c>
      <c r="AM513">
        <v>0.9</v>
      </c>
    </row>
    <row r="514" spans="1:39" x14ac:dyDescent="0.25">
      <c r="A514">
        <v>-94.18555498100001</v>
      </c>
      <c r="B514">
        <v>0</v>
      </c>
      <c r="C514">
        <v>459</v>
      </c>
      <c r="D514">
        <v>0.9</v>
      </c>
      <c r="F514">
        <v>-24.716184287499999</v>
      </c>
      <c r="G514">
        <v>10.3489837423</v>
      </c>
      <c r="H514">
        <v>-29.201165867735153</v>
      </c>
      <c r="I514">
        <v>0.9</v>
      </c>
      <c r="K514">
        <v>0</v>
      </c>
      <c r="L514">
        <v>0</v>
      </c>
      <c r="M514">
        <v>-171.00317132019964</v>
      </c>
      <c r="N514">
        <v>0.9</v>
      </c>
      <c r="P514">
        <v>0</v>
      </c>
      <c r="Q514">
        <v>0</v>
      </c>
      <c r="R514">
        <v>-171.00317132019964</v>
      </c>
      <c r="S514">
        <v>0.9</v>
      </c>
      <c r="U514">
        <v>0</v>
      </c>
      <c r="V514">
        <v>39.1791167879</v>
      </c>
      <c r="W514">
        <v>343.451719185223</v>
      </c>
      <c r="X514">
        <v>0.9</v>
      </c>
      <c r="Z514">
        <v>0</v>
      </c>
      <c r="AA514">
        <v>0</v>
      </c>
      <c r="AB514">
        <v>-171.00317132019964</v>
      </c>
      <c r="AC514">
        <v>0.9</v>
      </c>
      <c r="AE514">
        <v>0</v>
      </c>
      <c r="AF514">
        <v>0</v>
      </c>
      <c r="AG514">
        <v>-171.00317132019964</v>
      </c>
      <c r="AH514">
        <v>0.9</v>
      </c>
      <c r="AJ514">
        <v>30.067387472899998</v>
      </c>
      <c r="AK514">
        <v>12.432689869400001</v>
      </c>
      <c r="AL514">
        <v>5.3438047156435493</v>
      </c>
      <c r="AM514">
        <v>0.9</v>
      </c>
    </row>
    <row r="515" spans="1:39" x14ac:dyDescent="0.25">
      <c r="A515">
        <v>-89.765554981000008</v>
      </c>
      <c r="B515">
        <v>0</v>
      </c>
      <c r="C515">
        <v>408</v>
      </c>
      <c r="D515">
        <v>0.9</v>
      </c>
      <c r="F515">
        <v>-36.442593343399999</v>
      </c>
      <c r="G515">
        <v>15.3521059291</v>
      </c>
      <c r="H515">
        <v>55.146885880457205</v>
      </c>
      <c r="I515">
        <v>0.9</v>
      </c>
      <c r="K515">
        <v>0</v>
      </c>
      <c r="L515">
        <v>0</v>
      </c>
      <c r="M515">
        <v>-171.00317132019964</v>
      </c>
      <c r="N515">
        <v>0.9</v>
      </c>
      <c r="P515">
        <v>0</v>
      </c>
      <c r="Q515">
        <v>0</v>
      </c>
      <c r="R515">
        <v>-171.00317132019964</v>
      </c>
      <c r="S515">
        <v>0.9</v>
      </c>
      <c r="U515">
        <v>0</v>
      </c>
      <c r="V515">
        <v>42.502722948900001</v>
      </c>
      <c r="W515">
        <v>433.48358428275372</v>
      </c>
      <c r="X515">
        <v>0.85395114942527628</v>
      </c>
      <c r="Z515">
        <v>0</v>
      </c>
      <c r="AA515">
        <v>0</v>
      </c>
      <c r="AB515">
        <v>-171.00317132019964</v>
      </c>
      <c r="AC515">
        <v>0.9</v>
      </c>
      <c r="AE515">
        <v>0</v>
      </c>
      <c r="AF515">
        <v>0</v>
      </c>
      <c r="AG515">
        <v>-171.00317132019964</v>
      </c>
      <c r="AH515">
        <v>0.9</v>
      </c>
      <c r="AJ515">
        <v>27.891437655499999</v>
      </c>
      <c r="AK515">
        <v>11.6871399476</v>
      </c>
      <c r="AL515">
        <v>-8.5635275745416273</v>
      </c>
      <c r="AM515">
        <v>0.9</v>
      </c>
    </row>
    <row r="516" spans="1:39" x14ac:dyDescent="0.25">
      <c r="A516">
        <v>-94.18555498100001</v>
      </c>
      <c r="B516">
        <v>0</v>
      </c>
      <c r="C516">
        <v>459</v>
      </c>
      <c r="D516">
        <v>0.9</v>
      </c>
      <c r="F516">
        <v>-41.1859584149</v>
      </c>
      <c r="G516">
        <v>17.359922337899999</v>
      </c>
      <c r="H516">
        <v>98.40992438380448</v>
      </c>
      <c r="I516">
        <v>0.9</v>
      </c>
      <c r="K516">
        <v>0</v>
      </c>
      <c r="L516">
        <v>0</v>
      </c>
      <c r="M516">
        <v>-171.00317132019964</v>
      </c>
      <c r="N516">
        <v>0.9</v>
      </c>
      <c r="P516">
        <v>0</v>
      </c>
      <c r="Q516">
        <v>0</v>
      </c>
      <c r="R516">
        <v>1038.9156132184421</v>
      </c>
      <c r="S516">
        <v>0.65</v>
      </c>
      <c r="U516">
        <v>0</v>
      </c>
      <c r="V516">
        <v>41.934446950499996</v>
      </c>
      <c r="W516">
        <v>397.18945468665481</v>
      </c>
      <c r="X516">
        <v>0.9</v>
      </c>
      <c r="Z516">
        <v>0</v>
      </c>
      <c r="AA516">
        <v>0</v>
      </c>
      <c r="AB516">
        <v>-171.00317132019964</v>
      </c>
      <c r="AC516">
        <v>0.9</v>
      </c>
      <c r="AE516">
        <v>0</v>
      </c>
      <c r="AF516">
        <v>0</v>
      </c>
      <c r="AG516">
        <v>-171.00317132019964</v>
      </c>
      <c r="AH516">
        <v>0.9</v>
      </c>
      <c r="AJ516">
        <v>41.169599160999994</v>
      </c>
      <c r="AK516">
        <v>17.366933446699999</v>
      </c>
      <c r="AL516">
        <v>98.316442932980834</v>
      </c>
      <c r="AM516">
        <v>0.9</v>
      </c>
    </row>
    <row r="517" spans="1:39" x14ac:dyDescent="0.25">
      <c r="A517">
        <v>-94.18555498100001</v>
      </c>
      <c r="B517">
        <v>0</v>
      </c>
      <c r="C517">
        <v>459</v>
      </c>
      <c r="D517">
        <v>0.9</v>
      </c>
      <c r="F517">
        <v>-36.042113604299999</v>
      </c>
      <c r="G517">
        <v>15.094155907899999</v>
      </c>
      <c r="H517">
        <v>51.142239751924279</v>
      </c>
      <c r="I517">
        <v>0.9</v>
      </c>
      <c r="K517">
        <v>0</v>
      </c>
      <c r="L517">
        <v>0</v>
      </c>
      <c r="M517">
        <v>-171.00317132019964</v>
      </c>
      <c r="N517">
        <v>0.9</v>
      </c>
      <c r="P517">
        <v>0.90061298309999993</v>
      </c>
      <c r="Q517">
        <v>-2.1882594800000001</v>
      </c>
      <c r="R517">
        <v>1038.9156132184421</v>
      </c>
      <c r="S517">
        <v>0.65</v>
      </c>
      <c r="U517">
        <v>0</v>
      </c>
      <c r="V517">
        <v>43.173222142299998</v>
      </c>
      <c r="W517">
        <v>440.11490069276425</v>
      </c>
      <c r="X517">
        <v>0.86874999999998859</v>
      </c>
      <c r="Z517">
        <v>0</v>
      </c>
      <c r="AA517">
        <v>0</v>
      </c>
      <c r="AB517">
        <v>-171.00317132019964</v>
      </c>
      <c r="AC517">
        <v>0.9</v>
      </c>
      <c r="AE517">
        <v>0</v>
      </c>
      <c r="AF517">
        <v>0</v>
      </c>
      <c r="AG517">
        <v>-171.00317132019964</v>
      </c>
      <c r="AH517">
        <v>0.9</v>
      </c>
      <c r="AJ517">
        <v>25.585067785299998</v>
      </c>
      <c r="AK517">
        <v>10.8063623842</v>
      </c>
      <c r="AL517">
        <v>-23.216117309112974</v>
      </c>
      <c r="AM517">
        <v>0.9</v>
      </c>
    </row>
    <row r="518" spans="1:39" x14ac:dyDescent="0.25">
      <c r="A518">
        <v>-89.765554981000008</v>
      </c>
      <c r="B518">
        <v>0</v>
      </c>
      <c r="C518">
        <v>408</v>
      </c>
      <c r="D518">
        <v>0.9</v>
      </c>
      <c r="F518">
        <v>-34.401639465599999</v>
      </c>
      <c r="G518">
        <v>14.341731449300001</v>
      </c>
      <c r="H518">
        <v>37.704292292474499</v>
      </c>
      <c r="I518">
        <v>0.9</v>
      </c>
      <c r="K518">
        <v>0</v>
      </c>
      <c r="L518">
        <v>0</v>
      </c>
      <c r="M518">
        <v>-171.00317132019964</v>
      </c>
      <c r="N518">
        <v>0.9</v>
      </c>
      <c r="P518">
        <v>1.0429476547000001</v>
      </c>
      <c r="Q518">
        <v>-2.5276215472000003</v>
      </c>
      <c r="R518">
        <v>1038.9156132184421</v>
      </c>
      <c r="S518">
        <v>0.65</v>
      </c>
      <c r="U518">
        <v>0</v>
      </c>
      <c r="V518">
        <v>42.208220500700001</v>
      </c>
      <c r="W518">
        <v>400.83976868856377</v>
      </c>
      <c r="X518">
        <v>0.9</v>
      </c>
      <c r="Z518">
        <v>0</v>
      </c>
      <c r="AA518">
        <v>0</v>
      </c>
      <c r="AB518">
        <v>-171.00317132019964</v>
      </c>
      <c r="AC518">
        <v>0.9</v>
      </c>
      <c r="AE518">
        <v>0</v>
      </c>
      <c r="AF518">
        <v>0</v>
      </c>
      <c r="AG518">
        <v>-171.00317132019964</v>
      </c>
      <c r="AH518">
        <v>0.9</v>
      </c>
      <c r="AJ518">
        <v>17.029079494299999</v>
      </c>
      <c r="AK518">
        <v>6.9007007356000001</v>
      </c>
      <c r="AL518">
        <v>-76.009383733934513</v>
      </c>
      <c r="AM518">
        <v>0.9</v>
      </c>
    </row>
    <row r="519" spans="1:39" x14ac:dyDescent="0.25">
      <c r="A519">
        <v>-94.18555498100001</v>
      </c>
      <c r="B519">
        <v>0</v>
      </c>
      <c r="C519">
        <v>459</v>
      </c>
      <c r="D519">
        <v>0.9</v>
      </c>
      <c r="F519">
        <v>-27.1246977138</v>
      </c>
      <c r="G519">
        <v>11.210394258300001</v>
      </c>
      <c r="H519">
        <v>-14.353470098678022</v>
      </c>
      <c r="I519">
        <v>0.9</v>
      </c>
      <c r="K519">
        <v>-3.1393333332999998</v>
      </c>
      <c r="L519">
        <v>3.0996666667000001</v>
      </c>
      <c r="M519">
        <v>-138.70317132019966</v>
      </c>
      <c r="N519">
        <v>0.9</v>
      </c>
      <c r="P519">
        <v>1.0619424513</v>
      </c>
      <c r="Q519">
        <v>-2.5728636366000002</v>
      </c>
      <c r="R519">
        <v>1038.9156132184421</v>
      </c>
      <c r="S519">
        <v>0.65</v>
      </c>
      <c r="U519">
        <v>0</v>
      </c>
      <c r="V519">
        <v>44.555107275700003</v>
      </c>
      <c r="W519">
        <v>453.66492568951833</v>
      </c>
      <c r="X519">
        <v>0.9</v>
      </c>
      <c r="Z519">
        <v>0</v>
      </c>
      <c r="AA519">
        <v>0</v>
      </c>
      <c r="AB519">
        <v>-171.00317132019964</v>
      </c>
      <c r="AC519">
        <v>0.9</v>
      </c>
      <c r="AE519">
        <v>0</v>
      </c>
      <c r="AF519">
        <v>0</v>
      </c>
      <c r="AG519">
        <v>-171.00317132019964</v>
      </c>
      <c r="AH519">
        <v>0.9</v>
      </c>
      <c r="AJ519">
        <v>27.125348021000001</v>
      </c>
      <c r="AK519">
        <v>11.2106729614</v>
      </c>
      <c r="AL519">
        <v>-14.349754057480107</v>
      </c>
      <c r="AM519">
        <v>0.9</v>
      </c>
    </row>
    <row r="520" spans="1:39" x14ac:dyDescent="0.25">
      <c r="A520">
        <v>-89.765554981000008</v>
      </c>
      <c r="B520">
        <v>0</v>
      </c>
      <c r="C520">
        <v>408</v>
      </c>
      <c r="D520">
        <v>0.9</v>
      </c>
      <c r="F520">
        <v>-23.515170350899997</v>
      </c>
      <c r="G520">
        <v>9.5881682456000004</v>
      </c>
      <c r="H520">
        <v>-37.683150267462246</v>
      </c>
      <c r="I520">
        <v>0.9</v>
      </c>
      <c r="K520">
        <v>0</v>
      </c>
      <c r="L520">
        <v>0</v>
      </c>
      <c r="M520">
        <v>-171.00317132019964</v>
      </c>
      <c r="N520">
        <v>0.9</v>
      </c>
      <c r="P520">
        <v>0</v>
      </c>
      <c r="Q520">
        <v>0</v>
      </c>
      <c r="R520">
        <v>1038.9156132184421</v>
      </c>
      <c r="S520">
        <v>0.65</v>
      </c>
      <c r="U520">
        <v>0</v>
      </c>
      <c r="V520">
        <v>38.973786625300001</v>
      </c>
      <c r="W520">
        <v>340.71398368379135</v>
      </c>
      <c r="X520">
        <v>0.9</v>
      </c>
      <c r="Z520">
        <v>1.6319999999999999</v>
      </c>
      <c r="AA520">
        <v>3.944</v>
      </c>
      <c r="AB520">
        <v>-130.20317132019966</v>
      </c>
      <c r="AC520">
        <v>0.9</v>
      </c>
      <c r="AE520">
        <v>0</v>
      </c>
      <c r="AF520">
        <v>0</v>
      </c>
      <c r="AG520">
        <v>-171.00317132019964</v>
      </c>
      <c r="AH520">
        <v>0.9</v>
      </c>
      <c r="AJ520">
        <v>34.402416780199999</v>
      </c>
      <c r="AK520">
        <v>14.341445905099999</v>
      </c>
      <c r="AL520">
        <v>37.708734090541391</v>
      </c>
      <c r="AM520">
        <v>0.9</v>
      </c>
    </row>
    <row r="521" spans="1:39" x14ac:dyDescent="0.25">
      <c r="A521">
        <v>-84.665554981</v>
      </c>
      <c r="B521">
        <v>0</v>
      </c>
      <c r="C521">
        <v>356.99999999999994</v>
      </c>
      <c r="D521">
        <v>0.9</v>
      </c>
      <c r="F521">
        <v>-32.308351915999999</v>
      </c>
      <c r="G521">
        <v>13.162129611699999</v>
      </c>
      <c r="H521">
        <v>20.35122058082661</v>
      </c>
      <c r="I521">
        <v>0.9</v>
      </c>
      <c r="K521">
        <v>0</v>
      </c>
      <c r="L521">
        <v>0</v>
      </c>
      <c r="M521">
        <v>-171.00317132019964</v>
      </c>
      <c r="N521">
        <v>0.9</v>
      </c>
      <c r="P521">
        <v>1.0761870401</v>
      </c>
      <c r="Q521">
        <v>-2.6067957578000001</v>
      </c>
      <c r="R521">
        <v>1038.9156132184421</v>
      </c>
      <c r="S521">
        <v>0.65</v>
      </c>
      <c r="U521">
        <v>0</v>
      </c>
      <c r="V521">
        <v>41.829972903199995</v>
      </c>
      <c r="W521">
        <v>426.82225651081819</v>
      </c>
      <c r="X521">
        <v>0.83915229885056397</v>
      </c>
      <c r="Z521">
        <v>1.6319999999999999</v>
      </c>
      <c r="AA521">
        <v>3.944</v>
      </c>
      <c r="AB521">
        <v>-130.20317132019966</v>
      </c>
      <c r="AC521">
        <v>0.9</v>
      </c>
      <c r="AE521">
        <v>0</v>
      </c>
      <c r="AF521">
        <v>0</v>
      </c>
      <c r="AG521">
        <v>-171.00317132019964</v>
      </c>
      <c r="AH521">
        <v>0.9</v>
      </c>
      <c r="AJ521">
        <v>16.7011424234</v>
      </c>
      <c r="AK521">
        <v>6.7601562766999992</v>
      </c>
      <c r="AL521">
        <v>-77.883309853295899</v>
      </c>
      <c r="AM521">
        <v>0.9</v>
      </c>
    </row>
    <row r="522" spans="1:39" x14ac:dyDescent="0.25">
      <c r="A522">
        <v>-89.765554981000008</v>
      </c>
      <c r="B522">
        <v>0</v>
      </c>
      <c r="C522">
        <v>408</v>
      </c>
      <c r="D522">
        <v>0.9</v>
      </c>
      <c r="F522">
        <v>-40.681434096499999</v>
      </c>
      <c r="G522">
        <v>17.2539565696</v>
      </c>
      <c r="H522">
        <v>94.458356850051018</v>
      </c>
      <c r="I522">
        <v>0.9</v>
      </c>
      <c r="K522">
        <v>0</v>
      </c>
      <c r="L522">
        <v>0</v>
      </c>
      <c r="M522">
        <v>-171.00317132019964</v>
      </c>
      <c r="N522">
        <v>0.9</v>
      </c>
      <c r="P522">
        <v>0</v>
      </c>
      <c r="Q522">
        <v>0</v>
      </c>
      <c r="R522">
        <v>1038.9156132184421</v>
      </c>
      <c r="S522">
        <v>0.65</v>
      </c>
      <c r="U522">
        <v>0</v>
      </c>
      <c r="V522">
        <v>44.507467972799994</v>
      </c>
      <c r="W522">
        <v>453.28749942701029</v>
      </c>
      <c r="X522">
        <v>0.89834770114941331</v>
      </c>
      <c r="Z522">
        <v>1.6319999999999999</v>
      </c>
      <c r="AA522">
        <v>3.944</v>
      </c>
      <c r="AB522">
        <v>-130.20317132019966</v>
      </c>
      <c r="AC522">
        <v>0.9</v>
      </c>
      <c r="AE522">
        <v>0</v>
      </c>
      <c r="AF522">
        <v>0</v>
      </c>
      <c r="AG522">
        <v>-171.00317132019964</v>
      </c>
      <c r="AH522">
        <v>0.9</v>
      </c>
      <c r="AJ522">
        <v>29.876651558200003</v>
      </c>
      <c r="AK522">
        <v>12.3509459059</v>
      </c>
      <c r="AL522">
        <v>4.2538852027035503</v>
      </c>
      <c r="AM522">
        <v>0.9</v>
      </c>
    </row>
    <row r="523" spans="1:39" x14ac:dyDescent="0.25">
      <c r="A523">
        <v>-89.765554981000008</v>
      </c>
      <c r="B523">
        <v>0</v>
      </c>
      <c r="C523">
        <v>408</v>
      </c>
      <c r="D523">
        <v>0.9</v>
      </c>
      <c r="F523">
        <v>-38.615426917999997</v>
      </c>
      <c r="G523">
        <v>15.609605144</v>
      </c>
      <c r="H523">
        <v>70.768792020474436</v>
      </c>
      <c r="I523">
        <v>0.9</v>
      </c>
      <c r="K523">
        <v>0</v>
      </c>
      <c r="L523">
        <v>0</v>
      </c>
      <c r="M523">
        <v>-171.00317132019964</v>
      </c>
      <c r="N523">
        <v>0.9</v>
      </c>
      <c r="P523">
        <v>0.97172329219999998</v>
      </c>
      <c r="Q523">
        <v>-2.3579614622</v>
      </c>
      <c r="R523">
        <v>1038.9156132184421</v>
      </c>
      <c r="S523">
        <v>0.65</v>
      </c>
      <c r="U523">
        <v>0</v>
      </c>
      <c r="V523">
        <v>39.213338481699999</v>
      </c>
      <c r="W523">
        <v>343.90800843546162</v>
      </c>
      <c r="X523">
        <v>0.9</v>
      </c>
      <c r="Z523">
        <v>-0.75960210859999999</v>
      </c>
      <c r="AA523">
        <v>-1.8484111199</v>
      </c>
      <c r="AB523">
        <v>1038.9156132184421</v>
      </c>
      <c r="AC523">
        <v>0.65</v>
      </c>
      <c r="AE523">
        <v>0</v>
      </c>
      <c r="AF523">
        <v>0</v>
      </c>
      <c r="AG523">
        <v>-171.00317132019964</v>
      </c>
      <c r="AH523">
        <v>0.9</v>
      </c>
      <c r="AJ523">
        <v>33.271005228299998</v>
      </c>
      <c r="AK523">
        <v>13.681882809199999</v>
      </c>
      <c r="AL523">
        <v>27.989239508125745</v>
      </c>
      <c r="AM523">
        <v>0.9</v>
      </c>
    </row>
    <row r="524" spans="1:39" x14ac:dyDescent="0.25">
      <c r="A524">
        <v>-89.765554981000008</v>
      </c>
      <c r="B524">
        <v>0</v>
      </c>
      <c r="C524">
        <v>408</v>
      </c>
      <c r="D524">
        <v>0.9</v>
      </c>
      <c r="F524">
        <v>-36.148765626699998</v>
      </c>
      <c r="G524">
        <v>15.067387678699999</v>
      </c>
      <c r="H524">
        <v>51.751679880171046</v>
      </c>
      <c r="I524">
        <v>0.9</v>
      </c>
      <c r="K524">
        <v>0</v>
      </c>
      <c r="L524">
        <v>0</v>
      </c>
      <c r="M524">
        <v>-171.00317132019964</v>
      </c>
      <c r="N524">
        <v>0.9</v>
      </c>
      <c r="P524">
        <v>0.75956356990000007</v>
      </c>
      <c r="Q524">
        <v>-1.848425277</v>
      </c>
      <c r="R524">
        <v>1038.9156132184421</v>
      </c>
      <c r="S524">
        <v>0.65</v>
      </c>
      <c r="U524">
        <v>0</v>
      </c>
      <c r="V524">
        <v>39.110673400400003</v>
      </c>
      <c r="W524">
        <v>342.5391406847458</v>
      </c>
      <c r="X524">
        <v>0.9</v>
      </c>
      <c r="Z524">
        <v>0</v>
      </c>
      <c r="AA524">
        <v>0</v>
      </c>
      <c r="AB524">
        <v>1038.9156132184421</v>
      </c>
      <c r="AC524">
        <v>0.65</v>
      </c>
      <c r="AE524">
        <v>0</v>
      </c>
      <c r="AF524">
        <v>0</v>
      </c>
      <c r="AG524">
        <v>-171.00317132019964</v>
      </c>
      <c r="AH524">
        <v>0.9</v>
      </c>
      <c r="AJ524">
        <v>24.130106433199998</v>
      </c>
      <c r="AK524">
        <v>9.9099979951999995</v>
      </c>
      <c r="AL524">
        <v>-33.618753606680173</v>
      </c>
      <c r="AM524">
        <v>0.9</v>
      </c>
    </row>
    <row r="525" spans="1:39" x14ac:dyDescent="0.25">
      <c r="A525">
        <v>-94.18555498100001</v>
      </c>
      <c r="B525">
        <v>0</v>
      </c>
      <c r="C525">
        <v>459</v>
      </c>
      <c r="D525">
        <v>0.9</v>
      </c>
      <c r="F525">
        <v>-37.354240167600004</v>
      </c>
      <c r="G525">
        <v>15.763971164399999</v>
      </c>
      <c r="H525">
        <v>63.011534399441331</v>
      </c>
      <c r="I525">
        <v>0.9</v>
      </c>
      <c r="K525">
        <v>0</v>
      </c>
      <c r="L525">
        <v>0</v>
      </c>
      <c r="M525">
        <v>-171.00317132019964</v>
      </c>
      <c r="N525">
        <v>0.9</v>
      </c>
      <c r="P525">
        <v>0</v>
      </c>
      <c r="Q525">
        <v>0</v>
      </c>
      <c r="R525">
        <v>1038.9156132184421</v>
      </c>
      <c r="S525">
        <v>0.65</v>
      </c>
      <c r="U525">
        <v>0</v>
      </c>
      <c r="V525">
        <v>42.242442194399999</v>
      </c>
      <c r="W525">
        <v>401.29605793880245</v>
      </c>
      <c r="X525">
        <v>0.9</v>
      </c>
      <c r="Z525">
        <v>-1.0666902149000002</v>
      </c>
      <c r="AA525">
        <v>-2.5841745026000003</v>
      </c>
      <c r="AB525">
        <v>1038.9156132184421</v>
      </c>
      <c r="AC525">
        <v>0.65</v>
      </c>
      <c r="AE525">
        <v>0</v>
      </c>
      <c r="AF525">
        <v>0</v>
      </c>
      <c r="AG525">
        <v>-171.00317132019964</v>
      </c>
      <c r="AH525">
        <v>0.9</v>
      </c>
      <c r="AJ525">
        <v>17.476381363000002</v>
      </c>
      <c r="AK525">
        <v>7.1126396318000005</v>
      </c>
      <c r="AL525">
        <v>-73.372420674253803</v>
      </c>
      <c r="AM525">
        <v>0.9</v>
      </c>
    </row>
    <row r="526" spans="1:39" x14ac:dyDescent="0.25">
      <c r="A526">
        <v>-84.665554981</v>
      </c>
      <c r="B526">
        <v>0</v>
      </c>
      <c r="C526">
        <v>356.99999999999994</v>
      </c>
      <c r="D526">
        <v>0.9</v>
      </c>
      <c r="F526">
        <v>-21.573282376400002</v>
      </c>
      <c r="G526">
        <v>8.8814067328000004</v>
      </c>
      <c r="H526">
        <v>-49.18441488341989</v>
      </c>
      <c r="I526">
        <v>0.9</v>
      </c>
      <c r="K526">
        <v>0</v>
      </c>
      <c r="L526">
        <v>0</v>
      </c>
      <c r="M526">
        <v>-171.00317132019964</v>
      </c>
      <c r="N526">
        <v>0.9</v>
      </c>
      <c r="P526">
        <v>0.82981034370000006</v>
      </c>
      <c r="Q526">
        <v>-2.0184444763</v>
      </c>
      <c r="R526">
        <v>1038.9156132184421</v>
      </c>
      <c r="S526">
        <v>0.65</v>
      </c>
      <c r="U526">
        <v>0</v>
      </c>
      <c r="V526">
        <v>39.281781869199996</v>
      </c>
      <c r="W526">
        <v>344.82058693593893</v>
      </c>
      <c r="X526">
        <v>0.9</v>
      </c>
      <c r="Z526">
        <v>-0.6215820634</v>
      </c>
      <c r="AA526">
        <v>-1.5074640879000001</v>
      </c>
      <c r="AB526">
        <v>1038.9156132184421</v>
      </c>
      <c r="AC526">
        <v>0.65</v>
      </c>
      <c r="AE526">
        <v>0</v>
      </c>
      <c r="AF526">
        <v>0</v>
      </c>
      <c r="AG526">
        <v>-171.00317132019964</v>
      </c>
      <c r="AH526">
        <v>0.9</v>
      </c>
      <c r="AJ526">
        <v>21.408988324000003</v>
      </c>
      <c r="AK526">
        <v>8.8109949959999998</v>
      </c>
      <c r="AL526">
        <v>-50.123238040177831</v>
      </c>
      <c r="AM526">
        <v>0.9</v>
      </c>
    </row>
    <row r="527" spans="1:39" x14ac:dyDescent="0.25">
      <c r="A527">
        <v>-84.665554981</v>
      </c>
      <c r="B527">
        <v>0</v>
      </c>
      <c r="C527">
        <v>356.99999999999994</v>
      </c>
      <c r="D527">
        <v>0.9</v>
      </c>
      <c r="F527">
        <v>-29.8768638186</v>
      </c>
      <c r="G527">
        <v>12.3510368746</v>
      </c>
      <c r="H527">
        <v>4.2550981192077444</v>
      </c>
      <c r="I527">
        <v>0.9</v>
      </c>
      <c r="K527">
        <v>0</v>
      </c>
      <c r="L527">
        <v>0</v>
      </c>
      <c r="M527">
        <v>1038.9156132184421</v>
      </c>
      <c r="N527">
        <v>0.65</v>
      </c>
      <c r="P527">
        <v>0.6215380788</v>
      </c>
      <c r="Q527">
        <v>-1.5074802455</v>
      </c>
      <c r="R527">
        <v>1038.9156132184421</v>
      </c>
      <c r="S527">
        <v>0.65</v>
      </c>
      <c r="U527">
        <v>0</v>
      </c>
      <c r="V527">
        <v>38.939564931500001</v>
      </c>
      <c r="W527">
        <v>340.25769443355267</v>
      </c>
      <c r="X527">
        <v>0.9</v>
      </c>
      <c r="Z527">
        <v>0</v>
      </c>
      <c r="AA527">
        <v>0</v>
      </c>
      <c r="AB527">
        <v>1038.9156132184421</v>
      </c>
      <c r="AC527">
        <v>0.65</v>
      </c>
      <c r="AE527">
        <v>0</v>
      </c>
      <c r="AF527">
        <v>0</v>
      </c>
      <c r="AG527">
        <v>-171.00317132019964</v>
      </c>
      <c r="AH527">
        <v>0.9</v>
      </c>
      <c r="AJ527">
        <v>21.3232341422</v>
      </c>
      <c r="AK527">
        <v>8.6317670132999993</v>
      </c>
      <c r="AL527">
        <v>-51.001833364847663</v>
      </c>
      <c r="AM527">
        <v>0.9</v>
      </c>
    </row>
    <row r="528" spans="1:39" x14ac:dyDescent="0.25">
      <c r="A528">
        <v>-84.665554981</v>
      </c>
      <c r="B528">
        <v>0</v>
      </c>
      <c r="C528">
        <v>356.99999999999994</v>
      </c>
      <c r="D528">
        <v>0.9</v>
      </c>
      <c r="F528">
        <v>-25.584464129799997</v>
      </c>
      <c r="G528">
        <v>10.806103674700001</v>
      </c>
      <c r="H528">
        <v>-23.21956676898488</v>
      </c>
      <c r="I528">
        <v>0.9</v>
      </c>
      <c r="K528">
        <v>0</v>
      </c>
      <c r="L528">
        <v>0</v>
      </c>
      <c r="M528">
        <v>1038.9156132184421</v>
      </c>
      <c r="N528">
        <v>0.65</v>
      </c>
      <c r="P528">
        <v>0</v>
      </c>
      <c r="Q528">
        <v>0</v>
      </c>
      <c r="R528">
        <v>1038.9156132184421</v>
      </c>
      <c r="S528">
        <v>0.65</v>
      </c>
      <c r="U528">
        <v>0</v>
      </c>
      <c r="V528">
        <v>42.139777113099996</v>
      </c>
      <c r="W528">
        <v>399.92719018808651</v>
      </c>
      <c r="X528">
        <v>0.9</v>
      </c>
      <c r="Z528">
        <v>-1.0619425223999999</v>
      </c>
      <c r="AA528">
        <v>-2.5728636104999998</v>
      </c>
      <c r="AB528">
        <v>1038.9156132184421</v>
      </c>
      <c r="AC528">
        <v>0.65</v>
      </c>
      <c r="AE528">
        <v>0</v>
      </c>
      <c r="AF528">
        <v>0</v>
      </c>
      <c r="AG528">
        <v>-171.00317132019964</v>
      </c>
      <c r="AH528">
        <v>0.9</v>
      </c>
      <c r="AJ528">
        <v>16.2085072213</v>
      </c>
      <c r="AK528">
        <v>6.6502173804999991</v>
      </c>
      <c r="AL528">
        <v>-80.520272912976495</v>
      </c>
      <c r="AM528">
        <v>0.9</v>
      </c>
    </row>
    <row r="529" spans="1:39" x14ac:dyDescent="0.25">
      <c r="A529">
        <v>-84.665554981</v>
      </c>
      <c r="B529">
        <v>0</v>
      </c>
      <c r="C529">
        <v>356.99999999999994</v>
      </c>
      <c r="D529">
        <v>0.9</v>
      </c>
      <c r="F529">
        <v>-24.130069689799999</v>
      </c>
      <c r="G529">
        <v>9.9099822480000004</v>
      </c>
      <c r="H529">
        <v>-33.618963569246851</v>
      </c>
      <c r="I529">
        <v>0.9</v>
      </c>
      <c r="K529">
        <v>0</v>
      </c>
      <c r="L529">
        <v>0</v>
      </c>
      <c r="M529">
        <v>1038.9156132184421</v>
      </c>
      <c r="N529">
        <v>0.65</v>
      </c>
      <c r="P529">
        <v>0</v>
      </c>
      <c r="Q529">
        <v>0</v>
      </c>
      <c r="R529">
        <v>1038.9156132184421</v>
      </c>
      <c r="S529">
        <v>0.65</v>
      </c>
      <c r="U529">
        <v>0</v>
      </c>
      <c r="V529">
        <v>42.0371120318</v>
      </c>
      <c r="W529">
        <v>398.55832243737069</v>
      </c>
      <c r="X529">
        <v>0.9</v>
      </c>
      <c r="Z529">
        <v>-0.54436913050000002</v>
      </c>
      <c r="AA529">
        <v>-1.3400038859000001</v>
      </c>
      <c r="AB529">
        <v>1038.9156132184421</v>
      </c>
      <c r="AC529">
        <v>0.65</v>
      </c>
      <c r="AE529">
        <v>0</v>
      </c>
      <c r="AF529">
        <v>0</v>
      </c>
      <c r="AG529">
        <v>-171.00317132019964</v>
      </c>
      <c r="AH529">
        <v>0.9</v>
      </c>
      <c r="AJ529">
        <v>23.294235002499999</v>
      </c>
      <c r="AK529">
        <v>9.4934816677000011</v>
      </c>
      <c r="AL529">
        <v>-38.945637972571262</v>
      </c>
      <c r="AM529">
        <v>0.9</v>
      </c>
    </row>
    <row r="530" spans="1:39" x14ac:dyDescent="0.25">
      <c r="A530">
        <v>-89.765554981000008</v>
      </c>
      <c r="B530">
        <v>0</v>
      </c>
      <c r="C530">
        <v>408</v>
      </c>
      <c r="D530">
        <v>0.9</v>
      </c>
      <c r="F530">
        <v>-40.298810713900004</v>
      </c>
      <c r="G530">
        <v>17.060128495400001</v>
      </c>
      <c r="H530">
        <v>90.167175616451928</v>
      </c>
      <c r="I530">
        <v>0.9</v>
      </c>
      <c r="K530">
        <v>0</v>
      </c>
      <c r="L530">
        <v>0</v>
      </c>
      <c r="M530">
        <v>1038.9156132184421</v>
      </c>
      <c r="N530">
        <v>0.65</v>
      </c>
      <c r="P530">
        <v>0.54427731410000002</v>
      </c>
      <c r="Q530">
        <v>-1.3400376144000001</v>
      </c>
      <c r="R530">
        <v>1038.9156132184421</v>
      </c>
      <c r="S530">
        <v>0.65</v>
      </c>
      <c r="U530">
        <v>0</v>
      </c>
      <c r="V530">
        <v>39.247560175399997</v>
      </c>
      <c r="W530">
        <v>344.36429768570025</v>
      </c>
      <c r="X530">
        <v>0.9</v>
      </c>
      <c r="Z530">
        <v>0</v>
      </c>
      <c r="AA530">
        <v>0</v>
      </c>
      <c r="AB530">
        <v>1038.9156132184421</v>
      </c>
      <c r="AC530">
        <v>0.65</v>
      </c>
      <c r="AE530">
        <v>0</v>
      </c>
      <c r="AF530">
        <v>0</v>
      </c>
      <c r="AG530">
        <v>-171.00317132019964</v>
      </c>
      <c r="AH530">
        <v>0.9</v>
      </c>
      <c r="AJ530">
        <v>13.389425604400001</v>
      </c>
      <c r="AK530">
        <v>5.5157062113999995</v>
      </c>
      <c r="AL530">
        <v>-96.515977390421952</v>
      </c>
      <c r="AM530">
        <v>0.9</v>
      </c>
    </row>
    <row r="531" spans="1:39" x14ac:dyDescent="0.25">
      <c r="A531">
        <v>-84.665554981</v>
      </c>
      <c r="B531">
        <v>0</v>
      </c>
      <c r="C531">
        <v>356.99999999999994</v>
      </c>
      <c r="D531">
        <v>0.9</v>
      </c>
      <c r="F531">
        <v>-33.270976936499999</v>
      </c>
      <c r="G531">
        <v>13.681893202099999</v>
      </c>
      <c r="H531">
        <v>27.989077840879027</v>
      </c>
      <c r="I531">
        <v>0.9</v>
      </c>
      <c r="K531">
        <v>0</v>
      </c>
      <c r="L531">
        <v>0</v>
      </c>
      <c r="M531">
        <v>1038.9156132184421</v>
      </c>
      <c r="N531">
        <v>0.65</v>
      </c>
      <c r="P531">
        <v>0</v>
      </c>
      <c r="Q531">
        <v>0</v>
      </c>
      <c r="R531">
        <v>1038.9156132184421</v>
      </c>
      <c r="S531">
        <v>0.65</v>
      </c>
      <c r="U531">
        <v>0</v>
      </c>
      <c r="V531">
        <v>42.173998806900002</v>
      </c>
      <c r="W531">
        <v>400.3834794383252</v>
      </c>
      <c r="X531">
        <v>0.9</v>
      </c>
      <c r="Z531">
        <v>-0.69019689029999998</v>
      </c>
      <c r="AA531">
        <v>-1.6780827779</v>
      </c>
      <c r="AB531">
        <v>1038.9156132184421</v>
      </c>
      <c r="AC531">
        <v>0.65</v>
      </c>
      <c r="AE531">
        <v>0</v>
      </c>
      <c r="AF531">
        <v>0</v>
      </c>
      <c r="AG531">
        <v>-171.00317132019964</v>
      </c>
      <c r="AH531">
        <v>0.9</v>
      </c>
      <c r="AJ531">
        <v>15.291236817</v>
      </c>
      <c r="AK531">
        <v>6.2603395882999999</v>
      </c>
      <c r="AL531">
        <v>-85.794199032337872</v>
      </c>
      <c r="AM531">
        <v>0.9</v>
      </c>
    </row>
    <row r="532" spans="1:39" x14ac:dyDescent="0.25">
      <c r="A532">
        <v>-84.665554981</v>
      </c>
      <c r="B532">
        <v>0</v>
      </c>
      <c r="C532">
        <v>356.99999999999994</v>
      </c>
      <c r="D532">
        <v>0.9</v>
      </c>
      <c r="F532">
        <v>-27.890636413000003</v>
      </c>
      <c r="G532">
        <v>11.686796557899999</v>
      </c>
      <c r="H532">
        <v>-8.5681061033393213</v>
      </c>
      <c r="I532">
        <v>0.9</v>
      </c>
      <c r="K532">
        <v>0.55364056859999999</v>
      </c>
      <c r="L532">
        <v>-0.55330150519999999</v>
      </c>
      <c r="M532">
        <v>1038.9156132184421</v>
      </c>
      <c r="N532">
        <v>0.65</v>
      </c>
      <c r="P532">
        <v>0</v>
      </c>
      <c r="Q532">
        <v>0</v>
      </c>
      <c r="R532">
        <v>1038.9156132184421</v>
      </c>
      <c r="S532">
        <v>0.65</v>
      </c>
      <c r="U532">
        <v>0</v>
      </c>
      <c r="V532">
        <v>42.002890338</v>
      </c>
      <c r="W532">
        <v>398.10203318713206</v>
      </c>
      <c r="X532">
        <v>0.9</v>
      </c>
      <c r="Z532">
        <v>0</v>
      </c>
      <c r="AA532">
        <v>0</v>
      </c>
      <c r="AB532">
        <v>1038.9156132184421</v>
      </c>
      <c r="AC532">
        <v>0.65</v>
      </c>
      <c r="AE532">
        <v>0</v>
      </c>
      <c r="AF532">
        <v>0</v>
      </c>
      <c r="AG532">
        <v>-171.00317132019964</v>
      </c>
      <c r="AH532">
        <v>0.9</v>
      </c>
      <c r="AJ532">
        <v>14.963299746200001</v>
      </c>
      <c r="AK532">
        <v>6.1197951293000008</v>
      </c>
      <c r="AL532">
        <v>-87.668125151699243</v>
      </c>
      <c r="AM532">
        <v>0.9</v>
      </c>
    </row>
    <row r="533" spans="1:39" x14ac:dyDescent="0.25">
      <c r="A533">
        <v>-89.765554981000008</v>
      </c>
      <c r="B533">
        <v>0</v>
      </c>
      <c r="C533">
        <v>408</v>
      </c>
      <c r="D533">
        <v>0.9</v>
      </c>
      <c r="F533">
        <v>42.631105391499993</v>
      </c>
      <c r="G533">
        <v>-17.705526014500002</v>
      </c>
      <c r="H533">
        <v>110.65076425044651</v>
      </c>
      <c r="I533">
        <v>0.9</v>
      </c>
      <c r="K533">
        <v>0</v>
      </c>
      <c r="L533">
        <v>0</v>
      </c>
      <c r="M533">
        <v>1038.9156132184421</v>
      </c>
      <c r="N533">
        <v>0.65</v>
      </c>
      <c r="P533">
        <v>1.0524448298</v>
      </c>
      <c r="Q533">
        <v>-2.5502426739000001</v>
      </c>
      <c r="R533">
        <v>1038.9156132184421</v>
      </c>
      <c r="S533">
        <v>0.65</v>
      </c>
      <c r="U533">
        <v>0</v>
      </c>
      <c r="V533">
        <v>38.905343237799997</v>
      </c>
      <c r="W533">
        <v>339.8014051833141</v>
      </c>
      <c r="X533">
        <v>0.9</v>
      </c>
      <c r="Z533">
        <v>-1.0714390153</v>
      </c>
      <c r="AA533">
        <v>-2.5954849876999999</v>
      </c>
      <c r="AB533">
        <v>1038.9156132184421</v>
      </c>
      <c r="AC533">
        <v>0.65</v>
      </c>
      <c r="AE533">
        <v>0</v>
      </c>
      <c r="AF533">
        <v>0</v>
      </c>
      <c r="AG533">
        <v>-171.00317132019964</v>
      </c>
      <c r="AH533">
        <v>0.9</v>
      </c>
      <c r="AJ533">
        <v>14.0006960086</v>
      </c>
      <c r="AK533">
        <v>5.8205840036999996</v>
      </c>
      <c r="AL533">
        <v>-92.942051271060507</v>
      </c>
      <c r="AM533">
        <v>0.9</v>
      </c>
    </row>
    <row r="534" spans="1:39" x14ac:dyDescent="0.25">
      <c r="A534">
        <v>-89.765554981000008</v>
      </c>
      <c r="B534">
        <v>0</v>
      </c>
      <c r="C534">
        <v>408</v>
      </c>
      <c r="D534">
        <v>0.9</v>
      </c>
      <c r="F534">
        <v>-44.371779092499999</v>
      </c>
      <c r="G534">
        <v>18.225618237900001</v>
      </c>
      <c r="H534">
        <v>126.68509016072741</v>
      </c>
      <c r="I534">
        <v>0.9</v>
      </c>
      <c r="K534">
        <v>0</v>
      </c>
      <c r="L534">
        <v>0</v>
      </c>
      <c r="M534">
        <v>1038.9156132184421</v>
      </c>
      <c r="N534">
        <v>0.65</v>
      </c>
      <c r="P534">
        <v>0.69016349219999995</v>
      </c>
      <c r="Q534">
        <v>-1.6780950466</v>
      </c>
      <c r="R534">
        <v>1038.9156132184421</v>
      </c>
      <c r="S534">
        <v>0.65</v>
      </c>
      <c r="U534">
        <v>0</v>
      </c>
      <c r="V534">
        <v>38.836899850200005</v>
      </c>
      <c r="W534">
        <v>338.88882668283685</v>
      </c>
      <c r="X534">
        <v>0.9</v>
      </c>
      <c r="Z534">
        <v>-1.0761854786</v>
      </c>
      <c r="AA534">
        <v>-2.6067963314</v>
      </c>
      <c r="AB534">
        <v>1038.9156132184421</v>
      </c>
      <c r="AC534">
        <v>0.65</v>
      </c>
      <c r="AE534">
        <v>0</v>
      </c>
      <c r="AF534">
        <v>0</v>
      </c>
      <c r="AG534">
        <v>-171.00317132019964</v>
      </c>
      <c r="AH534">
        <v>0.9</v>
      </c>
      <c r="AJ534">
        <v>15.127268281599999</v>
      </c>
      <c r="AK534">
        <v>6.1900673587999995</v>
      </c>
      <c r="AL534">
        <v>-86.731162092018522</v>
      </c>
      <c r="AM534">
        <v>0.9</v>
      </c>
    </row>
    <row r="535" spans="1:39" x14ac:dyDescent="0.25">
      <c r="A535">
        <v>-89.765554981000008</v>
      </c>
      <c r="B535">
        <v>0</v>
      </c>
      <c r="C535">
        <v>408</v>
      </c>
      <c r="D535">
        <v>0.9</v>
      </c>
      <c r="F535">
        <v>-23.294159008299999</v>
      </c>
      <c r="G535">
        <v>9.4934490988000011</v>
      </c>
      <c r="H535">
        <v>-38.946072225374799</v>
      </c>
      <c r="I535">
        <v>0.9</v>
      </c>
      <c r="K535">
        <v>0</v>
      </c>
      <c r="L535">
        <v>0</v>
      </c>
      <c r="M535">
        <v>1038.9156132184421</v>
      </c>
      <c r="N535">
        <v>0.65</v>
      </c>
      <c r="P535">
        <v>0</v>
      </c>
      <c r="Q535">
        <v>0</v>
      </c>
      <c r="R535">
        <v>1038.9156132184421</v>
      </c>
      <c r="S535">
        <v>0.65</v>
      </c>
      <c r="U535">
        <v>0</v>
      </c>
      <c r="V535">
        <v>41.968668644299996</v>
      </c>
      <c r="W535">
        <v>397.64574393689344</v>
      </c>
      <c r="X535">
        <v>0.9</v>
      </c>
      <c r="Z535">
        <v>0</v>
      </c>
      <c r="AA535">
        <v>0</v>
      </c>
      <c r="AB535">
        <v>1038.9156132184421</v>
      </c>
      <c r="AC535">
        <v>0.65</v>
      </c>
      <c r="AE535">
        <v>0</v>
      </c>
      <c r="AF535">
        <v>0</v>
      </c>
      <c r="AG535">
        <v>-171.00317132019964</v>
      </c>
      <c r="AH535">
        <v>0.9</v>
      </c>
      <c r="AJ535">
        <v>21.573282376400002</v>
      </c>
      <c r="AK535">
        <v>8.8814067328000004</v>
      </c>
      <c r="AL535">
        <v>-49.184414883420281</v>
      </c>
      <c r="AM535">
        <v>0.9</v>
      </c>
    </row>
    <row r="536" spans="1:39" x14ac:dyDescent="0.25">
      <c r="A536">
        <v>-78.885554980999999</v>
      </c>
      <c r="B536">
        <v>0</v>
      </c>
      <c r="C536">
        <v>305.99999999999994</v>
      </c>
      <c r="D536">
        <v>0.9</v>
      </c>
      <c r="F536">
        <v>-15.291236817</v>
      </c>
      <c r="G536">
        <v>6.2603395882999999</v>
      </c>
      <c r="H536">
        <v>-85.794199032337403</v>
      </c>
      <c r="I536">
        <v>0.9</v>
      </c>
      <c r="K536">
        <v>0</v>
      </c>
      <c r="L536">
        <v>0</v>
      </c>
      <c r="M536">
        <v>1038.9156132184421</v>
      </c>
      <c r="N536">
        <v>0.65</v>
      </c>
      <c r="P536">
        <v>0</v>
      </c>
      <c r="Q536">
        <v>0</v>
      </c>
      <c r="R536">
        <v>1038.9156132184421</v>
      </c>
      <c r="S536">
        <v>0.65</v>
      </c>
      <c r="U536">
        <v>0</v>
      </c>
      <c r="V536">
        <v>39.0080083191</v>
      </c>
      <c r="W536">
        <v>341.17027293402992</v>
      </c>
      <c r="X536">
        <v>0.9</v>
      </c>
      <c r="Z536">
        <v>-0.97172495679999993</v>
      </c>
      <c r="AA536">
        <v>-2.3579608507000001</v>
      </c>
      <c r="AB536">
        <v>1038.9156132184421</v>
      </c>
      <c r="AC536">
        <v>0.65</v>
      </c>
      <c r="AE536">
        <v>0</v>
      </c>
      <c r="AF536">
        <v>0</v>
      </c>
      <c r="AG536">
        <v>-171.00317132019964</v>
      </c>
      <c r="AH536">
        <v>0.9</v>
      </c>
      <c r="AJ536">
        <v>13.5533941398</v>
      </c>
      <c r="AK536">
        <v>5.5859784409</v>
      </c>
      <c r="AL536">
        <v>-95.579014330741245</v>
      </c>
      <c r="AM536">
        <v>0.9</v>
      </c>
    </row>
    <row r="537" spans="1:39" x14ac:dyDescent="0.25">
      <c r="A537">
        <v>-84.665554981</v>
      </c>
      <c r="B537">
        <v>0</v>
      </c>
      <c r="C537">
        <v>356.99999999999994</v>
      </c>
      <c r="D537">
        <v>0.9</v>
      </c>
      <c r="F537">
        <v>-17.476381363000002</v>
      </c>
      <c r="G537">
        <v>7.1126396318000005</v>
      </c>
      <c r="H537">
        <v>-73.372420674253348</v>
      </c>
      <c r="I537">
        <v>0.9</v>
      </c>
      <c r="K537">
        <v>0</v>
      </c>
      <c r="L537">
        <v>0</v>
      </c>
      <c r="M537">
        <v>1038.9156132184421</v>
      </c>
      <c r="N537">
        <v>0.65</v>
      </c>
      <c r="P537">
        <v>1.0476944283</v>
      </c>
      <c r="Q537">
        <v>-2.5389327768999999</v>
      </c>
      <c r="R537">
        <v>1038.9156132184421</v>
      </c>
      <c r="S537">
        <v>0.65</v>
      </c>
      <c r="U537">
        <v>0</v>
      </c>
      <c r="V537">
        <v>42.071333725599999</v>
      </c>
      <c r="W537">
        <v>399.01461168760932</v>
      </c>
      <c r="X537">
        <v>0.9</v>
      </c>
      <c r="Z537">
        <v>0</v>
      </c>
      <c r="AA537">
        <v>0</v>
      </c>
      <c r="AB537">
        <v>1038.9156132184421</v>
      </c>
      <c r="AC537">
        <v>0.65</v>
      </c>
      <c r="AE537">
        <v>0</v>
      </c>
      <c r="AF537">
        <v>0</v>
      </c>
      <c r="AG537">
        <v>-171.00317132019964</v>
      </c>
      <c r="AH537">
        <v>0.9</v>
      </c>
      <c r="AJ537">
        <v>-16.077561275200001</v>
      </c>
      <c r="AK537">
        <v>-6.8175262608000002</v>
      </c>
      <c r="AL537">
        <v>-80.782821176410167</v>
      </c>
      <c r="AM537">
        <v>0.9</v>
      </c>
    </row>
    <row r="538" spans="1:39" x14ac:dyDescent="0.25">
      <c r="A538">
        <v>-84.665554981</v>
      </c>
      <c r="B538">
        <v>0</v>
      </c>
      <c r="C538">
        <v>356.99999999999994</v>
      </c>
      <c r="D538">
        <v>0.9</v>
      </c>
      <c r="F538">
        <v>17.449757199299999</v>
      </c>
      <c r="G538">
        <v>-7.2024197521</v>
      </c>
      <c r="H538">
        <v>-73.346463514576058</v>
      </c>
      <c r="I538">
        <v>0.9</v>
      </c>
      <c r="K538">
        <v>0</v>
      </c>
      <c r="L538">
        <v>0</v>
      </c>
      <c r="M538">
        <v>1038.9156132184421</v>
      </c>
      <c r="N538">
        <v>0.65</v>
      </c>
      <c r="P538">
        <v>1.057194789</v>
      </c>
      <c r="Q538">
        <v>-2.5615527334000001</v>
      </c>
      <c r="R538">
        <v>1038.9156132184421</v>
      </c>
      <c r="S538">
        <v>0.65</v>
      </c>
      <c r="U538">
        <v>0</v>
      </c>
      <c r="V538">
        <v>35.741569687599998</v>
      </c>
      <c r="W538">
        <v>285.15109118140509</v>
      </c>
      <c r="X538">
        <v>0.9</v>
      </c>
      <c r="Z538">
        <v>0</v>
      </c>
      <c r="AA538">
        <v>0</v>
      </c>
      <c r="AB538">
        <v>1038.9156132184421</v>
      </c>
      <c r="AC538">
        <v>0.65</v>
      </c>
      <c r="AE538">
        <v>0</v>
      </c>
      <c r="AF538">
        <v>0</v>
      </c>
      <c r="AG538">
        <v>-171.00317132019964</v>
      </c>
      <c r="AH538">
        <v>0.9</v>
      </c>
      <c r="AJ538">
        <v>-43.315156890799997</v>
      </c>
      <c r="AK538">
        <v>-17.5297420387</v>
      </c>
      <c r="AL538">
        <v>113.86343948464514</v>
      </c>
      <c r="AM538">
        <v>0.9</v>
      </c>
    </row>
    <row r="539" spans="1:39" x14ac:dyDescent="0.25">
      <c r="A539">
        <v>-84.665554981</v>
      </c>
      <c r="B539">
        <v>0</v>
      </c>
      <c r="C539">
        <v>356.99999999999994</v>
      </c>
      <c r="D539">
        <v>0.9</v>
      </c>
      <c r="F539">
        <v>-30.0674117537</v>
      </c>
      <c r="G539">
        <v>12.4327002754</v>
      </c>
      <c r="H539">
        <v>5.3439434627250337</v>
      </c>
      <c r="I539">
        <v>0.9</v>
      </c>
      <c r="K539">
        <v>1.2709434582000001</v>
      </c>
      <c r="L539">
        <v>-1.2689231673999999</v>
      </c>
      <c r="M539">
        <v>1038.9156132184421</v>
      </c>
      <c r="N539">
        <v>0.65</v>
      </c>
      <c r="P539">
        <v>1.0666909775</v>
      </c>
      <c r="Q539">
        <v>-2.5841742224000002</v>
      </c>
      <c r="R539">
        <v>1038.9156132184421</v>
      </c>
      <c r="S539">
        <v>0.65</v>
      </c>
      <c r="U539">
        <v>0</v>
      </c>
      <c r="V539">
        <v>38.802678156500001</v>
      </c>
      <c r="W539">
        <v>338.43253743259822</v>
      </c>
      <c r="X539">
        <v>0.9</v>
      </c>
      <c r="Z539">
        <v>0</v>
      </c>
      <c r="AA539">
        <v>0</v>
      </c>
      <c r="AB539">
        <v>1038.9156132184421</v>
      </c>
      <c r="AC539">
        <v>0.65</v>
      </c>
      <c r="AE539">
        <v>0</v>
      </c>
      <c r="AF539">
        <v>0</v>
      </c>
      <c r="AG539">
        <v>-171.00317132019964</v>
      </c>
      <c r="AH539">
        <v>0.9</v>
      </c>
      <c r="AJ539">
        <v>12.5688533314</v>
      </c>
      <c r="AK539">
        <v>5.2425561896000001</v>
      </c>
      <c r="AL539">
        <v>-101.02686656946398</v>
      </c>
      <c r="AM539">
        <v>0.9</v>
      </c>
    </row>
    <row r="540" spans="1:39" x14ac:dyDescent="0.25">
      <c r="A540">
        <v>-84.665554981</v>
      </c>
      <c r="B540">
        <v>0</v>
      </c>
      <c r="C540">
        <v>356.99999999999994</v>
      </c>
      <c r="D540">
        <v>0.9</v>
      </c>
      <c r="F540">
        <v>-14.963299746200001</v>
      </c>
      <c r="G540">
        <v>6.1197951293000008</v>
      </c>
      <c r="H540">
        <v>-87.668125151698774</v>
      </c>
      <c r="I540">
        <v>0.9</v>
      </c>
      <c r="K540">
        <v>1.4146261487</v>
      </c>
      <c r="L540">
        <v>-1.4119659073999999</v>
      </c>
      <c r="M540">
        <v>1038.9156132184421</v>
      </c>
      <c r="N540">
        <v>0.65</v>
      </c>
      <c r="P540">
        <v>0.48481001069999996</v>
      </c>
      <c r="Q540">
        <v>-1.1660586096999999</v>
      </c>
      <c r="R540">
        <v>1038.9156132184421</v>
      </c>
      <c r="S540">
        <v>0.65</v>
      </c>
      <c r="U540">
        <v>0</v>
      </c>
      <c r="V540">
        <v>42.310885581999997</v>
      </c>
      <c r="W540">
        <v>402.20863643927964</v>
      </c>
      <c r="X540">
        <v>0.9</v>
      </c>
      <c r="Z540">
        <v>-1.0524443721999999</v>
      </c>
      <c r="AA540">
        <v>-2.5502428420000003</v>
      </c>
      <c r="AB540">
        <v>1038.9156132184421</v>
      </c>
      <c r="AC540">
        <v>0.65</v>
      </c>
      <c r="AE540">
        <v>0</v>
      </c>
      <c r="AF540">
        <v>0</v>
      </c>
      <c r="AG540">
        <v>-171.00317132019964</v>
      </c>
      <c r="AH540">
        <v>0.9</v>
      </c>
      <c r="AJ540">
        <v>13.0614885335</v>
      </c>
      <c r="AK540">
        <v>5.3751617524000004</v>
      </c>
      <c r="AL540">
        <v>-98.389903509783323</v>
      </c>
      <c r="AM540">
        <v>0.9</v>
      </c>
    </row>
    <row r="541" spans="1:39" x14ac:dyDescent="0.25">
      <c r="A541">
        <v>-84.665554981</v>
      </c>
      <c r="B541">
        <v>0</v>
      </c>
      <c r="C541">
        <v>356.99999999999994</v>
      </c>
      <c r="D541">
        <v>0.9</v>
      </c>
      <c r="F541">
        <v>-15.4552053525</v>
      </c>
      <c r="G541">
        <v>6.3306118176999995</v>
      </c>
      <c r="H541">
        <v>-84.857235972656738</v>
      </c>
      <c r="I541">
        <v>0.9</v>
      </c>
      <c r="K541">
        <v>2.1457655861</v>
      </c>
      <c r="L541">
        <v>-2.1488610342000003</v>
      </c>
      <c r="M541">
        <v>1038.9156132184421</v>
      </c>
      <c r="N541">
        <v>0.65</v>
      </c>
      <c r="P541">
        <v>1.1645337862</v>
      </c>
      <c r="Q541">
        <v>-2.7932792576000001</v>
      </c>
      <c r="R541">
        <v>1038.9156132184421</v>
      </c>
      <c r="S541">
        <v>0.65</v>
      </c>
      <c r="U541">
        <v>0</v>
      </c>
      <c r="V541">
        <v>39.076451706600004</v>
      </c>
      <c r="W541">
        <v>342.08285143450718</v>
      </c>
      <c r="X541">
        <v>0.9</v>
      </c>
      <c r="Z541">
        <v>0</v>
      </c>
      <c r="AA541">
        <v>0</v>
      </c>
      <c r="AB541">
        <v>1038.9156132184421</v>
      </c>
      <c r="AC541">
        <v>0.65</v>
      </c>
      <c r="AE541">
        <v>3.1393333332999998</v>
      </c>
      <c r="AF541">
        <v>3.0996666667000001</v>
      </c>
      <c r="AG541">
        <v>-138.70317132019966</v>
      </c>
      <c r="AH541">
        <v>0.9</v>
      </c>
      <c r="AJ541">
        <v>14.470664544000002</v>
      </c>
      <c r="AK541">
        <v>5.9985228998000002</v>
      </c>
      <c r="AL541">
        <v>-90.305088211379868</v>
      </c>
      <c r="AM541">
        <v>0.9</v>
      </c>
    </row>
    <row r="542" spans="1:39" x14ac:dyDescent="0.25">
      <c r="A542">
        <v>-72.425554980999991</v>
      </c>
      <c r="B542">
        <v>0</v>
      </c>
      <c r="C542">
        <v>254.99999999999994</v>
      </c>
      <c r="D542">
        <v>0.9</v>
      </c>
      <c r="F542">
        <v>-13.225457068900001</v>
      </c>
      <c r="G542">
        <v>5.4454339818999991</v>
      </c>
      <c r="H542">
        <v>-97.452940450102105</v>
      </c>
      <c r="I542">
        <v>0.9</v>
      </c>
      <c r="K542">
        <v>2.1447794880999997</v>
      </c>
      <c r="L542">
        <v>-2.1102705946000002</v>
      </c>
      <c r="M542">
        <v>1038.9156132184421</v>
      </c>
      <c r="N542">
        <v>0.65</v>
      </c>
      <c r="P542">
        <v>1.1689177817</v>
      </c>
      <c r="Q542">
        <v>-2.8047237526999997</v>
      </c>
      <c r="R542">
        <v>1038.9156132184421</v>
      </c>
      <c r="S542">
        <v>0.65</v>
      </c>
      <c r="U542">
        <v>0</v>
      </c>
      <c r="V542">
        <v>41.900225256699997</v>
      </c>
      <c r="W542">
        <v>396.73316543641619</v>
      </c>
      <c r="X542">
        <v>0.9</v>
      </c>
      <c r="Z542">
        <v>0</v>
      </c>
      <c r="AA542">
        <v>0</v>
      </c>
      <c r="AB542">
        <v>1038.9156132184421</v>
      </c>
      <c r="AC542">
        <v>0.65</v>
      </c>
      <c r="AE542">
        <v>0</v>
      </c>
      <c r="AF542">
        <v>0</v>
      </c>
      <c r="AG542">
        <v>-171.00317132019964</v>
      </c>
      <c r="AH542">
        <v>0.9</v>
      </c>
      <c r="AJ542">
        <v>10.786406916599999</v>
      </c>
      <c r="AK542">
        <v>4.5579839165999996</v>
      </c>
      <c r="AL542">
        <v>-110.98560798722875</v>
      </c>
      <c r="AM542">
        <v>0.9</v>
      </c>
    </row>
    <row r="543" spans="1:39" x14ac:dyDescent="0.25">
      <c r="A543">
        <v>-94.159241966799996</v>
      </c>
      <c r="B543">
        <v>0</v>
      </c>
      <c r="C543">
        <v>458.87176724137368</v>
      </c>
      <c r="D543">
        <v>0.8997485632183797</v>
      </c>
      <c r="F543">
        <v>17.667684215400001</v>
      </c>
      <c r="G543">
        <v>-7.1946265685000004</v>
      </c>
      <c r="H543">
        <v>-72.279261517852518</v>
      </c>
      <c r="I543">
        <v>0.9</v>
      </c>
      <c r="K543">
        <v>1.8518644130000002</v>
      </c>
      <c r="L543">
        <v>-1.8366892526</v>
      </c>
      <c r="M543">
        <v>1038.9156132184421</v>
      </c>
      <c r="N543">
        <v>0.65</v>
      </c>
      <c r="P543">
        <v>1.0714379018</v>
      </c>
      <c r="Q543">
        <v>-2.5954853967999996</v>
      </c>
      <c r="R543">
        <v>1038.9156132184421</v>
      </c>
      <c r="S543">
        <v>0.65</v>
      </c>
      <c r="U543">
        <v>0</v>
      </c>
      <c r="V543">
        <v>39.144895094100001</v>
      </c>
      <c r="W543">
        <v>342.99542993498443</v>
      </c>
      <c r="X543">
        <v>0.9</v>
      </c>
      <c r="Z543">
        <v>0.47938269459999999</v>
      </c>
      <c r="AA543">
        <v>1.1680523175999999</v>
      </c>
      <c r="AB543">
        <v>1038.9156132184421</v>
      </c>
      <c r="AC543">
        <v>0.65</v>
      </c>
      <c r="AE543">
        <v>3.3660000000000001</v>
      </c>
      <c r="AF543">
        <v>3.4169999999999998</v>
      </c>
      <c r="AG543">
        <v>-135.30317132019965</v>
      </c>
      <c r="AH543">
        <v>0.9</v>
      </c>
      <c r="AJ543">
        <v>19.907785533999999</v>
      </c>
      <c r="AK543">
        <v>8.3100985622000003</v>
      </c>
      <c r="AL543">
        <v>-58.766301602138768</v>
      </c>
      <c r="AM543">
        <v>0.9</v>
      </c>
    </row>
    <row r="544" spans="1:39" x14ac:dyDescent="0.25">
      <c r="A544">
        <v>-78.885554980999999</v>
      </c>
      <c r="B544">
        <v>0</v>
      </c>
      <c r="C544">
        <v>305.99999999999994</v>
      </c>
      <c r="D544">
        <v>0.9</v>
      </c>
      <c r="F544">
        <v>-16.7011424234</v>
      </c>
      <c r="G544">
        <v>6.7601562766999992</v>
      </c>
      <c r="H544">
        <v>-77.88330985329543</v>
      </c>
      <c r="I544">
        <v>0.9</v>
      </c>
      <c r="K544">
        <v>1.5579903895</v>
      </c>
      <c r="L544">
        <v>-1.555125629</v>
      </c>
      <c r="M544">
        <v>1038.9156132184421</v>
      </c>
      <c r="N544">
        <v>0.65</v>
      </c>
      <c r="P544">
        <v>0.41330569680000001</v>
      </c>
      <c r="Q544">
        <v>-0.99650136389999999</v>
      </c>
      <c r="R544">
        <v>1038.9156132184421</v>
      </c>
      <c r="S544">
        <v>0.65</v>
      </c>
      <c r="U544">
        <v>0</v>
      </c>
      <c r="V544">
        <v>35.810013075199997</v>
      </c>
      <c r="W544">
        <v>286.06366968188229</v>
      </c>
      <c r="X544">
        <v>0.9</v>
      </c>
      <c r="Z544">
        <v>-1.0429477671</v>
      </c>
      <c r="AA544">
        <v>-2.5276215059</v>
      </c>
      <c r="AB544">
        <v>1038.9156132184421</v>
      </c>
      <c r="AC544">
        <v>0.65</v>
      </c>
      <c r="AE544">
        <v>-1.4146278636</v>
      </c>
      <c r="AF544">
        <v>-1.4119652775</v>
      </c>
      <c r="AG544">
        <v>1038.9156132184421</v>
      </c>
      <c r="AH544">
        <v>0.65</v>
      </c>
      <c r="AJ544">
        <v>9.6605642393999993</v>
      </c>
      <c r="AK544">
        <v>4.0762894358999997</v>
      </c>
      <c r="AL544">
        <v>-117.37042328563217</v>
      </c>
      <c r="AM544">
        <v>0.9</v>
      </c>
    </row>
    <row r="545" spans="1:39" x14ac:dyDescent="0.25">
      <c r="A545">
        <v>-84.665554981</v>
      </c>
      <c r="B545">
        <v>0</v>
      </c>
      <c r="C545">
        <v>356.99999999999994</v>
      </c>
      <c r="D545">
        <v>0.9</v>
      </c>
      <c r="F545">
        <v>-12.5688533314</v>
      </c>
      <c r="G545">
        <v>5.2425561896000001</v>
      </c>
      <c r="H545">
        <v>-101.02686656946351</v>
      </c>
      <c r="I545">
        <v>0.9</v>
      </c>
      <c r="K545">
        <v>1.1286072369</v>
      </c>
      <c r="L545">
        <v>-1.1253858059999999</v>
      </c>
      <c r="M545">
        <v>1038.9156132184421</v>
      </c>
      <c r="N545">
        <v>0.65</v>
      </c>
      <c r="P545">
        <v>1.2944532140999998</v>
      </c>
      <c r="Q545">
        <v>-3.1784426927</v>
      </c>
      <c r="R545">
        <v>1038.9156132184421</v>
      </c>
      <c r="S545">
        <v>0.65</v>
      </c>
      <c r="U545">
        <v>0</v>
      </c>
      <c r="V545">
        <v>38.768456462700001</v>
      </c>
      <c r="W545">
        <v>337.9762481823596</v>
      </c>
      <c r="X545">
        <v>0.9</v>
      </c>
      <c r="Z545">
        <v>-0.82981629150000003</v>
      </c>
      <c r="AA545">
        <v>-2.0184422914</v>
      </c>
      <c r="AB545">
        <v>1038.9156132184421</v>
      </c>
      <c r="AC545">
        <v>0.65</v>
      </c>
      <c r="AE545">
        <v>0</v>
      </c>
      <c r="AF545">
        <v>0</v>
      </c>
      <c r="AG545">
        <v>1038.9156132184421</v>
      </c>
      <c r="AH545">
        <v>0.65</v>
      </c>
      <c r="AJ545">
        <v>-19.760607203699998</v>
      </c>
      <c r="AK545">
        <v>-8.2470221348999999</v>
      </c>
      <c r="AL545">
        <v>-59.607320632430536</v>
      </c>
      <c r="AM545">
        <v>0.9</v>
      </c>
    </row>
    <row r="546" spans="1:39" x14ac:dyDescent="0.25">
      <c r="A546">
        <v>-78.885554980999999</v>
      </c>
      <c r="B546">
        <v>0</v>
      </c>
      <c r="C546">
        <v>305.99999999999994</v>
      </c>
      <c r="D546">
        <v>0.9</v>
      </c>
      <c r="F546">
        <v>-17.029079494299999</v>
      </c>
      <c r="G546">
        <v>6.9007007356000001</v>
      </c>
      <c r="H546">
        <v>-76.009383733933973</v>
      </c>
      <c r="I546">
        <v>0.9</v>
      </c>
      <c r="K546">
        <v>2.1803814008</v>
      </c>
      <c r="L546">
        <v>-2.1481185159000002</v>
      </c>
      <c r="M546">
        <v>1038.9156132184421</v>
      </c>
      <c r="N546">
        <v>0.65</v>
      </c>
      <c r="P546">
        <v>1.2401895673000001</v>
      </c>
      <c r="Q546">
        <v>-2.9914660815</v>
      </c>
      <c r="R546">
        <v>1038.9156132184421</v>
      </c>
      <c r="S546">
        <v>0.65</v>
      </c>
      <c r="U546">
        <v>0</v>
      </c>
      <c r="V546">
        <v>39.316003563000002</v>
      </c>
      <c r="W546">
        <v>345.27687618617756</v>
      </c>
      <c r="X546">
        <v>0.9</v>
      </c>
      <c r="Z546">
        <v>0</v>
      </c>
      <c r="AA546">
        <v>0</v>
      </c>
      <c r="AB546">
        <v>1038.9156132184421</v>
      </c>
      <c r="AC546">
        <v>0.65</v>
      </c>
      <c r="AE546">
        <v>0</v>
      </c>
      <c r="AF546">
        <v>0</v>
      </c>
      <c r="AG546">
        <v>1038.9156132184421</v>
      </c>
      <c r="AH546">
        <v>0.65</v>
      </c>
      <c r="AJ546">
        <v>11.770947725000001</v>
      </c>
      <c r="AK546">
        <v>4.9127395011999999</v>
      </c>
      <c r="AL546">
        <v>-105.53775574850602</v>
      </c>
      <c r="AM546">
        <v>0.9</v>
      </c>
    </row>
    <row r="547" spans="1:39" x14ac:dyDescent="0.25">
      <c r="A547">
        <v>-78.885554980999999</v>
      </c>
      <c r="B547">
        <v>0</v>
      </c>
      <c r="C547">
        <v>305.99999999999994</v>
      </c>
      <c r="D547">
        <v>0.9</v>
      </c>
      <c r="F547">
        <v>-21.409021165499997</v>
      </c>
      <c r="G547">
        <v>8.8110090708999991</v>
      </c>
      <c r="H547">
        <v>-50.123050374731228</v>
      </c>
      <c r="I547">
        <v>0.9</v>
      </c>
      <c r="K547">
        <v>0.98628538359999995</v>
      </c>
      <c r="L547">
        <v>-0.98184316659999993</v>
      </c>
      <c r="M547">
        <v>1038.9156132184421</v>
      </c>
      <c r="N547">
        <v>0.65</v>
      </c>
      <c r="P547">
        <v>0.34397485359999996</v>
      </c>
      <c r="Q547">
        <v>-0.82614570040000002</v>
      </c>
      <c r="R547">
        <v>1038.9156132184421</v>
      </c>
      <c r="S547">
        <v>0.65</v>
      </c>
      <c r="U547">
        <v>0</v>
      </c>
      <c r="V547">
        <v>39.042230012799997</v>
      </c>
      <c r="W547">
        <v>341.62656218426861</v>
      </c>
      <c r="X547">
        <v>0.9</v>
      </c>
      <c r="Z547">
        <v>-0.27668826639999999</v>
      </c>
      <c r="AA547">
        <v>-0.65503908569999991</v>
      </c>
      <c r="AB547">
        <v>1038.9156132184421</v>
      </c>
      <c r="AC547">
        <v>0.65</v>
      </c>
      <c r="AE547">
        <v>0</v>
      </c>
      <c r="AF547">
        <v>0</v>
      </c>
      <c r="AG547">
        <v>1038.9156132184421</v>
      </c>
      <c r="AH547">
        <v>0.65</v>
      </c>
      <c r="AJ547">
        <v>10.152469845700001</v>
      </c>
      <c r="AK547">
        <v>4.2871061244000002</v>
      </c>
      <c r="AL547">
        <v>-114.55953410659016</v>
      </c>
      <c r="AM547">
        <v>0.9</v>
      </c>
    </row>
    <row r="548" spans="1:39" x14ac:dyDescent="0.25">
      <c r="A548">
        <v>-84.665554981</v>
      </c>
      <c r="B548">
        <v>0</v>
      </c>
      <c r="C548">
        <v>356.99999999999994</v>
      </c>
      <c r="D548">
        <v>0.9</v>
      </c>
      <c r="F548">
        <v>-13.5533941398</v>
      </c>
      <c r="G548">
        <v>5.5859784409</v>
      </c>
      <c r="H548">
        <v>-95.579014330740804</v>
      </c>
      <c r="I548">
        <v>0.9</v>
      </c>
      <c r="K548">
        <v>1.9872973940000001</v>
      </c>
      <c r="L548">
        <v>-1.9778547475999999</v>
      </c>
      <c r="M548">
        <v>1038.9156132184421</v>
      </c>
      <c r="N548">
        <v>0.65</v>
      </c>
      <c r="P548">
        <v>2.0128606860999998</v>
      </c>
      <c r="Q548">
        <v>-4.7978496059999998</v>
      </c>
      <c r="R548">
        <v>1038.9156132184421</v>
      </c>
      <c r="S548">
        <v>0.65</v>
      </c>
      <c r="U548">
        <v>0</v>
      </c>
      <c r="V548">
        <v>35.775791381399998</v>
      </c>
      <c r="W548">
        <v>285.60738043164372</v>
      </c>
      <c r="X548">
        <v>0.9</v>
      </c>
      <c r="Z548">
        <v>-1.0571935908999999</v>
      </c>
      <c r="AA548">
        <v>-2.5615531735000001</v>
      </c>
      <c r="AB548">
        <v>1038.9156132184421</v>
      </c>
      <c r="AC548">
        <v>0.65</v>
      </c>
      <c r="AE548">
        <v>-1.5582517849999999</v>
      </c>
      <c r="AF548">
        <v>-1.5550296062000002</v>
      </c>
      <c r="AG548">
        <v>1038.9156132184421</v>
      </c>
      <c r="AH548">
        <v>0.65</v>
      </c>
      <c r="AJ548">
        <v>21.934582547700003</v>
      </c>
      <c r="AK548">
        <v>9.0985829965999994</v>
      </c>
      <c r="AL548">
        <v>-46.779842476025145</v>
      </c>
      <c r="AM548">
        <v>0.9</v>
      </c>
    </row>
    <row r="549" spans="1:39" x14ac:dyDescent="0.25">
      <c r="A549">
        <v>-84.665554981</v>
      </c>
      <c r="B549">
        <v>0</v>
      </c>
      <c r="C549">
        <v>356.99999999999994</v>
      </c>
      <c r="D549">
        <v>0.9</v>
      </c>
      <c r="F549">
        <v>-13.389425604400001</v>
      </c>
      <c r="G549">
        <v>5.5157062113999995</v>
      </c>
      <c r="H549">
        <v>-96.515977390421469</v>
      </c>
      <c r="I549">
        <v>0.9</v>
      </c>
      <c r="K549">
        <v>2.1359468086</v>
      </c>
      <c r="L549">
        <v>-2.1397634583</v>
      </c>
      <c r="M549">
        <v>1038.9156132184421</v>
      </c>
      <c r="N549">
        <v>0.65</v>
      </c>
      <c r="P549">
        <v>3.4250304245000001</v>
      </c>
      <c r="Q549">
        <v>-8.2645859337999994</v>
      </c>
      <c r="R549">
        <v>1038.9156132184421</v>
      </c>
      <c r="S549">
        <v>0.65</v>
      </c>
      <c r="U549">
        <v>0</v>
      </c>
      <c r="V549">
        <v>35.673126300099995</v>
      </c>
      <c r="W549">
        <v>284.2385126809279</v>
      </c>
      <c r="X549">
        <v>0.9</v>
      </c>
      <c r="Z549">
        <v>-1.0476964154999999</v>
      </c>
      <c r="AA549">
        <v>-2.5389320468999999</v>
      </c>
      <c r="AB549">
        <v>1038.9156132184421</v>
      </c>
      <c r="AC549">
        <v>0.65</v>
      </c>
      <c r="AE549">
        <v>0</v>
      </c>
      <c r="AF549">
        <v>0</v>
      </c>
      <c r="AG549">
        <v>1038.9156132184421</v>
      </c>
      <c r="AH549">
        <v>0.65</v>
      </c>
      <c r="AJ549">
        <v>9.9885013103000002</v>
      </c>
      <c r="AK549">
        <v>4.2168338949000006</v>
      </c>
      <c r="AL549">
        <v>-115.4964971662708</v>
      </c>
      <c r="AM549">
        <v>0.9</v>
      </c>
    </row>
    <row r="550" spans="1:39" x14ac:dyDescent="0.25">
      <c r="A550">
        <v>-84.665554981</v>
      </c>
      <c r="B550">
        <v>0</v>
      </c>
      <c r="C550">
        <v>356.99999999999994</v>
      </c>
      <c r="D550">
        <v>0.9</v>
      </c>
      <c r="F550">
        <v>-14.470664544000002</v>
      </c>
      <c r="G550">
        <v>5.9985228998000002</v>
      </c>
      <c r="H550">
        <v>-90.305088211379442</v>
      </c>
      <c r="I550">
        <v>0.9</v>
      </c>
      <c r="K550">
        <v>2.1851890833000001</v>
      </c>
      <c r="L550">
        <v>-2.1592046214000002</v>
      </c>
      <c r="M550">
        <v>1038.9156132184421</v>
      </c>
      <c r="N550">
        <v>0.65</v>
      </c>
      <c r="P550">
        <v>2.6644724309999996</v>
      </c>
      <c r="Q550">
        <v>-6.3874828405000006</v>
      </c>
      <c r="R550">
        <v>1038.9156132184421</v>
      </c>
      <c r="S550">
        <v>0.65</v>
      </c>
      <c r="U550">
        <v>0</v>
      </c>
      <c r="V550">
        <v>38.871121543999998</v>
      </c>
      <c r="W550">
        <v>339.34511593307548</v>
      </c>
      <c r="X550">
        <v>0.9</v>
      </c>
      <c r="Z550">
        <v>-0.90062136380000002</v>
      </c>
      <c r="AA550">
        <v>-2.1882564013999999</v>
      </c>
      <c r="AB550">
        <v>1038.9156132184421</v>
      </c>
      <c r="AC550">
        <v>0.65</v>
      </c>
      <c r="AE550">
        <v>0</v>
      </c>
      <c r="AF550">
        <v>0</v>
      </c>
      <c r="AG550">
        <v>1038.9156132184421</v>
      </c>
      <c r="AH550">
        <v>0.65</v>
      </c>
      <c r="AJ550">
        <v>16.865110958800003</v>
      </c>
      <c r="AK550">
        <v>6.8304285061999996</v>
      </c>
      <c r="AL550">
        <v>-76.946346793615177</v>
      </c>
      <c r="AM550">
        <v>0.9</v>
      </c>
    </row>
    <row r="551" spans="1:39" x14ac:dyDescent="0.25">
      <c r="A551">
        <v>-72.425554980999991</v>
      </c>
      <c r="B551">
        <v>0</v>
      </c>
      <c r="C551">
        <v>254.99999999999994</v>
      </c>
      <c r="D551">
        <v>0.9</v>
      </c>
      <c r="F551">
        <v>-13.0614885335</v>
      </c>
      <c r="G551">
        <v>5.3751617524000004</v>
      </c>
      <c r="H551">
        <v>-98.38990350978284</v>
      </c>
      <c r="I551">
        <v>0.9</v>
      </c>
      <c r="K551">
        <v>2.1965759052</v>
      </c>
      <c r="L551">
        <v>-2.1676799573999999</v>
      </c>
      <c r="M551">
        <v>1038.9156132184421</v>
      </c>
      <c r="N551">
        <v>0.65</v>
      </c>
      <c r="P551">
        <v>2.6927241690999999</v>
      </c>
      <c r="Q551">
        <v>-6.6253583841000001</v>
      </c>
      <c r="R551">
        <v>1038.9156132184421</v>
      </c>
      <c r="S551">
        <v>0.65</v>
      </c>
      <c r="U551">
        <v>0</v>
      </c>
      <c r="V551">
        <v>35.066261597299999</v>
      </c>
      <c r="W551">
        <v>276.14698331002967</v>
      </c>
      <c r="X551">
        <v>0.9</v>
      </c>
      <c r="Z551">
        <v>-1.1645335553</v>
      </c>
      <c r="AA551">
        <v>-2.7932793424</v>
      </c>
      <c r="AB551">
        <v>1038.9156132184421</v>
      </c>
      <c r="AC551">
        <v>0.65</v>
      </c>
      <c r="AE551">
        <v>0</v>
      </c>
      <c r="AF551">
        <v>0</v>
      </c>
      <c r="AG551">
        <v>1038.9156132184421</v>
      </c>
      <c r="AH551">
        <v>0.65</v>
      </c>
      <c r="AJ551">
        <v>10.6224383812</v>
      </c>
      <c r="AK551">
        <v>4.4877116872</v>
      </c>
      <c r="AL551">
        <v>-111.92257104690941</v>
      </c>
      <c r="AM551">
        <v>0.9</v>
      </c>
    </row>
    <row r="552" spans="1:39" x14ac:dyDescent="0.25">
      <c r="A552">
        <v>-84.665554981</v>
      </c>
      <c r="B552">
        <v>0</v>
      </c>
      <c r="C552">
        <v>356.99999999999994</v>
      </c>
      <c r="D552">
        <v>0.9</v>
      </c>
      <c r="F552">
        <v>-16.2085072213</v>
      </c>
      <c r="G552">
        <v>6.6502173804999991</v>
      </c>
      <c r="H552">
        <v>-80.520272912976083</v>
      </c>
      <c r="I552">
        <v>0.9</v>
      </c>
      <c r="K552">
        <v>2.1268270374</v>
      </c>
      <c r="L552">
        <v>-2.1303884989999999</v>
      </c>
      <c r="M552">
        <v>1038.9156132184421</v>
      </c>
      <c r="N552">
        <v>0.65</v>
      </c>
      <c r="P552">
        <v>2.0245852002999998</v>
      </c>
      <c r="Q552">
        <v>-4.9222759665</v>
      </c>
      <c r="R552">
        <v>1038.9156132184421</v>
      </c>
      <c r="S552">
        <v>0.65</v>
      </c>
      <c r="U552">
        <v>0</v>
      </c>
      <c r="V552">
        <v>38.734234768900002</v>
      </c>
      <c r="W552">
        <v>337.51995893212097</v>
      </c>
      <c r="X552">
        <v>0.9</v>
      </c>
      <c r="Z552">
        <v>-1.2401895907</v>
      </c>
      <c r="AA552">
        <v>-2.9914660730000002</v>
      </c>
      <c r="AB552">
        <v>1038.9156132184421</v>
      </c>
      <c r="AC552">
        <v>0.65</v>
      </c>
      <c r="AE552">
        <v>0</v>
      </c>
      <c r="AF552">
        <v>0</v>
      </c>
      <c r="AG552">
        <v>1038.9156132184421</v>
      </c>
      <c r="AH552">
        <v>0.65</v>
      </c>
      <c r="AJ552">
        <v>9.3326271685000002</v>
      </c>
      <c r="AK552">
        <v>3.9357449770000001</v>
      </c>
      <c r="AL552">
        <v>-119.24434940499366</v>
      </c>
      <c r="AM552">
        <v>0.9</v>
      </c>
    </row>
    <row r="553" spans="1:39" x14ac:dyDescent="0.25">
      <c r="A553">
        <v>-78.885554980999999</v>
      </c>
      <c r="B553">
        <v>0</v>
      </c>
      <c r="C553">
        <v>305.99999999999994</v>
      </c>
      <c r="D553">
        <v>0.9</v>
      </c>
      <c r="F553">
        <v>-16.865110958800003</v>
      </c>
      <c r="G553">
        <v>6.8304285061999996</v>
      </c>
      <c r="H553">
        <v>-76.946346793614723</v>
      </c>
      <c r="I553">
        <v>0.9</v>
      </c>
      <c r="K553">
        <v>2.3613567456999998</v>
      </c>
      <c r="L553">
        <v>-2.3411583438000001</v>
      </c>
      <c r="M553">
        <v>1038.9156132184421</v>
      </c>
      <c r="N553">
        <v>0.65</v>
      </c>
      <c r="P553">
        <v>3.4381718549999998</v>
      </c>
      <c r="Q553">
        <v>-8.4938134119999997</v>
      </c>
      <c r="R553">
        <v>1038.9156132184421</v>
      </c>
      <c r="S553">
        <v>0.65</v>
      </c>
      <c r="U553">
        <v>0</v>
      </c>
      <c r="V553">
        <v>20.856523047900001</v>
      </c>
      <c r="W553">
        <v>76.483802652293463</v>
      </c>
      <c r="X553">
        <v>0.9</v>
      </c>
      <c r="Z553">
        <v>-1.1689196828999999</v>
      </c>
      <c r="AA553">
        <v>-2.8047230543000001</v>
      </c>
      <c r="AB553">
        <v>1038.9156132184421</v>
      </c>
      <c r="AC553">
        <v>0.65</v>
      </c>
      <c r="AE553">
        <v>0</v>
      </c>
      <c r="AF553">
        <v>0</v>
      </c>
      <c r="AG553">
        <v>1038.9156132184421</v>
      </c>
      <c r="AH553">
        <v>0.65</v>
      </c>
      <c r="AJ553">
        <v>11.606979189599999</v>
      </c>
      <c r="AK553">
        <v>4.8424672716999995</v>
      </c>
      <c r="AL553">
        <v>-106.47471880818674</v>
      </c>
      <c r="AM553">
        <v>0.9</v>
      </c>
    </row>
    <row r="554" spans="1:39" x14ac:dyDescent="0.25">
      <c r="A554">
        <v>-84.665554981</v>
      </c>
      <c r="B554">
        <v>0</v>
      </c>
      <c r="C554">
        <v>356.99999999999994</v>
      </c>
      <c r="D554">
        <v>0.9</v>
      </c>
      <c r="F554">
        <v>-21.934473841600003</v>
      </c>
      <c r="G554">
        <v>9.0985364082999993</v>
      </c>
      <c r="H554">
        <v>-46.780463653638002</v>
      </c>
      <c r="I554">
        <v>0.9</v>
      </c>
      <c r="K554">
        <v>2.2072092016</v>
      </c>
      <c r="L554">
        <v>-2.1764543114000001</v>
      </c>
      <c r="M554">
        <v>1038.9156132184421</v>
      </c>
      <c r="N554">
        <v>0.65</v>
      </c>
      <c r="P554">
        <v>3.1193940445999999</v>
      </c>
      <c r="Q554">
        <v>-7.6951841219999997</v>
      </c>
      <c r="R554">
        <v>1038.9156132184421</v>
      </c>
      <c r="S554">
        <v>0.65</v>
      </c>
      <c r="U554">
        <v>0</v>
      </c>
      <c r="V554">
        <v>31.297840282000003</v>
      </c>
      <c r="W554">
        <v>217.96803243960872</v>
      </c>
      <c r="X554">
        <v>0.9</v>
      </c>
      <c r="Z554">
        <v>-1.2944445444999999</v>
      </c>
      <c r="AA554">
        <v>-3.1784458774000002</v>
      </c>
      <c r="AB554">
        <v>1038.9156132184421</v>
      </c>
      <c r="AC554">
        <v>0.65</v>
      </c>
      <c r="AE554">
        <v>0</v>
      </c>
      <c r="AF554">
        <v>0</v>
      </c>
      <c r="AG554">
        <v>1038.9156132184421</v>
      </c>
      <c r="AH554">
        <v>0.65</v>
      </c>
      <c r="AJ554">
        <v>13.225457068900001</v>
      </c>
      <c r="AK554">
        <v>5.4454339818999991</v>
      </c>
      <c r="AL554">
        <v>-97.452940450102616</v>
      </c>
      <c r="AM554">
        <v>0.9</v>
      </c>
    </row>
    <row r="555" spans="1:39" x14ac:dyDescent="0.25">
      <c r="A555">
        <v>-78.885554980999999</v>
      </c>
      <c r="B555">
        <v>0</v>
      </c>
      <c r="C555">
        <v>305.99999999999994</v>
      </c>
      <c r="D555">
        <v>0.9</v>
      </c>
      <c r="F555">
        <v>-11.606979189599999</v>
      </c>
      <c r="G555">
        <v>4.8424672716999995</v>
      </c>
      <c r="H555">
        <v>-106.47471880818617</v>
      </c>
      <c r="I555">
        <v>0.9</v>
      </c>
      <c r="K555">
        <v>2.3760623240999998</v>
      </c>
      <c r="L555">
        <v>-2.3483167129</v>
      </c>
      <c r="M555">
        <v>1038.9156132184421</v>
      </c>
      <c r="N555">
        <v>0.65</v>
      </c>
      <c r="P555">
        <v>2.0794144719999998</v>
      </c>
      <c r="Q555">
        <v>-4.9282444861999997</v>
      </c>
      <c r="R555">
        <v>1038.9156132184421</v>
      </c>
      <c r="S555">
        <v>0.65</v>
      </c>
      <c r="U555">
        <v>0</v>
      </c>
      <c r="V555">
        <v>31.567050939599998</v>
      </c>
      <c r="W555">
        <v>221.55750787481924</v>
      </c>
      <c r="X555">
        <v>0.9</v>
      </c>
      <c r="Z555">
        <v>0.34278666229999999</v>
      </c>
      <c r="AA555">
        <v>0.82658217879999996</v>
      </c>
      <c r="AB555">
        <v>1038.9156132184421</v>
      </c>
      <c r="AC555">
        <v>0.65</v>
      </c>
      <c r="AE555">
        <v>0</v>
      </c>
      <c r="AF555">
        <v>0</v>
      </c>
      <c r="AG555">
        <v>1038.9156132184421</v>
      </c>
      <c r="AH555">
        <v>0.65</v>
      </c>
      <c r="AJ555">
        <v>15.4552053525</v>
      </c>
      <c r="AK555">
        <v>6.3306118176999995</v>
      </c>
      <c r="AL555">
        <v>-84.857235972657236</v>
      </c>
      <c r="AM555">
        <v>0.9</v>
      </c>
    </row>
    <row r="556" spans="1:39" x14ac:dyDescent="0.25">
      <c r="A556">
        <v>-72.425554980999991</v>
      </c>
      <c r="B556">
        <v>0</v>
      </c>
      <c r="C556">
        <v>254.99999999999994</v>
      </c>
      <c r="D556">
        <v>0.9</v>
      </c>
      <c r="F556">
        <v>-15.127268281599999</v>
      </c>
      <c r="G556">
        <v>6.1900673587999995</v>
      </c>
      <c r="H556">
        <v>-86.731162092018039</v>
      </c>
      <c r="I556">
        <v>0.9</v>
      </c>
      <c r="K556">
        <v>1.7104561387999999</v>
      </c>
      <c r="L556">
        <v>-1.6949419393</v>
      </c>
      <c r="M556">
        <v>1038.9156132184421</v>
      </c>
      <c r="N556">
        <v>0.65</v>
      </c>
      <c r="P556">
        <v>2.9250467672</v>
      </c>
      <c r="Q556">
        <v>-7.0944873296000006</v>
      </c>
      <c r="R556">
        <v>1038.9156132184421</v>
      </c>
      <c r="S556">
        <v>0.65</v>
      </c>
      <c r="U556">
        <v>0</v>
      </c>
      <c r="V556">
        <v>30.7594189667</v>
      </c>
      <c r="W556">
        <v>210.78908156918777</v>
      </c>
      <c r="X556">
        <v>0.9</v>
      </c>
      <c r="Z556">
        <v>-2.0245790799000001</v>
      </c>
      <c r="AA556">
        <v>-4.9222782147999995</v>
      </c>
      <c r="AB556">
        <v>1038.9156132184421</v>
      </c>
      <c r="AC556">
        <v>0.65</v>
      </c>
      <c r="AE556">
        <v>-1.1286072373</v>
      </c>
      <c r="AF556">
        <v>-1.1253858058999999</v>
      </c>
      <c r="AG556">
        <v>1038.9156132184421</v>
      </c>
      <c r="AH556">
        <v>0.65</v>
      </c>
      <c r="AJ556">
        <v>9.1686586330999997</v>
      </c>
      <c r="AK556">
        <v>3.8654727474999997</v>
      </c>
      <c r="AL556">
        <v>-120.18131246467429</v>
      </c>
      <c r="AM556">
        <v>0.9</v>
      </c>
    </row>
    <row r="557" spans="1:39" x14ac:dyDescent="0.25">
      <c r="A557">
        <v>-78.885554980999999</v>
      </c>
      <c r="B557">
        <v>0</v>
      </c>
      <c r="C557">
        <v>305.99999999999994</v>
      </c>
      <c r="D557">
        <v>0.9</v>
      </c>
      <c r="F557">
        <v>-14.0006960086</v>
      </c>
      <c r="G557">
        <v>5.8205840036999996</v>
      </c>
      <c r="H557">
        <v>-92.942051271060095</v>
      </c>
      <c r="I557">
        <v>0.9</v>
      </c>
      <c r="K557">
        <v>2.4017884854</v>
      </c>
      <c r="L557">
        <v>-2.3640957509000002</v>
      </c>
      <c r="M557">
        <v>1038.9156132184421</v>
      </c>
      <c r="N557">
        <v>0.65</v>
      </c>
      <c r="P557">
        <v>2.9470386478999999</v>
      </c>
      <c r="Q557">
        <v>-7.0994636219999991</v>
      </c>
      <c r="R557">
        <v>1038.9156132184421</v>
      </c>
      <c r="S557">
        <v>0.65</v>
      </c>
      <c r="U557">
        <v>0</v>
      </c>
      <c r="V557">
        <v>25.574155020899997</v>
      </c>
      <c r="W557">
        <v>138.25222895792493</v>
      </c>
      <c r="X557">
        <v>0.9</v>
      </c>
      <c r="Z557">
        <v>-3.6445471729000003</v>
      </c>
      <c r="AA557">
        <v>-8.7230764303000008</v>
      </c>
      <c r="AB557">
        <v>1038.9156132184421</v>
      </c>
      <c r="AC557">
        <v>0.65</v>
      </c>
      <c r="AE557">
        <v>-0.54952785120000003</v>
      </c>
      <c r="AF557">
        <v>-0.55481229939999999</v>
      </c>
      <c r="AG557">
        <v>1038.9156132184421</v>
      </c>
      <c r="AH557">
        <v>0.65</v>
      </c>
      <c r="AJ557">
        <v>11.2790421187</v>
      </c>
      <c r="AK557">
        <v>4.7019228127999995</v>
      </c>
      <c r="AL557">
        <v>-108.34864492754811</v>
      </c>
      <c r="AM557">
        <v>0.9</v>
      </c>
    </row>
    <row r="558" spans="1:39" x14ac:dyDescent="0.25">
      <c r="A558">
        <v>-65.180315960400009</v>
      </c>
      <c r="B558">
        <v>0</v>
      </c>
      <c r="C558">
        <v>203.39863416763467</v>
      </c>
      <c r="D558">
        <v>0.9</v>
      </c>
      <c r="F558">
        <v>19.887361954900001</v>
      </c>
      <c r="G558">
        <v>-8.3013455997000012</v>
      </c>
      <c r="H558">
        <v>-58.883007768292629</v>
      </c>
      <c r="I558">
        <v>0.9</v>
      </c>
      <c r="K558">
        <v>2.8750682787000001</v>
      </c>
      <c r="L558">
        <v>-2.8652154142000001</v>
      </c>
      <c r="M558">
        <v>1038.9156132184421</v>
      </c>
      <c r="N558">
        <v>0.65</v>
      </c>
      <c r="P558">
        <v>3.0620234958999997</v>
      </c>
      <c r="Q558">
        <v>-7.2138540624999994</v>
      </c>
      <c r="R558">
        <v>1038.9156132184421</v>
      </c>
      <c r="S558">
        <v>0.65</v>
      </c>
      <c r="U558">
        <v>0</v>
      </c>
      <c r="V558">
        <v>35.707347993900001</v>
      </c>
      <c r="W558">
        <v>284.69480193116647</v>
      </c>
      <c r="X558">
        <v>0.9</v>
      </c>
      <c r="Z558">
        <v>-3.8611212141999998</v>
      </c>
      <c r="AA558">
        <v>-9.4085176783999991</v>
      </c>
      <c r="AB558">
        <v>1038.9156132184421</v>
      </c>
      <c r="AC558">
        <v>0.65</v>
      </c>
      <c r="AE558">
        <v>-1.2709900881</v>
      </c>
      <c r="AF558">
        <v>-1.2689060380999999</v>
      </c>
      <c r="AG558">
        <v>1038.9156132184421</v>
      </c>
      <c r="AH558">
        <v>0.65</v>
      </c>
      <c r="AJ558">
        <v>12.0988847959</v>
      </c>
      <c r="AK558">
        <v>5.0532839601999999</v>
      </c>
      <c r="AL558">
        <v>-103.66382962914473</v>
      </c>
      <c r="AM558">
        <v>0.9</v>
      </c>
    </row>
    <row r="559" spans="1:39" x14ac:dyDescent="0.25">
      <c r="A559">
        <v>-55.234242048699997</v>
      </c>
      <c r="B559">
        <v>0</v>
      </c>
      <c r="C559">
        <v>140.24964038692238</v>
      </c>
      <c r="D559">
        <v>0.9</v>
      </c>
      <c r="F559">
        <v>-11.4430106542</v>
      </c>
      <c r="G559">
        <v>4.7721950422999999</v>
      </c>
      <c r="H559">
        <v>-107.41168186786683</v>
      </c>
      <c r="I559">
        <v>0.9</v>
      </c>
      <c r="K559">
        <v>2.3907877854000001</v>
      </c>
      <c r="L559">
        <v>-2.3554671918999999</v>
      </c>
      <c r="M559">
        <v>1038.9156132184421</v>
      </c>
      <c r="N559">
        <v>0.65</v>
      </c>
      <c r="P559">
        <v>3.7433341950000001</v>
      </c>
      <c r="Q559">
        <v>-9.1767800469999994</v>
      </c>
      <c r="R559">
        <v>1038.9156132184421</v>
      </c>
      <c r="S559">
        <v>0.65</v>
      </c>
      <c r="U559">
        <v>0</v>
      </c>
      <c r="V559">
        <v>35.335472254899997</v>
      </c>
      <c r="W559">
        <v>279.73645874524016</v>
      </c>
      <c r="X559">
        <v>0.9</v>
      </c>
      <c r="Z559">
        <v>-3.7431603784999998</v>
      </c>
      <c r="AA559">
        <v>-9.1768438979999996</v>
      </c>
      <c r="AB559">
        <v>1038.9156132184421</v>
      </c>
      <c r="AC559">
        <v>0.65</v>
      </c>
      <c r="AE559">
        <v>-1.9871790820999999</v>
      </c>
      <c r="AF559">
        <v>-1.9779016967999998</v>
      </c>
      <c r="AG559">
        <v>1038.9156132184421</v>
      </c>
      <c r="AH559">
        <v>0.65</v>
      </c>
      <c r="AJ559">
        <v>9.0046900975999993</v>
      </c>
      <c r="AK559">
        <v>3.7952005179999997</v>
      </c>
      <c r="AL559">
        <v>-121.11827552435494</v>
      </c>
      <c r="AM559">
        <v>0.9</v>
      </c>
    </row>
    <row r="560" spans="1:39" x14ac:dyDescent="0.25">
      <c r="A560">
        <v>-78.885554980999999</v>
      </c>
      <c r="B560">
        <v>0</v>
      </c>
      <c r="C560">
        <v>305.99999999999994</v>
      </c>
      <c r="D560">
        <v>0.9</v>
      </c>
      <c r="F560">
        <v>-9.9885013103000002</v>
      </c>
      <c r="G560">
        <v>4.2168338949000006</v>
      </c>
      <c r="H560">
        <v>-115.49649716627023</v>
      </c>
      <c r="I560">
        <v>0.9</v>
      </c>
      <c r="K560">
        <v>2.8636457087999996</v>
      </c>
      <c r="L560">
        <v>-2.8827420961000003</v>
      </c>
      <c r="M560">
        <v>1038.9156132184421</v>
      </c>
      <c r="N560">
        <v>0.65</v>
      </c>
      <c r="P560">
        <v>2.0737203206000001</v>
      </c>
      <c r="Q560">
        <v>-5.0530559348000006</v>
      </c>
      <c r="R560">
        <v>1038.9156132184421</v>
      </c>
      <c r="S560">
        <v>0.65</v>
      </c>
      <c r="U560">
        <v>0</v>
      </c>
      <c r="V560">
        <v>26.112576336100002</v>
      </c>
      <c r="W560">
        <v>145.43117982834588</v>
      </c>
      <c r="X560">
        <v>0.9</v>
      </c>
      <c r="Z560">
        <v>-2.0795052469000002</v>
      </c>
      <c r="AA560">
        <v>-4.9282111404000002</v>
      </c>
      <c r="AB560">
        <v>1038.9156132184421</v>
      </c>
      <c r="AC560">
        <v>0.65</v>
      </c>
      <c r="AE560">
        <v>-2.1550853768999998</v>
      </c>
      <c r="AF560">
        <v>-2.1581566204999998</v>
      </c>
      <c r="AG560">
        <v>1038.9156132184421</v>
      </c>
      <c r="AH560">
        <v>0.65</v>
      </c>
      <c r="AJ560">
        <v>11.9349162605</v>
      </c>
      <c r="AK560">
        <v>4.9830117307000004</v>
      </c>
      <c r="AL560">
        <v>-104.60079268882544</v>
      </c>
      <c r="AM560">
        <v>0.9</v>
      </c>
    </row>
    <row r="561" spans="1:39" x14ac:dyDescent="0.25">
      <c r="A561">
        <v>-54.702723570799996</v>
      </c>
      <c r="B561">
        <v>0</v>
      </c>
      <c r="C561">
        <v>137.21239194174413</v>
      </c>
      <c r="D561">
        <v>0.9</v>
      </c>
      <c r="F561">
        <v>-12.0988847959</v>
      </c>
      <c r="G561">
        <v>5.0532839601999999</v>
      </c>
      <c r="H561">
        <v>-103.66382962914422</v>
      </c>
      <c r="I561">
        <v>0.9</v>
      </c>
      <c r="K561">
        <v>2.7396012768999998</v>
      </c>
      <c r="L561">
        <v>-2.7012836534</v>
      </c>
      <c r="M561">
        <v>1038.9156132184421</v>
      </c>
      <c r="N561">
        <v>0.65</v>
      </c>
      <c r="P561">
        <v>3.8489335328999998</v>
      </c>
      <c r="Q561">
        <v>-9.3999398434000003</v>
      </c>
      <c r="R561">
        <v>1038.9156132184421</v>
      </c>
      <c r="S561">
        <v>0.65</v>
      </c>
      <c r="U561">
        <v>0</v>
      </c>
      <c r="V561">
        <v>20.587312390299999</v>
      </c>
      <c r="W561">
        <v>72.894327217083031</v>
      </c>
      <c r="X561">
        <v>0.9</v>
      </c>
      <c r="Z561">
        <v>-2.0128789900999999</v>
      </c>
      <c r="AA561">
        <v>-4.7978428821000003</v>
      </c>
      <c r="AB561">
        <v>1038.9156132184421</v>
      </c>
      <c r="AC561">
        <v>0.65</v>
      </c>
      <c r="AE561">
        <v>-2.1433196361000002</v>
      </c>
      <c r="AF561">
        <v>-2.1108499008999999</v>
      </c>
      <c r="AG561">
        <v>1038.9156132184421</v>
      </c>
      <c r="AH561">
        <v>0.65</v>
      </c>
      <c r="AJ561">
        <v>11.4430106542</v>
      </c>
      <c r="AK561">
        <v>4.7721950422999999</v>
      </c>
      <c r="AL561">
        <v>-107.41168186786747</v>
      </c>
      <c r="AM561">
        <v>0.9</v>
      </c>
    </row>
    <row r="562" spans="1:39" x14ac:dyDescent="0.25">
      <c r="A562">
        <v>-78.885554980999999</v>
      </c>
      <c r="B562">
        <v>0</v>
      </c>
      <c r="C562">
        <v>305.99999999999994</v>
      </c>
      <c r="D562">
        <v>0.9</v>
      </c>
      <c r="F562">
        <v>-21.074454264</v>
      </c>
      <c r="G562">
        <v>8.6376708750999995</v>
      </c>
      <c r="H562">
        <v>-52.245337430398997</v>
      </c>
      <c r="I562">
        <v>0.9</v>
      </c>
      <c r="K562">
        <v>2.5495371359000001</v>
      </c>
      <c r="L562">
        <v>-2.5378367641000001</v>
      </c>
      <c r="M562">
        <v>1038.9156132184421</v>
      </c>
      <c r="N562">
        <v>0.65</v>
      </c>
      <c r="P562">
        <v>2.1426997198</v>
      </c>
      <c r="Q562">
        <v>-5.0668813908999999</v>
      </c>
      <c r="R562">
        <v>1038.9156132184421</v>
      </c>
      <c r="S562">
        <v>0.65</v>
      </c>
      <c r="U562">
        <v>0</v>
      </c>
      <c r="V562">
        <v>31.028629624300002</v>
      </c>
      <c r="W562">
        <v>214.37855700439826</v>
      </c>
      <c r="X562">
        <v>0.9</v>
      </c>
      <c r="Z562">
        <v>-3.0619738571999999</v>
      </c>
      <c r="AA562">
        <v>-7.2138722971</v>
      </c>
      <c r="AB562">
        <v>1038.9156132184421</v>
      </c>
      <c r="AC562">
        <v>0.65</v>
      </c>
      <c r="AE562">
        <v>-1.8526107867999999</v>
      </c>
      <c r="AF562">
        <v>-1.8363930724999999</v>
      </c>
      <c r="AG562">
        <v>1038.9156132184421</v>
      </c>
      <c r="AH562">
        <v>0.65</v>
      </c>
      <c r="AJ562">
        <v>19.645676500500002</v>
      </c>
      <c r="AK562">
        <v>8.0552899288000006</v>
      </c>
      <c r="AL562">
        <v>-60.652638936662818</v>
      </c>
      <c r="AM562">
        <v>0.9</v>
      </c>
    </row>
    <row r="563" spans="1:39" x14ac:dyDescent="0.25">
      <c r="A563">
        <v>-65.28555498099999</v>
      </c>
      <c r="B563">
        <v>0</v>
      </c>
      <c r="C563">
        <v>203.99999999999994</v>
      </c>
      <c r="D563">
        <v>0.9</v>
      </c>
      <c r="F563">
        <v>-18.7563858012</v>
      </c>
      <c r="G563">
        <v>7.6239748671999994</v>
      </c>
      <c r="H563">
        <v>-66.02572864695027</v>
      </c>
      <c r="I563">
        <v>0.9</v>
      </c>
      <c r="K563">
        <v>2.5283434515000001</v>
      </c>
      <c r="L563">
        <v>-2.5722347884999999</v>
      </c>
      <c r="M563">
        <v>1038.9156132184421</v>
      </c>
      <c r="N563">
        <v>0.65</v>
      </c>
      <c r="P563">
        <v>2.850208855</v>
      </c>
      <c r="Q563">
        <v>-6.7421774555000002</v>
      </c>
      <c r="R563">
        <v>1038.9156132184421</v>
      </c>
      <c r="S563">
        <v>0.65</v>
      </c>
      <c r="U563">
        <v>0</v>
      </c>
      <c r="V563">
        <v>26.650997651399997</v>
      </c>
      <c r="W563">
        <v>152.61013069876685</v>
      </c>
      <c r="X563">
        <v>0.9</v>
      </c>
      <c r="Z563">
        <v>-2.0737208587999998</v>
      </c>
      <c r="AA563">
        <v>-5.0530557370999993</v>
      </c>
      <c r="AB563">
        <v>1038.9156132184421</v>
      </c>
      <c r="AC563">
        <v>0.65</v>
      </c>
      <c r="AE563">
        <v>-2.1916640887000001</v>
      </c>
      <c r="AF563">
        <v>-2.1566351747999999</v>
      </c>
      <c r="AG563">
        <v>1038.9156132184421</v>
      </c>
      <c r="AH563">
        <v>0.65</v>
      </c>
      <c r="AJ563">
        <v>9.8245327747999998</v>
      </c>
      <c r="AK563">
        <v>4.1465616654000002</v>
      </c>
      <c r="AL563">
        <v>-116.43346022595153</v>
      </c>
      <c r="AM563">
        <v>0.9</v>
      </c>
    </row>
    <row r="564" spans="1:39" x14ac:dyDescent="0.25">
      <c r="A564">
        <v>-63.851519765599996</v>
      </c>
      <c r="B564">
        <v>0</v>
      </c>
      <c r="C564">
        <v>195.80551305468941</v>
      </c>
      <c r="D564">
        <v>0.9</v>
      </c>
      <c r="F564">
        <v>-11.9349162605</v>
      </c>
      <c r="G564">
        <v>4.9830117307000004</v>
      </c>
      <c r="H564">
        <v>-104.60079268882487</v>
      </c>
      <c r="I564">
        <v>0.9</v>
      </c>
      <c r="K564">
        <v>2.5612606296</v>
      </c>
      <c r="L564">
        <v>-2.5461785001999999</v>
      </c>
      <c r="M564">
        <v>1038.9156132184421</v>
      </c>
      <c r="N564">
        <v>0.65</v>
      </c>
      <c r="P564">
        <v>3.6445402260999997</v>
      </c>
      <c r="Q564">
        <v>-8.7230789820999988</v>
      </c>
      <c r="R564">
        <v>1038.9156132184421</v>
      </c>
      <c r="S564">
        <v>0.65</v>
      </c>
      <c r="U564">
        <v>0</v>
      </c>
      <c r="V564">
        <v>35.604682912500003</v>
      </c>
      <c r="W564">
        <v>283.32593418045059</v>
      </c>
      <c r="X564">
        <v>0.9</v>
      </c>
      <c r="Z564">
        <v>-2.6645260487</v>
      </c>
      <c r="AA564">
        <v>-6.3874631441999998</v>
      </c>
      <c r="AB564">
        <v>1038.9156132184421</v>
      </c>
      <c r="AC564">
        <v>0.65</v>
      </c>
      <c r="AE564">
        <v>-2.2034246501000001</v>
      </c>
      <c r="AF564">
        <v>-2.1779561176</v>
      </c>
      <c r="AG564">
        <v>1038.9156132184421</v>
      </c>
      <c r="AH564">
        <v>0.65</v>
      </c>
      <c r="AJ564">
        <v>9.4965957039000006</v>
      </c>
      <c r="AK564">
        <v>4.0060172064000001</v>
      </c>
      <c r="AL564">
        <v>-118.30738634531291</v>
      </c>
      <c r="AM564">
        <v>0.9</v>
      </c>
    </row>
    <row r="565" spans="1:39" x14ac:dyDescent="0.25">
      <c r="A565">
        <v>-53.373927376099999</v>
      </c>
      <c r="B565">
        <v>0</v>
      </c>
      <c r="C565">
        <v>129.61927082879893</v>
      </c>
      <c r="D565">
        <v>0.9</v>
      </c>
      <c r="F565">
        <v>-9.4965957039000006</v>
      </c>
      <c r="G565">
        <v>4.0060172064000001</v>
      </c>
      <c r="H565">
        <v>-118.30738634531227</v>
      </c>
      <c r="I565">
        <v>0.9</v>
      </c>
      <c r="K565">
        <v>4.0326877006000004</v>
      </c>
      <c r="L565">
        <v>-4.0801090778999995</v>
      </c>
      <c r="M565">
        <v>1038.9156132184421</v>
      </c>
      <c r="N565">
        <v>0.65</v>
      </c>
      <c r="P565">
        <v>2.2759287822999998</v>
      </c>
      <c r="Q565">
        <v>-5.4299810618000004</v>
      </c>
      <c r="R565">
        <v>1038.9156132184421</v>
      </c>
      <c r="S565">
        <v>0.65</v>
      </c>
      <c r="U565">
        <v>0</v>
      </c>
      <c r="V565">
        <v>26.920208309099998</v>
      </c>
      <c r="W565">
        <v>156.19960613397726</v>
      </c>
      <c r="X565">
        <v>0.9</v>
      </c>
      <c r="Z565">
        <v>-2.8502586595000001</v>
      </c>
      <c r="AA565">
        <v>-6.7421591598999999</v>
      </c>
      <c r="AB565">
        <v>1038.9156132184421</v>
      </c>
      <c r="AC565">
        <v>0.65</v>
      </c>
      <c r="AE565">
        <v>-1.7095648396000001</v>
      </c>
      <c r="AF565">
        <v>-1.6952693554</v>
      </c>
      <c r="AG565">
        <v>1038.9156132184421</v>
      </c>
      <c r="AH565">
        <v>0.65</v>
      </c>
      <c r="AJ565">
        <v>19.0020069658</v>
      </c>
      <c r="AK565">
        <v>7.7292410805999996</v>
      </c>
      <c r="AL565">
        <v>-64.62217913494456</v>
      </c>
      <c r="AM565">
        <v>0.9</v>
      </c>
    </row>
    <row r="566" spans="1:39" x14ac:dyDescent="0.25">
      <c r="A566">
        <v>-51.779371942400005</v>
      </c>
      <c r="B566">
        <v>0</v>
      </c>
      <c r="C566">
        <v>120.50752549326455</v>
      </c>
      <c r="D566">
        <v>0.9</v>
      </c>
      <c r="F566">
        <v>-9.1686586330999997</v>
      </c>
      <c r="G566">
        <v>3.8654727474999997</v>
      </c>
      <c r="H566">
        <v>-120.18131246467367</v>
      </c>
      <c r="I566">
        <v>0.9</v>
      </c>
      <c r="K566">
        <v>2.5208985580000003</v>
      </c>
      <c r="L566">
        <v>-2.5362073630999999</v>
      </c>
      <c r="M566">
        <v>1038.9156132184421</v>
      </c>
      <c r="N566">
        <v>0.65</v>
      </c>
      <c r="P566">
        <v>4.8776675987999996</v>
      </c>
      <c r="Q566">
        <v>-11.7045710427</v>
      </c>
      <c r="R566">
        <v>1038.9156132184421</v>
      </c>
      <c r="S566">
        <v>0.65</v>
      </c>
      <c r="U566">
        <v>0</v>
      </c>
      <c r="V566">
        <v>19.510469759700001</v>
      </c>
      <c r="W566">
        <v>58.536425476241128</v>
      </c>
      <c r="X566">
        <v>0.9</v>
      </c>
      <c r="Z566">
        <v>-2.9250244049999998</v>
      </c>
      <c r="AA566">
        <v>-7.0944955443</v>
      </c>
      <c r="AB566">
        <v>1038.9156132184421</v>
      </c>
      <c r="AC566">
        <v>0.65</v>
      </c>
      <c r="AE566">
        <v>-0.98630253130000001</v>
      </c>
      <c r="AF566">
        <v>-0.98183686739999998</v>
      </c>
      <c r="AG566">
        <v>1038.9156132184421</v>
      </c>
      <c r="AH566">
        <v>0.65</v>
      </c>
      <c r="AJ566">
        <v>18.750915107299999</v>
      </c>
      <c r="AK566">
        <v>7.6216302841000001</v>
      </c>
      <c r="AL566">
        <v>-66.056989754526072</v>
      </c>
      <c r="AM566">
        <v>0.9</v>
      </c>
    </row>
    <row r="567" spans="1:39" x14ac:dyDescent="0.25">
      <c r="A567">
        <v>-64.383038243499996</v>
      </c>
      <c r="B567">
        <v>0</v>
      </c>
      <c r="C567">
        <v>198.84276149986766</v>
      </c>
      <c r="D567">
        <v>0.9</v>
      </c>
      <c r="F567">
        <v>-11.2790421187</v>
      </c>
      <c r="G567">
        <v>4.7019228127999995</v>
      </c>
      <c r="H567">
        <v>-108.34864492754754</v>
      </c>
      <c r="I567">
        <v>0.9</v>
      </c>
      <c r="K567">
        <v>2.8876508788000002</v>
      </c>
      <c r="L567">
        <v>-2.8862101510999998</v>
      </c>
      <c r="M567">
        <v>1038.9156132184421</v>
      </c>
      <c r="N567">
        <v>0.65</v>
      </c>
      <c r="P567">
        <v>3.9607734590000003</v>
      </c>
      <c r="Q567">
        <v>-9.6348898527999989</v>
      </c>
      <c r="R567">
        <v>1038.9156132184421</v>
      </c>
      <c r="S567">
        <v>0.65</v>
      </c>
      <c r="U567">
        <v>0</v>
      </c>
      <c r="V567">
        <v>20.318101732700001</v>
      </c>
      <c r="W567">
        <v>69.304851781872529</v>
      </c>
      <c r="X567">
        <v>0.9</v>
      </c>
      <c r="Z567">
        <v>-3.1192697003000003</v>
      </c>
      <c r="AA567">
        <v>-7.6952297995000007</v>
      </c>
      <c r="AB567">
        <v>1038.9156132184421</v>
      </c>
      <c r="AC567">
        <v>0.65</v>
      </c>
      <c r="AE567">
        <v>-2.1454057711000001</v>
      </c>
      <c r="AF567">
        <v>-2.1490038179000002</v>
      </c>
      <c r="AG567">
        <v>1038.9156132184421</v>
      </c>
      <c r="AH567">
        <v>0.65</v>
      </c>
      <c r="AJ567">
        <v>9.7773725079999991</v>
      </c>
      <c r="AK567">
        <v>3.9806358368000003</v>
      </c>
      <c r="AL567">
        <v>-117.05913794103691</v>
      </c>
      <c r="AM567">
        <v>0.9</v>
      </c>
    </row>
    <row r="568" spans="1:39" x14ac:dyDescent="0.25">
      <c r="A568">
        <v>-64.117279004599993</v>
      </c>
      <c r="B568">
        <v>0</v>
      </c>
      <c r="C568">
        <v>197.32413727727854</v>
      </c>
      <c r="D568">
        <v>0.9</v>
      </c>
      <c r="F568">
        <v>-9.6605642393999993</v>
      </c>
      <c r="G568">
        <v>4.0762894358999997</v>
      </c>
      <c r="H568">
        <v>-117.37042328563162</v>
      </c>
      <c r="I568">
        <v>0.9</v>
      </c>
      <c r="K568">
        <v>-4.8720399908000003</v>
      </c>
      <c r="L568">
        <v>4.8739215646999998</v>
      </c>
      <c r="M568">
        <v>1038.9156132184421</v>
      </c>
      <c r="N568">
        <v>0.65</v>
      </c>
      <c r="P568">
        <v>4.5378606788000004</v>
      </c>
      <c r="Q568">
        <v>-10.950866748499999</v>
      </c>
      <c r="R568">
        <v>1038.9156132184421</v>
      </c>
      <c r="S568">
        <v>0.65</v>
      </c>
      <c r="U568">
        <v>0</v>
      </c>
      <c r="V568">
        <v>18.9720484445</v>
      </c>
      <c r="W568">
        <v>51.357474605820038</v>
      </c>
      <c r="X568">
        <v>0.9</v>
      </c>
      <c r="Z568">
        <v>-2.9470150036000002</v>
      </c>
      <c r="AA568">
        <v>-7.0994723077000002</v>
      </c>
      <c r="AB568">
        <v>1038.9156132184421</v>
      </c>
      <c r="AC568">
        <v>0.65</v>
      </c>
      <c r="AE568">
        <v>-2.1359442827999997</v>
      </c>
      <c r="AF568">
        <v>-2.1397644605999999</v>
      </c>
      <c r="AG568">
        <v>1038.9156132184421</v>
      </c>
      <c r="AH568">
        <v>0.65</v>
      </c>
      <c r="AJ568">
        <v>8.7231163054999996</v>
      </c>
      <c r="AK568">
        <v>3.6745260357</v>
      </c>
      <c r="AL568">
        <v>-122.727268622297</v>
      </c>
      <c r="AM568">
        <v>0.9</v>
      </c>
    </row>
    <row r="569" spans="1:39" x14ac:dyDescent="0.25">
      <c r="A569">
        <v>-55.500001287699995</v>
      </c>
      <c r="B569">
        <v>0</v>
      </c>
      <c r="C569">
        <v>141.76826460951139</v>
      </c>
      <c r="D569">
        <v>0.9</v>
      </c>
      <c r="F569">
        <v>-11.770947725000001</v>
      </c>
      <c r="G569">
        <v>4.9127395011999999</v>
      </c>
      <c r="H569">
        <v>-105.53775574850553</v>
      </c>
      <c r="I569">
        <v>0.9</v>
      </c>
      <c r="K569">
        <v>-4.9283948150999999</v>
      </c>
      <c r="L569">
        <v>4.8662747349000002</v>
      </c>
      <c r="M569">
        <v>1038.9156132184421</v>
      </c>
      <c r="N569">
        <v>0.65</v>
      </c>
      <c r="P569">
        <v>3.8612244519000001</v>
      </c>
      <c r="Q569">
        <v>-9.4084797543000001</v>
      </c>
      <c r="R569">
        <v>1038.9156132184421</v>
      </c>
      <c r="S569">
        <v>0.65</v>
      </c>
      <c r="U569">
        <v>0</v>
      </c>
      <c r="V569">
        <v>20.048891075</v>
      </c>
      <c r="W569">
        <v>65.715376346662055</v>
      </c>
      <c r="X569">
        <v>0.9</v>
      </c>
      <c r="Z569">
        <v>-3.4249291907000003</v>
      </c>
      <c r="AA569">
        <v>-8.2646231216999997</v>
      </c>
      <c r="AB569">
        <v>1038.9156132184421</v>
      </c>
      <c r="AC569">
        <v>0.65</v>
      </c>
      <c r="AE569">
        <v>-0.84047166489999992</v>
      </c>
      <c r="AF569">
        <v>-0.83958325320000005</v>
      </c>
      <c r="AG569">
        <v>1038.9156132184421</v>
      </c>
      <c r="AH569">
        <v>0.65</v>
      </c>
      <c r="AJ569">
        <v>19.358990587799997</v>
      </c>
      <c r="AK569">
        <v>8.0336150138000004</v>
      </c>
      <c r="AL569">
        <v>-62.112748913806968</v>
      </c>
      <c r="AM569">
        <v>0.9</v>
      </c>
    </row>
    <row r="570" spans="1:39" x14ac:dyDescent="0.25">
      <c r="A570">
        <v>-64.648797482500001</v>
      </c>
      <c r="B570">
        <v>0</v>
      </c>
      <c r="C570">
        <v>200.36138572245665</v>
      </c>
      <c r="D570">
        <v>0.9</v>
      </c>
      <c r="F570">
        <v>-9.3326271685000002</v>
      </c>
      <c r="G570">
        <v>3.9357449770000001</v>
      </c>
      <c r="H570">
        <v>-119.24434940499293</v>
      </c>
      <c r="I570">
        <v>0.9</v>
      </c>
      <c r="K570">
        <v>3.0351645223999997</v>
      </c>
      <c r="L570">
        <v>-3.0340581474999997</v>
      </c>
      <c r="M570">
        <v>1038.9156132184421</v>
      </c>
      <c r="N570">
        <v>0.65</v>
      </c>
      <c r="P570">
        <v>4.5945697095</v>
      </c>
      <c r="Q570">
        <v>-11.1717738536</v>
      </c>
      <c r="R570">
        <v>1038.9156132184421</v>
      </c>
      <c r="S570">
        <v>0.65</v>
      </c>
      <c r="U570">
        <v>0</v>
      </c>
      <c r="V570">
        <v>19.779680417400002</v>
      </c>
      <c r="W570">
        <v>62.125900911451559</v>
      </c>
      <c r="X570">
        <v>0.9</v>
      </c>
      <c r="Z570">
        <v>-3.4335769671000005</v>
      </c>
      <c r="AA570">
        <v>-8.4955013299999997</v>
      </c>
      <c r="AB570">
        <v>1038.9156132184421</v>
      </c>
      <c r="AC570">
        <v>0.65</v>
      </c>
      <c r="AE570">
        <v>-2.3774756423999999</v>
      </c>
      <c r="AF570">
        <v>-2.3477558723</v>
      </c>
      <c r="AG570">
        <v>1038.9156132184421</v>
      </c>
      <c r="AH570">
        <v>0.65</v>
      </c>
      <c r="AJ570">
        <v>0</v>
      </c>
      <c r="AK570">
        <v>0</v>
      </c>
      <c r="AL570">
        <v>-171.00317132019964</v>
      </c>
      <c r="AM570">
        <v>0.9</v>
      </c>
    </row>
    <row r="571" spans="1:39" x14ac:dyDescent="0.25">
      <c r="A571">
        <v>-54.968482809800001</v>
      </c>
      <c r="B571">
        <v>0</v>
      </c>
      <c r="C571">
        <v>138.73101616433331</v>
      </c>
      <c r="D571">
        <v>0.9</v>
      </c>
      <c r="F571">
        <v>-10.6224383812</v>
      </c>
      <c r="G571">
        <v>4.4877116872</v>
      </c>
      <c r="H571">
        <v>-111.92257104690894</v>
      </c>
      <c r="I571">
        <v>0.9</v>
      </c>
      <c r="K571">
        <v>5.0374871604999996</v>
      </c>
      <c r="L571">
        <v>-5.0040698957999998</v>
      </c>
      <c r="M571">
        <v>1038.9156132184421</v>
      </c>
      <c r="N571">
        <v>0.65</v>
      </c>
      <c r="P571">
        <v>3.9441633066000001</v>
      </c>
      <c r="Q571">
        <v>-9.6279365989999999</v>
      </c>
      <c r="R571">
        <v>1038.9156132184421</v>
      </c>
      <c r="S571">
        <v>0.65</v>
      </c>
      <c r="U571">
        <v>0</v>
      </c>
      <c r="V571">
        <v>18.164416471500001</v>
      </c>
      <c r="W571">
        <v>40.589048300188608</v>
      </c>
      <c r="X571">
        <v>0.9</v>
      </c>
      <c r="Z571">
        <v>-2.2759239918</v>
      </c>
      <c r="AA571">
        <v>-5.4299828215000003</v>
      </c>
      <c r="AB571">
        <v>1038.9156132184421</v>
      </c>
      <c r="AC571">
        <v>0.65</v>
      </c>
      <c r="AE571">
        <v>-2.1268709674999999</v>
      </c>
      <c r="AF571">
        <v>-2.1303710665</v>
      </c>
      <c r="AG571">
        <v>1038.9156132184421</v>
      </c>
      <c r="AH571">
        <v>0.65</v>
      </c>
      <c r="AJ571">
        <v>9.5522105177000007</v>
      </c>
      <c r="AK571">
        <v>3.8841378408999998</v>
      </c>
      <c r="AL571">
        <v>-118.34577788547648</v>
      </c>
      <c r="AM571">
        <v>0.9</v>
      </c>
    </row>
    <row r="572" spans="1:39" x14ac:dyDescent="0.25">
      <c r="A572">
        <v>-52.310890420300005</v>
      </c>
      <c r="B572">
        <v>0</v>
      </c>
      <c r="C572">
        <v>123.54477393844273</v>
      </c>
      <c r="D572">
        <v>0.9</v>
      </c>
      <c r="F572">
        <v>-9.0046900975999993</v>
      </c>
      <c r="G572">
        <v>3.7952005179999997</v>
      </c>
      <c r="H572">
        <v>-121.11827552435439</v>
      </c>
      <c r="I572">
        <v>0.9</v>
      </c>
      <c r="K572">
        <v>-3.1986849835999998</v>
      </c>
      <c r="L572">
        <v>3.1933553204999998</v>
      </c>
      <c r="M572">
        <v>1038.9156132184421</v>
      </c>
      <c r="N572">
        <v>0.65</v>
      </c>
      <c r="P572">
        <v>5.0364136056</v>
      </c>
      <c r="Q572">
        <v>-11.916919355899999</v>
      </c>
      <c r="R572">
        <v>1038.9156132184421</v>
      </c>
      <c r="S572">
        <v>0.65</v>
      </c>
      <c r="U572">
        <v>0</v>
      </c>
      <c r="V572">
        <v>17.895205813899999</v>
      </c>
      <c r="W572">
        <v>36.999572864978177</v>
      </c>
      <c r="X572">
        <v>0.9</v>
      </c>
      <c r="Z572">
        <v>-3.8605124209000001</v>
      </c>
      <c r="AA572">
        <v>-9.3956863743000003</v>
      </c>
      <c r="AB572">
        <v>1038.9156132184421</v>
      </c>
      <c r="AC572">
        <v>0.65</v>
      </c>
      <c r="AE572">
        <v>-2.1965758405</v>
      </c>
      <c r="AF572">
        <v>-2.1676799830999998</v>
      </c>
      <c r="AG572">
        <v>1038.9156132184421</v>
      </c>
      <c r="AH572">
        <v>0.65</v>
      </c>
      <c r="AJ572">
        <v>0</v>
      </c>
      <c r="AK572">
        <v>0</v>
      </c>
      <c r="AL572">
        <v>-171.00317132019964</v>
      </c>
      <c r="AM572">
        <v>0.9</v>
      </c>
    </row>
    <row r="573" spans="1:39" x14ac:dyDescent="0.25">
      <c r="A573">
        <v>-53.639686615000002</v>
      </c>
      <c r="B573">
        <v>0</v>
      </c>
      <c r="C573">
        <v>131.13789505138809</v>
      </c>
      <c r="D573">
        <v>0.9</v>
      </c>
      <c r="F573">
        <v>-9.8245327747999998</v>
      </c>
      <c r="G573">
        <v>4.1465616654000002</v>
      </c>
      <c r="H573">
        <v>-116.43346022595098</v>
      </c>
      <c r="I573">
        <v>0.9</v>
      </c>
      <c r="K573">
        <v>5.3155298588999997</v>
      </c>
      <c r="L573">
        <v>-5.2480736277999993</v>
      </c>
      <c r="M573">
        <v>1038.9156132184421</v>
      </c>
      <c r="N573">
        <v>0.65</v>
      </c>
      <c r="P573">
        <v>4.3806770479999999</v>
      </c>
      <c r="Q573">
        <v>-10.6244376986</v>
      </c>
      <c r="R573">
        <v>1038.9156132184421</v>
      </c>
      <c r="S573">
        <v>0.65</v>
      </c>
      <c r="U573">
        <v>0</v>
      </c>
      <c r="V573">
        <v>26.381786993800002</v>
      </c>
      <c r="W573">
        <v>149.02065526355634</v>
      </c>
      <c r="X573">
        <v>0.9</v>
      </c>
      <c r="Z573">
        <v>-2.1427223924000001</v>
      </c>
      <c r="AA573">
        <v>-5.0668730623</v>
      </c>
      <c r="AB573">
        <v>1038.9156132184421</v>
      </c>
      <c r="AC573">
        <v>0.65</v>
      </c>
      <c r="AE573">
        <v>-2.5493443694</v>
      </c>
      <c r="AF573">
        <v>-2.5379132587999997</v>
      </c>
      <c r="AG573">
        <v>1038.9156132184421</v>
      </c>
      <c r="AH573">
        <v>0.65</v>
      </c>
      <c r="AJ573">
        <v>8.0183931813000004</v>
      </c>
      <c r="AK573">
        <v>3.3619780300999995</v>
      </c>
      <c r="AL573">
        <v>-126.70568647467806</v>
      </c>
      <c r="AM573">
        <v>0.9</v>
      </c>
    </row>
    <row r="574" spans="1:39" x14ac:dyDescent="0.25">
      <c r="A574">
        <v>-63.5857605267</v>
      </c>
      <c r="B574">
        <v>0</v>
      </c>
      <c r="C574">
        <v>194.2868888321004</v>
      </c>
      <c r="D574">
        <v>0.9</v>
      </c>
      <c r="F574">
        <v>-10.786406916599999</v>
      </c>
      <c r="G574">
        <v>4.5579839165999996</v>
      </c>
      <c r="H574">
        <v>-110.98560798722828</v>
      </c>
      <c r="I574">
        <v>0.9</v>
      </c>
      <c r="K574">
        <v>-3.2374316011000004</v>
      </c>
      <c r="L574">
        <v>3.1909735947</v>
      </c>
      <c r="M574">
        <v>1038.9156132184421</v>
      </c>
      <c r="N574">
        <v>0.65</v>
      </c>
      <c r="P574">
        <v>4.0884417013999999</v>
      </c>
      <c r="Q574">
        <v>-9.7424495073999999</v>
      </c>
      <c r="R574">
        <v>1038.9156132184421</v>
      </c>
      <c r="S574">
        <v>0.65</v>
      </c>
      <c r="U574">
        <v>0</v>
      </c>
      <c r="V574">
        <v>18.433627129199998</v>
      </c>
      <c r="W574">
        <v>44.178523735399111</v>
      </c>
      <c r="X574">
        <v>0.9</v>
      </c>
      <c r="Z574">
        <v>-3.9427652588000002</v>
      </c>
      <c r="AA574">
        <v>-9.6284501676000005</v>
      </c>
      <c r="AB574">
        <v>1038.9156132184421</v>
      </c>
      <c r="AC574">
        <v>0.65</v>
      </c>
      <c r="AE574">
        <v>-2.3909855676</v>
      </c>
      <c r="AF574">
        <v>-2.3553887068999999</v>
      </c>
      <c r="AG574">
        <v>1038.9156132184421</v>
      </c>
      <c r="AH574">
        <v>0.65</v>
      </c>
      <c r="AJ574">
        <v>0</v>
      </c>
      <c r="AK574">
        <v>0</v>
      </c>
      <c r="AL574">
        <v>-171.00317132019964</v>
      </c>
      <c r="AM574">
        <v>0.9</v>
      </c>
    </row>
    <row r="575" spans="1:39" x14ac:dyDescent="0.25">
      <c r="A575">
        <v>-52.576649659200001</v>
      </c>
      <c r="B575">
        <v>0</v>
      </c>
      <c r="C575">
        <v>125.0633981610318</v>
      </c>
      <c r="D575">
        <v>0.9</v>
      </c>
      <c r="F575">
        <v>-10.152469845700001</v>
      </c>
      <c r="G575">
        <v>4.2871061244000002</v>
      </c>
      <c r="H575">
        <v>-114.5595341065896</v>
      </c>
      <c r="I575">
        <v>0.9</v>
      </c>
      <c r="K575">
        <v>4.9367118514000001</v>
      </c>
      <c r="L575">
        <v>-4.8762744394999995</v>
      </c>
      <c r="M575">
        <v>1038.9156132184421</v>
      </c>
      <c r="N575">
        <v>0.65</v>
      </c>
      <c r="P575">
        <v>4.1110115925000006</v>
      </c>
      <c r="Q575">
        <v>-9.7472134694000001</v>
      </c>
      <c r="R575">
        <v>1038.9156132184421</v>
      </c>
      <c r="S575">
        <v>0.65</v>
      </c>
      <c r="U575">
        <v>0</v>
      </c>
      <c r="V575">
        <v>25.304944363200001</v>
      </c>
      <c r="W575">
        <v>134.66275352271441</v>
      </c>
      <c r="X575">
        <v>0.9</v>
      </c>
      <c r="Z575">
        <v>-2.6928351473999999</v>
      </c>
      <c r="AA575">
        <v>-6.6253176165000003</v>
      </c>
      <c r="AB575">
        <v>1038.9156132184421</v>
      </c>
      <c r="AC575">
        <v>0.65</v>
      </c>
      <c r="AE575">
        <v>-2.5598686718999999</v>
      </c>
      <c r="AF575">
        <v>-2.5467308643999997</v>
      </c>
      <c r="AG575">
        <v>1038.9156132184421</v>
      </c>
      <c r="AH575">
        <v>0.65</v>
      </c>
      <c r="AJ575">
        <v>0</v>
      </c>
      <c r="AK575">
        <v>0</v>
      </c>
      <c r="AL575">
        <v>-171.00317132019964</v>
      </c>
      <c r="AM575">
        <v>0.9</v>
      </c>
    </row>
    <row r="576" spans="1:39" x14ac:dyDescent="0.25">
      <c r="A576">
        <v>-72.425554980999991</v>
      </c>
      <c r="B576">
        <v>0</v>
      </c>
      <c r="C576">
        <v>254.99999999999994</v>
      </c>
      <c r="D576">
        <v>0.9</v>
      </c>
      <c r="F576">
        <v>-19.734894912200001</v>
      </c>
      <c r="G576">
        <v>8.093526390900001</v>
      </c>
      <c r="H576">
        <v>-60.142819441019498</v>
      </c>
      <c r="I576">
        <v>0.9</v>
      </c>
      <c r="K576">
        <v>3.7901062944000001</v>
      </c>
      <c r="L576">
        <v>-3.7921334057</v>
      </c>
      <c r="M576">
        <v>1038.9156132184421</v>
      </c>
      <c r="N576">
        <v>0.65</v>
      </c>
      <c r="P576">
        <v>4.9908757516</v>
      </c>
      <c r="Q576">
        <v>-12.245654257399998</v>
      </c>
      <c r="R576">
        <v>1038.9156132184421</v>
      </c>
      <c r="S576">
        <v>0.65</v>
      </c>
      <c r="U576">
        <v>0</v>
      </c>
      <c r="V576">
        <v>17.3567844986</v>
      </c>
      <c r="W576">
        <v>29.820621994557126</v>
      </c>
      <c r="X576">
        <v>0.9</v>
      </c>
      <c r="Z576">
        <v>-4.84857622</v>
      </c>
      <c r="AA576">
        <v>-11.702202729200001</v>
      </c>
      <c r="AB576">
        <v>1038.9156132184421</v>
      </c>
      <c r="AC576">
        <v>0.65</v>
      </c>
      <c r="AE576">
        <v>-2.4040230091999999</v>
      </c>
      <c r="AF576">
        <v>-2.3632090351000001</v>
      </c>
      <c r="AG576">
        <v>1038.9156132184421</v>
      </c>
      <c r="AH576">
        <v>0.65</v>
      </c>
      <c r="AJ576">
        <v>0</v>
      </c>
      <c r="AK576">
        <v>0</v>
      </c>
      <c r="AL576">
        <v>-171.00317132019964</v>
      </c>
      <c r="AM576">
        <v>0.9</v>
      </c>
    </row>
    <row r="577" spans="1:39" x14ac:dyDescent="0.25">
      <c r="A577">
        <v>-54.436964331900001</v>
      </c>
      <c r="B577">
        <v>0</v>
      </c>
      <c r="C577">
        <v>135.6937677191552</v>
      </c>
      <c r="D577">
        <v>0.9</v>
      </c>
      <c r="F577">
        <v>-18.982132781699999</v>
      </c>
      <c r="G577">
        <v>7.7207235730999999</v>
      </c>
      <c r="H577">
        <v>-64.735745900724226</v>
      </c>
      <c r="I577">
        <v>0.9</v>
      </c>
      <c r="K577">
        <v>-3.0676463568999996</v>
      </c>
      <c r="L577">
        <v>3.0341624467000003</v>
      </c>
      <c r="M577">
        <v>1038.9156132184421</v>
      </c>
      <c r="N577">
        <v>0.65</v>
      </c>
      <c r="P577">
        <v>4.9951299153000006</v>
      </c>
      <c r="Q577">
        <v>-12.1377421543</v>
      </c>
      <c r="R577">
        <v>1038.9156132184421</v>
      </c>
      <c r="S577">
        <v>0.65</v>
      </c>
      <c r="U577">
        <v>0</v>
      </c>
      <c r="V577">
        <v>25.8433656785</v>
      </c>
      <c r="W577">
        <v>141.84170439313539</v>
      </c>
      <c r="X577">
        <v>0.9</v>
      </c>
      <c r="Z577">
        <v>-4.8772279756000003</v>
      </c>
      <c r="AA577">
        <v>-11.704732536900002</v>
      </c>
      <c r="AB577">
        <v>1038.9156132184421</v>
      </c>
      <c r="AC577">
        <v>0.65</v>
      </c>
      <c r="AE577">
        <v>-2.5636386719000002</v>
      </c>
      <c r="AF577">
        <v>-2.5582287486999999</v>
      </c>
      <c r="AG577">
        <v>1038.9156132184421</v>
      </c>
      <c r="AH577">
        <v>0.65</v>
      </c>
      <c r="AJ577">
        <v>0</v>
      </c>
      <c r="AK577">
        <v>0</v>
      </c>
      <c r="AL577">
        <v>-171.00317132019964</v>
      </c>
      <c r="AM577">
        <v>0.9</v>
      </c>
    </row>
    <row r="578" spans="1:39" x14ac:dyDescent="0.25">
      <c r="A578">
        <v>-52.842408898199999</v>
      </c>
      <c r="B578">
        <v>0</v>
      </c>
      <c r="C578">
        <v>126.58202238362081</v>
      </c>
      <c r="D578">
        <v>0.9</v>
      </c>
      <c r="F578">
        <v>-9.0653538671000007</v>
      </c>
      <c r="G578">
        <v>3.8211992764000002</v>
      </c>
      <c r="H578">
        <v>-120.77162541295783</v>
      </c>
      <c r="I578">
        <v>0.9</v>
      </c>
      <c r="K578">
        <v>4.0482623160000006</v>
      </c>
      <c r="L578">
        <v>-4.0874427329999996</v>
      </c>
      <c r="M578">
        <v>1038.9156132184421</v>
      </c>
      <c r="N578">
        <v>0.65</v>
      </c>
      <c r="P578">
        <v>4.6781954166000004</v>
      </c>
      <c r="Q578">
        <v>-11.4951561544</v>
      </c>
      <c r="R578">
        <v>1038.9156132184421</v>
      </c>
      <c r="S578">
        <v>0.65</v>
      </c>
      <c r="U578">
        <v>0</v>
      </c>
      <c r="V578">
        <v>11.2223098951</v>
      </c>
      <c r="W578">
        <v>-46.305706051916239</v>
      </c>
      <c r="X578">
        <v>0.9</v>
      </c>
      <c r="Z578">
        <v>-4.3802343954000005</v>
      </c>
      <c r="AA578">
        <v>-10.624600305700001</v>
      </c>
      <c r="AB578">
        <v>1038.9156132184421</v>
      </c>
      <c r="AC578">
        <v>0.65</v>
      </c>
      <c r="AE578">
        <v>3.2362745127000001</v>
      </c>
      <c r="AF578">
        <v>3.1914327567999998</v>
      </c>
      <c r="AG578">
        <v>1038.9156132184421</v>
      </c>
      <c r="AH578">
        <v>0.65</v>
      </c>
      <c r="AJ578">
        <v>0</v>
      </c>
      <c r="AK578">
        <v>0</v>
      </c>
      <c r="AL578">
        <v>-171.00317132019964</v>
      </c>
      <c r="AM578">
        <v>0.9</v>
      </c>
    </row>
    <row r="579" spans="1:39" x14ac:dyDescent="0.25">
      <c r="A579">
        <v>-42.747853464500004</v>
      </c>
      <c r="B579">
        <v>0</v>
      </c>
      <c r="C579">
        <v>66.470277048086515</v>
      </c>
      <c r="D579">
        <v>0.9</v>
      </c>
      <c r="F579">
        <v>-8.0155359201999996</v>
      </c>
      <c r="G579">
        <v>3.3607534896</v>
      </c>
      <c r="H579">
        <v>-126.7220136807076</v>
      </c>
      <c r="I579">
        <v>0.9</v>
      </c>
      <c r="K579">
        <v>4.4421198002000004</v>
      </c>
      <c r="L579">
        <v>-4.4897988481999995</v>
      </c>
      <c r="M579">
        <v>1038.9156132184421</v>
      </c>
      <c r="N579">
        <v>0.65</v>
      </c>
      <c r="P579">
        <v>4.2059316314000004</v>
      </c>
      <c r="Q579">
        <v>-10.299474042899998</v>
      </c>
      <c r="R579">
        <v>1038.9156132184421</v>
      </c>
      <c r="S579">
        <v>0.65</v>
      </c>
      <c r="U579">
        <v>0</v>
      </c>
      <c r="V579">
        <v>11.491520552800001</v>
      </c>
      <c r="W579">
        <v>-42.71623061670573</v>
      </c>
      <c r="X579">
        <v>0.9</v>
      </c>
      <c r="Z579">
        <v>-4.6177033440000006</v>
      </c>
      <c r="AA579">
        <v>-11.274611006699999</v>
      </c>
      <c r="AB579">
        <v>1038.9156132184421</v>
      </c>
      <c r="AC579">
        <v>0.65</v>
      </c>
      <c r="AE579">
        <v>-2.7396011423999997</v>
      </c>
      <c r="AF579">
        <v>-2.7012837068</v>
      </c>
      <c r="AG579">
        <v>1038.9156132184421</v>
      </c>
      <c r="AH579">
        <v>0.65</v>
      </c>
      <c r="AJ579">
        <v>0</v>
      </c>
      <c r="AK579">
        <v>0</v>
      </c>
      <c r="AL579">
        <v>-171.00317132019964</v>
      </c>
      <c r="AM579">
        <v>0.9</v>
      </c>
    </row>
    <row r="580" spans="1:39" x14ac:dyDescent="0.25">
      <c r="A580">
        <v>-42.216334986499994</v>
      </c>
      <c r="B580">
        <v>0</v>
      </c>
      <c r="C580">
        <v>63.433028602908337</v>
      </c>
      <c r="D580">
        <v>0.9</v>
      </c>
      <c r="F580">
        <v>7.1079477327999996</v>
      </c>
      <c r="G580">
        <v>-2.9717871236000004</v>
      </c>
      <c r="H580">
        <v>-131.9082318946918</v>
      </c>
      <c r="I580">
        <v>0.9</v>
      </c>
      <c r="K580">
        <v>5.5717125489999999</v>
      </c>
      <c r="L580">
        <v>-5.4940939613999999</v>
      </c>
      <c r="M580">
        <v>1038.9156132184421</v>
      </c>
      <c r="N580">
        <v>0.65</v>
      </c>
      <c r="P580">
        <v>4.6350196661999998</v>
      </c>
      <c r="Q580">
        <v>-11.2813048512</v>
      </c>
      <c r="R580">
        <v>1038.9156132184421</v>
      </c>
      <c r="S580">
        <v>0.65</v>
      </c>
      <c r="U580">
        <v>0</v>
      </c>
      <c r="V580">
        <v>17.625995156199998</v>
      </c>
      <c r="W580">
        <v>33.410097429767688</v>
      </c>
      <c r="X580">
        <v>0.9</v>
      </c>
      <c r="Z580">
        <v>-4.0884326754</v>
      </c>
      <c r="AA580">
        <v>-9.7424528231000007</v>
      </c>
      <c r="AB580">
        <v>1038.9156132184421</v>
      </c>
      <c r="AC580">
        <v>0.65</v>
      </c>
      <c r="AE580">
        <v>-2.8646341539999995</v>
      </c>
      <c r="AF580">
        <v>-2.8823498559000003</v>
      </c>
      <c r="AG580">
        <v>1038.9156132184421</v>
      </c>
      <c r="AH580">
        <v>0.65</v>
      </c>
      <c r="AJ580">
        <v>0</v>
      </c>
      <c r="AK580">
        <v>0</v>
      </c>
      <c r="AL580">
        <v>-171.00317132019964</v>
      </c>
      <c r="AM580">
        <v>0.9</v>
      </c>
    </row>
    <row r="581" spans="1:39" x14ac:dyDescent="0.25">
      <c r="A581">
        <v>-64.914556721400004</v>
      </c>
      <c r="B581">
        <v>0</v>
      </c>
      <c r="C581">
        <v>201.88000994504566</v>
      </c>
      <c r="D581">
        <v>0.9</v>
      </c>
      <c r="F581">
        <v>-18.919899063300001</v>
      </c>
      <c r="G581">
        <v>7.8478615033000008</v>
      </c>
      <c r="H581">
        <v>-64.702795720566343</v>
      </c>
      <c r="I581">
        <v>0.9</v>
      </c>
      <c r="K581">
        <v>3.8954323577000003</v>
      </c>
      <c r="L581">
        <v>-3.947673634</v>
      </c>
      <c r="M581">
        <v>1038.9156132184421</v>
      </c>
      <c r="N581">
        <v>0.65</v>
      </c>
      <c r="P581">
        <v>5.1090070425</v>
      </c>
      <c r="Q581">
        <v>-12.3485320968</v>
      </c>
      <c r="R581">
        <v>1038.9156132184421</v>
      </c>
      <c r="S581">
        <v>0.65</v>
      </c>
      <c r="U581">
        <v>0</v>
      </c>
      <c r="V581">
        <v>16.818363183300001</v>
      </c>
      <c r="W581">
        <v>22.641671124136156</v>
      </c>
      <c r="X581">
        <v>0.9</v>
      </c>
      <c r="Z581">
        <v>-5.0367627704000002</v>
      </c>
      <c r="AA581">
        <v>-11.916791091299999</v>
      </c>
      <c r="AB581">
        <v>1038.9156132184421</v>
      </c>
      <c r="AC581">
        <v>0.65</v>
      </c>
      <c r="AE581">
        <v>-2.5204095640999999</v>
      </c>
      <c r="AF581">
        <v>-2.5364014083000002</v>
      </c>
      <c r="AG581">
        <v>1038.9156132184421</v>
      </c>
      <c r="AH581">
        <v>0.65</v>
      </c>
      <c r="AJ581">
        <v>7.2522285040999996</v>
      </c>
      <c r="AK581">
        <v>3.0336217398999996</v>
      </c>
      <c r="AL581">
        <v>-131.08377034440872</v>
      </c>
      <c r="AM581">
        <v>0.9</v>
      </c>
    </row>
    <row r="582" spans="1:39" x14ac:dyDescent="0.25">
      <c r="A582">
        <v>-51.513612703400007</v>
      </c>
      <c r="B582">
        <v>0</v>
      </c>
      <c r="C582">
        <v>118.98890127067547</v>
      </c>
      <c r="D582">
        <v>0.9</v>
      </c>
      <c r="F582">
        <v>-7.4139807414999996</v>
      </c>
      <c r="G582">
        <v>3.1029441272999998</v>
      </c>
      <c r="H582">
        <v>-130.15947184482039</v>
      </c>
      <c r="I582">
        <v>0.9</v>
      </c>
      <c r="K582">
        <v>-3.3685408423000003</v>
      </c>
      <c r="L582">
        <v>3.3518290120000001</v>
      </c>
      <c r="M582">
        <v>1038.9156132184421</v>
      </c>
      <c r="N582">
        <v>0.65</v>
      </c>
      <c r="P582">
        <v>4.4166037249999999</v>
      </c>
      <c r="Q582">
        <v>-10.6242950862</v>
      </c>
      <c r="R582">
        <v>1038.9156132184421</v>
      </c>
      <c r="S582">
        <v>0.65</v>
      </c>
      <c r="U582">
        <v>0</v>
      </c>
      <c r="V582">
        <v>12.029941868000002</v>
      </c>
      <c r="W582">
        <v>-35.537279746284732</v>
      </c>
      <c r="X582">
        <v>0.9</v>
      </c>
      <c r="Z582">
        <v>-4.9964455030000003</v>
      </c>
      <c r="AA582">
        <v>-12.137258877199999</v>
      </c>
      <c r="AB582">
        <v>1038.9156132184421</v>
      </c>
      <c r="AC582">
        <v>0.65</v>
      </c>
      <c r="AE582">
        <v>-2.3639035847000001</v>
      </c>
      <c r="AF582">
        <v>-2.3401476934000001</v>
      </c>
      <c r="AG582">
        <v>1038.9156132184421</v>
      </c>
      <c r="AH582">
        <v>0.65</v>
      </c>
      <c r="AJ582">
        <v>2.9387415231</v>
      </c>
      <c r="AK582">
        <v>1.2303177956</v>
      </c>
      <c r="AL582">
        <v>-155.27893404555968</v>
      </c>
      <c r="AM582">
        <v>0.9</v>
      </c>
    </row>
    <row r="583" spans="1:39" x14ac:dyDescent="0.25">
      <c r="A583">
        <v>-53.905445854</v>
      </c>
      <c r="B583">
        <v>0</v>
      </c>
      <c r="C583">
        <v>132.65651927397715</v>
      </c>
      <c r="D583">
        <v>0.9</v>
      </c>
      <c r="F583">
        <v>-2.4156770090999999</v>
      </c>
      <c r="G583">
        <v>1.0061472895999999</v>
      </c>
      <c r="H583">
        <v>-158.26787412509313</v>
      </c>
      <c r="I583">
        <v>0.9</v>
      </c>
      <c r="K583">
        <v>-3.3358307975999999</v>
      </c>
      <c r="L583">
        <v>3.3518152722999996</v>
      </c>
      <c r="M583">
        <v>1038.9156132184421</v>
      </c>
      <c r="N583">
        <v>0.65</v>
      </c>
      <c r="P583">
        <v>5.2261589460000009</v>
      </c>
      <c r="Q583">
        <v>-12.7665907155</v>
      </c>
      <c r="R583">
        <v>1038.9156132184421</v>
      </c>
      <c r="S583">
        <v>0.65</v>
      </c>
      <c r="U583">
        <v>0</v>
      </c>
      <c r="V583">
        <v>9.52</v>
      </c>
      <c r="W583">
        <v>-69.003171320199698</v>
      </c>
      <c r="X583">
        <v>0.9</v>
      </c>
      <c r="Z583">
        <v>-4.5380031489999997</v>
      </c>
      <c r="AA583">
        <v>-10.9508144126</v>
      </c>
      <c r="AB583">
        <v>1038.9156132184421</v>
      </c>
      <c r="AC583">
        <v>0.65</v>
      </c>
      <c r="AE583">
        <v>-2.8734385263000002</v>
      </c>
      <c r="AF583">
        <v>-2.8658621412999996</v>
      </c>
      <c r="AG583">
        <v>1038.9156132184421</v>
      </c>
      <c r="AH583">
        <v>0.65</v>
      </c>
      <c r="AJ583">
        <v>0</v>
      </c>
      <c r="AK583">
        <v>0</v>
      </c>
      <c r="AL583">
        <v>-171.00317132019964</v>
      </c>
      <c r="AM583">
        <v>0.9</v>
      </c>
    </row>
    <row r="584" spans="1:39" x14ac:dyDescent="0.25">
      <c r="A584">
        <v>-41.1532980307</v>
      </c>
      <c r="B584">
        <v>0</v>
      </c>
      <c r="C584">
        <v>57.358531712552129</v>
      </c>
      <c r="D584">
        <v>0.9</v>
      </c>
      <c r="F584">
        <v>-8.7036326355</v>
      </c>
      <c r="G584">
        <v>3.6661758914</v>
      </c>
      <c r="H584">
        <v>-122.8386038794725</v>
      </c>
      <c r="I584">
        <v>0.9</v>
      </c>
      <c r="K584">
        <v>4.6748953540000002</v>
      </c>
      <c r="L584">
        <v>-4.7558022182000004</v>
      </c>
      <c r="M584">
        <v>1038.9156132184421</v>
      </c>
      <c r="N584">
        <v>0.65</v>
      </c>
      <c r="P584">
        <v>5.0119239274999998</v>
      </c>
      <c r="Q584">
        <v>-11.912860621699998</v>
      </c>
      <c r="R584">
        <v>1038.9156132184421</v>
      </c>
      <c r="S584">
        <v>0.65</v>
      </c>
      <c r="U584">
        <v>0</v>
      </c>
      <c r="V584">
        <v>19.241259102099999</v>
      </c>
      <c r="W584">
        <v>54.946950041030554</v>
      </c>
      <c r="X584">
        <v>0.9</v>
      </c>
      <c r="Z584">
        <v>-4.6785161826000001</v>
      </c>
      <c r="AA584">
        <v>-11.495038322000001</v>
      </c>
      <c r="AB584">
        <v>1038.9156132184421</v>
      </c>
      <c r="AC584">
        <v>0.65</v>
      </c>
      <c r="AE584">
        <v>3.3348271943999999</v>
      </c>
      <c r="AF584">
        <v>3.3522135276</v>
      </c>
      <c r="AG584">
        <v>1038.9156132184421</v>
      </c>
      <c r="AH584">
        <v>0.65</v>
      </c>
      <c r="AJ584">
        <v>0</v>
      </c>
      <c r="AK584">
        <v>0</v>
      </c>
      <c r="AL584">
        <v>-171.00317132019964</v>
      </c>
      <c r="AM584">
        <v>0.9</v>
      </c>
    </row>
    <row r="585" spans="1:39" x14ac:dyDescent="0.25">
      <c r="A585">
        <v>-53.108168137100002</v>
      </c>
      <c r="B585">
        <v>0</v>
      </c>
      <c r="C585">
        <v>128.10064660620992</v>
      </c>
      <c r="D585">
        <v>0.9</v>
      </c>
      <c r="F585">
        <v>0</v>
      </c>
      <c r="G585">
        <v>0</v>
      </c>
      <c r="H585">
        <v>-171.00317132019964</v>
      </c>
      <c r="I585">
        <v>0.9</v>
      </c>
      <c r="K585">
        <v>4.4886672694999996</v>
      </c>
      <c r="L585">
        <v>-4.4857547203000001</v>
      </c>
      <c r="M585">
        <v>1038.9156132184421</v>
      </c>
      <c r="N585">
        <v>0.65</v>
      </c>
      <c r="P585">
        <v>5.9316828180000005</v>
      </c>
      <c r="Q585">
        <v>-13.9791436995</v>
      </c>
      <c r="R585">
        <v>1038.9156132184421</v>
      </c>
      <c r="S585">
        <v>0.65</v>
      </c>
      <c r="U585">
        <v>0</v>
      </c>
      <c r="V585">
        <v>9.52</v>
      </c>
      <c r="W585">
        <v>-69.003171320199698</v>
      </c>
      <c r="X585">
        <v>0.9</v>
      </c>
      <c r="Z585">
        <v>-4.9905273767000002</v>
      </c>
      <c r="AA585">
        <v>-12.2457822319</v>
      </c>
      <c r="AB585">
        <v>1038.9156132184421</v>
      </c>
      <c r="AC585">
        <v>0.65</v>
      </c>
      <c r="AE585">
        <v>-3.0351645228000002</v>
      </c>
      <c r="AF585">
        <v>-3.0340581472999997</v>
      </c>
      <c r="AG585">
        <v>1038.9156132184421</v>
      </c>
      <c r="AH585">
        <v>0.65</v>
      </c>
      <c r="AJ585">
        <v>0</v>
      </c>
      <c r="AK585">
        <v>0</v>
      </c>
      <c r="AL585">
        <v>-171.00317132019964</v>
      </c>
      <c r="AM585">
        <v>0.9</v>
      </c>
    </row>
    <row r="586" spans="1:39" x14ac:dyDescent="0.25">
      <c r="A586">
        <v>-54.171205092900003</v>
      </c>
      <c r="B586">
        <v>0</v>
      </c>
      <c r="C586">
        <v>134.17514349656616</v>
      </c>
      <c r="D586">
        <v>0.9</v>
      </c>
      <c r="F586">
        <v>-8.9690916998999999</v>
      </c>
      <c r="G586">
        <v>3.7799440619000002</v>
      </c>
      <c r="H586">
        <v>-121.32169493979723</v>
      </c>
      <c r="I586">
        <v>0.9</v>
      </c>
      <c r="K586">
        <v>4.2535278620000003</v>
      </c>
      <c r="L586">
        <v>-4.2085924938000003</v>
      </c>
      <c r="M586">
        <v>1038.9156132184421</v>
      </c>
      <c r="N586">
        <v>0.65</v>
      </c>
      <c r="P586">
        <v>4.8498228755000001</v>
      </c>
      <c r="Q586">
        <v>-11.7017447741</v>
      </c>
      <c r="R586">
        <v>1038.9156132184421</v>
      </c>
      <c r="S586">
        <v>0.65</v>
      </c>
      <c r="U586">
        <v>0</v>
      </c>
      <c r="V586">
        <v>18.7028377868</v>
      </c>
      <c r="W586">
        <v>47.76799917060962</v>
      </c>
      <c r="X586">
        <v>0.9</v>
      </c>
      <c r="Z586">
        <v>-4.2033922218999997</v>
      </c>
      <c r="AA586">
        <v>-10.300406887300001</v>
      </c>
      <c r="AB586">
        <v>1038.9156132184421</v>
      </c>
      <c r="AC586">
        <v>0.65</v>
      </c>
      <c r="AE586">
        <v>3.3686450249000002</v>
      </c>
      <c r="AF586">
        <v>3.3517876696000002</v>
      </c>
      <c r="AG586">
        <v>1038.9156132184421</v>
      </c>
      <c r="AH586">
        <v>0.65</v>
      </c>
      <c r="AJ586">
        <v>0</v>
      </c>
      <c r="AK586">
        <v>0</v>
      </c>
      <c r="AL586">
        <v>-171.00317132019964</v>
      </c>
      <c r="AM586">
        <v>0.9</v>
      </c>
    </row>
    <row r="587" spans="1:39" x14ac:dyDescent="0.25">
      <c r="A587">
        <v>-40.887538791799997</v>
      </c>
      <c r="B587">
        <v>0</v>
      </c>
      <c r="C587">
        <v>55.839907489963188</v>
      </c>
      <c r="D587">
        <v>0.9</v>
      </c>
      <c r="F587">
        <v>0</v>
      </c>
      <c r="G587">
        <v>0</v>
      </c>
      <c r="H587">
        <v>-171.00317132019964</v>
      </c>
      <c r="I587">
        <v>0.9</v>
      </c>
      <c r="K587">
        <v>5.9231627484000002</v>
      </c>
      <c r="L587">
        <v>-6.0014806438000008</v>
      </c>
      <c r="M587">
        <v>1038.9156132184421</v>
      </c>
      <c r="N587">
        <v>0.65</v>
      </c>
      <c r="P587">
        <v>5.7377970293000002</v>
      </c>
      <c r="Q587">
        <v>-13.8811834694</v>
      </c>
      <c r="R587">
        <v>1038.9156132184421</v>
      </c>
      <c r="S587">
        <v>0.65</v>
      </c>
      <c r="U587">
        <v>0</v>
      </c>
      <c r="V587">
        <v>25.035733705600002</v>
      </c>
      <c r="W587">
        <v>131.07327808750398</v>
      </c>
      <c r="X587">
        <v>0.9</v>
      </c>
      <c r="Z587">
        <v>-4.4155095550999999</v>
      </c>
      <c r="AA587">
        <v>-10.6246970262</v>
      </c>
      <c r="AB587">
        <v>1038.9156132184421</v>
      </c>
      <c r="AC587">
        <v>0.65</v>
      </c>
      <c r="AE587">
        <v>4.8170717825999994</v>
      </c>
      <c r="AF587">
        <v>4.8941139677000001</v>
      </c>
      <c r="AG587">
        <v>1038.9156132184421</v>
      </c>
      <c r="AH587">
        <v>0.65</v>
      </c>
      <c r="AJ587">
        <v>0</v>
      </c>
      <c r="AK587">
        <v>0</v>
      </c>
      <c r="AL587">
        <v>-171.00317132019964</v>
      </c>
      <c r="AM587">
        <v>0.9</v>
      </c>
    </row>
    <row r="588" spans="1:39" x14ac:dyDescent="0.25">
      <c r="A588">
        <v>-42.482094225500006</v>
      </c>
      <c r="B588">
        <v>0</v>
      </c>
      <c r="C588">
        <v>64.951652825497433</v>
      </c>
      <c r="D588">
        <v>0.9</v>
      </c>
      <c r="F588">
        <v>0</v>
      </c>
      <c r="G588">
        <v>0</v>
      </c>
      <c r="H588">
        <v>-171.00317132019964</v>
      </c>
      <c r="I588">
        <v>0.9</v>
      </c>
      <c r="K588">
        <v>6.4709184727000002</v>
      </c>
      <c r="L588">
        <v>-6.4645354234000001</v>
      </c>
      <c r="M588">
        <v>1038.9156132184421</v>
      </c>
      <c r="N588">
        <v>0.65</v>
      </c>
      <c r="P588">
        <v>5.1806707093000002</v>
      </c>
      <c r="Q588">
        <v>-12.555760476800002</v>
      </c>
      <c r="R588">
        <v>1038.9156132184421</v>
      </c>
      <c r="S588">
        <v>0.65</v>
      </c>
      <c r="U588">
        <v>0</v>
      </c>
      <c r="V588">
        <v>9.52</v>
      </c>
      <c r="W588">
        <v>-69.003171320199698</v>
      </c>
      <c r="X588">
        <v>0.9</v>
      </c>
      <c r="Z588">
        <v>-5.1083498546000001</v>
      </c>
      <c r="AA588">
        <v>-12.348773512699999</v>
      </c>
      <c r="AB588">
        <v>1038.9156132184421</v>
      </c>
      <c r="AC588">
        <v>0.65</v>
      </c>
      <c r="AE588">
        <v>-2.8876206062000001</v>
      </c>
      <c r="AF588">
        <v>-2.8862221640000003</v>
      </c>
      <c r="AG588">
        <v>1038.9156132184421</v>
      </c>
      <c r="AH588">
        <v>0.65</v>
      </c>
      <c r="AJ588">
        <v>0</v>
      </c>
      <c r="AK588">
        <v>0</v>
      </c>
      <c r="AL588">
        <v>-171.00317132019964</v>
      </c>
      <c r="AM588">
        <v>0.9</v>
      </c>
    </row>
    <row r="589" spans="1:39" x14ac:dyDescent="0.25">
      <c r="A589">
        <v>-52.0451311813</v>
      </c>
      <c r="B589">
        <v>0</v>
      </c>
      <c r="C589">
        <v>122.02614971585378</v>
      </c>
      <c r="D589">
        <v>0.9</v>
      </c>
      <c r="F589">
        <v>-5.2296676522999999</v>
      </c>
      <c r="G589">
        <v>2.2008099462000001</v>
      </c>
      <c r="H589">
        <v>-142.41459425919882</v>
      </c>
      <c r="I589">
        <v>0.9</v>
      </c>
      <c r="K589">
        <v>5.6916504851000003</v>
      </c>
      <c r="L589">
        <v>-5.6186921110000005</v>
      </c>
      <c r="M589">
        <v>1038.9156132184421</v>
      </c>
      <c r="N589">
        <v>0.65</v>
      </c>
      <c r="P589">
        <v>5.4950208492000003</v>
      </c>
      <c r="Q589">
        <v>-13.265979221</v>
      </c>
      <c r="R589">
        <v>1038.9156132184421</v>
      </c>
      <c r="S589">
        <v>0.65</v>
      </c>
      <c r="U589">
        <v>0</v>
      </c>
      <c r="V589">
        <v>35.638904606299995</v>
      </c>
      <c r="W589">
        <v>283.78222343068921</v>
      </c>
      <c r="X589">
        <v>0.9</v>
      </c>
      <c r="Z589">
        <v>-4.1118101847999995</v>
      </c>
      <c r="AA589">
        <v>-9.7469201089999995</v>
      </c>
      <c r="AB589">
        <v>1038.9156132184421</v>
      </c>
      <c r="AC589">
        <v>0.65</v>
      </c>
      <c r="AE589">
        <v>-3.5067181240999998</v>
      </c>
      <c r="AF589">
        <v>-3.5016929074000003</v>
      </c>
      <c r="AG589">
        <v>1038.9156132184421</v>
      </c>
      <c r="AH589">
        <v>0.65</v>
      </c>
      <c r="AJ589">
        <v>0</v>
      </c>
      <c r="AK589">
        <v>0</v>
      </c>
      <c r="AL589">
        <v>-171.00317132019964</v>
      </c>
      <c r="AM589">
        <v>0.9</v>
      </c>
    </row>
    <row r="590" spans="1:39" x14ac:dyDescent="0.25">
      <c r="A590">
        <v>-41.419057269699998</v>
      </c>
      <c r="B590">
        <v>0</v>
      </c>
      <c r="C590">
        <v>58.877155935141225</v>
      </c>
      <c r="D590">
        <v>0.9</v>
      </c>
      <c r="F590">
        <v>0</v>
      </c>
      <c r="G590">
        <v>0</v>
      </c>
      <c r="H590">
        <v>-171.00317132019964</v>
      </c>
      <c r="I590">
        <v>0.9</v>
      </c>
      <c r="K590">
        <v>6.3860049207999996</v>
      </c>
      <c r="L590">
        <v>-6.3390983844000006</v>
      </c>
      <c r="M590">
        <v>1038.9156132184421</v>
      </c>
      <c r="N590">
        <v>0.65</v>
      </c>
      <c r="P590">
        <v>5.7076693256999995</v>
      </c>
      <c r="Q590">
        <v>-13.5725600274</v>
      </c>
      <c r="R590">
        <v>1038.9156132184421</v>
      </c>
      <c r="S590">
        <v>0.65</v>
      </c>
      <c r="U590">
        <v>0</v>
      </c>
      <c r="V590">
        <v>12.299152525699999</v>
      </c>
      <c r="W590">
        <v>-31.947804311074375</v>
      </c>
      <c r="X590">
        <v>0.9</v>
      </c>
      <c r="Z590">
        <v>-4.6345372988999998</v>
      </c>
      <c r="AA590">
        <v>-11.281482047399999</v>
      </c>
      <c r="AB590">
        <v>1038.9156132184421</v>
      </c>
      <c r="AC590">
        <v>0.65</v>
      </c>
      <c r="AE590">
        <v>4.4576607059000004</v>
      </c>
      <c r="AF590">
        <v>4.4840899440999999</v>
      </c>
      <c r="AG590">
        <v>1038.9156132184421</v>
      </c>
      <c r="AH590">
        <v>0.65</v>
      </c>
      <c r="AJ590">
        <v>0</v>
      </c>
      <c r="AK590">
        <v>0</v>
      </c>
      <c r="AL590">
        <v>-171.00317132019964</v>
      </c>
      <c r="AM590">
        <v>0.9</v>
      </c>
    </row>
    <row r="591" spans="1:39" x14ac:dyDescent="0.25">
      <c r="A591">
        <v>-41.950575747599999</v>
      </c>
      <c r="B591">
        <v>0</v>
      </c>
      <c r="C591">
        <v>61.91440438031939</v>
      </c>
      <c r="D591">
        <v>0.9</v>
      </c>
      <c r="F591">
        <v>-2.6765833075000001</v>
      </c>
      <c r="G591">
        <v>1.1179642746</v>
      </c>
      <c r="H591">
        <v>-156.77698099166855</v>
      </c>
      <c r="I591">
        <v>0.9</v>
      </c>
      <c r="K591">
        <v>6.5072271907000001</v>
      </c>
      <c r="L591">
        <v>-6.5919580627000007</v>
      </c>
      <c r="M591">
        <v>1038.9156132184421</v>
      </c>
      <c r="N591">
        <v>0.65</v>
      </c>
      <c r="P591">
        <v>5.7023718984</v>
      </c>
      <c r="Q591">
        <v>-13.8811418404</v>
      </c>
      <c r="R591">
        <v>1038.9156132184421</v>
      </c>
      <c r="S591">
        <v>0.65</v>
      </c>
      <c r="U591">
        <v>0</v>
      </c>
      <c r="V591">
        <v>9.52</v>
      </c>
      <c r="W591">
        <v>-69.003171320199698</v>
      </c>
      <c r="X591">
        <v>0.9</v>
      </c>
      <c r="Z591">
        <v>-3.9602398645000001</v>
      </c>
      <c r="AA591">
        <v>-9.6350858671000008</v>
      </c>
      <c r="AB591">
        <v>1038.9156132184421</v>
      </c>
      <c r="AC591">
        <v>0.65</v>
      </c>
      <c r="AE591">
        <v>-5.0373985480999997</v>
      </c>
      <c r="AF591">
        <v>-5.0041024473000002</v>
      </c>
      <c r="AG591">
        <v>1038.9156132184421</v>
      </c>
      <c r="AH591">
        <v>0.65</v>
      </c>
      <c r="AJ591">
        <v>0</v>
      </c>
      <c r="AK591">
        <v>0</v>
      </c>
      <c r="AL591">
        <v>-171.00317132019964</v>
      </c>
      <c r="AM591">
        <v>0.9</v>
      </c>
    </row>
    <row r="592" spans="1:39" x14ac:dyDescent="0.25">
      <c r="A592">
        <v>-37.432668685399996</v>
      </c>
      <c r="B592">
        <v>0</v>
      </c>
      <c r="C592">
        <v>36.097792596305482</v>
      </c>
      <c r="D592">
        <v>0.9</v>
      </c>
      <c r="F592">
        <v>0</v>
      </c>
      <c r="G592">
        <v>0</v>
      </c>
      <c r="H592">
        <v>-171.00317132019964</v>
      </c>
      <c r="I592">
        <v>0.9</v>
      </c>
      <c r="K592">
        <v>6.7006825669000003</v>
      </c>
      <c r="L592">
        <v>-6.7032474626000003</v>
      </c>
      <c r="M592">
        <v>1038.9156132184421</v>
      </c>
      <c r="N592">
        <v>0.65</v>
      </c>
      <c r="P592">
        <v>5.5250783484000001</v>
      </c>
      <c r="Q592">
        <v>-13.2679926331</v>
      </c>
      <c r="R592">
        <v>1038.9156132184421</v>
      </c>
      <c r="S592">
        <v>0.65</v>
      </c>
      <c r="U592">
        <v>0</v>
      </c>
      <c r="V592">
        <v>9.52</v>
      </c>
      <c r="W592">
        <v>-69.003171320199698</v>
      </c>
      <c r="X592">
        <v>0.9</v>
      </c>
      <c r="Z592">
        <v>-5.7252259088000006</v>
      </c>
      <c r="AA592">
        <v>-13.885801432099999</v>
      </c>
      <c r="AB592">
        <v>1038.9156132184421</v>
      </c>
      <c r="AC592">
        <v>0.65</v>
      </c>
      <c r="AE592">
        <v>3.2025517910000003</v>
      </c>
      <c r="AF592">
        <v>3.1918208730999997</v>
      </c>
      <c r="AG592">
        <v>1038.9156132184421</v>
      </c>
      <c r="AH592">
        <v>0.65</v>
      </c>
      <c r="AJ592">
        <v>0</v>
      </c>
      <c r="AK592">
        <v>0</v>
      </c>
      <c r="AL592">
        <v>-171.00317132019964</v>
      </c>
      <c r="AM592">
        <v>0.9</v>
      </c>
    </row>
    <row r="593" spans="1:39" x14ac:dyDescent="0.25">
      <c r="A593">
        <v>-40.356020313899997</v>
      </c>
      <c r="B593">
        <v>0</v>
      </c>
      <c r="C593">
        <v>52.80265904478501</v>
      </c>
      <c r="D593">
        <v>0.9</v>
      </c>
      <c r="F593">
        <v>0</v>
      </c>
      <c r="G593">
        <v>0</v>
      </c>
      <c r="H593">
        <v>-171.00317132019964</v>
      </c>
      <c r="I593">
        <v>0.9</v>
      </c>
      <c r="K593">
        <v>5.9931059009999998</v>
      </c>
      <c r="L593">
        <v>-5.9888421832999992</v>
      </c>
      <c r="M593">
        <v>1038.9156132184421</v>
      </c>
      <c r="N593">
        <v>0.65</v>
      </c>
      <c r="P593">
        <v>5.9074652045000002</v>
      </c>
      <c r="Q593">
        <v>-13.974985023199999</v>
      </c>
      <c r="R593">
        <v>1038.9156132184421</v>
      </c>
      <c r="S593">
        <v>0.65</v>
      </c>
      <c r="U593">
        <v>0</v>
      </c>
      <c r="V593">
        <v>11.760731210399999</v>
      </c>
      <c r="W593">
        <v>-39.126755181495241</v>
      </c>
      <c r="X593">
        <v>0.9</v>
      </c>
      <c r="Z593">
        <v>-5.1805124981999997</v>
      </c>
      <c r="AA593">
        <v>-12.555818595200002</v>
      </c>
      <c r="AB593">
        <v>1038.9156132184421</v>
      </c>
      <c r="AC593">
        <v>0.65</v>
      </c>
      <c r="AE593">
        <v>-4.9373282586</v>
      </c>
      <c r="AF593">
        <v>-4.8760480042000003</v>
      </c>
      <c r="AG593">
        <v>1038.9156132184421</v>
      </c>
      <c r="AH593">
        <v>0.65</v>
      </c>
      <c r="AJ593">
        <v>0</v>
      </c>
      <c r="AK593">
        <v>0</v>
      </c>
      <c r="AL593">
        <v>-171.00317132019964</v>
      </c>
      <c r="AM593">
        <v>0.9</v>
      </c>
    </row>
    <row r="594" spans="1:39" x14ac:dyDescent="0.25">
      <c r="A594">
        <v>-39.292983358100003</v>
      </c>
      <c r="B594">
        <v>0</v>
      </c>
      <c r="C594">
        <v>46.728162154428944</v>
      </c>
      <c r="D594">
        <v>0.9</v>
      </c>
      <c r="F594">
        <v>0</v>
      </c>
      <c r="G594">
        <v>0</v>
      </c>
      <c r="H594">
        <v>-171.00317132019964</v>
      </c>
      <c r="I594">
        <v>0.9</v>
      </c>
      <c r="K594">
        <v>7.1521136675000001</v>
      </c>
      <c r="L594">
        <v>-7.1525502227000004</v>
      </c>
      <c r="M594">
        <v>1038.9156132184421</v>
      </c>
      <c r="N594">
        <v>0.65</v>
      </c>
      <c r="P594">
        <v>5.8657879810999995</v>
      </c>
      <c r="Q594">
        <v>-14.1887949312</v>
      </c>
      <c r="R594">
        <v>1038.9156132184421</v>
      </c>
      <c r="S594">
        <v>0.65</v>
      </c>
      <c r="U594">
        <v>0</v>
      </c>
      <c r="V594">
        <v>9.52</v>
      </c>
      <c r="W594">
        <v>-69.003171320199698</v>
      </c>
      <c r="X594">
        <v>0.9</v>
      </c>
      <c r="Z594">
        <v>-5.2273594791999995</v>
      </c>
      <c r="AA594">
        <v>-12.7661497033</v>
      </c>
      <c r="AB594">
        <v>1038.9156132184421</v>
      </c>
      <c r="AC594">
        <v>0.65</v>
      </c>
      <c r="AE594">
        <v>-4.2527506298999995</v>
      </c>
      <c r="AF594">
        <v>-4.2088780076000001</v>
      </c>
      <c r="AG594">
        <v>1038.9156132184421</v>
      </c>
      <c r="AH594">
        <v>0.65</v>
      </c>
      <c r="AJ594">
        <v>0</v>
      </c>
      <c r="AK594">
        <v>0</v>
      </c>
      <c r="AL594">
        <v>-171.00317132019964</v>
      </c>
      <c r="AM594">
        <v>0.9</v>
      </c>
    </row>
    <row r="595" spans="1:39" x14ac:dyDescent="0.25">
      <c r="A595">
        <v>-37.166909446399998</v>
      </c>
      <c r="B595">
        <v>0</v>
      </c>
      <c r="C595">
        <v>34.579168373716399</v>
      </c>
      <c r="D595">
        <v>0.9</v>
      </c>
      <c r="F595">
        <v>0</v>
      </c>
      <c r="G595">
        <v>0</v>
      </c>
      <c r="H595">
        <v>-171.00317132019964</v>
      </c>
      <c r="I595">
        <v>0.9</v>
      </c>
      <c r="K595">
        <v>6.8770294037999999</v>
      </c>
      <c r="L595">
        <v>-6.8049523953999991</v>
      </c>
      <c r="M595">
        <v>1038.9156132184421</v>
      </c>
      <c r="N595">
        <v>0.65</v>
      </c>
      <c r="P595">
        <v>6.0177046570000003</v>
      </c>
      <c r="Q595">
        <v>-14.283103838500001</v>
      </c>
      <c r="R595">
        <v>1038.9156132184421</v>
      </c>
      <c r="S595">
        <v>0.65</v>
      </c>
      <c r="U595">
        <v>0</v>
      </c>
      <c r="V595">
        <v>9.52</v>
      </c>
      <c r="W595">
        <v>-69.003171320199698</v>
      </c>
      <c r="X595">
        <v>0.9</v>
      </c>
      <c r="Z595">
        <v>-5.5257345095000003</v>
      </c>
      <c r="AA595">
        <v>-13.2677515943</v>
      </c>
      <c r="AB595">
        <v>1038.9156132184421</v>
      </c>
      <c r="AC595">
        <v>0.65</v>
      </c>
      <c r="AE595">
        <v>-3.8909026347000002</v>
      </c>
      <c r="AF595">
        <v>-3.9493376138999996</v>
      </c>
      <c r="AG595">
        <v>1038.9156132184421</v>
      </c>
      <c r="AH595">
        <v>0.65</v>
      </c>
      <c r="AJ595">
        <v>0</v>
      </c>
      <c r="AK595">
        <v>0</v>
      </c>
      <c r="AL595">
        <v>-171.00317132019964</v>
      </c>
      <c r="AM595">
        <v>0.9</v>
      </c>
    </row>
    <row r="596" spans="1:39" x14ac:dyDescent="0.25">
      <c r="A596">
        <v>-35.572354012699996</v>
      </c>
      <c r="B596">
        <v>0</v>
      </c>
      <c r="C596">
        <v>25.467423038182162</v>
      </c>
      <c r="D596">
        <v>0.9</v>
      </c>
      <c r="F596">
        <v>0</v>
      </c>
      <c r="G596">
        <v>0</v>
      </c>
      <c r="H596">
        <v>-171.00317132019964</v>
      </c>
      <c r="I596">
        <v>0.9</v>
      </c>
      <c r="K596">
        <v>6.1798949808999994</v>
      </c>
      <c r="L596">
        <v>-6.2423132309000007</v>
      </c>
      <c r="M596">
        <v>1038.9156132184421</v>
      </c>
      <c r="N596">
        <v>0.65</v>
      </c>
      <c r="P596">
        <v>6.0270859507000001</v>
      </c>
      <c r="Q596">
        <v>-14.292712591399999</v>
      </c>
      <c r="R596">
        <v>1038.9156132184421</v>
      </c>
      <c r="S596">
        <v>0.65</v>
      </c>
      <c r="U596">
        <v>0</v>
      </c>
      <c r="V596">
        <v>9.52</v>
      </c>
      <c r="W596">
        <v>-69.003171320199698</v>
      </c>
      <c r="X596">
        <v>0.9</v>
      </c>
      <c r="Z596">
        <v>-5.0084883799000002</v>
      </c>
      <c r="AA596">
        <v>-11.9141226596</v>
      </c>
      <c r="AB596">
        <v>1038.9156132184421</v>
      </c>
      <c r="AC596">
        <v>0.65</v>
      </c>
      <c r="AE596">
        <v>-4.0512714360000004</v>
      </c>
      <c r="AF596">
        <v>-4.0732823996</v>
      </c>
      <c r="AG596">
        <v>1038.9156132184421</v>
      </c>
      <c r="AH596">
        <v>0.65</v>
      </c>
      <c r="AJ596">
        <v>0</v>
      </c>
      <c r="AK596">
        <v>0</v>
      </c>
      <c r="AL596">
        <v>-171.00317132019964</v>
      </c>
      <c r="AM596">
        <v>0.9</v>
      </c>
    </row>
    <row r="597" spans="1:39" x14ac:dyDescent="0.25">
      <c r="A597">
        <v>-39.824501835999996</v>
      </c>
      <c r="B597">
        <v>0</v>
      </c>
      <c r="C597">
        <v>49.76541059960698</v>
      </c>
      <c r="D597">
        <v>0.9</v>
      </c>
      <c r="F597">
        <v>0</v>
      </c>
      <c r="G597">
        <v>0</v>
      </c>
      <c r="H597">
        <v>-171.00317132019964</v>
      </c>
      <c r="I597">
        <v>0.9</v>
      </c>
      <c r="K597">
        <v>8.3674607030000008</v>
      </c>
      <c r="L597">
        <v>-8.379026443699999</v>
      </c>
      <c r="M597">
        <v>1038.9156132184421</v>
      </c>
      <c r="N597">
        <v>0.65</v>
      </c>
      <c r="P597">
        <v>0</v>
      </c>
      <c r="Q597">
        <v>0</v>
      </c>
      <c r="R597">
        <v>1038.9156132184421</v>
      </c>
      <c r="S597">
        <v>0.65</v>
      </c>
      <c r="U597">
        <v>0</v>
      </c>
      <c r="V597">
        <v>9.8762566069000002</v>
      </c>
      <c r="W597">
        <v>-64.253083227968617</v>
      </c>
      <c r="X597">
        <v>0.9</v>
      </c>
      <c r="Z597">
        <v>-5.7023750757000009</v>
      </c>
      <c r="AA597">
        <v>-13.881140673200001</v>
      </c>
      <c r="AB597">
        <v>1038.9156132184421</v>
      </c>
      <c r="AC597">
        <v>0.65</v>
      </c>
      <c r="AE597">
        <v>-5.3151882551999998</v>
      </c>
      <c r="AF597">
        <v>-5.2481991147999993</v>
      </c>
      <c r="AG597">
        <v>1038.9156132184421</v>
      </c>
      <c r="AH597">
        <v>0.65</v>
      </c>
      <c r="AJ597">
        <v>0</v>
      </c>
      <c r="AK597">
        <v>0</v>
      </c>
      <c r="AL597">
        <v>-171.00317132019964</v>
      </c>
      <c r="AM597">
        <v>0.9</v>
      </c>
    </row>
    <row r="598" spans="1:39" x14ac:dyDescent="0.25">
      <c r="A598">
        <v>-40.6217795528</v>
      </c>
      <c r="B598">
        <v>0</v>
      </c>
      <c r="C598">
        <v>54.321283267374241</v>
      </c>
      <c r="D598">
        <v>0.9</v>
      </c>
      <c r="F598">
        <v>-1.972</v>
      </c>
      <c r="G598">
        <v>0.81599999999999995</v>
      </c>
      <c r="H598">
        <v>-160.80317132019965</v>
      </c>
      <c r="I598">
        <v>0.9</v>
      </c>
      <c r="K598">
        <v>6.9654201491000007</v>
      </c>
      <c r="L598">
        <v>-6.9230984925999994</v>
      </c>
      <c r="M598">
        <v>1038.9156132184421</v>
      </c>
      <c r="N598">
        <v>0.65</v>
      </c>
      <c r="P598">
        <v>0</v>
      </c>
      <c r="Q598">
        <v>0</v>
      </c>
      <c r="R598">
        <v>1038.9156132184421</v>
      </c>
      <c r="S598">
        <v>0.65</v>
      </c>
      <c r="U598">
        <v>0</v>
      </c>
      <c r="V598">
        <v>10.9530992375</v>
      </c>
      <c r="W598">
        <v>-49.895181487126749</v>
      </c>
      <c r="X598">
        <v>0.9</v>
      </c>
      <c r="Z598">
        <v>-5.4939898516999994</v>
      </c>
      <c r="AA598">
        <v>-13.2663579547</v>
      </c>
      <c r="AB598">
        <v>1038.9156132184421</v>
      </c>
      <c r="AC598">
        <v>0.65</v>
      </c>
      <c r="AE598">
        <v>-4.6835847483999995</v>
      </c>
      <c r="AF598">
        <v>-4.7526101958</v>
      </c>
      <c r="AG598">
        <v>1038.9156132184421</v>
      </c>
      <c r="AH598">
        <v>0.65</v>
      </c>
      <c r="AJ598">
        <v>0</v>
      </c>
      <c r="AK598">
        <v>0</v>
      </c>
      <c r="AL598">
        <v>-171.00317132019964</v>
      </c>
      <c r="AM598">
        <v>0.9</v>
      </c>
    </row>
    <row r="599" spans="1:39" x14ac:dyDescent="0.25">
      <c r="A599">
        <v>-38.761464880200002</v>
      </c>
      <c r="B599">
        <v>0</v>
      </c>
      <c r="C599">
        <v>43.690913709250772</v>
      </c>
      <c r="D599">
        <v>0.9</v>
      </c>
      <c r="F599">
        <v>0</v>
      </c>
      <c r="G599">
        <v>0</v>
      </c>
      <c r="H599">
        <v>-171.00317132019964</v>
      </c>
      <c r="I599">
        <v>0.9</v>
      </c>
      <c r="K599">
        <v>7.1734503303999997</v>
      </c>
      <c r="L599">
        <v>-7.1577672074000001</v>
      </c>
      <c r="M599">
        <v>1038.9156132184421</v>
      </c>
      <c r="N599">
        <v>0.65</v>
      </c>
      <c r="P599">
        <v>0</v>
      </c>
      <c r="Q599">
        <v>0</v>
      </c>
      <c r="R599">
        <v>1038.9156132184421</v>
      </c>
      <c r="S599">
        <v>0.65</v>
      </c>
      <c r="U599">
        <v>0</v>
      </c>
      <c r="V599">
        <v>17.087573841000001</v>
      </c>
      <c r="W599">
        <v>26.231146559346694</v>
      </c>
      <c r="X599">
        <v>0.9</v>
      </c>
      <c r="Z599">
        <v>-6.0297703436999992</v>
      </c>
      <c r="AA599">
        <v>-14.2917264879</v>
      </c>
      <c r="AB599">
        <v>1038.9156132184421</v>
      </c>
      <c r="AC599">
        <v>0.65</v>
      </c>
      <c r="AE599">
        <v>-3.8115906599999998</v>
      </c>
      <c r="AF599">
        <v>-3.7836078637000004</v>
      </c>
      <c r="AG599">
        <v>1038.9156132184421</v>
      </c>
      <c r="AH599">
        <v>0.65</v>
      </c>
      <c r="AJ599">
        <v>0</v>
      </c>
      <c r="AK599">
        <v>0</v>
      </c>
      <c r="AL599">
        <v>-171.00317132019964</v>
      </c>
      <c r="AM599">
        <v>0.9</v>
      </c>
    </row>
    <row r="600" spans="1:39" x14ac:dyDescent="0.25">
      <c r="A600">
        <v>-36.901150207500002</v>
      </c>
      <c r="B600">
        <v>0</v>
      </c>
      <c r="C600">
        <v>33.06054415112731</v>
      </c>
      <c r="D600">
        <v>0.9</v>
      </c>
      <c r="F600">
        <v>0</v>
      </c>
      <c r="G600">
        <v>0</v>
      </c>
      <c r="H600">
        <v>-171.00317132019964</v>
      </c>
      <c r="I600">
        <v>0.9</v>
      </c>
      <c r="K600">
        <v>7.3219289921999993</v>
      </c>
      <c r="L600">
        <v>-7.3952434426</v>
      </c>
      <c r="M600">
        <v>1038.9156132184421</v>
      </c>
      <c r="N600">
        <v>0.65</v>
      </c>
      <c r="P600">
        <v>0</v>
      </c>
      <c r="Q600">
        <v>0</v>
      </c>
      <c r="R600">
        <v>1038.9156132184421</v>
      </c>
      <c r="S600">
        <v>0.65</v>
      </c>
      <c r="U600">
        <v>0</v>
      </c>
      <c r="V600">
        <v>9.52</v>
      </c>
      <c r="W600">
        <v>-69.003171320199698</v>
      </c>
      <c r="X600">
        <v>0.9</v>
      </c>
      <c r="Z600">
        <v>-5.7076693823999998</v>
      </c>
      <c r="AA600">
        <v>-13.5725600066</v>
      </c>
      <c r="AB600">
        <v>1038.9156132184421</v>
      </c>
      <c r="AC600">
        <v>0.65</v>
      </c>
      <c r="AE600">
        <v>-4.0531810672999997</v>
      </c>
      <c r="AF600">
        <v>-4.0856358447999996</v>
      </c>
      <c r="AG600">
        <v>1038.9156132184421</v>
      </c>
      <c r="AH600">
        <v>0.65</v>
      </c>
      <c r="AJ600">
        <v>0</v>
      </c>
      <c r="AK600">
        <v>0</v>
      </c>
      <c r="AL600">
        <v>-171.00317132019964</v>
      </c>
      <c r="AM600">
        <v>0.9</v>
      </c>
    </row>
    <row r="601" spans="1:39" x14ac:dyDescent="0.25">
      <c r="A601">
        <v>-33.446280101100001</v>
      </c>
      <c r="B601">
        <v>0</v>
      </c>
      <c r="C601">
        <v>13.318429257469612</v>
      </c>
      <c r="D601">
        <v>0.9</v>
      </c>
      <c r="F601">
        <v>0</v>
      </c>
      <c r="G601">
        <v>0</v>
      </c>
      <c r="H601">
        <v>-171.00317132019964</v>
      </c>
      <c r="I601">
        <v>0.9</v>
      </c>
      <c r="K601">
        <v>7.6055302053</v>
      </c>
      <c r="L601">
        <v>-7.4772600709000008</v>
      </c>
      <c r="M601">
        <v>1038.9156132184421</v>
      </c>
      <c r="N601">
        <v>0.65</v>
      </c>
      <c r="P601">
        <v>0</v>
      </c>
      <c r="Q601">
        <v>0</v>
      </c>
      <c r="R601">
        <v>1038.9156132184421</v>
      </c>
      <c r="S601">
        <v>0.65</v>
      </c>
      <c r="U601">
        <v>0</v>
      </c>
      <c r="V601">
        <v>9.52</v>
      </c>
      <c r="W601">
        <v>-69.003171320199698</v>
      </c>
      <c r="X601">
        <v>0.9</v>
      </c>
      <c r="Z601">
        <v>-6.0184036788000004</v>
      </c>
      <c r="AA601">
        <v>-14.282847055</v>
      </c>
      <c r="AB601">
        <v>1038.9156132184421</v>
      </c>
      <c r="AC601">
        <v>0.65</v>
      </c>
      <c r="AE601">
        <v>-4.5104277184999999</v>
      </c>
      <c r="AF601">
        <v>-4.4777610859000001</v>
      </c>
      <c r="AG601">
        <v>1038.9156132184421</v>
      </c>
      <c r="AH601">
        <v>0.65</v>
      </c>
      <c r="AJ601">
        <v>0</v>
      </c>
      <c r="AK601">
        <v>0</v>
      </c>
      <c r="AL601">
        <v>-171.00317132019964</v>
      </c>
      <c r="AM601">
        <v>0.9</v>
      </c>
    </row>
    <row r="602" spans="1:39" x14ac:dyDescent="0.25">
      <c r="A602">
        <v>-37.964187163299997</v>
      </c>
      <c r="B602">
        <v>0</v>
      </c>
      <c r="C602">
        <v>39.13504104148366</v>
      </c>
      <c r="D602">
        <v>0.9</v>
      </c>
      <c r="F602">
        <v>0</v>
      </c>
      <c r="G602">
        <v>0</v>
      </c>
      <c r="H602">
        <v>-171.00317132019964</v>
      </c>
      <c r="I602">
        <v>0.9</v>
      </c>
      <c r="K602">
        <v>8.1072454116999992</v>
      </c>
      <c r="L602">
        <v>-8.0391376040000004</v>
      </c>
      <c r="M602">
        <v>1038.9156132184421</v>
      </c>
      <c r="N602">
        <v>0.65</v>
      </c>
      <c r="P602">
        <v>0</v>
      </c>
      <c r="Q602">
        <v>0</v>
      </c>
      <c r="R602">
        <v>1038.9156132184421</v>
      </c>
      <c r="S602">
        <v>0.65</v>
      </c>
      <c r="U602">
        <v>0</v>
      </c>
      <c r="V602">
        <v>10.6838885798</v>
      </c>
      <c r="W602">
        <v>-53.484656922337237</v>
      </c>
      <c r="X602">
        <v>0.9</v>
      </c>
      <c r="Z602">
        <v>-5.9306283694999999</v>
      </c>
      <c r="AA602">
        <v>-13.9795310479</v>
      </c>
      <c r="AB602">
        <v>1038.9156132184421</v>
      </c>
      <c r="AC602">
        <v>0.65</v>
      </c>
      <c r="AE602">
        <v>-5.6914240969000005</v>
      </c>
      <c r="AF602">
        <v>-5.6187752739999999</v>
      </c>
      <c r="AG602">
        <v>1038.9156132184421</v>
      </c>
      <c r="AH602">
        <v>0.65</v>
      </c>
      <c r="AJ602">
        <v>0</v>
      </c>
      <c r="AK602">
        <v>0</v>
      </c>
      <c r="AL602">
        <v>-171.00317132019964</v>
      </c>
      <c r="AM602">
        <v>0.9</v>
      </c>
    </row>
    <row r="603" spans="1:39" x14ac:dyDescent="0.25">
      <c r="A603">
        <v>-35.838113251700001</v>
      </c>
      <c r="B603">
        <v>0</v>
      </c>
      <c r="C603">
        <v>26.986047260771251</v>
      </c>
      <c r="D603">
        <v>0.9</v>
      </c>
      <c r="F603">
        <v>0</v>
      </c>
      <c r="G603">
        <v>0</v>
      </c>
      <c r="H603">
        <v>-171.00317132019964</v>
      </c>
      <c r="I603">
        <v>0.9</v>
      </c>
      <c r="K603">
        <v>7.8468199902000002</v>
      </c>
      <c r="L603">
        <v>-7.8290870113999995</v>
      </c>
      <c r="M603">
        <v>1038.9156132184421</v>
      </c>
      <c r="N603">
        <v>0.65</v>
      </c>
      <c r="P603">
        <v>0</v>
      </c>
      <c r="Q603">
        <v>0</v>
      </c>
      <c r="R603">
        <v>1038.9156132184421</v>
      </c>
      <c r="S603">
        <v>0.65</v>
      </c>
      <c r="U603">
        <v>0</v>
      </c>
      <c r="V603">
        <v>9.52</v>
      </c>
      <c r="W603">
        <v>-69.003171320199698</v>
      </c>
      <c r="X603">
        <v>0.9</v>
      </c>
      <c r="Z603">
        <v>-5.8649896289000001</v>
      </c>
      <c r="AA603">
        <v>-14.189088203500001</v>
      </c>
      <c r="AB603">
        <v>1038.9156132184421</v>
      </c>
      <c r="AC603">
        <v>0.65</v>
      </c>
      <c r="AE603">
        <v>-3.6580607081999998</v>
      </c>
      <c r="AF603">
        <v>-3.6350291255</v>
      </c>
      <c r="AG603">
        <v>1038.9156132184421</v>
      </c>
      <c r="AH603">
        <v>0.65</v>
      </c>
      <c r="AJ603">
        <v>0</v>
      </c>
      <c r="AK603">
        <v>0</v>
      </c>
      <c r="AL603">
        <v>-171.00317132019964</v>
      </c>
      <c r="AM603">
        <v>0.9</v>
      </c>
    </row>
    <row r="604" spans="1:39" x14ac:dyDescent="0.25">
      <c r="A604">
        <v>-41.684816508599994</v>
      </c>
      <c r="B604">
        <v>0</v>
      </c>
      <c r="C604">
        <v>60.3957801577303</v>
      </c>
      <c r="D604">
        <v>0.9</v>
      </c>
      <c r="F604">
        <v>-19.681881730499999</v>
      </c>
      <c r="G604">
        <v>8.2132826463999997</v>
      </c>
      <c r="H604">
        <v>-60.057180479147078</v>
      </c>
      <c r="I604">
        <v>0.9</v>
      </c>
      <c r="K604">
        <v>8.3329938472000009</v>
      </c>
      <c r="L604">
        <v>-8.3786327951999997</v>
      </c>
      <c r="M604">
        <v>1038.9156132184421</v>
      </c>
      <c r="N604">
        <v>0.65</v>
      </c>
      <c r="P604">
        <v>0</v>
      </c>
      <c r="Q604">
        <v>0</v>
      </c>
      <c r="R604">
        <v>1038.9156132184421</v>
      </c>
      <c r="S604">
        <v>0.65</v>
      </c>
      <c r="U604">
        <v>0</v>
      </c>
      <c r="V604">
        <v>9.52</v>
      </c>
      <c r="W604">
        <v>-69.003171320199698</v>
      </c>
      <c r="X604">
        <v>0.9</v>
      </c>
      <c r="Z604">
        <v>-5.9069407629999997</v>
      </c>
      <c r="AA604">
        <v>-13.975177675199999</v>
      </c>
      <c r="AB604">
        <v>1038.9156132184421</v>
      </c>
      <c r="AC604">
        <v>0.65</v>
      </c>
      <c r="AE604">
        <v>-6.1804078801000006</v>
      </c>
      <c r="AF604">
        <v>-6.2421248189000007</v>
      </c>
      <c r="AG604">
        <v>1038.9156132184421</v>
      </c>
      <c r="AH604">
        <v>0.65</v>
      </c>
      <c r="AJ604">
        <v>0</v>
      </c>
      <c r="AK604">
        <v>0</v>
      </c>
      <c r="AL604">
        <v>-171.00317132019964</v>
      </c>
      <c r="AM604">
        <v>0.9</v>
      </c>
    </row>
    <row r="605" spans="1:39" x14ac:dyDescent="0.25">
      <c r="A605">
        <v>-40.090261074899999</v>
      </c>
      <c r="B605">
        <v>0</v>
      </c>
      <c r="C605">
        <v>51.284034822196062</v>
      </c>
      <c r="D605">
        <v>0.9</v>
      </c>
      <c r="F605">
        <v>0</v>
      </c>
      <c r="G605">
        <v>0</v>
      </c>
      <c r="H605">
        <v>-171.00317132019964</v>
      </c>
      <c r="I605">
        <v>0.9</v>
      </c>
      <c r="K605">
        <v>9.392993001999999</v>
      </c>
      <c r="L605">
        <v>-9.3253882159000003</v>
      </c>
      <c r="M605">
        <v>1038.9156132184421</v>
      </c>
      <c r="N605">
        <v>0.65</v>
      </c>
      <c r="P605">
        <v>0</v>
      </c>
      <c r="Q605">
        <v>0</v>
      </c>
      <c r="R605">
        <v>1038.9156132184421</v>
      </c>
      <c r="S605">
        <v>0.65</v>
      </c>
      <c r="U605">
        <v>0</v>
      </c>
      <c r="V605">
        <v>9.52</v>
      </c>
      <c r="W605">
        <v>-69.003171320199698</v>
      </c>
      <c r="X605">
        <v>0.9</v>
      </c>
      <c r="Z605">
        <v>0</v>
      </c>
      <c r="AA605">
        <v>0</v>
      </c>
      <c r="AB605">
        <v>1038.9156132184421</v>
      </c>
      <c r="AC605">
        <v>0.65</v>
      </c>
      <c r="AE605">
        <v>-3.0443209771999999</v>
      </c>
      <c r="AF605">
        <v>-3.0434185498000002</v>
      </c>
      <c r="AG605">
        <v>1038.9156132184421</v>
      </c>
      <c r="AH605">
        <v>0.65</v>
      </c>
      <c r="AJ605">
        <v>0</v>
      </c>
      <c r="AK605">
        <v>0</v>
      </c>
      <c r="AL605">
        <v>-171.00317132019964</v>
      </c>
      <c r="AM605">
        <v>0.9</v>
      </c>
    </row>
    <row r="606" spans="1:39" x14ac:dyDescent="0.25">
      <c r="A606">
        <v>-36.635390968499998</v>
      </c>
      <c r="B606">
        <v>0</v>
      </c>
      <c r="C606">
        <v>31.541919928538373</v>
      </c>
      <c r="D606">
        <v>0.9</v>
      </c>
      <c r="F606">
        <v>0</v>
      </c>
      <c r="G606">
        <v>0</v>
      </c>
      <c r="H606">
        <v>-171.00317132019964</v>
      </c>
      <c r="I606">
        <v>0.9</v>
      </c>
      <c r="K606">
        <v>7.7293334343</v>
      </c>
      <c r="L606">
        <v>-7.7177871454</v>
      </c>
      <c r="M606">
        <v>1038.9156132184421</v>
      </c>
      <c r="N606">
        <v>0.65</v>
      </c>
      <c r="P606">
        <v>0</v>
      </c>
      <c r="Q606">
        <v>0</v>
      </c>
      <c r="R606">
        <v>1038.9156132184421</v>
      </c>
      <c r="S606">
        <v>0.65</v>
      </c>
      <c r="U606">
        <v>0</v>
      </c>
      <c r="V606">
        <v>9.52</v>
      </c>
      <c r="W606">
        <v>-69.003171320199698</v>
      </c>
      <c r="X606">
        <v>0.9</v>
      </c>
      <c r="Z606">
        <v>0</v>
      </c>
      <c r="AA606">
        <v>0</v>
      </c>
      <c r="AB606">
        <v>1038.9156132184421</v>
      </c>
      <c r="AC606">
        <v>0.65</v>
      </c>
      <c r="AE606">
        <v>4.9322221575</v>
      </c>
      <c r="AF606">
        <v>5.0166287875000002</v>
      </c>
      <c r="AG606">
        <v>1038.9156132184421</v>
      </c>
      <c r="AH606">
        <v>0.65</v>
      </c>
      <c r="AJ606">
        <v>0</v>
      </c>
      <c r="AK606">
        <v>0</v>
      </c>
      <c r="AL606">
        <v>-171.00317132019964</v>
      </c>
      <c r="AM606">
        <v>0.9</v>
      </c>
    </row>
    <row r="607" spans="1:39" x14ac:dyDescent="0.25">
      <c r="A607">
        <v>-38.2299464022</v>
      </c>
      <c r="B607">
        <v>0</v>
      </c>
      <c r="C607">
        <v>40.653665264072593</v>
      </c>
      <c r="D607">
        <v>0.9</v>
      </c>
      <c r="F607">
        <v>0</v>
      </c>
      <c r="G607">
        <v>0</v>
      </c>
      <c r="H607">
        <v>-171.00317132019964</v>
      </c>
      <c r="I607">
        <v>0.9</v>
      </c>
      <c r="K607">
        <v>8.5966421511999993</v>
      </c>
      <c r="L607">
        <v>-8.5885272034</v>
      </c>
      <c r="M607">
        <v>1038.9156132184421</v>
      </c>
      <c r="N607">
        <v>0.65</v>
      </c>
      <c r="P607">
        <v>-1.0761870401</v>
      </c>
      <c r="Q607">
        <v>2.6067957578000001</v>
      </c>
      <c r="R607">
        <v>1038.9156132184421</v>
      </c>
      <c r="S607">
        <v>0.65</v>
      </c>
      <c r="U607">
        <v>0</v>
      </c>
      <c r="V607">
        <v>10.414677922200001</v>
      </c>
      <c r="W607">
        <v>-57.074132357547619</v>
      </c>
      <c r="X607">
        <v>0.9</v>
      </c>
      <c r="Z607">
        <v>0</v>
      </c>
      <c r="AA607">
        <v>0</v>
      </c>
      <c r="AB607">
        <v>1038.9156132184421</v>
      </c>
      <c r="AC607">
        <v>0.65</v>
      </c>
      <c r="AE607">
        <v>-5.9194323805</v>
      </c>
      <c r="AF607">
        <v>-6.0028509829999992</v>
      </c>
      <c r="AG607">
        <v>1038.9156132184421</v>
      </c>
      <c r="AH607">
        <v>0.65</v>
      </c>
      <c r="AJ607">
        <v>1.972</v>
      </c>
      <c r="AK607">
        <v>0.81599999999999995</v>
      </c>
      <c r="AL607">
        <v>-160.80317132019968</v>
      </c>
      <c r="AM607">
        <v>0.9</v>
      </c>
    </row>
    <row r="608" spans="1:39" x14ac:dyDescent="0.25">
      <c r="A608">
        <v>-33.712039340000004</v>
      </c>
      <c r="B608">
        <v>0</v>
      </c>
      <c r="C608">
        <v>14.8370534800587</v>
      </c>
      <c r="D608">
        <v>0.9</v>
      </c>
      <c r="F608">
        <v>-1.972</v>
      </c>
      <c r="G608">
        <v>0.81599999999999995</v>
      </c>
      <c r="H608">
        <v>-160.80317132019965</v>
      </c>
      <c r="I608">
        <v>0.9</v>
      </c>
      <c r="K608">
        <v>8.7879639098000002</v>
      </c>
      <c r="L608">
        <v>-8.6896009017999987</v>
      </c>
      <c r="M608">
        <v>1038.9156132184421</v>
      </c>
      <c r="N608">
        <v>0.65</v>
      </c>
      <c r="P608">
        <v>-1.0476944284</v>
      </c>
      <c r="Q608">
        <v>2.5389327768999999</v>
      </c>
      <c r="R608">
        <v>1038.9156132184421</v>
      </c>
      <c r="S608">
        <v>0.65</v>
      </c>
      <c r="U608">
        <v>0</v>
      </c>
      <c r="V608">
        <v>10.145467264599999</v>
      </c>
      <c r="W608">
        <v>-60.663607792758107</v>
      </c>
      <c r="X608">
        <v>0.9</v>
      </c>
      <c r="Z608">
        <v>0</v>
      </c>
      <c r="AA608">
        <v>0</v>
      </c>
      <c r="AB608">
        <v>1038.9156132184421</v>
      </c>
      <c r="AC608">
        <v>0.65</v>
      </c>
      <c r="AE608">
        <v>-5.5721105362000003</v>
      </c>
      <c r="AF608">
        <v>-5.4939477621000004</v>
      </c>
      <c r="AG608">
        <v>1038.9156132184421</v>
      </c>
      <c r="AH608">
        <v>0.65</v>
      </c>
      <c r="AJ608">
        <v>0</v>
      </c>
      <c r="AK608">
        <v>0</v>
      </c>
      <c r="AL608">
        <v>-171.00317132019964</v>
      </c>
      <c r="AM608">
        <v>0.9</v>
      </c>
    </row>
    <row r="609" spans="1:39" x14ac:dyDescent="0.25">
      <c r="A609">
        <v>-35.306594773800001</v>
      </c>
      <c r="B609">
        <v>0</v>
      </c>
      <c r="C609">
        <v>23.948798815593076</v>
      </c>
      <c r="D609">
        <v>0.9</v>
      </c>
      <c r="F609">
        <v>0</v>
      </c>
      <c r="G609">
        <v>0</v>
      </c>
      <c r="H609">
        <v>-171.00317132019964</v>
      </c>
      <c r="I609">
        <v>0.9</v>
      </c>
      <c r="K609">
        <v>9.3786973932999995</v>
      </c>
      <c r="L609">
        <v>-9.3175847214999994</v>
      </c>
      <c r="M609">
        <v>1038.9156132184421</v>
      </c>
      <c r="N609">
        <v>0.65</v>
      </c>
      <c r="P609">
        <v>-0.75956356920000001</v>
      </c>
      <c r="Q609">
        <v>1.8484252773000001</v>
      </c>
      <c r="R609">
        <v>1038.9156132184421</v>
      </c>
      <c r="S609">
        <v>0.65</v>
      </c>
      <c r="U609">
        <v>0</v>
      </c>
      <c r="V609">
        <v>9.52</v>
      </c>
      <c r="W609">
        <v>-69.003171320199698</v>
      </c>
      <c r="X609">
        <v>0.9</v>
      </c>
      <c r="Z609">
        <v>0</v>
      </c>
      <c r="AA609">
        <v>0</v>
      </c>
      <c r="AB609">
        <v>1038.9156132184421</v>
      </c>
      <c r="AC609">
        <v>0.65</v>
      </c>
      <c r="AE609">
        <v>-6.8773768264999999</v>
      </c>
      <c r="AF609">
        <v>-6.8048247706999998</v>
      </c>
      <c r="AG609">
        <v>1038.9156132184421</v>
      </c>
      <c r="AH609">
        <v>0.65</v>
      </c>
      <c r="AJ609">
        <v>0</v>
      </c>
      <c r="AK609">
        <v>0</v>
      </c>
      <c r="AL609">
        <v>-171.00317132019964</v>
      </c>
      <c r="AM609">
        <v>0.9</v>
      </c>
    </row>
    <row r="610" spans="1:39" x14ac:dyDescent="0.25">
      <c r="A610">
        <v>-34.243557817999999</v>
      </c>
      <c r="B610">
        <v>0</v>
      </c>
      <c r="C610">
        <v>17.874301925237017</v>
      </c>
      <c r="D610">
        <v>0.9</v>
      </c>
      <c r="F610">
        <v>-1.972</v>
      </c>
      <c r="G610">
        <v>0.81599999999999995</v>
      </c>
      <c r="H610">
        <v>-160.80317132019965</v>
      </c>
      <c r="I610">
        <v>0.9</v>
      </c>
      <c r="K610">
        <v>8.7625271571999992</v>
      </c>
      <c r="L610">
        <v>-8.6858900725999995</v>
      </c>
      <c r="M610">
        <v>1038.9156132184421</v>
      </c>
      <c r="N610">
        <v>0.65</v>
      </c>
      <c r="P610">
        <v>-1.0666909775</v>
      </c>
      <c r="Q610">
        <v>2.5841742224000002</v>
      </c>
      <c r="R610">
        <v>1038.9156132184421</v>
      </c>
      <c r="S610">
        <v>0.65</v>
      </c>
      <c r="U610">
        <v>0</v>
      </c>
      <c r="V610">
        <v>9.52</v>
      </c>
      <c r="W610">
        <v>-69.003171320199698</v>
      </c>
      <c r="X610">
        <v>0.9</v>
      </c>
      <c r="Z610">
        <v>0</v>
      </c>
      <c r="AA610">
        <v>0</v>
      </c>
      <c r="AB610">
        <v>1038.9156132184421</v>
      </c>
      <c r="AC610">
        <v>0.65</v>
      </c>
      <c r="AE610">
        <v>-6.4711795265000003</v>
      </c>
      <c r="AF610">
        <v>-6.4644395260999996</v>
      </c>
      <c r="AG610">
        <v>1038.9156132184421</v>
      </c>
      <c r="AH610">
        <v>0.65</v>
      </c>
      <c r="AJ610">
        <v>0</v>
      </c>
      <c r="AK610">
        <v>0</v>
      </c>
      <c r="AL610">
        <v>-171.00317132019964</v>
      </c>
      <c r="AM610">
        <v>0.9</v>
      </c>
    </row>
    <row r="611" spans="1:39" x14ac:dyDescent="0.25">
      <c r="A611">
        <v>-38.495705641200004</v>
      </c>
      <c r="B611">
        <v>0</v>
      </c>
      <c r="C611">
        <v>42.172289486661697</v>
      </c>
      <c r="D611">
        <v>0.9</v>
      </c>
      <c r="F611">
        <v>0</v>
      </c>
      <c r="G611">
        <v>0</v>
      </c>
      <c r="H611">
        <v>-171.00317132019964</v>
      </c>
      <c r="I611">
        <v>0.9</v>
      </c>
      <c r="K611">
        <v>8.9753996035999997</v>
      </c>
      <c r="L611">
        <v>-9.0219300338000004</v>
      </c>
      <c r="M611">
        <v>1038.9156132184421</v>
      </c>
      <c r="N611">
        <v>0.65</v>
      </c>
      <c r="P611">
        <v>-1.0714379018</v>
      </c>
      <c r="Q611">
        <v>2.5954853967999996</v>
      </c>
      <c r="R611">
        <v>1038.9156132184421</v>
      </c>
      <c r="S611">
        <v>0.65</v>
      </c>
      <c r="U611">
        <v>0</v>
      </c>
      <c r="V611">
        <v>9.52</v>
      </c>
      <c r="W611">
        <v>-69.003171320199698</v>
      </c>
      <c r="X611">
        <v>0.9</v>
      </c>
      <c r="Z611">
        <v>0</v>
      </c>
      <c r="AA611">
        <v>0</v>
      </c>
      <c r="AB611">
        <v>1038.9156132184421</v>
      </c>
      <c r="AC611">
        <v>0.65</v>
      </c>
      <c r="AE611">
        <v>-6.7006323569000008</v>
      </c>
      <c r="AF611">
        <v>-6.7032659071000005</v>
      </c>
      <c r="AG611">
        <v>1038.9156132184421</v>
      </c>
      <c r="AH611">
        <v>0.65</v>
      </c>
      <c r="AJ611">
        <v>0</v>
      </c>
      <c r="AK611">
        <v>0</v>
      </c>
      <c r="AL611">
        <v>-171.00317132019964</v>
      </c>
      <c r="AM611">
        <v>0.9</v>
      </c>
    </row>
    <row r="612" spans="1:39" x14ac:dyDescent="0.25">
      <c r="A612">
        <v>-36.369631729600002</v>
      </c>
      <c r="B612">
        <v>0</v>
      </c>
      <c r="C612">
        <v>30.023295705949284</v>
      </c>
      <c r="D612">
        <v>0.9</v>
      </c>
      <c r="F612">
        <v>-1.972</v>
      </c>
      <c r="G612">
        <v>0.81599999999999995</v>
      </c>
      <c r="H612">
        <v>-160.80317132019965</v>
      </c>
      <c r="I612">
        <v>0.9</v>
      </c>
      <c r="K612">
        <v>10.1326964155</v>
      </c>
      <c r="L612">
        <v>-10.029683068199999</v>
      </c>
      <c r="M612">
        <v>1038.9156132184421</v>
      </c>
      <c r="N612">
        <v>0.65</v>
      </c>
      <c r="P612">
        <v>-1.1689177817</v>
      </c>
      <c r="Q612">
        <v>2.8047237526999997</v>
      </c>
      <c r="R612">
        <v>1038.9156132184421</v>
      </c>
      <c r="S612">
        <v>0.65</v>
      </c>
      <c r="U612">
        <v>0</v>
      </c>
      <c r="V612">
        <v>9.52</v>
      </c>
      <c r="W612">
        <v>-69.003171320199698</v>
      </c>
      <c r="X612">
        <v>0.9</v>
      </c>
      <c r="Z612">
        <v>0</v>
      </c>
      <c r="AA612">
        <v>0</v>
      </c>
      <c r="AB612">
        <v>1038.9156132184421</v>
      </c>
      <c r="AC612">
        <v>0.65</v>
      </c>
      <c r="AE612">
        <v>-7.7306124397999998</v>
      </c>
      <c r="AF612">
        <v>-7.7173173067</v>
      </c>
      <c r="AG612">
        <v>1038.9156132184421</v>
      </c>
      <c r="AH612">
        <v>0.65</v>
      </c>
      <c r="AJ612">
        <v>0</v>
      </c>
      <c r="AK612">
        <v>0</v>
      </c>
      <c r="AL612">
        <v>-171.00317132019964</v>
      </c>
      <c r="AM612">
        <v>0.9</v>
      </c>
    </row>
    <row r="613" spans="1:39" x14ac:dyDescent="0.25">
      <c r="A613">
        <v>-39.558742596999998</v>
      </c>
      <c r="B613">
        <v>0</v>
      </c>
      <c r="C613">
        <v>48.246786377017891</v>
      </c>
      <c r="D613">
        <v>0.9</v>
      </c>
      <c r="F613">
        <v>0</v>
      </c>
      <c r="G613">
        <v>0</v>
      </c>
      <c r="H613">
        <v>-171.00317132019964</v>
      </c>
      <c r="I613">
        <v>0.9</v>
      </c>
      <c r="K613">
        <v>10.149838705500001</v>
      </c>
      <c r="L613">
        <v>-10.1544297498</v>
      </c>
      <c r="M613">
        <v>1038.9156132184421</v>
      </c>
      <c r="N613">
        <v>0.65</v>
      </c>
      <c r="P613">
        <v>-1.0524448298</v>
      </c>
      <c r="Q613">
        <v>2.5502426739000001</v>
      </c>
      <c r="R613">
        <v>1038.9156132184421</v>
      </c>
      <c r="S613">
        <v>0.65</v>
      </c>
      <c r="U613">
        <v>0</v>
      </c>
      <c r="V613">
        <v>9.52</v>
      </c>
      <c r="W613">
        <v>-69.003171320199698</v>
      </c>
      <c r="X613">
        <v>0.9</v>
      </c>
      <c r="Z613">
        <v>0</v>
      </c>
      <c r="AA613">
        <v>0</v>
      </c>
      <c r="AB613">
        <v>1038.9156132184421</v>
      </c>
      <c r="AC613">
        <v>0.65</v>
      </c>
      <c r="AE613">
        <v>-7.1521136494999995</v>
      </c>
      <c r="AF613">
        <v>-7.1525502293000001</v>
      </c>
      <c r="AG613">
        <v>1038.9156132184421</v>
      </c>
      <c r="AH613">
        <v>0.65</v>
      </c>
      <c r="AJ613">
        <v>0</v>
      </c>
      <c r="AK613">
        <v>0</v>
      </c>
      <c r="AL613">
        <v>-171.00317132019964</v>
      </c>
      <c r="AM613">
        <v>0.9</v>
      </c>
    </row>
    <row r="614" spans="1:39" x14ac:dyDescent="0.25">
      <c r="A614">
        <v>-39.027224119099998</v>
      </c>
      <c r="B614">
        <v>0</v>
      </c>
      <c r="C614">
        <v>45.209537931839861</v>
      </c>
      <c r="D614">
        <v>0.9</v>
      </c>
      <c r="F614">
        <v>0</v>
      </c>
      <c r="G614">
        <v>0</v>
      </c>
      <c r="H614">
        <v>-171.00317132019964</v>
      </c>
      <c r="I614">
        <v>0.9</v>
      </c>
      <c r="K614">
        <v>9.6196877496000006</v>
      </c>
      <c r="L614">
        <v>-9.5276172722000005</v>
      </c>
      <c r="M614">
        <v>1038.9156132184421</v>
      </c>
      <c r="N614">
        <v>0.65</v>
      </c>
      <c r="P614">
        <v>-0.82981034320000002</v>
      </c>
      <c r="Q614">
        <v>2.0184444764</v>
      </c>
      <c r="R614">
        <v>1038.9156132184421</v>
      </c>
      <c r="S614">
        <v>0.65</v>
      </c>
      <c r="U614">
        <v>0</v>
      </c>
      <c r="V614">
        <v>9.52</v>
      </c>
      <c r="W614">
        <v>-69.003171320199698</v>
      </c>
      <c r="X614">
        <v>0.9</v>
      </c>
      <c r="Z614">
        <v>0</v>
      </c>
      <c r="AA614">
        <v>0</v>
      </c>
      <c r="AB614">
        <v>1038.9156132184421</v>
      </c>
      <c r="AC614">
        <v>0.65</v>
      </c>
      <c r="AE614">
        <v>-8.1070407989</v>
      </c>
      <c r="AF614">
        <v>-8.0392127679000005</v>
      </c>
      <c r="AG614">
        <v>1038.9156132184421</v>
      </c>
      <c r="AH614">
        <v>0.65</v>
      </c>
      <c r="AJ614">
        <v>0</v>
      </c>
      <c r="AK614">
        <v>0</v>
      </c>
      <c r="AL614">
        <v>-171.00317132019964</v>
      </c>
      <c r="AM614">
        <v>0.9</v>
      </c>
    </row>
    <row r="615" spans="1:39" x14ac:dyDescent="0.25">
      <c r="A615">
        <v>-31.851724667399999</v>
      </c>
      <c r="B615">
        <v>0</v>
      </c>
      <c r="C615">
        <v>4.206683921935519</v>
      </c>
      <c r="D615">
        <v>0.9</v>
      </c>
      <c r="F615">
        <v>0</v>
      </c>
      <c r="G615">
        <v>0</v>
      </c>
      <c r="H615">
        <v>-171.00317132019964</v>
      </c>
      <c r="I615">
        <v>0.9</v>
      </c>
      <c r="K615">
        <v>8.2293418163999998</v>
      </c>
      <c r="L615">
        <v>-8.2682644642999996</v>
      </c>
      <c r="M615">
        <v>1038.9156132184421</v>
      </c>
      <c r="N615">
        <v>0.65</v>
      </c>
      <c r="P615">
        <v>-1.2944532143</v>
      </c>
      <c r="Q615">
        <v>3.1784426925999996</v>
      </c>
      <c r="R615">
        <v>1038.9156132184421</v>
      </c>
      <c r="S615">
        <v>0.65</v>
      </c>
      <c r="U615">
        <v>0</v>
      </c>
      <c r="V615">
        <v>9.52</v>
      </c>
      <c r="W615">
        <v>-69.003171320199698</v>
      </c>
      <c r="X615">
        <v>0.9</v>
      </c>
      <c r="Z615">
        <v>0.69019689019999997</v>
      </c>
      <c r="AA615">
        <v>1.6780827779</v>
      </c>
      <c r="AB615">
        <v>1038.9156132184421</v>
      </c>
      <c r="AC615">
        <v>0.65</v>
      </c>
      <c r="AE615">
        <v>-5.9930519754000002</v>
      </c>
      <c r="AF615">
        <v>-5.9888619927000004</v>
      </c>
      <c r="AG615">
        <v>1038.9156132184421</v>
      </c>
      <c r="AH615">
        <v>0.65</v>
      </c>
      <c r="AJ615">
        <v>0</v>
      </c>
      <c r="AK615">
        <v>0</v>
      </c>
      <c r="AL615">
        <v>-171.00317132019964</v>
      </c>
      <c r="AM615">
        <v>0.9</v>
      </c>
    </row>
    <row r="616" spans="1:39" x14ac:dyDescent="0.25">
      <c r="A616">
        <v>-36.103872490600004</v>
      </c>
      <c r="B616">
        <v>0</v>
      </c>
      <c r="C616">
        <v>28.504671483360198</v>
      </c>
      <c r="D616">
        <v>0.9</v>
      </c>
      <c r="F616">
        <v>0</v>
      </c>
      <c r="G616">
        <v>0</v>
      </c>
      <c r="H616">
        <v>-171.00317132019964</v>
      </c>
      <c r="I616">
        <v>0.9</v>
      </c>
      <c r="K616">
        <v>9.0053216078000009</v>
      </c>
      <c r="L616">
        <v>-9.0239932195999994</v>
      </c>
      <c r="M616">
        <v>1038.9156132184421</v>
      </c>
      <c r="N616">
        <v>0.65</v>
      </c>
      <c r="P616">
        <v>-0.69016349219999995</v>
      </c>
      <c r="Q616">
        <v>1.6780950466</v>
      </c>
      <c r="R616">
        <v>1038.9156132184421</v>
      </c>
      <c r="S616">
        <v>0.65</v>
      </c>
      <c r="U616">
        <v>0</v>
      </c>
      <c r="V616">
        <v>9.52</v>
      </c>
      <c r="W616">
        <v>-69.003171320199698</v>
      </c>
      <c r="X616">
        <v>0.9</v>
      </c>
      <c r="Z616">
        <v>1.0714390153</v>
      </c>
      <c r="AA616">
        <v>2.5954849876999999</v>
      </c>
      <c r="AB616">
        <v>1038.9156132184421</v>
      </c>
      <c r="AC616">
        <v>0.65</v>
      </c>
      <c r="AE616">
        <v>-7.1737742815000001</v>
      </c>
      <c r="AF616">
        <v>-7.1576482049000001</v>
      </c>
      <c r="AG616">
        <v>1038.9156132184421</v>
      </c>
      <c r="AH616">
        <v>0.65</v>
      </c>
      <c r="AJ616">
        <v>1.972</v>
      </c>
      <c r="AK616">
        <v>0.81599999999999995</v>
      </c>
      <c r="AL616">
        <v>-160.80317132019968</v>
      </c>
      <c r="AM616">
        <v>0.9</v>
      </c>
    </row>
    <row r="617" spans="1:39" x14ac:dyDescent="0.25">
      <c r="A617">
        <v>-31.585965428400002</v>
      </c>
      <c r="B617">
        <v>0</v>
      </c>
      <c r="C617">
        <v>2.688059699346431</v>
      </c>
      <c r="D617">
        <v>0.9</v>
      </c>
      <c r="F617">
        <v>0</v>
      </c>
      <c r="G617">
        <v>0</v>
      </c>
      <c r="H617">
        <v>-171.00317132019964</v>
      </c>
      <c r="I617">
        <v>0.9</v>
      </c>
      <c r="K617">
        <v>12.096761735600001</v>
      </c>
      <c r="L617">
        <v>-12.181784173799999</v>
      </c>
      <c r="M617">
        <v>1038.9156132184421</v>
      </c>
      <c r="N617">
        <v>0.65</v>
      </c>
      <c r="P617">
        <v>-0.97172329199999996</v>
      </c>
      <c r="Q617">
        <v>2.3579614623</v>
      </c>
      <c r="R617">
        <v>1038.9156132184421</v>
      </c>
      <c r="S617">
        <v>0.65</v>
      </c>
      <c r="U617">
        <v>0</v>
      </c>
      <c r="V617">
        <v>9.52</v>
      </c>
      <c r="W617">
        <v>-69.003171320199698</v>
      </c>
      <c r="X617">
        <v>0.9</v>
      </c>
      <c r="Z617">
        <v>0.75960210839999998</v>
      </c>
      <c r="AA617">
        <v>1.8484111200000002</v>
      </c>
      <c r="AB617">
        <v>1038.9156132184421</v>
      </c>
      <c r="AC617">
        <v>0.65</v>
      </c>
      <c r="AE617">
        <v>-6.3859348024999996</v>
      </c>
      <c r="AF617">
        <v>-6.3391241420999993</v>
      </c>
      <c r="AG617">
        <v>1038.9156132184421</v>
      </c>
      <c r="AH617">
        <v>0.65</v>
      </c>
      <c r="AJ617">
        <v>0</v>
      </c>
      <c r="AK617">
        <v>0</v>
      </c>
      <c r="AL617">
        <v>-171.00317132019964</v>
      </c>
      <c r="AM617">
        <v>0.9</v>
      </c>
    </row>
    <row r="618" spans="1:39" x14ac:dyDescent="0.25">
      <c r="A618">
        <v>-32.3832431453</v>
      </c>
      <c r="B618">
        <v>0</v>
      </c>
      <c r="C618">
        <v>7.2439323671135538</v>
      </c>
      <c r="D618">
        <v>0.9</v>
      </c>
      <c r="F618">
        <v>0</v>
      </c>
      <c r="G618">
        <v>0</v>
      </c>
      <c r="H618">
        <v>-171.00317132019964</v>
      </c>
      <c r="I618">
        <v>0.9</v>
      </c>
      <c r="K618">
        <v>9.5628726626000002</v>
      </c>
      <c r="L618">
        <v>-9.6591806290999997</v>
      </c>
      <c r="M618">
        <v>1038.9156132184421</v>
      </c>
      <c r="N618">
        <v>0.65</v>
      </c>
      <c r="P618">
        <v>-1.0619424513</v>
      </c>
      <c r="Q618">
        <v>2.5728636366000002</v>
      </c>
      <c r="R618">
        <v>1038.9156132184421</v>
      </c>
      <c r="S618">
        <v>0.65</v>
      </c>
      <c r="U618">
        <v>0</v>
      </c>
      <c r="V618">
        <v>9.52</v>
      </c>
      <c r="W618">
        <v>-69.003171320199698</v>
      </c>
      <c r="X618">
        <v>0.9</v>
      </c>
      <c r="Z618">
        <v>0.62158206309999997</v>
      </c>
      <c r="AA618">
        <v>1.5074640880999999</v>
      </c>
      <c r="AB618">
        <v>1038.9156132184421</v>
      </c>
      <c r="AC618">
        <v>0.65</v>
      </c>
      <c r="AE618">
        <v>-6.5071107521</v>
      </c>
      <c r="AF618">
        <v>-6.5920008360999995</v>
      </c>
      <c r="AG618">
        <v>1038.9156132184421</v>
      </c>
      <c r="AH618">
        <v>0.65</v>
      </c>
      <c r="AJ618">
        <v>0</v>
      </c>
      <c r="AK618">
        <v>0</v>
      </c>
      <c r="AL618">
        <v>-171.00317132019964</v>
      </c>
      <c r="AM618">
        <v>0.9</v>
      </c>
    </row>
    <row r="619" spans="1:39" x14ac:dyDescent="0.25">
      <c r="A619">
        <v>-35.040835534799996</v>
      </c>
      <c r="B619">
        <v>0</v>
      </c>
      <c r="C619">
        <v>22.430174593004129</v>
      </c>
      <c r="D619">
        <v>0.9</v>
      </c>
      <c r="F619">
        <v>0</v>
      </c>
      <c r="G619">
        <v>0</v>
      </c>
      <c r="H619">
        <v>-171.00317132019964</v>
      </c>
      <c r="I619">
        <v>0.9</v>
      </c>
      <c r="K619">
        <v>9.8175581037999997</v>
      </c>
      <c r="L619">
        <v>-9.7374852772999994</v>
      </c>
      <c r="M619">
        <v>1038.9156132184421</v>
      </c>
      <c r="N619">
        <v>0.65</v>
      </c>
      <c r="P619">
        <v>-1.0429476547000001</v>
      </c>
      <c r="Q619">
        <v>2.5276215472000003</v>
      </c>
      <c r="R619">
        <v>1038.9156132184421</v>
      </c>
      <c r="S619">
        <v>0.65</v>
      </c>
      <c r="U619">
        <v>0</v>
      </c>
      <c r="V619">
        <v>9.6070459492999998</v>
      </c>
      <c r="W619">
        <v>-67.842558663179133</v>
      </c>
      <c r="X619">
        <v>0.9</v>
      </c>
      <c r="Z619">
        <v>1.0619425223999999</v>
      </c>
      <c r="AA619">
        <v>2.5728636104999998</v>
      </c>
      <c r="AB619">
        <v>1038.9156132184421</v>
      </c>
      <c r="AC619">
        <v>0.65</v>
      </c>
      <c r="AE619">
        <v>-7.6055573411999999</v>
      </c>
      <c r="AF619">
        <v>-7.4772501025999993</v>
      </c>
      <c r="AG619">
        <v>1038.9156132184421</v>
      </c>
      <c r="AH619">
        <v>0.65</v>
      </c>
      <c r="AJ619">
        <v>0</v>
      </c>
      <c r="AK619">
        <v>0</v>
      </c>
      <c r="AL619">
        <v>-171.00317132019964</v>
      </c>
      <c r="AM619">
        <v>0.9</v>
      </c>
    </row>
    <row r="620" spans="1:39" x14ac:dyDescent="0.25">
      <c r="A620">
        <v>-37.698427924299999</v>
      </c>
      <c r="B620">
        <v>0</v>
      </c>
      <c r="C620">
        <v>37.616416818894571</v>
      </c>
      <c r="D620">
        <v>0.9</v>
      </c>
      <c r="F620">
        <v>0</v>
      </c>
      <c r="G620">
        <v>0</v>
      </c>
      <c r="H620">
        <v>-171.00317132019964</v>
      </c>
      <c r="I620">
        <v>0.9</v>
      </c>
      <c r="K620">
        <v>-14.038824354099999</v>
      </c>
      <c r="L620">
        <v>13.9321848215</v>
      </c>
      <c r="M620">
        <v>1038.9156132184421</v>
      </c>
      <c r="N620">
        <v>0.65</v>
      </c>
      <c r="P620">
        <v>-1.057194789</v>
      </c>
      <c r="Q620">
        <v>2.5615527334000001</v>
      </c>
      <c r="R620">
        <v>1038.9156132184421</v>
      </c>
      <c r="S620">
        <v>0.65</v>
      </c>
      <c r="U620">
        <v>0</v>
      </c>
      <c r="V620">
        <v>9.52</v>
      </c>
      <c r="W620">
        <v>-69.003171320199698</v>
      </c>
      <c r="X620">
        <v>0.9</v>
      </c>
      <c r="Z620">
        <v>0.82981629179999994</v>
      </c>
      <c r="AA620">
        <v>2.0184422913</v>
      </c>
      <c r="AB620">
        <v>1038.9156132184421</v>
      </c>
      <c r="AC620">
        <v>0.65</v>
      </c>
      <c r="AE620">
        <v>-6.9652105714000001</v>
      </c>
      <c r="AF620">
        <v>-6.9231754804000003</v>
      </c>
      <c r="AG620">
        <v>1038.9156132184421</v>
      </c>
      <c r="AH620">
        <v>0.65</v>
      </c>
      <c r="AJ620">
        <v>0</v>
      </c>
      <c r="AK620">
        <v>0</v>
      </c>
      <c r="AL620">
        <v>-171.00317132019964</v>
      </c>
      <c r="AM620">
        <v>0.9</v>
      </c>
    </row>
    <row r="621" spans="1:39" x14ac:dyDescent="0.25">
      <c r="A621">
        <v>-34.7750762959</v>
      </c>
      <c r="B621">
        <v>0</v>
      </c>
      <c r="C621">
        <v>20.911550370415039</v>
      </c>
      <c r="D621">
        <v>0.9</v>
      </c>
      <c r="F621">
        <v>0</v>
      </c>
      <c r="G621">
        <v>0</v>
      </c>
      <c r="H621">
        <v>-171.00317132019964</v>
      </c>
      <c r="I621">
        <v>0.9</v>
      </c>
      <c r="K621">
        <v>9.901835888199999</v>
      </c>
      <c r="L621">
        <v>-9.9604276056999996</v>
      </c>
      <c r="M621">
        <v>1038.9156132184421</v>
      </c>
      <c r="N621">
        <v>0.65</v>
      </c>
      <c r="P621">
        <v>-1.2401895673000001</v>
      </c>
      <c r="Q621">
        <v>2.9914660816000005</v>
      </c>
      <c r="R621">
        <v>1038.9156132184421</v>
      </c>
      <c r="S621">
        <v>0.65</v>
      </c>
      <c r="U621">
        <v>0</v>
      </c>
      <c r="V621">
        <v>9.52</v>
      </c>
      <c r="W621">
        <v>-69.003171320199698</v>
      </c>
      <c r="X621">
        <v>0.9</v>
      </c>
      <c r="Z621">
        <v>1.0571935908999999</v>
      </c>
      <c r="AA621">
        <v>2.5615531735000001</v>
      </c>
      <c r="AB621">
        <v>1038.9156132184421</v>
      </c>
      <c r="AC621">
        <v>0.65</v>
      </c>
      <c r="AE621">
        <v>-8.5966652220000004</v>
      </c>
      <c r="AF621">
        <v>-8.5885187284000004</v>
      </c>
      <c r="AG621">
        <v>1038.9156132184421</v>
      </c>
      <c r="AH621">
        <v>0.65</v>
      </c>
      <c r="AJ621">
        <v>0</v>
      </c>
      <c r="AK621">
        <v>0</v>
      </c>
      <c r="AL621">
        <v>-171.00317132019964</v>
      </c>
      <c r="AM621">
        <v>0.9</v>
      </c>
    </row>
    <row r="622" spans="1:39" x14ac:dyDescent="0.25">
      <c r="A622">
        <v>-9.86</v>
      </c>
      <c r="B622">
        <v>0</v>
      </c>
      <c r="C622">
        <v>-120.00317132019968</v>
      </c>
      <c r="D622">
        <v>0.9</v>
      </c>
      <c r="F622">
        <v>0</v>
      </c>
      <c r="G622">
        <v>0</v>
      </c>
      <c r="H622">
        <v>-171.00317132019964</v>
      </c>
      <c r="I622">
        <v>0.9</v>
      </c>
      <c r="K622">
        <v>10.294526938599999</v>
      </c>
      <c r="L622">
        <v>-10.358421574599999</v>
      </c>
      <c r="M622">
        <v>1038.9156132184421</v>
      </c>
      <c r="N622">
        <v>0.65</v>
      </c>
      <c r="P622">
        <v>-0.90061298339999996</v>
      </c>
      <c r="Q622">
        <v>2.1882594799000001</v>
      </c>
      <c r="R622">
        <v>1038.9156132184421</v>
      </c>
      <c r="S622">
        <v>0.65</v>
      </c>
      <c r="U622">
        <v>0</v>
      </c>
      <c r="V622">
        <v>4.93</v>
      </c>
      <c r="W622">
        <v>-120.00317132019968</v>
      </c>
      <c r="X622">
        <v>0.9</v>
      </c>
      <c r="Z622">
        <v>0.90062136370000001</v>
      </c>
      <c r="AA622">
        <v>2.1882564013999999</v>
      </c>
      <c r="AB622">
        <v>1038.9156132184421</v>
      </c>
      <c r="AC622">
        <v>0.65</v>
      </c>
      <c r="AE622">
        <v>-8.3328380517000014</v>
      </c>
      <c r="AF622">
        <v>-8.3786900262999993</v>
      </c>
      <c r="AG622">
        <v>1038.9156132184421</v>
      </c>
      <c r="AH622">
        <v>0.65</v>
      </c>
      <c r="AJ622">
        <v>0</v>
      </c>
      <c r="AK622">
        <v>0</v>
      </c>
      <c r="AL622">
        <v>-171.00317132019964</v>
      </c>
      <c r="AM622">
        <v>0.9</v>
      </c>
    </row>
    <row r="623" spans="1:39" x14ac:dyDescent="0.25">
      <c r="A623">
        <v>-34.509317056900002</v>
      </c>
      <c r="B623">
        <v>0</v>
      </c>
      <c r="C623">
        <v>19.39292614782595</v>
      </c>
      <c r="D623">
        <v>0.9</v>
      </c>
      <c r="F623">
        <v>0</v>
      </c>
      <c r="G623">
        <v>0</v>
      </c>
      <c r="H623">
        <v>-171.00317132019964</v>
      </c>
      <c r="I623">
        <v>0.9</v>
      </c>
      <c r="K623">
        <v>0</v>
      </c>
      <c r="L623">
        <v>0</v>
      </c>
      <c r="M623">
        <v>1038.9156132184421</v>
      </c>
      <c r="N623">
        <v>0.65</v>
      </c>
      <c r="P623">
        <v>-1.1645337862</v>
      </c>
      <c r="Q623">
        <v>2.7932792576000001</v>
      </c>
      <c r="R623">
        <v>1038.9156132184421</v>
      </c>
      <c r="S623">
        <v>0.65</v>
      </c>
      <c r="U623">
        <v>0</v>
      </c>
      <c r="V623">
        <v>4.93</v>
      </c>
      <c r="W623">
        <v>-120.00317132019968</v>
      </c>
      <c r="X623">
        <v>0.9</v>
      </c>
      <c r="Z623">
        <v>0.54436913050000002</v>
      </c>
      <c r="AA623">
        <v>1.3400038859000001</v>
      </c>
      <c r="AB623">
        <v>1038.9156132184421</v>
      </c>
      <c r="AC623">
        <v>0.65</v>
      </c>
      <c r="AE623">
        <v>-7.8468199420999998</v>
      </c>
      <c r="AF623">
        <v>-7.8290870291000001</v>
      </c>
      <c r="AG623">
        <v>1038.9156132184421</v>
      </c>
      <c r="AH623">
        <v>0.65</v>
      </c>
      <c r="AJ623">
        <v>0</v>
      </c>
      <c r="AK623">
        <v>0</v>
      </c>
      <c r="AL623">
        <v>-171.00317132019964</v>
      </c>
      <c r="AM623">
        <v>0.9</v>
      </c>
    </row>
    <row r="624" spans="1:39" x14ac:dyDescent="0.25">
      <c r="A624">
        <v>-33.977798579000002</v>
      </c>
      <c r="B624">
        <v>0</v>
      </c>
      <c r="C624">
        <v>16.355677702647789</v>
      </c>
      <c r="D624">
        <v>0.9</v>
      </c>
      <c r="F624">
        <v>0</v>
      </c>
      <c r="G624">
        <v>0</v>
      </c>
      <c r="H624">
        <v>-171.00317132019964</v>
      </c>
      <c r="I624">
        <v>0.9</v>
      </c>
      <c r="K624">
        <v>0</v>
      </c>
      <c r="L624">
        <v>0</v>
      </c>
      <c r="M624">
        <v>1038.9156132184421</v>
      </c>
      <c r="N624">
        <v>0.65</v>
      </c>
      <c r="P624">
        <v>-0.5442773125</v>
      </c>
      <c r="Q624">
        <v>1.340037615</v>
      </c>
      <c r="R624">
        <v>1038.9156132184421</v>
      </c>
      <c r="S624">
        <v>0.65</v>
      </c>
      <c r="U624">
        <v>0</v>
      </c>
      <c r="V624">
        <v>9.52</v>
      </c>
      <c r="W624">
        <v>-69.003171320199698</v>
      </c>
      <c r="X624">
        <v>0.9</v>
      </c>
      <c r="Z624">
        <v>0.97172495679999993</v>
      </c>
      <c r="AA624">
        <v>2.3579608507000001</v>
      </c>
      <c r="AB624">
        <v>1038.9156132184421</v>
      </c>
      <c r="AC624">
        <v>0.65</v>
      </c>
      <c r="AE624">
        <v>-8.3671523488999995</v>
      </c>
      <c r="AF624">
        <v>-8.379139716600001</v>
      </c>
      <c r="AG624">
        <v>1038.9156132184421</v>
      </c>
      <c r="AH624">
        <v>0.65</v>
      </c>
      <c r="AJ624">
        <v>0</v>
      </c>
      <c r="AK624">
        <v>0</v>
      </c>
      <c r="AL624">
        <v>-171.00317132019964</v>
      </c>
      <c r="AM624">
        <v>0.9</v>
      </c>
    </row>
    <row r="625" spans="1:39" x14ac:dyDescent="0.25">
      <c r="A625">
        <v>-9.86</v>
      </c>
      <c r="B625">
        <v>0</v>
      </c>
      <c r="C625">
        <v>-120.00317132019968</v>
      </c>
      <c r="D625">
        <v>0.9</v>
      </c>
      <c r="F625">
        <v>0</v>
      </c>
      <c r="G625">
        <v>0</v>
      </c>
      <c r="H625">
        <v>-171.00317132019964</v>
      </c>
      <c r="I625">
        <v>0.9</v>
      </c>
      <c r="K625">
        <v>0</v>
      </c>
      <c r="L625">
        <v>0</v>
      </c>
      <c r="M625">
        <v>1038.9156132184421</v>
      </c>
      <c r="N625">
        <v>0.65</v>
      </c>
      <c r="P625">
        <v>-0.6215380788</v>
      </c>
      <c r="Q625">
        <v>1.5074802455</v>
      </c>
      <c r="R625">
        <v>1038.9156132184421</v>
      </c>
      <c r="S625">
        <v>0.65</v>
      </c>
      <c r="U625">
        <v>0</v>
      </c>
      <c r="V625">
        <v>9.52</v>
      </c>
      <c r="W625">
        <v>-69.003171320199698</v>
      </c>
      <c r="X625">
        <v>0.9</v>
      </c>
      <c r="Z625">
        <v>1.1645335553</v>
      </c>
      <c r="AA625">
        <v>2.7932793424</v>
      </c>
      <c r="AB625">
        <v>1038.9156132184421</v>
      </c>
      <c r="AC625">
        <v>0.65</v>
      </c>
      <c r="AE625">
        <v>-8.2295144945000001</v>
      </c>
      <c r="AF625">
        <v>-8.2682010315000003</v>
      </c>
      <c r="AG625">
        <v>1038.9156132184421</v>
      </c>
      <c r="AH625">
        <v>0.65</v>
      </c>
      <c r="AJ625">
        <v>0</v>
      </c>
      <c r="AK625">
        <v>0</v>
      </c>
      <c r="AL625">
        <v>-171.00317132019964</v>
      </c>
      <c r="AM625">
        <v>0.9</v>
      </c>
    </row>
    <row r="626" spans="1:39" x14ac:dyDescent="0.25">
      <c r="A626">
        <v>-17.0077004302</v>
      </c>
      <c r="B626">
        <v>0</v>
      </c>
      <c r="C626">
        <v>-79.159168862014141</v>
      </c>
      <c r="D626">
        <v>0.9</v>
      </c>
      <c r="F626">
        <v>0</v>
      </c>
      <c r="G626">
        <v>0</v>
      </c>
      <c r="H626">
        <v>-171.00317132019964</v>
      </c>
      <c r="I626">
        <v>0.9</v>
      </c>
      <c r="K626">
        <v>0</v>
      </c>
      <c r="L626">
        <v>0</v>
      </c>
      <c r="M626">
        <v>1038.9156132184421</v>
      </c>
      <c r="N626">
        <v>0.65</v>
      </c>
      <c r="P626">
        <v>-0.48481001069999996</v>
      </c>
      <c r="Q626">
        <v>1.1660586096999999</v>
      </c>
      <c r="R626">
        <v>1038.9156132184421</v>
      </c>
      <c r="S626">
        <v>0.65</v>
      </c>
      <c r="U626">
        <v>0</v>
      </c>
      <c r="V626">
        <v>4.93</v>
      </c>
      <c r="W626">
        <v>-120.00317132019968</v>
      </c>
      <c r="X626">
        <v>0.9</v>
      </c>
      <c r="Z626">
        <v>1.042947767</v>
      </c>
      <c r="AA626">
        <v>2.527621506</v>
      </c>
      <c r="AB626">
        <v>1038.9156132184421</v>
      </c>
      <c r="AC626">
        <v>0.65</v>
      </c>
      <c r="AE626">
        <v>-7.3217612529</v>
      </c>
      <c r="AF626">
        <v>-7.3953050611000002</v>
      </c>
      <c r="AG626">
        <v>1038.9156132184421</v>
      </c>
      <c r="AH626">
        <v>0.65</v>
      </c>
      <c r="AJ626">
        <v>0</v>
      </c>
      <c r="AK626">
        <v>0</v>
      </c>
      <c r="AL626">
        <v>-171.00317132019964</v>
      </c>
      <c r="AM626">
        <v>0.9</v>
      </c>
    </row>
    <row r="627" spans="1:39" x14ac:dyDescent="0.25">
      <c r="A627">
        <v>-32.9147616232</v>
      </c>
      <c r="B627">
        <v>0</v>
      </c>
      <c r="C627">
        <v>10.281180812291577</v>
      </c>
      <c r="D627">
        <v>0.9</v>
      </c>
      <c r="F627">
        <v>-4.0530544730000004</v>
      </c>
      <c r="G627">
        <v>1.6633566789000001</v>
      </c>
      <c r="H627">
        <v>-149.08952671251387</v>
      </c>
      <c r="I627">
        <v>0.9</v>
      </c>
      <c r="K627">
        <v>0</v>
      </c>
      <c r="L627">
        <v>0</v>
      </c>
      <c r="M627">
        <v>1038.9156132184421</v>
      </c>
      <c r="N627">
        <v>0.65</v>
      </c>
      <c r="P627">
        <v>-0.34397485359999996</v>
      </c>
      <c r="Q627">
        <v>0.82614570040000002</v>
      </c>
      <c r="R627">
        <v>1038.9156132184421</v>
      </c>
      <c r="S627">
        <v>0.65</v>
      </c>
      <c r="U627">
        <v>0</v>
      </c>
      <c r="V627">
        <v>4.93</v>
      </c>
      <c r="W627">
        <v>-120.00317132019968</v>
      </c>
      <c r="X627">
        <v>0.9</v>
      </c>
      <c r="Z627">
        <v>-0.47938269459999999</v>
      </c>
      <c r="AA627">
        <v>-1.1680523175999999</v>
      </c>
      <c r="AB627">
        <v>1038.9156132184421</v>
      </c>
      <c r="AC627">
        <v>0.65</v>
      </c>
      <c r="AE627">
        <v>-8.7625911514999988</v>
      </c>
      <c r="AF627">
        <v>-8.6858665643999995</v>
      </c>
      <c r="AG627">
        <v>1038.9156132184421</v>
      </c>
      <c r="AH627">
        <v>0.65</v>
      </c>
      <c r="AJ627">
        <v>0</v>
      </c>
      <c r="AK627">
        <v>0</v>
      </c>
      <c r="AL627">
        <v>-171.00317132019964</v>
      </c>
      <c r="AM627">
        <v>0.9</v>
      </c>
    </row>
    <row r="628" spans="1:39" x14ac:dyDescent="0.25">
      <c r="A628">
        <v>-18.226388189600002</v>
      </c>
      <c r="B628">
        <v>0</v>
      </c>
      <c r="C628">
        <v>-72.195238808250394</v>
      </c>
      <c r="D628">
        <v>0.9</v>
      </c>
      <c r="F628">
        <v>0</v>
      </c>
      <c r="G628">
        <v>0</v>
      </c>
      <c r="H628">
        <v>-171.00317132019964</v>
      </c>
      <c r="I628">
        <v>0.9</v>
      </c>
      <c r="K628">
        <v>0</v>
      </c>
      <c r="L628">
        <v>0</v>
      </c>
      <c r="M628">
        <v>1038.9156132184421</v>
      </c>
      <c r="N628">
        <v>0.65</v>
      </c>
      <c r="P628">
        <v>-2.0128606860999998</v>
      </c>
      <c r="Q628">
        <v>4.7978496059999998</v>
      </c>
      <c r="R628">
        <v>1038.9156132184421</v>
      </c>
      <c r="S628">
        <v>0.65</v>
      </c>
      <c r="U628">
        <v>0</v>
      </c>
      <c r="V628">
        <v>9.52</v>
      </c>
      <c r="W628">
        <v>-69.003171320199698</v>
      </c>
      <c r="X628">
        <v>0.9</v>
      </c>
      <c r="Z628">
        <v>1.1689196827999999</v>
      </c>
      <c r="AA628">
        <v>2.8047230543000001</v>
      </c>
      <c r="AB628">
        <v>1038.9156132184421</v>
      </c>
      <c r="AC628">
        <v>0.65</v>
      </c>
      <c r="AE628">
        <v>-8.9754897012000008</v>
      </c>
      <c r="AF628">
        <v>-9.0218969366999993</v>
      </c>
      <c r="AG628">
        <v>1038.9156132184421</v>
      </c>
      <c r="AH628">
        <v>0.65</v>
      </c>
      <c r="AJ628">
        <v>0</v>
      </c>
      <c r="AK628">
        <v>0</v>
      </c>
      <c r="AL628">
        <v>-171.00317132019964</v>
      </c>
      <c r="AM628">
        <v>0.9</v>
      </c>
    </row>
    <row r="629" spans="1:39" x14ac:dyDescent="0.25">
      <c r="A629">
        <v>-32.649002384199996</v>
      </c>
      <c r="B629">
        <v>0</v>
      </c>
      <c r="C629">
        <v>8.7625565897024895</v>
      </c>
      <c r="D629">
        <v>0.9</v>
      </c>
      <c r="F629">
        <v>0</v>
      </c>
      <c r="G629">
        <v>0</v>
      </c>
      <c r="H629">
        <v>-171.00317132019964</v>
      </c>
      <c r="I629">
        <v>0.9</v>
      </c>
      <c r="K629">
        <v>0</v>
      </c>
      <c r="L629">
        <v>0</v>
      </c>
      <c r="M629">
        <v>1038.9156132184421</v>
      </c>
      <c r="N629">
        <v>0.65</v>
      </c>
      <c r="P629">
        <v>-2.0245852002999998</v>
      </c>
      <c r="Q629">
        <v>4.9222759665</v>
      </c>
      <c r="R629">
        <v>1038.9156132184421</v>
      </c>
      <c r="S629">
        <v>0.65</v>
      </c>
      <c r="U629">
        <v>0</v>
      </c>
      <c r="V629">
        <v>9.52</v>
      </c>
      <c r="W629">
        <v>-69.003171320199698</v>
      </c>
      <c r="X629">
        <v>0.9</v>
      </c>
      <c r="Z629">
        <v>1.0761854786</v>
      </c>
      <c r="AA629">
        <v>2.6067963314</v>
      </c>
      <c r="AB629">
        <v>1038.9156132184421</v>
      </c>
      <c r="AC629">
        <v>0.65</v>
      </c>
      <c r="AE629">
        <v>-9.0051140066000013</v>
      </c>
      <c r="AF629">
        <v>-9.0240694811999997</v>
      </c>
      <c r="AG629">
        <v>1038.9156132184421</v>
      </c>
      <c r="AH629">
        <v>0.65</v>
      </c>
      <c r="AJ629">
        <v>0</v>
      </c>
      <c r="AK629">
        <v>0</v>
      </c>
      <c r="AL629">
        <v>-171.00317132019964</v>
      </c>
      <c r="AM629">
        <v>0.9</v>
      </c>
    </row>
    <row r="630" spans="1:39" x14ac:dyDescent="0.25">
      <c r="A630">
        <v>-20.663763708400001</v>
      </c>
      <c r="B630">
        <v>0</v>
      </c>
      <c r="C630">
        <v>-58.26737870072234</v>
      </c>
      <c r="D630">
        <v>0.9</v>
      </c>
      <c r="F630">
        <v>0</v>
      </c>
      <c r="G630">
        <v>0</v>
      </c>
      <c r="H630">
        <v>-171.00317132019964</v>
      </c>
      <c r="I630">
        <v>0.9</v>
      </c>
      <c r="K630">
        <v>0</v>
      </c>
      <c r="L630">
        <v>0</v>
      </c>
      <c r="M630">
        <v>1038.9156132184421</v>
      </c>
      <c r="N630">
        <v>0.65</v>
      </c>
      <c r="P630">
        <v>-3.1193940445999999</v>
      </c>
      <c r="Q630">
        <v>7.6951841219999997</v>
      </c>
      <c r="R630">
        <v>1038.9156132184421</v>
      </c>
      <c r="S630">
        <v>0.65</v>
      </c>
      <c r="U630">
        <v>0</v>
      </c>
      <c r="V630">
        <v>4.93</v>
      </c>
      <c r="W630">
        <v>-120.00317132019968</v>
      </c>
      <c r="X630">
        <v>0.9</v>
      </c>
      <c r="Z630">
        <v>1.0524443721999999</v>
      </c>
      <c r="AA630">
        <v>2.5502428420000003</v>
      </c>
      <c r="AB630">
        <v>1038.9156132184421</v>
      </c>
      <c r="AC630">
        <v>0.65</v>
      </c>
      <c r="AE630">
        <v>-8.7878726878000002</v>
      </c>
      <c r="AF630">
        <v>-8.6896344119000002</v>
      </c>
      <c r="AG630">
        <v>1038.9156132184421</v>
      </c>
      <c r="AH630">
        <v>0.65</v>
      </c>
      <c r="AJ630">
        <v>0</v>
      </c>
      <c r="AK630">
        <v>0</v>
      </c>
      <c r="AL630">
        <v>-171.00317132019964</v>
      </c>
      <c r="AM630">
        <v>0.9</v>
      </c>
    </row>
    <row r="631" spans="1:39" x14ac:dyDescent="0.25">
      <c r="A631">
        <v>-13.351637152</v>
      </c>
      <c r="B631">
        <v>0</v>
      </c>
      <c r="C631">
        <v>-100.05095902330535</v>
      </c>
      <c r="D631">
        <v>0.9</v>
      </c>
      <c r="F631">
        <v>-4.8828677426000002</v>
      </c>
      <c r="G631">
        <v>2.0521814135000001</v>
      </c>
      <c r="H631">
        <v>-144.39630802895854</v>
      </c>
      <c r="I631">
        <v>0.9</v>
      </c>
      <c r="K631">
        <v>0</v>
      </c>
      <c r="L631">
        <v>0</v>
      </c>
      <c r="M631">
        <v>1038.9156132184421</v>
      </c>
      <c r="N631">
        <v>0.65</v>
      </c>
      <c r="P631">
        <v>-2.0794144714999998</v>
      </c>
      <c r="Q631">
        <v>4.9282444864000006</v>
      </c>
      <c r="R631">
        <v>1038.9156132184421</v>
      </c>
      <c r="S631">
        <v>0.65</v>
      </c>
      <c r="U631">
        <v>0</v>
      </c>
      <c r="V631">
        <v>9.52</v>
      </c>
      <c r="W631">
        <v>-69.003171320199698</v>
      </c>
      <c r="X631">
        <v>0.9</v>
      </c>
      <c r="Z631">
        <v>1.0476964155999999</v>
      </c>
      <c r="AA631">
        <v>2.5389320468999999</v>
      </c>
      <c r="AB631">
        <v>1038.9156132184421</v>
      </c>
      <c r="AC631">
        <v>0.65</v>
      </c>
      <c r="AE631">
        <v>-9.1122631499000004</v>
      </c>
      <c r="AF631">
        <v>-9.2505019870999998</v>
      </c>
      <c r="AG631">
        <v>1038.9156132184421</v>
      </c>
      <c r="AH631">
        <v>0.65</v>
      </c>
      <c r="AJ631">
        <v>0</v>
      </c>
      <c r="AK631">
        <v>0</v>
      </c>
      <c r="AL631">
        <v>-171.00317132019964</v>
      </c>
      <c r="AM631">
        <v>0.9</v>
      </c>
    </row>
    <row r="632" spans="1:39" x14ac:dyDescent="0.25">
      <c r="A632">
        <v>-32.117483906300002</v>
      </c>
      <c r="B632">
        <v>0</v>
      </c>
      <c r="C632">
        <v>5.7253081445246066</v>
      </c>
      <c r="D632">
        <v>0.9</v>
      </c>
      <c r="F632">
        <v>0</v>
      </c>
      <c r="G632">
        <v>0</v>
      </c>
      <c r="H632">
        <v>-171.00317132019964</v>
      </c>
      <c r="I632">
        <v>0.9</v>
      </c>
      <c r="K632">
        <v>0</v>
      </c>
      <c r="L632">
        <v>0</v>
      </c>
      <c r="M632">
        <v>1038.9156132184421</v>
      </c>
      <c r="N632">
        <v>0.65</v>
      </c>
      <c r="P632">
        <v>-3.4381718792</v>
      </c>
      <c r="Q632">
        <v>8.4938134031000008</v>
      </c>
      <c r="R632">
        <v>1038.9156132184421</v>
      </c>
      <c r="S632">
        <v>0.65</v>
      </c>
      <c r="U632">
        <v>0</v>
      </c>
      <c r="V632">
        <v>4.93</v>
      </c>
      <c r="W632">
        <v>-120.00317132019968</v>
      </c>
      <c r="X632">
        <v>0.9</v>
      </c>
      <c r="Z632">
        <v>1.2944445443999999</v>
      </c>
      <c r="AA632">
        <v>3.1784458774000002</v>
      </c>
      <c r="AB632">
        <v>1038.9156132184421</v>
      </c>
      <c r="AC632">
        <v>0.65</v>
      </c>
      <c r="AE632">
        <v>-10.150256479799999</v>
      </c>
      <c r="AF632">
        <v>-10.1542639664</v>
      </c>
      <c r="AG632">
        <v>1038.9156132184421</v>
      </c>
      <c r="AH632">
        <v>0.65</v>
      </c>
      <c r="AJ632">
        <v>0</v>
      </c>
      <c r="AK632">
        <v>0</v>
      </c>
      <c r="AL632">
        <v>-171.00317132019964</v>
      </c>
      <c r="AM632">
        <v>0.9</v>
      </c>
    </row>
    <row r="633" spans="1:39" x14ac:dyDescent="0.25">
      <c r="A633">
        <v>-10.914261633100001</v>
      </c>
      <c r="B633">
        <v>0</v>
      </c>
      <c r="C633">
        <v>-113.97881913083289</v>
      </c>
      <c r="D633">
        <v>0.9</v>
      </c>
      <c r="F633">
        <v>0</v>
      </c>
      <c r="G633">
        <v>0</v>
      </c>
      <c r="H633">
        <v>-171.00317132019964</v>
      </c>
      <c r="I633">
        <v>0.9</v>
      </c>
      <c r="K633">
        <v>0</v>
      </c>
      <c r="L633">
        <v>0</v>
      </c>
      <c r="M633">
        <v>1038.9156132184421</v>
      </c>
      <c r="N633">
        <v>0.65</v>
      </c>
      <c r="P633">
        <v>-3.7433341950000001</v>
      </c>
      <c r="Q633">
        <v>9.1767800469999994</v>
      </c>
      <c r="R633">
        <v>1038.9156132184421</v>
      </c>
      <c r="S633">
        <v>0.65</v>
      </c>
      <c r="U633">
        <v>0</v>
      </c>
      <c r="V633">
        <v>0</v>
      </c>
      <c r="W633">
        <v>-171.00317132019964</v>
      </c>
      <c r="X633">
        <v>0.9</v>
      </c>
      <c r="Z633">
        <v>1.0666902149000002</v>
      </c>
      <c r="AA633">
        <v>2.5841745026000003</v>
      </c>
      <c r="AB633">
        <v>1038.9156132184421</v>
      </c>
      <c r="AC633">
        <v>0.65</v>
      </c>
      <c r="AE633">
        <v>-9.3931403067999995</v>
      </c>
      <c r="AF633">
        <v>-9.3253341038999995</v>
      </c>
      <c r="AG633">
        <v>1038.9156132184421</v>
      </c>
      <c r="AH633">
        <v>0.65</v>
      </c>
      <c r="AJ633">
        <v>0</v>
      </c>
      <c r="AK633">
        <v>0</v>
      </c>
      <c r="AL633">
        <v>-171.00317132019964</v>
      </c>
      <c r="AM633">
        <v>0.9</v>
      </c>
    </row>
    <row r="634" spans="1:39" x14ac:dyDescent="0.25">
      <c r="A634">
        <v>-31.320206189499999</v>
      </c>
      <c r="B634">
        <v>0</v>
      </c>
      <c r="C634">
        <v>1.1694354767576243</v>
      </c>
      <c r="D634">
        <v>0.9</v>
      </c>
      <c r="F634">
        <v>0</v>
      </c>
      <c r="G634">
        <v>0</v>
      </c>
      <c r="H634">
        <v>-171.00317132019964</v>
      </c>
      <c r="I634">
        <v>0.9</v>
      </c>
      <c r="K634">
        <v>-1.5579903749999999</v>
      </c>
      <c r="L634">
        <v>1.5551256342999999</v>
      </c>
      <c r="M634">
        <v>1038.9156132184421</v>
      </c>
      <c r="N634">
        <v>0.65</v>
      </c>
      <c r="P634">
        <v>-3.8612244519000001</v>
      </c>
      <c r="Q634">
        <v>9.4084797543000001</v>
      </c>
      <c r="R634">
        <v>1038.9156132184421</v>
      </c>
      <c r="S634">
        <v>0.65</v>
      </c>
      <c r="U634">
        <v>0</v>
      </c>
      <c r="V634">
        <v>4.93</v>
      </c>
      <c r="W634">
        <v>-120.00317132019968</v>
      </c>
      <c r="X634">
        <v>0.9</v>
      </c>
      <c r="Z634">
        <v>0</v>
      </c>
      <c r="AA634">
        <v>0</v>
      </c>
      <c r="AB634">
        <v>1038.9156132184421</v>
      </c>
      <c r="AC634">
        <v>0.65</v>
      </c>
      <c r="AE634">
        <v>-9.9000267290000004</v>
      </c>
      <c r="AF634">
        <v>-9.9610921947999991</v>
      </c>
      <c r="AG634">
        <v>1038.9156132184421</v>
      </c>
      <c r="AH634">
        <v>0.65</v>
      </c>
      <c r="AJ634">
        <v>0</v>
      </c>
      <c r="AK634">
        <v>0</v>
      </c>
      <c r="AL634">
        <v>1038.9156132184421</v>
      </c>
      <c r="AM634">
        <v>0.65</v>
      </c>
    </row>
    <row r="635" spans="1:39" x14ac:dyDescent="0.25">
      <c r="A635">
        <v>-9.86</v>
      </c>
      <c r="B635">
        <v>0</v>
      </c>
      <c r="C635">
        <v>-120.00317132019968</v>
      </c>
      <c r="D635">
        <v>0.9</v>
      </c>
      <c r="F635">
        <v>0</v>
      </c>
      <c r="G635">
        <v>0</v>
      </c>
      <c r="H635">
        <v>-171.00317132019964</v>
      </c>
      <c r="I635">
        <v>0.9</v>
      </c>
      <c r="K635">
        <v>-1.4146261487</v>
      </c>
      <c r="L635">
        <v>1.4119659073999999</v>
      </c>
      <c r="M635">
        <v>1038.9156132184421</v>
      </c>
      <c r="N635">
        <v>0.65</v>
      </c>
      <c r="P635">
        <v>-2.6644724309999996</v>
      </c>
      <c r="Q635">
        <v>6.3874828405000006</v>
      </c>
      <c r="R635">
        <v>1038.9156132184421</v>
      </c>
      <c r="S635">
        <v>0.65</v>
      </c>
      <c r="U635">
        <v>0</v>
      </c>
      <c r="V635">
        <v>4.93</v>
      </c>
      <c r="W635">
        <v>-120.00317132019968</v>
      </c>
      <c r="X635">
        <v>0.9</v>
      </c>
      <c r="Z635">
        <v>1.2401895907</v>
      </c>
      <c r="AA635">
        <v>2.9914660730000002</v>
      </c>
      <c r="AB635">
        <v>1038.9156132184421</v>
      </c>
      <c r="AC635">
        <v>0.65</v>
      </c>
      <c r="AE635">
        <v>-10.3289722164</v>
      </c>
      <c r="AF635">
        <v>-10.474611426199999</v>
      </c>
      <c r="AG635">
        <v>1038.9156132184421</v>
      </c>
      <c r="AH635">
        <v>0.65</v>
      </c>
      <c r="AJ635">
        <v>0</v>
      </c>
      <c r="AK635">
        <v>0</v>
      </c>
      <c r="AL635">
        <v>1038.9156132184421</v>
      </c>
      <c r="AM635">
        <v>0.65</v>
      </c>
    </row>
    <row r="636" spans="1:39" x14ac:dyDescent="0.25">
      <c r="A636">
        <v>-19.445075949</v>
      </c>
      <c r="B636">
        <v>0</v>
      </c>
      <c r="C636">
        <v>-65.231308754486065</v>
      </c>
      <c r="D636">
        <v>0.9</v>
      </c>
      <c r="F636">
        <v>0</v>
      </c>
      <c r="G636">
        <v>0</v>
      </c>
      <c r="H636">
        <v>-171.00317132019964</v>
      </c>
      <c r="I636">
        <v>0.9</v>
      </c>
      <c r="K636">
        <v>-0.55364056989999999</v>
      </c>
      <c r="L636">
        <v>0.55330150479999995</v>
      </c>
      <c r="M636">
        <v>1038.9156132184421</v>
      </c>
      <c r="N636">
        <v>0.65</v>
      </c>
      <c r="P636">
        <v>-3.8489335727999996</v>
      </c>
      <c r="Q636">
        <v>9.3999398286999991</v>
      </c>
      <c r="R636">
        <v>1038.9156132184421</v>
      </c>
      <c r="S636">
        <v>0.65</v>
      </c>
      <c r="U636">
        <v>0</v>
      </c>
      <c r="V636">
        <v>4.93</v>
      </c>
      <c r="W636">
        <v>-120.00317132019968</v>
      </c>
      <c r="X636">
        <v>0.9</v>
      </c>
      <c r="Z636">
        <v>-0.34278666229999999</v>
      </c>
      <c r="AA636">
        <v>-0.82658217879999996</v>
      </c>
      <c r="AB636">
        <v>1038.9156132184421</v>
      </c>
      <c r="AC636">
        <v>0.65</v>
      </c>
      <c r="AE636">
        <v>-9.6196362259000008</v>
      </c>
      <c r="AF636">
        <v>-9.5276361992999998</v>
      </c>
      <c r="AG636">
        <v>1038.9156132184421</v>
      </c>
      <c r="AH636">
        <v>0.65</v>
      </c>
      <c r="AJ636">
        <v>0</v>
      </c>
      <c r="AK636">
        <v>0</v>
      </c>
      <c r="AL636">
        <v>1038.9156132184421</v>
      </c>
      <c r="AM636">
        <v>0.65</v>
      </c>
    </row>
    <row r="637" spans="1:39" x14ac:dyDescent="0.25">
      <c r="A637">
        <v>-9.86</v>
      </c>
      <c r="B637">
        <v>0</v>
      </c>
      <c r="C637">
        <v>-120.00317132019968</v>
      </c>
      <c r="D637">
        <v>0.9</v>
      </c>
      <c r="F637">
        <v>0</v>
      </c>
      <c r="G637">
        <v>0</v>
      </c>
      <c r="H637">
        <v>-171.00317132019964</v>
      </c>
      <c r="I637">
        <v>0.9</v>
      </c>
      <c r="K637">
        <v>-1.1286072369</v>
      </c>
      <c r="L637">
        <v>1.1253858059999999</v>
      </c>
      <c r="M637">
        <v>1038.9156132184421</v>
      </c>
      <c r="N637">
        <v>0.65</v>
      </c>
      <c r="P637">
        <v>-3.0620234958999997</v>
      </c>
      <c r="Q637">
        <v>7.2138540624999994</v>
      </c>
      <c r="R637">
        <v>1038.9156132184421</v>
      </c>
      <c r="S637">
        <v>0.65</v>
      </c>
      <c r="U637">
        <v>0</v>
      </c>
      <c r="V637">
        <v>4.93</v>
      </c>
      <c r="W637">
        <v>-120.00317132019968</v>
      </c>
      <c r="X637">
        <v>0.9</v>
      </c>
      <c r="Z637">
        <v>0.27668826639999999</v>
      </c>
      <c r="AA637">
        <v>0.65503908569999991</v>
      </c>
      <c r="AB637">
        <v>1038.9156132184421</v>
      </c>
      <c r="AC637">
        <v>0.65</v>
      </c>
      <c r="AE637">
        <v>-9.5629608685999994</v>
      </c>
      <c r="AF637">
        <v>-9.6591482269000011</v>
      </c>
      <c r="AG637">
        <v>1038.9156132184421</v>
      </c>
      <c r="AH637">
        <v>0.65</v>
      </c>
      <c r="AJ637">
        <v>-2.2233755122000001</v>
      </c>
      <c r="AK637">
        <v>-0.90962924740000006</v>
      </c>
      <c r="AL637">
        <v>1038.9156132184421</v>
      </c>
      <c r="AM637">
        <v>0.65</v>
      </c>
    </row>
    <row r="638" spans="1:39" x14ac:dyDescent="0.25">
      <c r="A638">
        <v>-9.86</v>
      </c>
      <c r="B638">
        <v>0</v>
      </c>
      <c r="C638">
        <v>-120.00317132019968</v>
      </c>
      <c r="D638">
        <v>0.9</v>
      </c>
      <c r="F638">
        <v>0</v>
      </c>
      <c r="G638">
        <v>0</v>
      </c>
      <c r="H638">
        <v>-171.00317132019964</v>
      </c>
      <c r="I638">
        <v>0.9</v>
      </c>
      <c r="K638">
        <v>-0.98628538359999995</v>
      </c>
      <c r="L638">
        <v>0.98184316659999993</v>
      </c>
      <c r="M638">
        <v>1038.9156132184421</v>
      </c>
      <c r="N638">
        <v>0.65</v>
      </c>
      <c r="P638">
        <v>-2.8502088604</v>
      </c>
      <c r="Q638">
        <v>6.7421774535000001</v>
      </c>
      <c r="R638">
        <v>1038.9156132184421</v>
      </c>
      <c r="S638">
        <v>0.65</v>
      </c>
      <c r="U638">
        <v>0</v>
      </c>
      <c r="V638">
        <v>0</v>
      </c>
      <c r="W638">
        <v>-171.00317132019964</v>
      </c>
      <c r="X638">
        <v>0.9</v>
      </c>
      <c r="Z638">
        <v>3.1192696956999999</v>
      </c>
      <c r="AA638">
        <v>7.6952298012000009</v>
      </c>
      <c r="AB638">
        <v>1038.9156132184421</v>
      </c>
      <c r="AC638">
        <v>0.65</v>
      </c>
      <c r="AE638">
        <v>-10.0992515038</v>
      </c>
      <c r="AF638">
        <v>-10.0429548585</v>
      </c>
      <c r="AG638">
        <v>1038.9156132184421</v>
      </c>
      <c r="AH638">
        <v>0.65</v>
      </c>
      <c r="AJ638">
        <v>0</v>
      </c>
      <c r="AK638">
        <v>0</v>
      </c>
      <c r="AL638">
        <v>1038.9156132184421</v>
      </c>
      <c r="AM638">
        <v>0.65</v>
      </c>
    </row>
    <row r="639" spans="1:39" x14ac:dyDescent="0.25">
      <c r="A639">
        <v>0</v>
      </c>
      <c r="B639">
        <v>0</v>
      </c>
      <c r="C639">
        <v>-171.00317132019964</v>
      </c>
      <c r="D639">
        <v>0.9</v>
      </c>
      <c r="F639">
        <v>0</v>
      </c>
      <c r="G639">
        <v>0</v>
      </c>
      <c r="H639">
        <v>-171.00317132019964</v>
      </c>
      <c r="I639">
        <v>0.9</v>
      </c>
      <c r="K639">
        <v>-1.2709434573</v>
      </c>
      <c r="L639">
        <v>1.2689231676999999</v>
      </c>
      <c r="M639">
        <v>1038.9156132184421</v>
      </c>
      <c r="N639">
        <v>0.65</v>
      </c>
      <c r="P639">
        <v>-2.9470386283000001</v>
      </c>
      <c r="Q639">
        <v>7.0994636291999997</v>
      </c>
      <c r="R639">
        <v>1038.9156132184421</v>
      </c>
      <c r="S639">
        <v>0.65</v>
      </c>
      <c r="U639">
        <v>0</v>
      </c>
      <c r="V639">
        <v>4.93</v>
      </c>
      <c r="W639">
        <v>-120.00317132019968</v>
      </c>
      <c r="X639">
        <v>0.9</v>
      </c>
      <c r="Z639">
        <v>3.4249291961999999</v>
      </c>
      <c r="AA639">
        <v>8.2646231196999995</v>
      </c>
      <c r="AB639">
        <v>1038.9156132184421</v>
      </c>
      <c r="AC639">
        <v>0.65</v>
      </c>
      <c r="AE639">
        <v>-9.9112026613000008</v>
      </c>
      <c r="AF639">
        <v>-9.8364386105000001</v>
      </c>
      <c r="AG639">
        <v>1038.9156132184421</v>
      </c>
      <c r="AH639">
        <v>0.65</v>
      </c>
      <c r="AJ639">
        <v>0</v>
      </c>
      <c r="AK639">
        <v>0</v>
      </c>
      <c r="AL639">
        <v>1038.9156132184421</v>
      </c>
      <c r="AM639">
        <v>0.65</v>
      </c>
    </row>
    <row r="640" spans="1:39" x14ac:dyDescent="0.25">
      <c r="A640">
        <v>0</v>
      </c>
      <c r="B640">
        <v>0</v>
      </c>
      <c r="C640">
        <v>-171.00317132019964</v>
      </c>
      <c r="D640">
        <v>0.9</v>
      </c>
      <c r="F640">
        <v>0</v>
      </c>
      <c r="G640">
        <v>0</v>
      </c>
      <c r="H640">
        <v>-171.00317132019964</v>
      </c>
      <c r="I640">
        <v>0.9</v>
      </c>
      <c r="K640">
        <v>-2.1268270362999999</v>
      </c>
      <c r="L640">
        <v>2.1303884995</v>
      </c>
      <c r="M640">
        <v>1038.9156132184421</v>
      </c>
      <c r="N640">
        <v>0.65</v>
      </c>
      <c r="P640">
        <v>-2.6927241690999999</v>
      </c>
      <c r="Q640">
        <v>6.6253583841000001</v>
      </c>
      <c r="R640">
        <v>1038.9156132184421</v>
      </c>
      <c r="S640">
        <v>0.65</v>
      </c>
      <c r="U640">
        <v>0</v>
      </c>
      <c r="V640">
        <v>9.52</v>
      </c>
      <c r="W640">
        <v>-69.003171320199698</v>
      </c>
      <c r="X640">
        <v>0.9</v>
      </c>
      <c r="Z640">
        <v>2.0128789895999999</v>
      </c>
      <c r="AA640">
        <v>4.7978428822000003</v>
      </c>
      <c r="AB640">
        <v>1038.9156132184421</v>
      </c>
      <c r="AC640">
        <v>0.65</v>
      </c>
      <c r="AE640">
        <v>-12.096767804700001</v>
      </c>
      <c r="AF640">
        <v>-12.1817817654</v>
      </c>
      <c r="AG640">
        <v>1038.9156132184421</v>
      </c>
      <c r="AH640">
        <v>0.65</v>
      </c>
      <c r="AJ640">
        <v>0</v>
      </c>
      <c r="AK640">
        <v>0</v>
      </c>
      <c r="AL640">
        <v>1038.9156132184421</v>
      </c>
      <c r="AM640">
        <v>0.65</v>
      </c>
    </row>
    <row r="641" spans="1:39" x14ac:dyDescent="0.25">
      <c r="A641">
        <v>-9.86</v>
      </c>
      <c r="B641">
        <v>0</v>
      </c>
      <c r="C641">
        <v>-120.00317132019968</v>
      </c>
      <c r="D641">
        <v>0.9</v>
      </c>
      <c r="F641">
        <v>0</v>
      </c>
      <c r="G641">
        <v>0</v>
      </c>
      <c r="H641">
        <v>-171.00317132019964</v>
      </c>
      <c r="I641">
        <v>0.9</v>
      </c>
      <c r="K641">
        <v>-2.2072092016</v>
      </c>
      <c r="L641">
        <v>2.1764543114000001</v>
      </c>
      <c r="M641">
        <v>1038.9156132184421</v>
      </c>
      <c r="N641">
        <v>0.65</v>
      </c>
      <c r="P641">
        <v>-3.4250304432000003</v>
      </c>
      <c r="Q641">
        <v>8.2645859269000006</v>
      </c>
      <c r="R641">
        <v>1038.9156132184421</v>
      </c>
      <c r="S641">
        <v>0.65</v>
      </c>
      <c r="U641">
        <v>0</v>
      </c>
      <c r="V641">
        <v>0</v>
      </c>
      <c r="W641">
        <v>-171.00317132019964</v>
      </c>
      <c r="X641">
        <v>0.9</v>
      </c>
      <c r="Z641">
        <v>2.9470150021000001</v>
      </c>
      <c r="AA641">
        <v>7.0994723081999993</v>
      </c>
      <c r="AB641">
        <v>1038.9156132184421</v>
      </c>
      <c r="AC641">
        <v>0.65</v>
      </c>
      <c r="AE641">
        <v>14.031227663499999</v>
      </c>
      <c r="AF641">
        <v>13.935199381299999</v>
      </c>
      <c r="AG641">
        <v>1038.9156132184421</v>
      </c>
      <c r="AH641">
        <v>0.65</v>
      </c>
      <c r="AJ641">
        <v>0</v>
      </c>
      <c r="AK641">
        <v>0</v>
      </c>
      <c r="AL641">
        <v>1038.9156132184421</v>
      </c>
      <c r="AM641">
        <v>0.65</v>
      </c>
    </row>
    <row r="642" spans="1:39" x14ac:dyDescent="0.25">
      <c r="A642">
        <v>0</v>
      </c>
      <c r="B642">
        <v>0</v>
      </c>
      <c r="C642">
        <v>-171.00317132019964</v>
      </c>
      <c r="D642">
        <v>0.9</v>
      </c>
      <c r="F642">
        <v>0</v>
      </c>
      <c r="G642">
        <v>0</v>
      </c>
      <c r="H642">
        <v>-171.00317132019964</v>
      </c>
      <c r="I642">
        <v>0.9</v>
      </c>
      <c r="K642">
        <v>-2.3613568685000002</v>
      </c>
      <c r="L642">
        <v>2.3411582950000001</v>
      </c>
      <c r="M642">
        <v>1038.9156132184421</v>
      </c>
      <c r="N642">
        <v>0.65</v>
      </c>
      <c r="P642">
        <v>-3.6445402260999997</v>
      </c>
      <c r="Q642">
        <v>8.7230789820999988</v>
      </c>
      <c r="R642">
        <v>1038.9156132184421</v>
      </c>
      <c r="S642">
        <v>0.65</v>
      </c>
      <c r="U642">
        <v>0</v>
      </c>
      <c r="V642">
        <v>9.52</v>
      </c>
      <c r="W642">
        <v>-69.003171320199698</v>
      </c>
      <c r="X642">
        <v>0.9</v>
      </c>
      <c r="Z642">
        <v>2.9250244027000001</v>
      </c>
      <c r="AA642">
        <v>7.0944955452</v>
      </c>
      <c r="AB642">
        <v>1038.9156132184421</v>
      </c>
      <c r="AC642">
        <v>0.65</v>
      </c>
      <c r="AE642">
        <v>0</v>
      </c>
      <c r="AF642">
        <v>0</v>
      </c>
      <c r="AG642">
        <v>1038.9156132184421</v>
      </c>
      <c r="AH642">
        <v>0.65</v>
      </c>
      <c r="AJ642">
        <v>0</v>
      </c>
      <c r="AK642">
        <v>0</v>
      </c>
      <c r="AL642">
        <v>1038.9156132184421</v>
      </c>
      <c r="AM642">
        <v>0.65</v>
      </c>
    </row>
    <row r="643" spans="1:39" x14ac:dyDescent="0.25">
      <c r="A643">
        <v>-14.5703249114</v>
      </c>
      <c r="B643">
        <v>0</v>
      </c>
      <c r="C643">
        <v>-93.087028969541649</v>
      </c>
      <c r="D643">
        <v>0.9</v>
      </c>
      <c r="F643">
        <v>0</v>
      </c>
      <c r="G643">
        <v>0</v>
      </c>
      <c r="H643">
        <v>-171.00317132019964</v>
      </c>
      <c r="I643">
        <v>0.9</v>
      </c>
      <c r="K643">
        <v>-2.1447796149</v>
      </c>
      <c r="L643">
        <v>2.1102705443000001</v>
      </c>
      <c r="M643">
        <v>1038.9156132184421</v>
      </c>
      <c r="N643">
        <v>0.65</v>
      </c>
      <c r="P643">
        <v>-4.0884417013999999</v>
      </c>
      <c r="Q643">
        <v>9.7424495073999999</v>
      </c>
      <c r="R643">
        <v>1038.9156132184421</v>
      </c>
      <c r="S643">
        <v>0.65</v>
      </c>
      <c r="U643">
        <v>0</v>
      </c>
      <c r="V643">
        <v>4.93</v>
      </c>
      <c r="W643">
        <v>-120.00317132019968</v>
      </c>
      <c r="X643">
        <v>0.9</v>
      </c>
      <c r="Z643">
        <v>2.6645260538000004</v>
      </c>
      <c r="AA643">
        <v>6.3874631423000006</v>
      </c>
      <c r="AB643">
        <v>1038.9156132184421</v>
      </c>
      <c r="AC643">
        <v>0.65</v>
      </c>
      <c r="AE643">
        <v>0</v>
      </c>
      <c r="AF643">
        <v>0</v>
      </c>
      <c r="AG643">
        <v>1038.9156132184421</v>
      </c>
      <c r="AH643">
        <v>0.65</v>
      </c>
      <c r="AJ643">
        <v>0</v>
      </c>
      <c r="AK643">
        <v>0</v>
      </c>
      <c r="AL643">
        <v>1038.9156132184421</v>
      </c>
      <c r="AM643">
        <v>0.65</v>
      </c>
    </row>
    <row r="644" spans="1:39" x14ac:dyDescent="0.25">
      <c r="A644">
        <v>-9.86</v>
      </c>
      <c r="B644">
        <v>0</v>
      </c>
      <c r="C644">
        <v>-120.00317132019968</v>
      </c>
      <c r="D644">
        <v>0.9</v>
      </c>
      <c r="F644">
        <v>0</v>
      </c>
      <c r="G644">
        <v>0</v>
      </c>
      <c r="H644">
        <v>-171.00317132019964</v>
      </c>
      <c r="I644">
        <v>0.9</v>
      </c>
      <c r="K644">
        <v>-1.8518644757000002</v>
      </c>
      <c r="L644">
        <v>1.8366892277</v>
      </c>
      <c r="M644">
        <v>1038.9156132184421</v>
      </c>
      <c r="N644">
        <v>0.65</v>
      </c>
      <c r="P644">
        <v>-2.9250467593000002</v>
      </c>
      <c r="Q644">
        <v>7.0944873325</v>
      </c>
      <c r="R644">
        <v>1038.9156132184421</v>
      </c>
      <c r="S644">
        <v>0.65</v>
      </c>
      <c r="U644">
        <v>0</v>
      </c>
      <c r="V644">
        <v>4.93</v>
      </c>
      <c r="W644">
        <v>-120.00317132019968</v>
      </c>
      <c r="X644">
        <v>0.9</v>
      </c>
      <c r="Z644">
        <v>2.0794631154999998</v>
      </c>
      <c r="AA644">
        <v>4.9282266172</v>
      </c>
      <c r="AB644">
        <v>1038.9156132184421</v>
      </c>
      <c r="AC644">
        <v>0.65</v>
      </c>
      <c r="AE644">
        <v>0</v>
      </c>
      <c r="AF644">
        <v>0</v>
      </c>
      <c r="AG644">
        <v>1038.9156132184421</v>
      </c>
      <c r="AH644">
        <v>0.65</v>
      </c>
      <c r="AJ644">
        <v>0</v>
      </c>
      <c r="AK644">
        <v>0</v>
      </c>
      <c r="AL644">
        <v>1038.9156132184421</v>
      </c>
      <c r="AM644">
        <v>0.65</v>
      </c>
    </row>
    <row r="645" spans="1:39" x14ac:dyDescent="0.25">
      <c r="A645">
        <v>0</v>
      </c>
      <c r="B645">
        <v>0</v>
      </c>
      <c r="C645">
        <v>-171.00317132019964</v>
      </c>
      <c r="D645">
        <v>0.9</v>
      </c>
      <c r="F645">
        <v>0</v>
      </c>
      <c r="G645">
        <v>0</v>
      </c>
      <c r="H645">
        <v>-171.00317132019964</v>
      </c>
      <c r="I645">
        <v>0.9</v>
      </c>
      <c r="K645">
        <v>-1.7104561387999999</v>
      </c>
      <c r="L645">
        <v>1.6949419393</v>
      </c>
      <c r="M645">
        <v>1038.9156132184421</v>
      </c>
      <c r="N645">
        <v>0.65</v>
      </c>
      <c r="P645">
        <v>-2.2759287822999998</v>
      </c>
      <c r="Q645">
        <v>5.4299810618000004</v>
      </c>
      <c r="R645">
        <v>1038.9156132184421</v>
      </c>
      <c r="S645">
        <v>0.65</v>
      </c>
      <c r="U645">
        <v>0</v>
      </c>
      <c r="V645">
        <v>0</v>
      </c>
      <c r="W645">
        <v>-171.00317132019964</v>
      </c>
      <c r="X645">
        <v>0.9</v>
      </c>
      <c r="Z645">
        <v>2.0245764829000001</v>
      </c>
      <c r="AA645">
        <v>4.9222791688000003</v>
      </c>
      <c r="AB645">
        <v>1038.9156132184421</v>
      </c>
      <c r="AC645">
        <v>0.65</v>
      </c>
      <c r="AE645">
        <v>0</v>
      </c>
      <c r="AF645">
        <v>0</v>
      </c>
      <c r="AG645">
        <v>1038.9156132184421</v>
      </c>
      <c r="AH645">
        <v>0.65</v>
      </c>
      <c r="AJ645">
        <v>-1.9719140438</v>
      </c>
      <c r="AK645">
        <v>-0.81559963199999996</v>
      </c>
      <c r="AL645">
        <v>1038.9156132184421</v>
      </c>
      <c r="AM645">
        <v>0.65</v>
      </c>
    </row>
    <row r="646" spans="1:39" x14ac:dyDescent="0.25">
      <c r="A646">
        <v>0</v>
      </c>
      <c r="B646">
        <v>0</v>
      </c>
      <c r="C646">
        <v>-171.00317132019964</v>
      </c>
      <c r="D646">
        <v>0.9</v>
      </c>
      <c r="F646">
        <v>0</v>
      </c>
      <c r="G646">
        <v>0</v>
      </c>
      <c r="H646">
        <v>-171.00317132019964</v>
      </c>
      <c r="I646">
        <v>0.9</v>
      </c>
      <c r="K646">
        <v>-2.1965759052</v>
      </c>
      <c r="L646">
        <v>2.1676799573999999</v>
      </c>
      <c r="M646">
        <v>1038.9156132184421</v>
      </c>
      <c r="N646">
        <v>0.65</v>
      </c>
      <c r="P646">
        <v>-3.9441632580999997</v>
      </c>
      <c r="Q646">
        <v>9.6279366167999996</v>
      </c>
      <c r="R646">
        <v>1038.9156132184421</v>
      </c>
      <c r="S646">
        <v>0.65</v>
      </c>
      <c r="U646">
        <v>0</v>
      </c>
      <c r="V646">
        <v>4.93</v>
      </c>
      <c r="W646">
        <v>-120.00317132019968</v>
      </c>
      <c r="X646">
        <v>0.9</v>
      </c>
      <c r="Z646">
        <v>2.6928351473999999</v>
      </c>
      <c r="AA646">
        <v>6.6253176165000003</v>
      </c>
      <c r="AB646">
        <v>1038.9156132184421</v>
      </c>
      <c r="AC646">
        <v>0.65</v>
      </c>
      <c r="AE646">
        <v>0</v>
      </c>
      <c r="AF646">
        <v>0</v>
      </c>
      <c r="AG646">
        <v>1038.9156132184421</v>
      </c>
      <c r="AH646">
        <v>0.65</v>
      </c>
      <c r="AJ646">
        <v>-2.4533279364</v>
      </c>
      <c r="AK646">
        <v>-1.0132870268</v>
      </c>
      <c r="AL646">
        <v>1038.9156132184421</v>
      </c>
      <c r="AM646">
        <v>0.65</v>
      </c>
    </row>
    <row r="647" spans="1:39" x14ac:dyDescent="0.25">
      <c r="A647">
        <v>-12.1329493925</v>
      </c>
      <c r="B647">
        <v>0</v>
      </c>
      <c r="C647">
        <v>-107.01488907706914</v>
      </c>
      <c r="D647">
        <v>0.9</v>
      </c>
      <c r="F647">
        <v>0</v>
      </c>
      <c r="G647">
        <v>0</v>
      </c>
      <c r="H647">
        <v>-171.00317132019964</v>
      </c>
      <c r="I647">
        <v>0.9</v>
      </c>
      <c r="K647">
        <v>-2.3907879206000002</v>
      </c>
      <c r="L647">
        <v>2.3554671382999999</v>
      </c>
      <c r="M647">
        <v>1038.9156132184421</v>
      </c>
      <c r="N647">
        <v>0.65</v>
      </c>
      <c r="P647">
        <v>-2.0737203205000001</v>
      </c>
      <c r="Q647">
        <v>5.0530559348000006</v>
      </c>
      <c r="R647">
        <v>1038.9156132184421</v>
      </c>
      <c r="S647">
        <v>0.65</v>
      </c>
      <c r="U647">
        <v>0</v>
      </c>
      <c r="V647">
        <v>0</v>
      </c>
      <c r="W647">
        <v>-171.00317132019964</v>
      </c>
      <c r="X647">
        <v>0.9</v>
      </c>
      <c r="Z647">
        <v>3.8611212273</v>
      </c>
      <c r="AA647">
        <v>9.4085176736000005</v>
      </c>
      <c r="AB647">
        <v>1038.9156132184421</v>
      </c>
      <c r="AC647">
        <v>0.65</v>
      </c>
      <c r="AE647">
        <v>0</v>
      </c>
      <c r="AF647">
        <v>0</v>
      </c>
      <c r="AG647">
        <v>1038.9156132184421</v>
      </c>
      <c r="AH647">
        <v>0.65</v>
      </c>
      <c r="AJ647">
        <v>-2.9387354646000001</v>
      </c>
      <c r="AK647">
        <v>-1.2104824748</v>
      </c>
      <c r="AL647">
        <v>1038.9156132184421</v>
      </c>
      <c r="AM647">
        <v>0.65</v>
      </c>
    </row>
    <row r="648" spans="1:39" x14ac:dyDescent="0.25">
      <c r="A648">
        <v>-15.7890126708</v>
      </c>
      <c r="B648">
        <v>0</v>
      </c>
      <c r="C648">
        <v>-86.123098915777902</v>
      </c>
      <c r="D648">
        <v>0.9</v>
      </c>
      <c r="F648">
        <v>0</v>
      </c>
      <c r="G648">
        <v>0</v>
      </c>
      <c r="H648">
        <v>-171.00317132019964</v>
      </c>
      <c r="I648">
        <v>0.9</v>
      </c>
      <c r="K648">
        <v>-2.1359468075999999</v>
      </c>
      <c r="L648">
        <v>2.1397634587000001</v>
      </c>
      <c r="M648">
        <v>1038.9156132184421</v>
      </c>
      <c r="N648">
        <v>0.65</v>
      </c>
      <c r="P648">
        <v>-3.9607735109999997</v>
      </c>
      <c r="Q648">
        <v>9.6348898337000008</v>
      </c>
      <c r="R648">
        <v>1038.9156132184421</v>
      </c>
      <c r="S648">
        <v>0.65</v>
      </c>
      <c r="U648">
        <v>0</v>
      </c>
      <c r="V648">
        <v>0</v>
      </c>
      <c r="W648">
        <v>-171.00317132019964</v>
      </c>
      <c r="X648">
        <v>0.9</v>
      </c>
      <c r="Z648">
        <v>3.6445471682999999</v>
      </c>
      <c r="AA648">
        <v>8.7230764320000009</v>
      </c>
      <c r="AB648">
        <v>1038.9156132184421</v>
      </c>
      <c r="AC648">
        <v>0.65</v>
      </c>
      <c r="AE648">
        <v>0</v>
      </c>
      <c r="AF648">
        <v>0</v>
      </c>
      <c r="AG648">
        <v>1038.9156132184421</v>
      </c>
      <c r="AH648">
        <v>0.65</v>
      </c>
      <c r="AJ648">
        <v>-3.4151686426999999</v>
      </c>
      <c r="AK648">
        <v>-1.4112391727</v>
      </c>
      <c r="AL648">
        <v>1038.9156132184421</v>
      </c>
      <c r="AM648">
        <v>0.65</v>
      </c>
    </row>
    <row r="649" spans="1:39" x14ac:dyDescent="0.25">
      <c r="A649">
        <v>-9.86</v>
      </c>
      <c r="B649">
        <v>0</v>
      </c>
      <c r="C649">
        <v>-120.00317132019968</v>
      </c>
      <c r="D649">
        <v>0.9</v>
      </c>
      <c r="F649">
        <v>0</v>
      </c>
      <c r="G649">
        <v>0</v>
      </c>
      <c r="H649">
        <v>-171.00317132019964</v>
      </c>
      <c r="I649">
        <v>0.9</v>
      </c>
      <c r="K649">
        <v>-2.1851890833000001</v>
      </c>
      <c r="L649">
        <v>2.1592046214000002</v>
      </c>
      <c r="M649">
        <v>1038.9156132184421</v>
      </c>
      <c r="N649">
        <v>0.65</v>
      </c>
      <c r="P649">
        <v>-2.1426997205</v>
      </c>
      <c r="Q649">
        <v>5.0668813906999999</v>
      </c>
      <c r="R649">
        <v>1038.9156132184421</v>
      </c>
      <c r="S649">
        <v>0.65</v>
      </c>
      <c r="U649">
        <v>0</v>
      </c>
      <c r="V649">
        <v>4.93</v>
      </c>
      <c r="W649">
        <v>-120.00317132019968</v>
      </c>
      <c r="X649">
        <v>0.9</v>
      </c>
      <c r="Z649">
        <v>3.4335769642999998</v>
      </c>
      <c r="AA649">
        <v>8.4955013309999998</v>
      </c>
      <c r="AB649">
        <v>1038.9156132184421</v>
      </c>
      <c r="AC649">
        <v>0.65</v>
      </c>
      <c r="AE649">
        <v>0</v>
      </c>
      <c r="AF649">
        <v>0</v>
      </c>
      <c r="AG649">
        <v>1038.9156132184421</v>
      </c>
      <c r="AH649">
        <v>0.65</v>
      </c>
      <c r="AJ649">
        <v>-3.7408019061999997</v>
      </c>
      <c r="AK649">
        <v>-1.5289040295999998</v>
      </c>
      <c r="AL649">
        <v>1038.9156132184421</v>
      </c>
      <c r="AM649">
        <v>0.65</v>
      </c>
    </row>
    <row r="650" spans="1:39" x14ac:dyDescent="0.25">
      <c r="A650">
        <v>0</v>
      </c>
      <c r="B650">
        <v>0</v>
      </c>
      <c r="C650">
        <v>-171.00317132019964</v>
      </c>
      <c r="D650">
        <v>0.9</v>
      </c>
      <c r="F650">
        <v>0</v>
      </c>
      <c r="G650">
        <v>0</v>
      </c>
      <c r="H650">
        <v>-171.00317132019964</v>
      </c>
      <c r="I650">
        <v>0.9</v>
      </c>
      <c r="K650">
        <v>-2.3760624542</v>
      </c>
      <c r="L650">
        <v>2.3483166613000002</v>
      </c>
      <c r="M650">
        <v>1038.9156132184421</v>
      </c>
      <c r="N650">
        <v>0.65</v>
      </c>
      <c r="P650">
        <v>-4.8776677367000003</v>
      </c>
      <c r="Q650">
        <v>11.704570991999999</v>
      </c>
      <c r="R650">
        <v>1038.9156132184421</v>
      </c>
      <c r="S650">
        <v>0.65</v>
      </c>
      <c r="U650">
        <v>0</v>
      </c>
      <c r="V650">
        <v>0</v>
      </c>
      <c r="W650">
        <v>-171.00317132019964</v>
      </c>
      <c r="X650">
        <v>0.9</v>
      </c>
      <c r="Z650">
        <v>3.7431603784999998</v>
      </c>
      <c r="AA650">
        <v>9.1768438979999996</v>
      </c>
      <c r="AB650">
        <v>1038.9156132184421</v>
      </c>
      <c r="AC650">
        <v>0.65</v>
      </c>
      <c r="AE650">
        <v>0</v>
      </c>
      <c r="AF650">
        <v>0</v>
      </c>
      <c r="AG650">
        <v>1038.9156132184421</v>
      </c>
      <c r="AH650">
        <v>0.65</v>
      </c>
      <c r="AJ650">
        <v>-2.6572817729000002</v>
      </c>
      <c r="AK650">
        <v>-1.1272617062000001</v>
      </c>
      <c r="AL650">
        <v>1038.9156132184421</v>
      </c>
      <c r="AM650">
        <v>0.65</v>
      </c>
    </row>
    <row r="651" spans="1:39" x14ac:dyDescent="0.25">
      <c r="A651">
        <v>-33.180520862100003</v>
      </c>
      <c r="B651">
        <v>0</v>
      </c>
      <c r="C651">
        <v>11.799805034880665</v>
      </c>
      <c r="D651">
        <v>0.9</v>
      </c>
      <c r="F651">
        <v>0</v>
      </c>
      <c r="G651">
        <v>0</v>
      </c>
      <c r="H651">
        <v>-171.00317132019964</v>
      </c>
      <c r="I651">
        <v>0.9</v>
      </c>
      <c r="K651">
        <v>-1.9872973788999999</v>
      </c>
      <c r="L651">
        <v>1.9778547536</v>
      </c>
      <c r="M651">
        <v>1038.9156132184421</v>
      </c>
      <c r="N651">
        <v>0.65</v>
      </c>
      <c r="P651">
        <v>-4.5945697095</v>
      </c>
      <c r="Q651">
        <v>11.1717738536</v>
      </c>
      <c r="R651">
        <v>1038.9156132184421</v>
      </c>
      <c r="S651">
        <v>0.65</v>
      </c>
      <c r="U651">
        <v>0</v>
      </c>
      <c r="V651">
        <v>0</v>
      </c>
      <c r="W651">
        <v>-171.00317132019964</v>
      </c>
      <c r="X651">
        <v>0.9</v>
      </c>
      <c r="Z651">
        <v>3.9427652662000003</v>
      </c>
      <c r="AA651">
        <v>9.6284501649000003</v>
      </c>
      <c r="AB651">
        <v>1038.9156132184421</v>
      </c>
      <c r="AC651">
        <v>0.65</v>
      </c>
      <c r="AE651">
        <v>0</v>
      </c>
      <c r="AF651">
        <v>0</v>
      </c>
      <c r="AG651">
        <v>1038.9156132184421</v>
      </c>
      <c r="AH651">
        <v>0.65</v>
      </c>
      <c r="AJ651">
        <v>-3.1812353782000002</v>
      </c>
      <c r="AK651">
        <v>-1.3091610918000001</v>
      </c>
      <c r="AL651">
        <v>1038.9156132184421</v>
      </c>
      <c r="AM651">
        <v>0.65</v>
      </c>
    </row>
    <row r="652" spans="1:39" x14ac:dyDescent="0.25">
      <c r="A652">
        <v>0</v>
      </c>
      <c r="B652">
        <v>0</v>
      </c>
      <c r="C652">
        <v>-171.00317132019964</v>
      </c>
      <c r="D652">
        <v>0.9</v>
      </c>
      <c r="F652">
        <v>0</v>
      </c>
      <c r="G652">
        <v>0</v>
      </c>
      <c r="H652">
        <v>-171.00317132019964</v>
      </c>
      <c r="I652">
        <v>0.9</v>
      </c>
      <c r="K652">
        <v>-2.1803814008</v>
      </c>
      <c r="L652">
        <v>2.1481185159000002</v>
      </c>
      <c r="M652">
        <v>1038.9156132184421</v>
      </c>
      <c r="N652">
        <v>0.65</v>
      </c>
      <c r="P652">
        <v>-4.1110115925000006</v>
      </c>
      <c r="Q652">
        <v>9.7472134694000001</v>
      </c>
      <c r="R652">
        <v>1038.9156132184421</v>
      </c>
      <c r="S652">
        <v>0.65</v>
      </c>
      <c r="U652">
        <v>0</v>
      </c>
      <c r="V652">
        <v>0</v>
      </c>
      <c r="W652">
        <v>-171.00317132019964</v>
      </c>
      <c r="X652">
        <v>0.9</v>
      </c>
      <c r="Z652">
        <v>2.2759239919000001</v>
      </c>
      <c r="AA652">
        <v>5.4299828215000003</v>
      </c>
      <c r="AB652">
        <v>1038.9156132184421</v>
      </c>
      <c r="AC652">
        <v>0.65</v>
      </c>
      <c r="AE652">
        <v>1.2709900879</v>
      </c>
      <c r="AF652">
        <v>1.2689060380999999</v>
      </c>
      <c r="AG652">
        <v>1038.9156132184421</v>
      </c>
      <c r="AH652">
        <v>0.65</v>
      </c>
      <c r="AJ652">
        <v>-4.0642723186000005</v>
      </c>
      <c r="AK652">
        <v>-1.6653981957999999</v>
      </c>
      <c r="AL652">
        <v>1038.9156132184421</v>
      </c>
      <c r="AM652">
        <v>0.65</v>
      </c>
    </row>
    <row r="653" spans="1:39" x14ac:dyDescent="0.25">
      <c r="A653">
        <v>0</v>
      </c>
      <c r="B653">
        <v>0</v>
      </c>
      <c r="C653">
        <v>-171.00317132019964</v>
      </c>
      <c r="D653">
        <v>0.9</v>
      </c>
      <c r="F653">
        <v>0</v>
      </c>
      <c r="G653">
        <v>0</v>
      </c>
      <c r="H653">
        <v>1038.9156132184421</v>
      </c>
      <c r="I653">
        <v>0.65</v>
      </c>
      <c r="K653">
        <v>-2.5208986248</v>
      </c>
      <c r="L653">
        <v>2.5362073366</v>
      </c>
      <c r="M653">
        <v>1038.9156132184421</v>
      </c>
      <c r="N653">
        <v>0.65</v>
      </c>
      <c r="P653">
        <v>-4.3806771298000005</v>
      </c>
      <c r="Q653">
        <v>10.624437668500001</v>
      </c>
      <c r="R653">
        <v>1038.9156132184421</v>
      </c>
      <c r="S653">
        <v>0.65</v>
      </c>
      <c r="U653">
        <v>0</v>
      </c>
      <c r="V653">
        <v>0</v>
      </c>
      <c r="W653">
        <v>-171.00317132019964</v>
      </c>
      <c r="X653">
        <v>0.9</v>
      </c>
      <c r="Z653">
        <v>3.0619738612999998</v>
      </c>
      <c r="AA653">
        <v>7.2138722956000008</v>
      </c>
      <c r="AB653">
        <v>1038.9156132184421</v>
      </c>
      <c r="AC653">
        <v>0.65</v>
      </c>
      <c r="AE653">
        <v>1.5582517824000002</v>
      </c>
      <c r="AF653">
        <v>1.5550296071</v>
      </c>
      <c r="AG653">
        <v>1038.9156132184421</v>
      </c>
      <c r="AH653">
        <v>0.65</v>
      </c>
      <c r="AJ653">
        <v>-3.7722678267999998</v>
      </c>
      <c r="AK653">
        <v>-1.5424053853000002</v>
      </c>
      <c r="AL653">
        <v>1038.9156132184421</v>
      </c>
      <c r="AM653">
        <v>0.65</v>
      </c>
    </row>
    <row r="654" spans="1:39" x14ac:dyDescent="0.25">
      <c r="A654">
        <v>0</v>
      </c>
      <c r="B654">
        <v>0</v>
      </c>
      <c r="C654">
        <v>-171.00317132019964</v>
      </c>
      <c r="D654">
        <v>0.9</v>
      </c>
      <c r="F654">
        <v>0</v>
      </c>
      <c r="G654">
        <v>0</v>
      </c>
      <c r="H654">
        <v>1038.9156132184421</v>
      </c>
      <c r="I654">
        <v>0.65</v>
      </c>
      <c r="K654">
        <v>-2.4017884854</v>
      </c>
      <c r="L654">
        <v>2.3640957509000002</v>
      </c>
      <c r="M654">
        <v>1038.9156132184421</v>
      </c>
      <c r="N654">
        <v>0.65</v>
      </c>
      <c r="P654">
        <v>-4.2059316995999998</v>
      </c>
      <c r="Q654">
        <v>10.2994740179</v>
      </c>
      <c r="R654">
        <v>1038.9156132184421</v>
      </c>
      <c r="S654">
        <v>0.65</v>
      </c>
      <c r="U654">
        <v>0</v>
      </c>
      <c r="V654">
        <v>0</v>
      </c>
      <c r="W654">
        <v>-171.00317132019964</v>
      </c>
      <c r="X654">
        <v>0.9</v>
      </c>
      <c r="Z654">
        <v>4.8772280584000001</v>
      </c>
      <c r="AA654">
        <v>11.704732506499999</v>
      </c>
      <c r="AB654">
        <v>1038.9156132184421</v>
      </c>
      <c r="AC654">
        <v>0.65</v>
      </c>
      <c r="AE654">
        <v>1.4146278636</v>
      </c>
      <c r="AF654">
        <v>1.4119652775</v>
      </c>
      <c r="AG654">
        <v>1038.9156132184421</v>
      </c>
      <c r="AH654">
        <v>0.65</v>
      </c>
      <c r="AJ654">
        <v>-3.7876484564999999</v>
      </c>
      <c r="AK654">
        <v>-1.549295877</v>
      </c>
      <c r="AL654">
        <v>1038.9156132184421</v>
      </c>
      <c r="AM654">
        <v>0.65</v>
      </c>
    </row>
    <row r="655" spans="1:39" x14ac:dyDescent="0.25">
      <c r="A655">
        <v>0</v>
      </c>
      <c r="B655">
        <v>0</v>
      </c>
      <c r="C655">
        <v>-171.00317132019964</v>
      </c>
      <c r="D655">
        <v>0.9</v>
      </c>
      <c r="F655">
        <v>0</v>
      </c>
      <c r="G655">
        <v>0</v>
      </c>
      <c r="H655">
        <v>1038.9156132184421</v>
      </c>
      <c r="I655">
        <v>0.65</v>
      </c>
      <c r="K655">
        <v>-2.1457655596</v>
      </c>
      <c r="L655">
        <v>2.1488610446999998</v>
      </c>
      <c r="M655">
        <v>1038.9156132184421</v>
      </c>
      <c r="N655">
        <v>0.65</v>
      </c>
      <c r="P655">
        <v>-4.8498228755000001</v>
      </c>
      <c r="Q655">
        <v>11.7017447741</v>
      </c>
      <c r="R655">
        <v>1038.9156132184421</v>
      </c>
      <c r="S655">
        <v>0.65</v>
      </c>
      <c r="U655">
        <v>0</v>
      </c>
      <c r="V655">
        <v>0</v>
      </c>
      <c r="W655">
        <v>-171.00317132019964</v>
      </c>
      <c r="X655">
        <v>0.9</v>
      </c>
      <c r="Z655">
        <v>2.1427223926000001</v>
      </c>
      <c r="AA655">
        <v>5.0668730622</v>
      </c>
      <c r="AB655">
        <v>1038.9156132184421</v>
      </c>
      <c r="AC655">
        <v>0.65</v>
      </c>
      <c r="AE655">
        <v>2.1433196464000002</v>
      </c>
      <c r="AF655">
        <v>2.1108498968</v>
      </c>
      <c r="AG655">
        <v>1038.9156132184421</v>
      </c>
      <c r="AH655">
        <v>0.65</v>
      </c>
      <c r="AJ655">
        <v>-3.7250468429999999</v>
      </c>
      <c r="AK655">
        <v>-1.5221621227</v>
      </c>
      <c r="AL655">
        <v>1038.9156132184421</v>
      </c>
      <c r="AM655">
        <v>0.65</v>
      </c>
    </row>
    <row r="656" spans="1:39" x14ac:dyDescent="0.25">
      <c r="A656">
        <v>0</v>
      </c>
      <c r="B656">
        <v>0</v>
      </c>
      <c r="C656">
        <v>-171.00317132019964</v>
      </c>
      <c r="D656">
        <v>0.9</v>
      </c>
      <c r="F656">
        <v>0</v>
      </c>
      <c r="G656">
        <v>0</v>
      </c>
      <c r="H656">
        <v>1038.9156132184421</v>
      </c>
      <c r="I656">
        <v>0.65</v>
      </c>
      <c r="K656">
        <v>-2.5495370069000001</v>
      </c>
      <c r="L656">
        <v>2.5378368152999999</v>
      </c>
      <c r="M656">
        <v>1038.9156132184421</v>
      </c>
      <c r="N656">
        <v>0.65</v>
      </c>
      <c r="P656">
        <v>-4.9951299153000006</v>
      </c>
      <c r="Q656">
        <v>12.1377421543</v>
      </c>
      <c r="R656">
        <v>1038.9156132184421</v>
      </c>
      <c r="S656">
        <v>0.65</v>
      </c>
      <c r="U656">
        <v>0</v>
      </c>
      <c r="V656">
        <v>0</v>
      </c>
      <c r="W656">
        <v>-171.00317132019964</v>
      </c>
      <c r="X656">
        <v>0.9</v>
      </c>
      <c r="Z656">
        <v>2.0737208587999998</v>
      </c>
      <c r="AA656">
        <v>5.0530557370999993</v>
      </c>
      <c r="AB656">
        <v>1038.9156132184421</v>
      </c>
      <c r="AC656">
        <v>0.65</v>
      </c>
      <c r="AE656">
        <v>2.1359442827999997</v>
      </c>
      <c r="AF656">
        <v>2.1397644605999999</v>
      </c>
      <c r="AG656">
        <v>1038.9156132184421</v>
      </c>
      <c r="AH656">
        <v>0.65</v>
      </c>
      <c r="AJ656">
        <v>-3.756514686</v>
      </c>
      <c r="AK656">
        <v>-1.5356627156</v>
      </c>
      <c r="AL656">
        <v>1038.9156132184421</v>
      </c>
      <c r="AM656">
        <v>0.65</v>
      </c>
    </row>
    <row r="657" spans="1:39" x14ac:dyDescent="0.25">
      <c r="A657">
        <v>0</v>
      </c>
      <c r="B657">
        <v>0</v>
      </c>
      <c r="C657">
        <v>-171.00317132019964</v>
      </c>
      <c r="D657">
        <v>0.9</v>
      </c>
      <c r="F657">
        <v>0</v>
      </c>
      <c r="G657">
        <v>0</v>
      </c>
      <c r="H657">
        <v>1038.9156132184421</v>
      </c>
      <c r="I657">
        <v>0.65</v>
      </c>
      <c r="K657">
        <v>-2.7396012768999998</v>
      </c>
      <c r="L657">
        <v>2.7012836534</v>
      </c>
      <c r="M657">
        <v>1038.9156132184421</v>
      </c>
      <c r="N657">
        <v>0.65</v>
      </c>
      <c r="P657">
        <v>-4.1286714396000006</v>
      </c>
      <c r="Q657">
        <v>9.9726095413999989</v>
      </c>
      <c r="R657">
        <v>1038.9156132184421</v>
      </c>
      <c r="S657">
        <v>0.65</v>
      </c>
      <c r="U657">
        <v>0</v>
      </c>
      <c r="V657">
        <v>0</v>
      </c>
      <c r="W657">
        <v>-171.00317132019964</v>
      </c>
      <c r="X657">
        <v>0.9</v>
      </c>
      <c r="Z657">
        <v>4.5380031880000002</v>
      </c>
      <c r="AA657">
        <v>10.9508143982</v>
      </c>
      <c r="AB657">
        <v>1038.9156132184421</v>
      </c>
      <c r="AC657">
        <v>0.65</v>
      </c>
      <c r="AE657">
        <v>2.3909855337999999</v>
      </c>
      <c r="AF657">
        <v>2.3553887204000001</v>
      </c>
      <c r="AG657">
        <v>1038.9156132184421</v>
      </c>
      <c r="AH657">
        <v>0.65</v>
      </c>
      <c r="AJ657">
        <v>-3.6935325582000003</v>
      </c>
      <c r="AK657">
        <v>-1.5086799590000002</v>
      </c>
      <c r="AL657">
        <v>1038.9156132184421</v>
      </c>
      <c r="AM657">
        <v>0.65</v>
      </c>
    </row>
    <row r="658" spans="1:39" x14ac:dyDescent="0.25">
      <c r="A658">
        <v>0</v>
      </c>
      <c r="B658">
        <v>0</v>
      </c>
      <c r="C658">
        <v>-171.00317132019964</v>
      </c>
      <c r="D658">
        <v>0.9</v>
      </c>
      <c r="F658">
        <v>0</v>
      </c>
      <c r="G658">
        <v>0</v>
      </c>
      <c r="H658">
        <v>1038.9156132184421</v>
      </c>
      <c r="I658">
        <v>0.65</v>
      </c>
      <c r="K658">
        <v>-2.5612606296</v>
      </c>
      <c r="L658">
        <v>2.5461785001999999</v>
      </c>
      <c r="M658">
        <v>1038.9156132184421</v>
      </c>
      <c r="N658">
        <v>0.65</v>
      </c>
      <c r="P658">
        <v>-4.6781954165000004</v>
      </c>
      <c r="Q658">
        <v>11.4951561544</v>
      </c>
      <c r="R658">
        <v>1038.9156132184421</v>
      </c>
      <c r="S658">
        <v>0.65</v>
      </c>
      <c r="U658">
        <v>0</v>
      </c>
      <c r="V658">
        <v>0</v>
      </c>
      <c r="W658">
        <v>-171.00317132019964</v>
      </c>
      <c r="X658">
        <v>0.9</v>
      </c>
      <c r="Z658">
        <v>4.1118101847999995</v>
      </c>
      <c r="AA658">
        <v>9.7469201089999995</v>
      </c>
      <c r="AB658">
        <v>1038.9156132184421</v>
      </c>
      <c r="AC658">
        <v>0.65</v>
      </c>
      <c r="AE658">
        <v>2.1454057711000001</v>
      </c>
      <c r="AF658">
        <v>2.1490038179000002</v>
      </c>
      <c r="AG658">
        <v>1038.9156132184421</v>
      </c>
      <c r="AH658">
        <v>0.65</v>
      </c>
      <c r="AJ658">
        <v>-4.0882228024999998</v>
      </c>
      <c r="AK658">
        <v>-1.6818818676999998</v>
      </c>
      <c r="AL658">
        <v>1038.9156132184421</v>
      </c>
      <c r="AM658">
        <v>0.65</v>
      </c>
    </row>
    <row r="659" spans="1:39" x14ac:dyDescent="0.25">
      <c r="A659">
        <v>0</v>
      </c>
      <c r="B659">
        <v>0</v>
      </c>
      <c r="C659">
        <v>-171.00317132019964</v>
      </c>
      <c r="D659">
        <v>0.9</v>
      </c>
      <c r="F659">
        <v>0</v>
      </c>
      <c r="G659">
        <v>0</v>
      </c>
      <c r="H659">
        <v>1038.9156132184421</v>
      </c>
      <c r="I659">
        <v>0.65</v>
      </c>
      <c r="K659">
        <v>-2.5283434515000001</v>
      </c>
      <c r="L659">
        <v>2.5722347884999999</v>
      </c>
      <c r="M659">
        <v>1038.9156132184421</v>
      </c>
      <c r="N659">
        <v>0.65</v>
      </c>
      <c r="P659">
        <v>-5.0364134901000002</v>
      </c>
      <c r="Q659">
        <v>11.916919398299999</v>
      </c>
      <c r="R659">
        <v>1038.9156132184421</v>
      </c>
      <c r="S659">
        <v>0.65</v>
      </c>
      <c r="U659">
        <v>0</v>
      </c>
      <c r="V659">
        <v>4.93</v>
      </c>
      <c r="W659">
        <v>-120.00317132019968</v>
      </c>
      <c r="X659">
        <v>0.9</v>
      </c>
      <c r="Z659">
        <v>2.8502586610999998</v>
      </c>
      <c r="AA659">
        <v>6.7421591593999999</v>
      </c>
      <c r="AB659">
        <v>1038.9156132184421</v>
      </c>
      <c r="AC659">
        <v>0.65</v>
      </c>
      <c r="AE659">
        <v>2.1963046705</v>
      </c>
      <c r="AF659">
        <v>2.1677875902000001</v>
      </c>
      <c r="AG659">
        <v>1038.9156132184421</v>
      </c>
      <c r="AH659">
        <v>0.65</v>
      </c>
      <c r="AJ659">
        <v>-3.6781732734000001</v>
      </c>
      <c r="AK659">
        <v>-1.5017809972</v>
      </c>
      <c r="AL659">
        <v>1038.9156132184421</v>
      </c>
      <c r="AM659">
        <v>0.65</v>
      </c>
    </row>
    <row r="660" spans="1:39" x14ac:dyDescent="0.25">
      <c r="A660">
        <v>0</v>
      </c>
      <c r="B660">
        <v>0</v>
      </c>
      <c r="C660">
        <v>-171.00317132019964</v>
      </c>
      <c r="D660">
        <v>0.9</v>
      </c>
      <c r="F660">
        <v>2.2141356562999999</v>
      </c>
      <c r="G660">
        <v>-0.91329585690000004</v>
      </c>
      <c r="H660">
        <v>1038.9156132184421</v>
      </c>
      <c r="I660">
        <v>0.65</v>
      </c>
      <c r="K660">
        <v>-2.8750682787000001</v>
      </c>
      <c r="L660">
        <v>2.8652154142000001</v>
      </c>
      <c r="M660">
        <v>1038.9156132184421</v>
      </c>
      <c r="N660">
        <v>0.65</v>
      </c>
      <c r="P660">
        <v>-4.5378607656000005</v>
      </c>
      <c r="Q660">
        <v>10.9508667167</v>
      </c>
      <c r="R660">
        <v>1038.9156132184421</v>
      </c>
      <c r="S660">
        <v>0.65</v>
      </c>
      <c r="U660">
        <v>0</v>
      </c>
      <c r="V660">
        <v>0</v>
      </c>
      <c r="W660">
        <v>-171.00317132019964</v>
      </c>
      <c r="X660">
        <v>0.9</v>
      </c>
      <c r="Z660">
        <v>4.3802343954000005</v>
      </c>
      <c r="AA660">
        <v>10.624600305700001</v>
      </c>
      <c r="AB660">
        <v>1038.9156132184421</v>
      </c>
      <c r="AC660">
        <v>0.65</v>
      </c>
      <c r="AE660">
        <v>2.1268709664999998</v>
      </c>
      <c r="AF660">
        <v>2.1303710669</v>
      </c>
      <c r="AG660">
        <v>1038.9156132184421</v>
      </c>
      <c r="AH660">
        <v>0.65</v>
      </c>
      <c r="AJ660">
        <v>-4.7194209563999996</v>
      </c>
      <c r="AK660">
        <v>-1.9334420118</v>
      </c>
      <c r="AL660">
        <v>1038.9156132184421</v>
      </c>
      <c r="AM660">
        <v>0.65</v>
      </c>
    </row>
    <row r="661" spans="1:39" x14ac:dyDescent="0.25">
      <c r="A661">
        <v>0</v>
      </c>
      <c r="B661">
        <v>0</v>
      </c>
      <c r="C661">
        <v>-171.00317132019964</v>
      </c>
      <c r="D661">
        <v>0.9</v>
      </c>
      <c r="F661">
        <v>0</v>
      </c>
      <c r="G661">
        <v>0</v>
      </c>
      <c r="H661">
        <v>1038.9156132184421</v>
      </c>
      <c r="I661">
        <v>0.65</v>
      </c>
      <c r="K661">
        <v>3.3360063208999997</v>
      </c>
      <c r="L661">
        <v>-3.3517456202</v>
      </c>
      <c r="M661">
        <v>1038.9156132184421</v>
      </c>
      <c r="N661">
        <v>0.65</v>
      </c>
      <c r="P661">
        <v>-4.4166036648000002</v>
      </c>
      <c r="Q661">
        <v>10.6242951083</v>
      </c>
      <c r="R661">
        <v>1038.9156132184421</v>
      </c>
      <c r="S661">
        <v>0.65</v>
      </c>
      <c r="U661">
        <v>0</v>
      </c>
      <c r="V661">
        <v>4.93</v>
      </c>
      <c r="W661">
        <v>-120.00317132019968</v>
      </c>
      <c r="X661">
        <v>0.9</v>
      </c>
      <c r="Z661">
        <v>3.8605124104999997</v>
      </c>
      <c r="AA661">
        <v>9.3956863781000006</v>
      </c>
      <c r="AB661">
        <v>1038.9156132184421</v>
      </c>
      <c r="AC661">
        <v>0.65</v>
      </c>
      <c r="AE661">
        <v>0.98630253109999999</v>
      </c>
      <c r="AF661">
        <v>0.9818368675000001</v>
      </c>
      <c r="AG661">
        <v>1038.9156132184421</v>
      </c>
      <c r="AH661">
        <v>0.65</v>
      </c>
      <c r="AJ661">
        <v>-4.1212060685000003</v>
      </c>
      <c r="AK661">
        <v>-1.6947811022999999</v>
      </c>
      <c r="AL661">
        <v>1038.9156132184421</v>
      </c>
      <c r="AM661">
        <v>0.65</v>
      </c>
    </row>
    <row r="662" spans="1:39" x14ac:dyDescent="0.25">
      <c r="A662">
        <v>0</v>
      </c>
      <c r="B662">
        <v>0</v>
      </c>
      <c r="C662">
        <v>-171.00317132019964</v>
      </c>
      <c r="D662">
        <v>0.9</v>
      </c>
      <c r="F662">
        <v>0</v>
      </c>
      <c r="G662">
        <v>0</v>
      </c>
      <c r="H662">
        <v>1038.9156132184421</v>
      </c>
      <c r="I662">
        <v>0.65</v>
      </c>
      <c r="K662">
        <v>-3.0351645223999997</v>
      </c>
      <c r="L662">
        <v>3.0340581474999997</v>
      </c>
      <c r="M662">
        <v>1038.9156132184421</v>
      </c>
      <c r="N662">
        <v>0.65</v>
      </c>
      <c r="P662">
        <v>-5.9316829584000006</v>
      </c>
      <c r="Q662">
        <v>13.979143647900001</v>
      </c>
      <c r="R662">
        <v>1038.9156132184421</v>
      </c>
      <c r="S662">
        <v>0.65</v>
      </c>
      <c r="U662">
        <v>0</v>
      </c>
      <c r="V662">
        <v>0</v>
      </c>
      <c r="W662">
        <v>-171.00317132019964</v>
      </c>
      <c r="X662">
        <v>0.9</v>
      </c>
      <c r="Z662">
        <v>4.6177033304000004</v>
      </c>
      <c r="AA662">
        <v>11.274611011699999</v>
      </c>
      <c r="AB662">
        <v>1038.9156132184421</v>
      </c>
      <c r="AC662">
        <v>0.65</v>
      </c>
      <c r="AE662">
        <v>1.1286072369</v>
      </c>
      <c r="AF662">
        <v>1.1253858059999999</v>
      </c>
      <c r="AG662">
        <v>1038.9156132184421</v>
      </c>
      <c r="AH662">
        <v>0.65</v>
      </c>
      <c r="AJ662">
        <v>-4.0998883809000004</v>
      </c>
      <c r="AK662">
        <v>-1.7162344182</v>
      </c>
      <c r="AL662">
        <v>1038.9156132184421</v>
      </c>
      <c r="AM662">
        <v>0.65</v>
      </c>
    </row>
    <row r="663" spans="1:39" x14ac:dyDescent="0.25">
      <c r="A663">
        <v>0</v>
      </c>
      <c r="B663">
        <v>0</v>
      </c>
      <c r="C663">
        <v>-171.00317132019964</v>
      </c>
      <c r="D663">
        <v>0.9</v>
      </c>
      <c r="F663">
        <v>0</v>
      </c>
      <c r="G663">
        <v>0</v>
      </c>
      <c r="H663">
        <v>1038.9156132184421</v>
      </c>
      <c r="I663">
        <v>0.65</v>
      </c>
      <c r="K663">
        <v>4.8720399908000003</v>
      </c>
      <c r="L663">
        <v>-4.8739215646999998</v>
      </c>
      <c r="M663">
        <v>1038.9156132184421</v>
      </c>
      <c r="N663">
        <v>0.65</v>
      </c>
      <c r="P663">
        <v>-4.6350195729000001</v>
      </c>
      <c r="Q663">
        <v>11.281304885500001</v>
      </c>
      <c r="R663">
        <v>1038.9156132184421</v>
      </c>
      <c r="S663">
        <v>0.65</v>
      </c>
      <c r="U663">
        <v>0</v>
      </c>
      <c r="V663">
        <v>0</v>
      </c>
      <c r="W663">
        <v>-171.00317132019964</v>
      </c>
      <c r="X663">
        <v>0.9</v>
      </c>
      <c r="Z663">
        <v>4.6785162116999999</v>
      </c>
      <c r="AA663">
        <v>11.4950383113</v>
      </c>
      <c r="AB663">
        <v>1038.9156132184421</v>
      </c>
      <c r="AC663">
        <v>0.65</v>
      </c>
      <c r="AE663">
        <v>2.3639035298</v>
      </c>
      <c r="AF663">
        <v>2.3401477152000001</v>
      </c>
      <c r="AG663">
        <v>1038.9156132184421</v>
      </c>
      <c r="AH663">
        <v>0.65</v>
      </c>
      <c r="AJ663">
        <v>-4.3788695525999994</v>
      </c>
      <c r="AK663">
        <v>-1.824905118</v>
      </c>
      <c r="AL663">
        <v>1038.9156132184421</v>
      </c>
      <c r="AM663">
        <v>0.65</v>
      </c>
    </row>
    <row r="664" spans="1:39" x14ac:dyDescent="0.25">
      <c r="A664">
        <v>0</v>
      </c>
      <c r="B664">
        <v>0</v>
      </c>
      <c r="C664">
        <v>-171.00317132019964</v>
      </c>
      <c r="D664">
        <v>0.9</v>
      </c>
      <c r="F664">
        <v>1.7392835685000001</v>
      </c>
      <c r="G664">
        <v>-0.72098443160000003</v>
      </c>
      <c r="H664">
        <v>1038.9156132184421</v>
      </c>
      <c r="I664">
        <v>0.65</v>
      </c>
      <c r="K664">
        <v>4.9283959196999998</v>
      </c>
      <c r="L664">
        <v>-4.8662743290999995</v>
      </c>
      <c r="M664">
        <v>1038.9156132184421</v>
      </c>
      <c r="N664">
        <v>0.65</v>
      </c>
      <c r="P664">
        <v>-4.9908757516</v>
      </c>
      <c r="Q664">
        <v>12.245654257399998</v>
      </c>
      <c r="R664">
        <v>1038.9156132184421</v>
      </c>
      <c r="S664">
        <v>0.65</v>
      </c>
      <c r="U664">
        <v>0</v>
      </c>
      <c r="V664">
        <v>0</v>
      </c>
      <c r="W664">
        <v>-171.00317132019964</v>
      </c>
      <c r="X664">
        <v>0.9</v>
      </c>
      <c r="Z664">
        <v>3.9602398566999999</v>
      </c>
      <c r="AA664">
        <v>9.6350858700000011</v>
      </c>
      <c r="AB664">
        <v>1038.9156132184421</v>
      </c>
      <c r="AC664">
        <v>0.65</v>
      </c>
      <c r="AE664">
        <v>2.1916640710999999</v>
      </c>
      <c r="AF664">
        <v>2.1566351818</v>
      </c>
      <c r="AG664">
        <v>1038.9156132184421</v>
      </c>
      <c r="AH664">
        <v>0.65</v>
      </c>
      <c r="AJ664">
        <v>-4.7204957501000004</v>
      </c>
      <c r="AK664">
        <v>-1.9719972546</v>
      </c>
      <c r="AL664">
        <v>1038.9156132184421</v>
      </c>
      <c r="AM664">
        <v>0.65</v>
      </c>
    </row>
    <row r="665" spans="1:39" x14ac:dyDescent="0.25">
      <c r="A665">
        <v>0</v>
      </c>
      <c r="B665">
        <v>0</v>
      </c>
      <c r="C665">
        <v>-171.00317132019964</v>
      </c>
      <c r="D665">
        <v>0.9</v>
      </c>
      <c r="F665">
        <v>2.6920118576999998</v>
      </c>
      <c r="G665">
        <v>-1.1134799264999999</v>
      </c>
      <c r="H665">
        <v>1038.9156132184421</v>
      </c>
      <c r="I665">
        <v>0.65</v>
      </c>
      <c r="K665">
        <v>-2.8636457087999996</v>
      </c>
      <c r="L665">
        <v>2.8827420961000003</v>
      </c>
      <c r="M665">
        <v>1038.9156132184421</v>
      </c>
      <c r="N665">
        <v>0.65</v>
      </c>
      <c r="P665">
        <v>-5.7023717876999998</v>
      </c>
      <c r="Q665">
        <v>13.8811418811</v>
      </c>
      <c r="R665">
        <v>1038.9156132184421</v>
      </c>
      <c r="S665">
        <v>0.65</v>
      </c>
      <c r="U665">
        <v>0</v>
      </c>
      <c r="V665">
        <v>0</v>
      </c>
      <c r="W665">
        <v>-171.00317132019964</v>
      </c>
      <c r="X665">
        <v>0.9</v>
      </c>
      <c r="Z665">
        <v>4.4155095641000006</v>
      </c>
      <c r="AA665">
        <v>10.624697022800001</v>
      </c>
      <c r="AB665">
        <v>1038.9156132184421</v>
      </c>
      <c r="AC665">
        <v>0.65</v>
      </c>
      <c r="AE665">
        <v>2.5493443373</v>
      </c>
      <c r="AF665">
        <v>2.5379132714999999</v>
      </c>
      <c r="AG665">
        <v>1038.9156132184421</v>
      </c>
      <c r="AH665">
        <v>0.65</v>
      </c>
      <c r="AJ665">
        <v>-4.0804560648999999</v>
      </c>
      <c r="AK665">
        <v>-1.6719699904000001</v>
      </c>
      <c r="AL665">
        <v>1038.9156132184421</v>
      </c>
      <c r="AM665">
        <v>0.65</v>
      </c>
    </row>
    <row r="666" spans="1:39" x14ac:dyDescent="0.25">
      <c r="A666">
        <v>0</v>
      </c>
      <c r="B666">
        <v>0</v>
      </c>
      <c r="C666">
        <v>-171.00317132019964</v>
      </c>
      <c r="D666">
        <v>0.9</v>
      </c>
      <c r="F666">
        <v>2.4544737664</v>
      </c>
      <c r="G666">
        <v>-1.0128323323999999</v>
      </c>
      <c r="H666">
        <v>1038.9156132184421</v>
      </c>
      <c r="I666">
        <v>0.65</v>
      </c>
      <c r="K666">
        <v>-5.0374871604999996</v>
      </c>
      <c r="L666">
        <v>5.0040698957999998</v>
      </c>
      <c r="M666">
        <v>1038.9156132184421</v>
      </c>
      <c r="N666">
        <v>0.65</v>
      </c>
      <c r="P666">
        <v>-5.2261590665000002</v>
      </c>
      <c r="Q666">
        <v>12.766590671199999</v>
      </c>
      <c r="R666">
        <v>1038.9156132184421</v>
      </c>
      <c r="S666">
        <v>0.65</v>
      </c>
      <c r="U666">
        <v>0</v>
      </c>
      <c r="V666">
        <v>0</v>
      </c>
      <c r="W666">
        <v>-171.00317132019964</v>
      </c>
      <c r="X666">
        <v>0.9</v>
      </c>
      <c r="Z666">
        <v>4.6345372428000005</v>
      </c>
      <c r="AA666">
        <v>11.281482068000001</v>
      </c>
      <c r="AB666">
        <v>1038.9156132184421</v>
      </c>
      <c r="AC666">
        <v>0.65</v>
      </c>
      <c r="AE666">
        <v>0.54952785059999998</v>
      </c>
      <c r="AF666">
        <v>0.5548122996</v>
      </c>
      <c r="AG666">
        <v>1038.9156132184421</v>
      </c>
      <c r="AH666">
        <v>0.65</v>
      </c>
      <c r="AJ666">
        <v>-3.7092904587</v>
      </c>
      <c r="AK666">
        <v>-1.5154207400000002</v>
      </c>
      <c r="AL666">
        <v>1038.9156132184421</v>
      </c>
      <c r="AM666">
        <v>0.65</v>
      </c>
    </row>
    <row r="667" spans="1:39" x14ac:dyDescent="0.25">
      <c r="A667">
        <v>0</v>
      </c>
      <c r="B667">
        <v>0</v>
      </c>
      <c r="C667">
        <v>-171.00317132019964</v>
      </c>
      <c r="D667">
        <v>0.9</v>
      </c>
      <c r="F667">
        <v>1.9718145944000001</v>
      </c>
      <c r="G667">
        <v>-0.81563616449999998</v>
      </c>
      <c r="H667">
        <v>1038.9156132184421</v>
      </c>
      <c r="I667">
        <v>0.65</v>
      </c>
      <c r="K667">
        <v>-4.0326987437000001</v>
      </c>
      <c r="L667">
        <v>4.0801050212000005</v>
      </c>
      <c r="M667">
        <v>1038.9156132184421</v>
      </c>
      <c r="N667">
        <v>0.65</v>
      </c>
      <c r="P667">
        <v>-5.5250783484000001</v>
      </c>
      <c r="Q667">
        <v>13.2679926331</v>
      </c>
      <c r="R667">
        <v>1038.9156132184421</v>
      </c>
      <c r="S667">
        <v>0.65</v>
      </c>
      <c r="U667">
        <v>0</v>
      </c>
      <c r="V667">
        <v>0</v>
      </c>
      <c r="W667">
        <v>-171.00317132019964</v>
      </c>
      <c r="X667">
        <v>0.9</v>
      </c>
      <c r="Z667">
        <v>4.2033922218999997</v>
      </c>
      <c r="AA667">
        <v>10.300406887300001</v>
      </c>
      <c r="AB667">
        <v>1038.9156132184421</v>
      </c>
      <c r="AC667">
        <v>0.65</v>
      </c>
      <c r="AE667">
        <v>2.3774756759</v>
      </c>
      <c r="AF667">
        <v>2.3477558590000003</v>
      </c>
      <c r="AG667">
        <v>1038.9156132184421</v>
      </c>
      <c r="AH667">
        <v>0.65</v>
      </c>
      <c r="AJ667">
        <v>-4.6695100040000002</v>
      </c>
      <c r="AK667">
        <v>-1.9402540292000001</v>
      </c>
      <c r="AL667">
        <v>1038.9156132184421</v>
      </c>
      <c r="AM667">
        <v>0.65</v>
      </c>
    </row>
    <row r="668" spans="1:39" x14ac:dyDescent="0.25">
      <c r="A668">
        <v>0</v>
      </c>
      <c r="B668">
        <v>0</v>
      </c>
      <c r="C668">
        <v>-171.00317132019964</v>
      </c>
      <c r="D668">
        <v>0.9</v>
      </c>
      <c r="F668">
        <v>1.5122272373000001</v>
      </c>
      <c r="G668">
        <v>-0.62432158640000002</v>
      </c>
      <c r="H668">
        <v>1038.9156132184421</v>
      </c>
      <c r="I668">
        <v>0.65</v>
      </c>
      <c r="K668">
        <v>3.3685415819999998</v>
      </c>
      <c r="L668">
        <v>-3.3518287184000002</v>
      </c>
      <c r="M668">
        <v>1038.9156132184421</v>
      </c>
      <c r="N668">
        <v>0.65</v>
      </c>
      <c r="P668">
        <v>-5.0119238359000002</v>
      </c>
      <c r="Q668">
        <v>11.912860655399999</v>
      </c>
      <c r="R668">
        <v>1038.9156132184421</v>
      </c>
      <c r="S668">
        <v>0.65</v>
      </c>
      <c r="U668">
        <v>0</v>
      </c>
      <c r="V668">
        <v>0</v>
      </c>
      <c r="W668">
        <v>-171.00317132019964</v>
      </c>
      <c r="X668">
        <v>0.9</v>
      </c>
      <c r="Z668">
        <v>4.0884326754</v>
      </c>
      <c r="AA668">
        <v>9.7424528231000007</v>
      </c>
      <c r="AB668">
        <v>1038.9156132184421</v>
      </c>
      <c r="AC668">
        <v>0.65</v>
      </c>
      <c r="AE668">
        <v>2.5204095759</v>
      </c>
      <c r="AF668">
        <v>2.5364014036000002</v>
      </c>
      <c r="AG668">
        <v>1038.9156132184421</v>
      </c>
      <c r="AH668">
        <v>0.65</v>
      </c>
      <c r="AJ668">
        <v>-4.1051609578999999</v>
      </c>
      <c r="AK668">
        <v>-1.6881542936</v>
      </c>
      <c r="AL668">
        <v>1038.9156132184421</v>
      </c>
      <c r="AM668">
        <v>0.65</v>
      </c>
    </row>
    <row r="669" spans="1:39" x14ac:dyDescent="0.25">
      <c r="A669">
        <v>0</v>
      </c>
      <c r="B669">
        <v>0</v>
      </c>
      <c r="C669">
        <v>-171.00317132019964</v>
      </c>
      <c r="D669">
        <v>0.9</v>
      </c>
      <c r="F669">
        <v>2.9373666638999998</v>
      </c>
      <c r="G669">
        <v>-1.2110256497</v>
      </c>
      <c r="H669">
        <v>1038.9156132184421</v>
      </c>
      <c r="I669">
        <v>0.65</v>
      </c>
      <c r="K669">
        <v>-2.8876508755999999</v>
      </c>
      <c r="L669">
        <v>2.8862101524000003</v>
      </c>
      <c r="M669">
        <v>1038.9156132184421</v>
      </c>
      <c r="N669">
        <v>0.65</v>
      </c>
      <c r="P669">
        <v>-5.1806707093000002</v>
      </c>
      <c r="Q669">
        <v>12.555760476800002</v>
      </c>
      <c r="R669">
        <v>1038.9156132184421</v>
      </c>
      <c r="S669">
        <v>0.65</v>
      </c>
      <c r="U669">
        <v>0</v>
      </c>
      <c r="V669">
        <v>0</v>
      </c>
      <c r="W669">
        <v>-171.00317132019964</v>
      </c>
      <c r="X669">
        <v>0.9</v>
      </c>
      <c r="Z669">
        <v>5.1805124654999997</v>
      </c>
      <c r="AA669">
        <v>12.555818607199999</v>
      </c>
      <c r="AB669">
        <v>1038.9156132184421</v>
      </c>
      <c r="AC669">
        <v>0.65</v>
      </c>
      <c r="AE669">
        <v>2.2034246654</v>
      </c>
      <c r="AF669">
        <v>2.1779561115000003</v>
      </c>
      <c r="AG669">
        <v>1038.9156132184421</v>
      </c>
      <c r="AH669">
        <v>0.65</v>
      </c>
      <c r="AJ669">
        <v>-4.6528234844999998</v>
      </c>
      <c r="AK669">
        <v>-1.9338817478000001</v>
      </c>
      <c r="AL669">
        <v>1038.9156132184421</v>
      </c>
      <c r="AM669">
        <v>0.65</v>
      </c>
    </row>
    <row r="670" spans="1:39" x14ac:dyDescent="0.25">
      <c r="A670">
        <v>0</v>
      </c>
      <c r="B670">
        <v>0</v>
      </c>
      <c r="C670">
        <v>-171.00317132019964</v>
      </c>
      <c r="D670">
        <v>0.9</v>
      </c>
      <c r="F670">
        <v>3.7410956487</v>
      </c>
      <c r="G670">
        <v>-1.5287874651000002</v>
      </c>
      <c r="H670">
        <v>1038.9156132184421</v>
      </c>
      <c r="I670">
        <v>0.65</v>
      </c>
      <c r="K670">
        <v>-4.6748953540000002</v>
      </c>
      <c r="L670">
        <v>4.7558022182000004</v>
      </c>
      <c r="M670">
        <v>1038.9156132184421</v>
      </c>
      <c r="N670">
        <v>0.65</v>
      </c>
      <c r="P670">
        <v>-5.1090070425</v>
      </c>
      <c r="Q670">
        <v>12.3485320968</v>
      </c>
      <c r="R670">
        <v>1038.9156132184421</v>
      </c>
      <c r="S670">
        <v>0.65</v>
      </c>
      <c r="U670">
        <v>0</v>
      </c>
      <c r="V670">
        <v>0</v>
      </c>
      <c r="W670">
        <v>-171.00317132019964</v>
      </c>
      <c r="X670">
        <v>0.9</v>
      </c>
      <c r="Z670">
        <v>4.1287837889999999</v>
      </c>
      <c r="AA670">
        <v>9.9725682701</v>
      </c>
      <c r="AB670">
        <v>1038.9156132184421</v>
      </c>
      <c r="AC670">
        <v>0.65</v>
      </c>
      <c r="AE670">
        <v>1.8526108027999999</v>
      </c>
      <c r="AF670">
        <v>1.8363930662000001</v>
      </c>
      <c r="AG670">
        <v>1038.9156132184421</v>
      </c>
      <c r="AH670">
        <v>0.65</v>
      </c>
      <c r="AJ670">
        <v>-5.0053094300999996</v>
      </c>
      <c r="AK670">
        <v>-2.0718572882999999</v>
      </c>
      <c r="AL670">
        <v>1038.9156132184421</v>
      </c>
      <c r="AM670">
        <v>0.65</v>
      </c>
    </row>
    <row r="671" spans="1:39" x14ac:dyDescent="0.25">
      <c r="A671">
        <v>0</v>
      </c>
      <c r="B671">
        <v>0</v>
      </c>
      <c r="C671">
        <v>-171.00317132019964</v>
      </c>
      <c r="D671">
        <v>0.9</v>
      </c>
      <c r="F671">
        <v>3.7104738178999996</v>
      </c>
      <c r="G671">
        <v>-1.5149511530000002</v>
      </c>
      <c r="H671">
        <v>1038.9156132184421</v>
      </c>
      <c r="I671">
        <v>0.65</v>
      </c>
      <c r="K671">
        <v>-4.4421195132999998</v>
      </c>
      <c r="L671">
        <v>4.4897989536000003</v>
      </c>
      <c r="M671">
        <v>1038.9156132184421</v>
      </c>
      <c r="N671">
        <v>0.65</v>
      </c>
      <c r="P671">
        <v>-5.7377970293000002</v>
      </c>
      <c r="Q671">
        <v>13.8811834694</v>
      </c>
      <c r="R671">
        <v>1038.9156132184421</v>
      </c>
      <c r="S671">
        <v>0.65</v>
      </c>
      <c r="U671">
        <v>0</v>
      </c>
      <c r="V671">
        <v>0</v>
      </c>
      <c r="W671">
        <v>-171.00317132019964</v>
      </c>
      <c r="X671">
        <v>0.9</v>
      </c>
      <c r="Z671">
        <v>5.0367627530999997</v>
      </c>
      <c r="AA671">
        <v>11.916791097600001</v>
      </c>
      <c r="AB671">
        <v>1038.9156132184421</v>
      </c>
      <c r="AC671">
        <v>0.65</v>
      </c>
      <c r="AE671">
        <v>2.5598686830999999</v>
      </c>
      <c r="AF671">
        <v>2.5467308599000003</v>
      </c>
      <c r="AG671">
        <v>1038.9156132184421</v>
      </c>
      <c r="AH671">
        <v>0.65</v>
      </c>
      <c r="AJ671">
        <v>-4.7287666459000004</v>
      </c>
      <c r="AK671">
        <v>-1.9557212370999999</v>
      </c>
      <c r="AL671">
        <v>1038.9156132184421</v>
      </c>
      <c r="AM671">
        <v>0.65</v>
      </c>
    </row>
    <row r="672" spans="1:39" x14ac:dyDescent="0.25">
      <c r="A672">
        <v>0</v>
      </c>
      <c r="B672">
        <v>0</v>
      </c>
      <c r="C672">
        <v>-171.00317132019964</v>
      </c>
      <c r="D672">
        <v>0.9</v>
      </c>
      <c r="F672">
        <v>3.6770414326000003</v>
      </c>
      <c r="G672">
        <v>-1.5022301404</v>
      </c>
      <c r="H672">
        <v>1038.9156132184421</v>
      </c>
      <c r="I672">
        <v>0.65</v>
      </c>
      <c r="K672">
        <v>3.1986849639000003</v>
      </c>
      <c r="L672">
        <v>-3.1933553282999996</v>
      </c>
      <c r="M672">
        <v>1038.9156132184421</v>
      </c>
      <c r="N672">
        <v>0.65</v>
      </c>
      <c r="P672">
        <v>-6.0177047735999993</v>
      </c>
      <c r="Q672">
        <v>14.283103795699999</v>
      </c>
      <c r="R672">
        <v>1038.9156132184421</v>
      </c>
      <c r="S672">
        <v>0.65</v>
      </c>
      <c r="U672">
        <v>0</v>
      </c>
      <c r="V672">
        <v>0</v>
      </c>
      <c r="W672">
        <v>-171.00317132019964</v>
      </c>
      <c r="X672">
        <v>0.9</v>
      </c>
      <c r="Z672">
        <v>4.9905273415</v>
      </c>
      <c r="AA672">
        <v>12.245782244800001</v>
      </c>
      <c r="AB672">
        <v>1038.9156132184421</v>
      </c>
      <c r="AC672">
        <v>0.65</v>
      </c>
      <c r="AE672">
        <v>1.9871790808000001</v>
      </c>
      <c r="AF672">
        <v>1.9779016973000001</v>
      </c>
      <c r="AG672">
        <v>1038.9156132184421</v>
      </c>
      <c r="AH672">
        <v>0.65</v>
      </c>
      <c r="AJ672">
        <v>-4.7599478021000001</v>
      </c>
      <c r="AK672">
        <v>-1.9303538463000001</v>
      </c>
      <c r="AL672">
        <v>1038.9156132184421</v>
      </c>
      <c r="AM672">
        <v>0.65</v>
      </c>
    </row>
    <row r="673" spans="1:39" x14ac:dyDescent="0.25">
      <c r="A673">
        <v>0</v>
      </c>
      <c r="B673">
        <v>0</v>
      </c>
      <c r="C673">
        <v>-171.00317132019964</v>
      </c>
      <c r="D673">
        <v>0.9</v>
      </c>
      <c r="F673">
        <v>3.4148134528000003</v>
      </c>
      <c r="G673">
        <v>-1.4113801211000001</v>
      </c>
      <c r="H673">
        <v>1038.9156132184421</v>
      </c>
      <c r="I673">
        <v>0.65</v>
      </c>
      <c r="K673">
        <v>3.2374316011000004</v>
      </c>
      <c r="L673">
        <v>-3.1909735947</v>
      </c>
      <c r="M673">
        <v>1038.9156132184421</v>
      </c>
      <c r="N673">
        <v>0.65</v>
      </c>
      <c r="P673">
        <v>-5.7076693256999995</v>
      </c>
      <c r="Q673">
        <v>13.5725600274</v>
      </c>
      <c r="R673">
        <v>1038.9156132184421</v>
      </c>
      <c r="S673">
        <v>0.65</v>
      </c>
      <c r="U673">
        <v>0</v>
      </c>
      <c r="V673">
        <v>0</v>
      </c>
      <c r="W673">
        <v>-171.00317132019964</v>
      </c>
      <c r="X673">
        <v>0.9</v>
      </c>
      <c r="Z673">
        <v>4.8485762365999996</v>
      </c>
      <c r="AA673">
        <v>11.702202723099999</v>
      </c>
      <c r="AB673">
        <v>1038.9156132184421</v>
      </c>
      <c r="AC673">
        <v>0.65</v>
      </c>
      <c r="AE673">
        <v>1.7095648357</v>
      </c>
      <c r="AF673">
        <v>1.6952693568000001</v>
      </c>
      <c r="AG673">
        <v>1038.9156132184421</v>
      </c>
      <c r="AH673">
        <v>0.65</v>
      </c>
      <c r="AJ673">
        <v>-5.5153768828</v>
      </c>
      <c r="AK673">
        <v>-2.2771513039999998</v>
      </c>
      <c r="AL673">
        <v>1038.9156132184421</v>
      </c>
      <c r="AM673">
        <v>0.65</v>
      </c>
    </row>
    <row r="674" spans="1:39" x14ac:dyDescent="0.25">
      <c r="A674">
        <v>0</v>
      </c>
      <c r="B674">
        <v>0</v>
      </c>
      <c r="C674">
        <v>-171.00317132019964</v>
      </c>
      <c r="D674">
        <v>0.9</v>
      </c>
      <c r="F674">
        <v>3.7231706487999996</v>
      </c>
      <c r="G674">
        <v>-1.5229066442000001</v>
      </c>
      <c r="H674">
        <v>1038.9156132184421</v>
      </c>
      <c r="I674">
        <v>0.65</v>
      </c>
      <c r="K674">
        <v>-3.7901062944000001</v>
      </c>
      <c r="L674">
        <v>3.7921334057</v>
      </c>
      <c r="M674">
        <v>1038.9156132184421</v>
      </c>
      <c r="N674">
        <v>0.65</v>
      </c>
      <c r="P674">
        <v>-5.9074653082999999</v>
      </c>
      <c r="Q674">
        <v>13.974984985100001</v>
      </c>
      <c r="R674">
        <v>1038.9156132184421</v>
      </c>
      <c r="S674">
        <v>0.65</v>
      </c>
      <c r="U674">
        <v>0</v>
      </c>
      <c r="V674">
        <v>0</v>
      </c>
      <c r="W674">
        <v>-171.00317132019964</v>
      </c>
      <c r="X674">
        <v>0.9</v>
      </c>
      <c r="Z674">
        <v>5.2273595515000002</v>
      </c>
      <c r="AA674">
        <v>12.766149676800001</v>
      </c>
      <c r="AB674">
        <v>1038.9156132184421</v>
      </c>
      <c r="AC674">
        <v>0.65</v>
      </c>
      <c r="AE674">
        <v>2.7396011231999999</v>
      </c>
      <c r="AF674">
        <v>2.7012837144000001</v>
      </c>
      <c r="AG674">
        <v>1038.9156132184421</v>
      </c>
      <c r="AH674">
        <v>0.65</v>
      </c>
      <c r="AJ674">
        <v>-5.5855914033999996</v>
      </c>
      <c r="AK674">
        <v>-2.2882701473</v>
      </c>
      <c r="AL674">
        <v>1038.9156132184421</v>
      </c>
      <c r="AM674">
        <v>0.65</v>
      </c>
    </row>
    <row r="675" spans="1:39" x14ac:dyDescent="0.25">
      <c r="A675">
        <v>0</v>
      </c>
      <c r="B675">
        <v>0</v>
      </c>
      <c r="C675">
        <v>-171.00317132019964</v>
      </c>
      <c r="D675">
        <v>0.9</v>
      </c>
      <c r="F675">
        <v>3.6951674344999996</v>
      </c>
      <c r="G675">
        <v>-1.5080311986000001</v>
      </c>
      <c r="H675">
        <v>1038.9156132184421</v>
      </c>
      <c r="I675">
        <v>0.65</v>
      </c>
      <c r="K675">
        <v>-3.8954323577000003</v>
      </c>
      <c r="L675">
        <v>3.947673634</v>
      </c>
      <c r="M675">
        <v>1038.9156132184421</v>
      </c>
      <c r="N675">
        <v>0.65</v>
      </c>
      <c r="P675">
        <v>-6.0270859507000001</v>
      </c>
      <c r="Q675">
        <v>14.292712591399999</v>
      </c>
      <c r="R675">
        <v>1038.9156132184421</v>
      </c>
      <c r="S675">
        <v>0.65</v>
      </c>
      <c r="U675">
        <v>0</v>
      </c>
      <c r="V675">
        <v>0</v>
      </c>
      <c r="W675">
        <v>-171.00317132019964</v>
      </c>
      <c r="X675">
        <v>0.9</v>
      </c>
      <c r="Z675">
        <v>5.1083498057000005</v>
      </c>
      <c r="AA675">
        <v>12.348773530700001</v>
      </c>
      <c r="AB675">
        <v>1038.9156132184421</v>
      </c>
      <c r="AC675">
        <v>0.65</v>
      </c>
      <c r="AE675">
        <v>2.4040229980999999</v>
      </c>
      <c r="AF675">
        <v>2.3632090395000001</v>
      </c>
      <c r="AG675">
        <v>1038.9156132184421</v>
      </c>
      <c r="AH675">
        <v>0.65</v>
      </c>
      <c r="AJ675">
        <v>-5.5976527874999995</v>
      </c>
      <c r="AK675">
        <v>-2.2964777998999999</v>
      </c>
      <c r="AL675">
        <v>1038.9156132184421</v>
      </c>
      <c r="AM675">
        <v>0.65</v>
      </c>
    </row>
    <row r="676" spans="1:39" x14ac:dyDescent="0.25">
      <c r="A676">
        <v>0</v>
      </c>
      <c r="B676">
        <v>0</v>
      </c>
      <c r="C676">
        <v>-171.00317132019964</v>
      </c>
      <c r="D676">
        <v>0.9</v>
      </c>
      <c r="F676">
        <v>4.0633583762000001</v>
      </c>
      <c r="G676">
        <v>-1.6657608714000001</v>
      </c>
      <c r="H676">
        <v>1038.9156132184421</v>
      </c>
      <c r="I676">
        <v>0.65</v>
      </c>
      <c r="K676">
        <v>-4.4886672692000005</v>
      </c>
      <c r="L676">
        <v>4.4857547204000001</v>
      </c>
      <c r="M676">
        <v>1038.9156132184421</v>
      </c>
      <c r="N676">
        <v>0.65</v>
      </c>
      <c r="P676">
        <v>-5.4950208492000003</v>
      </c>
      <c r="Q676">
        <v>13.265979221</v>
      </c>
      <c r="R676">
        <v>1038.9156132184421</v>
      </c>
      <c r="S676">
        <v>0.65</v>
      </c>
      <c r="U676">
        <v>0</v>
      </c>
      <c r="V676">
        <v>0</v>
      </c>
      <c r="W676">
        <v>-171.00317132019964</v>
      </c>
      <c r="X676">
        <v>0.9</v>
      </c>
      <c r="Z676">
        <v>5.9306284116999999</v>
      </c>
      <c r="AA676">
        <v>13.979531032400001</v>
      </c>
      <c r="AB676">
        <v>1038.9156132184421</v>
      </c>
      <c r="AC676">
        <v>0.65</v>
      </c>
      <c r="AE676">
        <v>2.1550853704000001</v>
      </c>
      <c r="AF676">
        <v>2.1581566232</v>
      </c>
      <c r="AG676">
        <v>1038.9156132184421</v>
      </c>
      <c r="AH676">
        <v>0.65</v>
      </c>
      <c r="AJ676">
        <v>-5.5288598245000005</v>
      </c>
      <c r="AK676">
        <v>-2.2847948465000001</v>
      </c>
      <c r="AL676">
        <v>1038.9156132184421</v>
      </c>
      <c r="AM676">
        <v>0.65</v>
      </c>
    </row>
    <row r="677" spans="1:39" x14ac:dyDescent="0.25">
      <c r="A677">
        <v>0</v>
      </c>
      <c r="B677">
        <v>0</v>
      </c>
      <c r="C677">
        <v>-171.00317132019964</v>
      </c>
      <c r="D677">
        <v>0.9</v>
      </c>
      <c r="F677">
        <v>4.6549669792000001</v>
      </c>
      <c r="G677">
        <v>-1.9330311546999999</v>
      </c>
      <c r="H677">
        <v>1038.9156132184421</v>
      </c>
      <c r="I677">
        <v>0.65</v>
      </c>
      <c r="K677">
        <v>-5.9931059009999998</v>
      </c>
      <c r="L677">
        <v>5.9888421832999992</v>
      </c>
      <c r="M677">
        <v>1038.9156132184421</v>
      </c>
      <c r="N677">
        <v>0.65</v>
      </c>
      <c r="P677">
        <v>-5.8657878732999995</v>
      </c>
      <c r="Q677">
        <v>14.1887949708</v>
      </c>
      <c r="R677">
        <v>1038.9156132184421</v>
      </c>
      <c r="S677">
        <v>0.65</v>
      </c>
      <c r="U677">
        <v>0</v>
      </c>
      <c r="V677">
        <v>0</v>
      </c>
      <c r="W677">
        <v>-171.00317132019964</v>
      </c>
      <c r="X677">
        <v>0.9</v>
      </c>
      <c r="Z677">
        <v>4.9964454549999999</v>
      </c>
      <c r="AA677">
        <v>12.1372588949</v>
      </c>
      <c r="AB677">
        <v>1038.9156132184421</v>
      </c>
      <c r="AC677">
        <v>0.65</v>
      </c>
      <c r="AE677">
        <v>2.5636386749</v>
      </c>
      <c r="AF677">
        <v>2.5582287475000003</v>
      </c>
      <c r="AG677">
        <v>1038.9156132184421</v>
      </c>
      <c r="AH677">
        <v>0.65</v>
      </c>
      <c r="AJ677">
        <v>-6.5870258574000005</v>
      </c>
      <c r="AK677">
        <v>-2.7062821100999996</v>
      </c>
      <c r="AL677">
        <v>1038.9156132184421</v>
      </c>
      <c r="AM677">
        <v>0.65</v>
      </c>
    </row>
    <row r="678" spans="1:39" x14ac:dyDescent="0.25">
      <c r="A678">
        <v>0</v>
      </c>
      <c r="B678">
        <v>0</v>
      </c>
      <c r="C678">
        <v>-171.00317132019964</v>
      </c>
      <c r="D678">
        <v>0.9</v>
      </c>
      <c r="F678">
        <v>3.7565557647999999</v>
      </c>
      <c r="G678">
        <v>-1.5356464145000002</v>
      </c>
      <c r="H678">
        <v>1038.9156132184421</v>
      </c>
      <c r="I678">
        <v>0.65</v>
      </c>
      <c r="K678">
        <v>-5.3155298813999998</v>
      </c>
      <c r="L678">
        <v>5.2480736194999995</v>
      </c>
      <c r="M678">
        <v>1038.9156132184421</v>
      </c>
      <c r="N678">
        <v>0.65</v>
      </c>
      <c r="U678">
        <v>0</v>
      </c>
      <c r="V678">
        <v>0</v>
      </c>
      <c r="W678">
        <v>-171.00317132019964</v>
      </c>
      <c r="X678">
        <v>0.9</v>
      </c>
      <c r="Z678">
        <v>5.5257345651000005</v>
      </c>
      <c r="AA678">
        <v>13.2677515739</v>
      </c>
      <c r="AB678">
        <v>1038.9156132184421</v>
      </c>
      <c r="AC678">
        <v>0.65</v>
      </c>
      <c r="AE678">
        <v>2.8734385472999997</v>
      </c>
      <c r="AF678">
        <v>2.8658621329999998</v>
      </c>
      <c r="AG678">
        <v>1038.9156132184421</v>
      </c>
      <c r="AH678">
        <v>0.65</v>
      </c>
      <c r="AJ678">
        <v>-5.8628296570999998</v>
      </c>
      <c r="AK678">
        <v>-2.4106279559999999</v>
      </c>
      <c r="AL678">
        <v>1038.9156132184421</v>
      </c>
      <c r="AM678">
        <v>0.65</v>
      </c>
    </row>
    <row r="679" spans="1:39" x14ac:dyDescent="0.25">
      <c r="A679">
        <v>0</v>
      </c>
      <c r="B679">
        <v>0</v>
      </c>
      <c r="C679">
        <v>-171.00317132019964</v>
      </c>
      <c r="D679">
        <v>0.9</v>
      </c>
      <c r="F679">
        <v>3.7898280161999995</v>
      </c>
      <c r="G679">
        <v>-1.5484309723</v>
      </c>
      <c r="H679">
        <v>1038.9156132184421</v>
      </c>
      <c r="I679">
        <v>0.65</v>
      </c>
      <c r="K679">
        <v>-5.5717125256999998</v>
      </c>
      <c r="L679">
        <v>5.4940939699999998</v>
      </c>
      <c r="M679">
        <v>1038.9156132184421</v>
      </c>
      <c r="N679">
        <v>0.65</v>
      </c>
      <c r="U679">
        <v>0</v>
      </c>
      <c r="V679">
        <v>0</v>
      </c>
      <c r="W679">
        <v>-171.00317132019964</v>
      </c>
      <c r="X679">
        <v>0.9</v>
      </c>
      <c r="Z679">
        <v>5.7076693483999996</v>
      </c>
      <c r="AA679">
        <v>13.572560019099999</v>
      </c>
      <c r="AB679">
        <v>1038.9156132184421</v>
      </c>
      <c r="AC679">
        <v>0.65</v>
      </c>
      <c r="AE679">
        <v>2.8646341649</v>
      </c>
      <c r="AF679">
        <v>2.8823498515999999</v>
      </c>
      <c r="AG679">
        <v>1038.9156132184421</v>
      </c>
      <c r="AH679">
        <v>0.65</v>
      </c>
      <c r="AJ679">
        <v>-5.6533690538999997</v>
      </c>
      <c r="AK679">
        <v>-2.2873620864999999</v>
      </c>
      <c r="AL679">
        <v>1038.9156132184421</v>
      </c>
      <c r="AM679">
        <v>0.65</v>
      </c>
    </row>
    <row r="680" spans="1:39" x14ac:dyDescent="0.25">
      <c r="A680">
        <v>0</v>
      </c>
      <c r="B680">
        <v>0</v>
      </c>
      <c r="C680">
        <v>-171.00317132019964</v>
      </c>
      <c r="D680">
        <v>0.9</v>
      </c>
      <c r="F680">
        <v>3.7718747595000002</v>
      </c>
      <c r="G680">
        <v>-1.5425613644</v>
      </c>
      <c r="H680">
        <v>1038.9156132184421</v>
      </c>
      <c r="I680">
        <v>0.65</v>
      </c>
      <c r="K680">
        <v>-4.9367118514000001</v>
      </c>
      <c r="L680">
        <v>4.8762744394999995</v>
      </c>
      <c r="M680">
        <v>1038.9156132184421</v>
      </c>
      <c r="N680">
        <v>0.65</v>
      </c>
      <c r="U680">
        <v>0</v>
      </c>
      <c r="V680">
        <v>0</v>
      </c>
      <c r="W680">
        <v>-171.00317132019964</v>
      </c>
      <c r="X680">
        <v>0.9</v>
      </c>
      <c r="Z680">
        <v>5.8649896450999996</v>
      </c>
      <c r="AA680">
        <v>14.1890881975</v>
      </c>
      <c r="AB680">
        <v>1038.9156132184421</v>
      </c>
      <c r="AC680">
        <v>0.65</v>
      </c>
      <c r="AE680">
        <v>2.8876206064000001</v>
      </c>
      <c r="AF680">
        <v>2.8862221638999999</v>
      </c>
      <c r="AG680">
        <v>1038.9156132184421</v>
      </c>
      <c r="AH680">
        <v>0.65</v>
      </c>
      <c r="AJ680">
        <v>-6.6660693626</v>
      </c>
      <c r="AK680">
        <v>-2.7138973880999999</v>
      </c>
      <c r="AL680">
        <v>1038.9156132184421</v>
      </c>
      <c r="AM680">
        <v>0.65</v>
      </c>
    </row>
    <row r="681" spans="1:39" x14ac:dyDescent="0.25">
      <c r="A681">
        <v>0</v>
      </c>
      <c r="B681">
        <v>0</v>
      </c>
      <c r="C681">
        <v>-171.00317132019964</v>
      </c>
      <c r="D681">
        <v>0.9</v>
      </c>
      <c r="F681">
        <v>4.6709208876000003</v>
      </c>
      <c r="G681">
        <v>-1.9396941547</v>
      </c>
      <c r="H681">
        <v>1038.9156132184421</v>
      </c>
      <c r="I681">
        <v>0.65</v>
      </c>
      <c r="K681">
        <v>-4.2535278620000003</v>
      </c>
      <c r="L681">
        <v>4.2085924938000003</v>
      </c>
      <c r="M681">
        <v>1038.9156132184421</v>
      </c>
      <c r="N681">
        <v>0.65</v>
      </c>
      <c r="U681">
        <v>0</v>
      </c>
      <c r="V681">
        <v>0</v>
      </c>
      <c r="W681">
        <v>-171.00317132019964</v>
      </c>
      <c r="X681">
        <v>0.9</v>
      </c>
      <c r="Z681">
        <v>5.9069408097</v>
      </c>
      <c r="AA681">
        <v>13.9751776581</v>
      </c>
      <c r="AB681">
        <v>1038.9156132184421</v>
      </c>
      <c r="AC681">
        <v>0.65</v>
      </c>
      <c r="AE681">
        <v>-4.9322401129999998</v>
      </c>
      <c r="AF681">
        <v>-5.0166221915999998</v>
      </c>
      <c r="AG681">
        <v>1038.9156132184421</v>
      </c>
      <c r="AH681">
        <v>0.65</v>
      </c>
      <c r="AJ681">
        <v>-9.2405658096999996</v>
      </c>
      <c r="AK681">
        <v>-3.8488300842000003</v>
      </c>
      <c r="AL681">
        <v>1038.9156132184421</v>
      </c>
      <c r="AM681">
        <v>0.65</v>
      </c>
    </row>
    <row r="682" spans="1:39" x14ac:dyDescent="0.25">
      <c r="A682">
        <v>0</v>
      </c>
      <c r="B682">
        <v>0</v>
      </c>
      <c r="C682">
        <v>-171.00317132019964</v>
      </c>
      <c r="D682">
        <v>0.9</v>
      </c>
      <c r="F682">
        <v>4.0893170891999997</v>
      </c>
      <c r="G682">
        <v>-1.6814476270000001</v>
      </c>
      <c r="H682">
        <v>1038.9156132184421</v>
      </c>
      <c r="I682">
        <v>0.65</v>
      </c>
      <c r="K682">
        <v>-5.9231627291999995</v>
      </c>
      <c r="L682">
        <v>6.0014806508000005</v>
      </c>
      <c r="M682">
        <v>1038.9156132184421</v>
      </c>
      <c r="N682">
        <v>0.65</v>
      </c>
      <c r="U682">
        <v>0</v>
      </c>
      <c r="V682">
        <v>0</v>
      </c>
      <c r="W682">
        <v>-171.00317132019964</v>
      </c>
      <c r="X682">
        <v>0.9</v>
      </c>
      <c r="Z682">
        <v>5.7252258010000006</v>
      </c>
      <c r="AA682">
        <v>13.885801471699999</v>
      </c>
      <c r="AB682">
        <v>1038.9156132184421</v>
      </c>
      <c r="AC682">
        <v>0.65</v>
      </c>
      <c r="AE682">
        <v>3.0351645223999997</v>
      </c>
      <c r="AF682">
        <v>3.0340581474999997</v>
      </c>
      <c r="AG682">
        <v>1038.9156132184421</v>
      </c>
      <c r="AH682">
        <v>0.65</v>
      </c>
      <c r="AJ682">
        <v>-6.7002836294999994</v>
      </c>
      <c r="AK682">
        <v>-2.7133142141000004</v>
      </c>
      <c r="AL682">
        <v>1038.9156132184421</v>
      </c>
      <c r="AM682">
        <v>0.65</v>
      </c>
    </row>
    <row r="683" spans="1:39" x14ac:dyDescent="0.25">
      <c r="A683">
        <v>0</v>
      </c>
      <c r="B683">
        <v>0</v>
      </c>
      <c r="C683">
        <v>-171.00317132019964</v>
      </c>
      <c r="D683">
        <v>0.9</v>
      </c>
      <c r="F683">
        <v>4.7179002190999997</v>
      </c>
      <c r="G683">
        <v>-1.9730272273</v>
      </c>
      <c r="H683">
        <v>1038.9156132184421</v>
      </c>
      <c r="I683">
        <v>0.65</v>
      </c>
      <c r="K683">
        <v>-6.1798949808999994</v>
      </c>
      <c r="L683">
        <v>6.2423132309000007</v>
      </c>
      <c r="M683">
        <v>1038.9156132184421</v>
      </c>
      <c r="N683">
        <v>0.65</v>
      </c>
      <c r="U683">
        <v>0</v>
      </c>
      <c r="V683">
        <v>0</v>
      </c>
      <c r="W683">
        <v>-171.00317132019964</v>
      </c>
      <c r="X683">
        <v>0.9</v>
      </c>
      <c r="Z683">
        <v>5.7023750424999999</v>
      </c>
      <c r="AA683">
        <v>13.8811406854</v>
      </c>
      <c r="AB683">
        <v>1038.9156132184421</v>
      </c>
      <c r="AC683">
        <v>0.65</v>
      </c>
      <c r="AE683">
        <v>5.0373985447000003</v>
      </c>
      <c r="AF683">
        <v>5.0041024485000003</v>
      </c>
      <c r="AG683">
        <v>1038.9156132184421</v>
      </c>
      <c r="AH683">
        <v>0.65</v>
      </c>
      <c r="AJ683">
        <v>-6.5957531308000004</v>
      </c>
      <c r="AK683">
        <v>-2.7158128225000002</v>
      </c>
      <c r="AL683">
        <v>1038.9156132184421</v>
      </c>
      <c r="AM683">
        <v>0.65</v>
      </c>
    </row>
    <row r="684" spans="1:39" x14ac:dyDescent="0.25">
      <c r="A684">
        <v>0</v>
      </c>
      <c r="B684">
        <v>0</v>
      </c>
      <c r="C684">
        <v>-171.00317132019964</v>
      </c>
      <c r="D684">
        <v>0.9</v>
      </c>
      <c r="F684">
        <v>3.1804974764000002</v>
      </c>
      <c r="G684">
        <v>-1.30945391</v>
      </c>
      <c r="H684">
        <v>1038.9156132184421</v>
      </c>
      <c r="I684">
        <v>0.65</v>
      </c>
      <c r="K684">
        <v>3.0676460719</v>
      </c>
      <c r="L684">
        <v>-3.0341625598000004</v>
      </c>
      <c r="M684">
        <v>1038.9156132184421</v>
      </c>
      <c r="N684">
        <v>0.65</v>
      </c>
      <c r="U684">
        <v>0</v>
      </c>
      <c r="V684">
        <v>0</v>
      </c>
      <c r="W684">
        <v>-171.00317132019964</v>
      </c>
      <c r="X684">
        <v>0.9</v>
      </c>
      <c r="Z684">
        <v>6.0297702907999993</v>
      </c>
      <c r="AA684">
        <v>14.2917265073</v>
      </c>
      <c r="AB684">
        <v>1038.9156132184421</v>
      </c>
      <c r="AC684">
        <v>0.65</v>
      </c>
      <c r="AE684">
        <v>5.5721105351999993</v>
      </c>
      <c r="AF684">
        <v>5.4939477624000004</v>
      </c>
      <c r="AG684">
        <v>1038.9156132184421</v>
      </c>
      <c r="AH684">
        <v>0.65</v>
      </c>
      <c r="AJ684">
        <v>-9.3084458900999998</v>
      </c>
      <c r="AK684">
        <v>-3.8608752926999999</v>
      </c>
      <c r="AL684">
        <v>1038.9156132184421</v>
      </c>
      <c r="AM684">
        <v>0.65</v>
      </c>
    </row>
    <row r="685" spans="1:39" x14ac:dyDescent="0.25">
      <c r="A685">
        <v>0</v>
      </c>
      <c r="B685">
        <v>0</v>
      </c>
      <c r="C685">
        <v>-171.00317132019964</v>
      </c>
      <c r="D685">
        <v>0.9</v>
      </c>
      <c r="F685">
        <v>4.1045521918999999</v>
      </c>
      <c r="G685">
        <v>-1.6883958673999999</v>
      </c>
      <c r="H685">
        <v>1038.9156132184421</v>
      </c>
      <c r="I685">
        <v>0.65</v>
      </c>
      <c r="K685">
        <v>-5.6916504851000003</v>
      </c>
      <c r="L685">
        <v>5.6186921110000005</v>
      </c>
      <c r="M685">
        <v>1038.9156132184421</v>
      </c>
      <c r="N685">
        <v>0.65</v>
      </c>
      <c r="U685">
        <v>0</v>
      </c>
      <c r="V685">
        <v>0</v>
      </c>
      <c r="W685">
        <v>-171.00317132019964</v>
      </c>
      <c r="X685">
        <v>0.9</v>
      </c>
      <c r="Z685">
        <v>5.0084883538000007</v>
      </c>
      <c r="AA685">
        <v>11.914122669200001</v>
      </c>
      <c r="AB685">
        <v>1038.9156132184421</v>
      </c>
      <c r="AC685">
        <v>0.65</v>
      </c>
      <c r="AE685">
        <v>4.2527506297999995</v>
      </c>
      <c r="AF685">
        <v>4.2088780076000001</v>
      </c>
      <c r="AG685">
        <v>1038.9156132184421</v>
      </c>
      <c r="AH685">
        <v>0.65</v>
      </c>
      <c r="AJ685">
        <v>-6.6119825725999997</v>
      </c>
      <c r="AK685">
        <v>-2.7613482322</v>
      </c>
      <c r="AL685">
        <v>1038.9156132184421</v>
      </c>
      <c r="AM685">
        <v>0.65</v>
      </c>
    </row>
    <row r="686" spans="1:39" x14ac:dyDescent="0.25">
      <c r="A686">
        <v>0</v>
      </c>
      <c r="B686">
        <v>0</v>
      </c>
      <c r="C686">
        <v>-171.00317132019964</v>
      </c>
      <c r="D686">
        <v>0.9</v>
      </c>
      <c r="F686">
        <v>4.0812423346000006</v>
      </c>
      <c r="G686">
        <v>-1.6716579785999999</v>
      </c>
      <c r="H686">
        <v>1038.9156132184421</v>
      </c>
      <c r="I686">
        <v>0.65</v>
      </c>
      <c r="K686">
        <v>-4.0482625356000002</v>
      </c>
      <c r="L686">
        <v>4.0874426523</v>
      </c>
      <c r="M686">
        <v>1038.9156132184421</v>
      </c>
      <c r="N686">
        <v>0.65</v>
      </c>
      <c r="U686">
        <v>0</v>
      </c>
      <c r="V686">
        <v>0</v>
      </c>
      <c r="W686">
        <v>-171.00317132019964</v>
      </c>
      <c r="X686">
        <v>0.9</v>
      </c>
      <c r="Z686">
        <v>5.4939898675999999</v>
      </c>
      <c r="AA686">
        <v>13.2663579489</v>
      </c>
      <c r="AB686">
        <v>1038.9156132184421</v>
      </c>
      <c r="AC686">
        <v>0.65</v>
      </c>
      <c r="AE686">
        <v>4.9373282619999994</v>
      </c>
      <c r="AF686">
        <v>4.8760480030000002</v>
      </c>
      <c r="AG686">
        <v>1038.9156132184421</v>
      </c>
      <c r="AH686">
        <v>0.65</v>
      </c>
      <c r="AJ686">
        <v>-9.3576296092</v>
      </c>
      <c r="AK686">
        <v>-3.8283640277000002</v>
      </c>
      <c r="AL686">
        <v>1038.9156132184421</v>
      </c>
      <c r="AM686">
        <v>0.65</v>
      </c>
    </row>
    <row r="687" spans="1:39" x14ac:dyDescent="0.25">
      <c r="A687">
        <v>0</v>
      </c>
      <c r="B687">
        <v>0</v>
      </c>
      <c r="C687">
        <v>-171.00317132019964</v>
      </c>
      <c r="D687">
        <v>0.9</v>
      </c>
      <c r="F687">
        <v>5.0059781386999997</v>
      </c>
      <c r="G687">
        <v>-2.0715919278000001</v>
      </c>
      <c r="H687">
        <v>1038.9156132184421</v>
      </c>
      <c r="I687">
        <v>0.65</v>
      </c>
      <c r="K687">
        <v>-6.4709185383000003</v>
      </c>
      <c r="L687">
        <v>6.4645353993000008</v>
      </c>
      <c r="M687">
        <v>1038.9156132184421</v>
      </c>
      <c r="N687">
        <v>0.65</v>
      </c>
      <c r="U687">
        <v>0</v>
      </c>
      <c r="V687">
        <v>0</v>
      </c>
      <c r="W687">
        <v>-171.00317132019964</v>
      </c>
      <c r="X687">
        <v>0.9</v>
      </c>
      <c r="Z687">
        <v>6.0184037136999997</v>
      </c>
      <c r="AA687">
        <v>14.2828470422</v>
      </c>
      <c r="AB687">
        <v>1038.9156132184421</v>
      </c>
      <c r="AC687">
        <v>0.65</v>
      </c>
      <c r="AE687">
        <v>-3.2025517936000001</v>
      </c>
      <c r="AF687">
        <v>-3.1918208721000001</v>
      </c>
      <c r="AG687">
        <v>1038.9156132184421</v>
      </c>
      <c r="AH687">
        <v>0.65</v>
      </c>
      <c r="AJ687">
        <v>-9.2464566921999989</v>
      </c>
      <c r="AK687">
        <v>-3.8334985162999997</v>
      </c>
      <c r="AL687">
        <v>1038.9156132184421</v>
      </c>
      <c r="AM687">
        <v>0.65</v>
      </c>
    </row>
    <row r="688" spans="1:39" x14ac:dyDescent="0.25">
      <c r="A688">
        <v>0</v>
      </c>
      <c r="B688">
        <v>0</v>
      </c>
      <c r="C688">
        <v>-171.00317132019964</v>
      </c>
      <c r="D688">
        <v>0.9</v>
      </c>
      <c r="F688">
        <v>4.3781870084000003</v>
      </c>
      <c r="G688">
        <v>-1.8251759689</v>
      </c>
      <c r="H688">
        <v>1038.9156132184421</v>
      </c>
      <c r="I688">
        <v>0.65</v>
      </c>
      <c r="K688">
        <v>-6.3860049427000005</v>
      </c>
      <c r="L688">
        <v>6.3390983762999999</v>
      </c>
      <c r="M688">
        <v>1038.9156132184421</v>
      </c>
      <c r="N688">
        <v>0.65</v>
      </c>
      <c r="U688">
        <v>0</v>
      </c>
      <c r="V688">
        <v>0</v>
      </c>
      <c r="W688">
        <v>-171.00317132019964</v>
      </c>
      <c r="X688">
        <v>0.9</v>
      </c>
      <c r="AE688">
        <v>6.3859348024999996</v>
      </c>
      <c r="AF688">
        <v>6.3391241420999993</v>
      </c>
      <c r="AG688">
        <v>1038.9156132184421</v>
      </c>
      <c r="AH688">
        <v>0.65</v>
      </c>
      <c r="AJ688">
        <v>-7.8985659209000003</v>
      </c>
      <c r="AK688">
        <v>-3.2593419411000002</v>
      </c>
      <c r="AL688">
        <v>1038.9156132184421</v>
      </c>
      <c r="AM688">
        <v>0.65</v>
      </c>
    </row>
    <row r="689" spans="1:39" x14ac:dyDescent="0.25">
      <c r="A689">
        <v>0</v>
      </c>
      <c r="B689">
        <v>0</v>
      </c>
      <c r="C689">
        <v>-171.00317132019964</v>
      </c>
      <c r="D689">
        <v>0.9</v>
      </c>
      <c r="F689">
        <v>4.1212798385999996</v>
      </c>
      <c r="G689">
        <v>-1.6947518284</v>
      </c>
      <c r="H689">
        <v>1038.9156132184421</v>
      </c>
      <c r="I689">
        <v>0.65</v>
      </c>
      <c r="K689">
        <v>-6.7006825669000003</v>
      </c>
      <c r="L689">
        <v>6.7032474626000003</v>
      </c>
      <c r="M689">
        <v>1038.9156132184421</v>
      </c>
      <c r="N689">
        <v>0.65</v>
      </c>
      <c r="U689">
        <v>0</v>
      </c>
      <c r="V689">
        <v>0</v>
      </c>
      <c r="W689">
        <v>-171.00317132019964</v>
      </c>
      <c r="X689">
        <v>0.9</v>
      </c>
      <c r="AE689">
        <v>3.8909146513000001</v>
      </c>
      <c r="AF689">
        <v>3.9493331995999998</v>
      </c>
      <c r="AG689">
        <v>1038.9156132184421</v>
      </c>
      <c r="AH689">
        <v>0.65</v>
      </c>
      <c r="AJ689">
        <v>-7.8627499997999992</v>
      </c>
      <c r="AK689">
        <v>-3.2345728599000001</v>
      </c>
      <c r="AL689">
        <v>1038.9156132184421</v>
      </c>
      <c r="AM689">
        <v>0.65</v>
      </c>
    </row>
    <row r="690" spans="1:39" x14ac:dyDescent="0.25">
      <c r="A690">
        <v>0</v>
      </c>
      <c r="B690">
        <v>0</v>
      </c>
      <c r="C690">
        <v>-171.00317132019964</v>
      </c>
      <c r="D690">
        <v>0.9</v>
      </c>
      <c r="F690">
        <v>4.7281916581000001</v>
      </c>
      <c r="G690">
        <v>-1.9559494068000001</v>
      </c>
      <c r="H690">
        <v>1038.9156132184421</v>
      </c>
      <c r="I690">
        <v>0.65</v>
      </c>
      <c r="K690">
        <v>-6.5072271907000001</v>
      </c>
      <c r="L690">
        <v>6.5919580627000007</v>
      </c>
      <c r="M690">
        <v>1038.9156132184421</v>
      </c>
      <c r="N690">
        <v>0.65</v>
      </c>
      <c r="U690">
        <v>0</v>
      </c>
      <c r="V690">
        <v>0</v>
      </c>
      <c r="W690">
        <v>-171.00317132019964</v>
      </c>
      <c r="X690">
        <v>0.9</v>
      </c>
      <c r="AE690">
        <v>4.6835611978999996</v>
      </c>
      <c r="AF690">
        <v>4.7526188469999999</v>
      </c>
      <c r="AG690">
        <v>1038.9156132184421</v>
      </c>
      <c r="AH690">
        <v>0.65</v>
      </c>
      <c r="AJ690">
        <v>-7.8897404144999994</v>
      </c>
      <c r="AK690">
        <v>-3.2368562939999999</v>
      </c>
      <c r="AL690">
        <v>1038.9156132184421</v>
      </c>
      <c r="AM690">
        <v>0.65</v>
      </c>
    </row>
    <row r="691" spans="1:39" x14ac:dyDescent="0.25">
      <c r="A691">
        <v>0</v>
      </c>
      <c r="B691">
        <v>0</v>
      </c>
      <c r="C691">
        <v>-171.00317132019964</v>
      </c>
      <c r="D691">
        <v>0.9</v>
      </c>
      <c r="F691">
        <v>4.7566635600999998</v>
      </c>
      <c r="G691">
        <v>-1.9316571168999999</v>
      </c>
      <c r="H691">
        <v>1038.9156132184421</v>
      </c>
      <c r="I691">
        <v>0.65</v>
      </c>
      <c r="K691">
        <v>-7.3219289635999996</v>
      </c>
      <c r="L691">
        <v>7.3952434530999991</v>
      </c>
      <c r="M691">
        <v>1038.9156132184421</v>
      </c>
      <c r="N691">
        <v>0.65</v>
      </c>
      <c r="U691">
        <v>0</v>
      </c>
      <c r="V691">
        <v>0</v>
      </c>
      <c r="W691">
        <v>-171.00317132019964</v>
      </c>
      <c r="X691">
        <v>0.9</v>
      </c>
      <c r="AE691">
        <v>-3.2362745201000003</v>
      </c>
      <c r="AF691">
        <v>-3.1914327537999996</v>
      </c>
      <c r="AG691">
        <v>1038.9156132184421</v>
      </c>
      <c r="AH691">
        <v>0.65</v>
      </c>
      <c r="AJ691">
        <v>-9.2234747918000011</v>
      </c>
      <c r="AK691">
        <v>-3.9075878985999997</v>
      </c>
      <c r="AL691">
        <v>1038.9156132184421</v>
      </c>
      <c r="AM691">
        <v>0.65</v>
      </c>
    </row>
    <row r="692" spans="1:39" x14ac:dyDescent="0.25">
      <c r="A692">
        <v>0</v>
      </c>
      <c r="B692">
        <v>0</v>
      </c>
      <c r="C692">
        <v>-171.00317132019964</v>
      </c>
      <c r="D692">
        <v>0.9</v>
      </c>
      <c r="F692">
        <v>5.5997872579000001</v>
      </c>
      <c r="G692">
        <v>-2.2956307878</v>
      </c>
      <c r="H692">
        <v>1038.9156132184421</v>
      </c>
      <c r="I692">
        <v>0.65</v>
      </c>
      <c r="K692">
        <v>-6.8770294037999999</v>
      </c>
      <c r="L692">
        <v>6.8049523953999991</v>
      </c>
      <c r="M692">
        <v>1038.9156132184421</v>
      </c>
      <c r="N692">
        <v>0.65</v>
      </c>
      <c r="U692">
        <v>0</v>
      </c>
      <c r="V692">
        <v>0</v>
      </c>
      <c r="W692">
        <v>-171.00317132019964</v>
      </c>
      <c r="X692">
        <v>0.9</v>
      </c>
      <c r="AE692">
        <v>-4.8170713049999998</v>
      </c>
      <c r="AF692">
        <v>-4.8941141431000004</v>
      </c>
      <c r="AG692">
        <v>1038.9156132184421</v>
      </c>
      <c r="AH692">
        <v>0.65</v>
      </c>
      <c r="AJ692">
        <v>-7.8824652465999998</v>
      </c>
      <c r="AK692">
        <v>-3.2527371814000001</v>
      </c>
      <c r="AL692">
        <v>1038.9156132184421</v>
      </c>
      <c r="AM692">
        <v>0.65</v>
      </c>
    </row>
    <row r="693" spans="1:39" x14ac:dyDescent="0.25">
      <c r="A693">
        <v>0</v>
      </c>
      <c r="B693">
        <v>0</v>
      </c>
      <c r="C693">
        <v>-171.00317132019964</v>
      </c>
      <c r="D693">
        <v>0.9</v>
      </c>
      <c r="F693">
        <v>4.7177931687000001</v>
      </c>
      <c r="G693">
        <v>-1.9340879593</v>
      </c>
      <c r="H693">
        <v>1038.9156132184421</v>
      </c>
      <c r="I693">
        <v>0.65</v>
      </c>
      <c r="K693">
        <v>-7.1734503303999997</v>
      </c>
      <c r="L693">
        <v>7.1577672074000001</v>
      </c>
      <c r="M693">
        <v>1038.9156132184421</v>
      </c>
      <c r="N693">
        <v>0.65</v>
      </c>
      <c r="U693">
        <v>0</v>
      </c>
      <c r="V693">
        <v>0</v>
      </c>
      <c r="W693">
        <v>-171.00317132019964</v>
      </c>
      <c r="X693">
        <v>0.9</v>
      </c>
      <c r="AE693">
        <v>3.8115751506</v>
      </c>
      <c r="AF693">
        <v>3.7836140182999998</v>
      </c>
      <c r="AG693">
        <v>1038.9156132184421</v>
      </c>
      <c r="AH693">
        <v>0.65</v>
      </c>
      <c r="AJ693">
        <v>-6.8049241521999999</v>
      </c>
      <c r="AK693">
        <v>-2.8846730910999998</v>
      </c>
      <c r="AL693">
        <v>1038.9156132184421</v>
      </c>
      <c r="AM693">
        <v>0.65</v>
      </c>
    </row>
    <row r="694" spans="1:39" x14ac:dyDescent="0.25">
      <c r="A694">
        <v>0</v>
      </c>
      <c r="B694">
        <v>0</v>
      </c>
      <c r="C694">
        <v>-171.00317132019964</v>
      </c>
      <c r="D694">
        <v>0.9</v>
      </c>
      <c r="F694">
        <v>5.5900266520000006</v>
      </c>
      <c r="G694">
        <v>-2.2865101279999998</v>
      </c>
      <c r="H694">
        <v>1038.9156132184421</v>
      </c>
      <c r="I694">
        <v>0.65</v>
      </c>
      <c r="K694">
        <v>-7.6055301749000002</v>
      </c>
      <c r="L694">
        <v>7.4772600820999999</v>
      </c>
      <c r="M694">
        <v>1038.9156132184421</v>
      </c>
      <c r="N694">
        <v>0.65</v>
      </c>
      <c r="U694">
        <v>0</v>
      </c>
      <c r="V694">
        <v>0</v>
      </c>
      <c r="W694">
        <v>-171.00317132019964</v>
      </c>
      <c r="X694">
        <v>0.9</v>
      </c>
      <c r="AE694">
        <v>-3.3356671758999998</v>
      </c>
      <c r="AF694">
        <v>-3.3518802016000002</v>
      </c>
      <c r="AG694">
        <v>1038.9156132184421</v>
      </c>
      <c r="AH694">
        <v>0.65</v>
      </c>
      <c r="AJ694">
        <v>-5.5571565877999998</v>
      </c>
      <c r="AK694">
        <v>-2.2865598882000002</v>
      </c>
      <c r="AL694">
        <v>1038.9156132184421</v>
      </c>
      <c r="AM694">
        <v>0.65</v>
      </c>
    </row>
    <row r="695" spans="1:39" x14ac:dyDescent="0.25">
      <c r="A695">
        <v>0</v>
      </c>
      <c r="B695">
        <v>0</v>
      </c>
      <c r="C695">
        <v>-171.00317132019964</v>
      </c>
      <c r="D695">
        <v>0.9</v>
      </c>
      <c r="F695">
        <v>4.1000354278</v>
      </c>
      <c r="G695">
        <v>-1.7161760663000001</v>
      </c>
      <c r="H695">
        <v>1038.9156132184421</v>
      </c>
      <c r="I695">
        <v>0.65</v>
      </c>
      <c r="K695">
        <v>-8.5966421511999993</v>
      </c>
      <c r="L695">
        <v>8.5885272034</v>
      </c>
      <c r="M695">
        <v>1038.9156132184421</v>
      </c>
      <c r="N695">
        <v>0.65</v>
      </c>
      <c r="U695">
        <v>0</v>
      </c>
      <c r="V695">
        <v>0</v>
      </c>
      <c r="W695">
        <v>-171.00317132019964</v>
      </c>
      <c r="X695">
        <v>0.9</v>
      </c>
      <c r="AE695">
        <v>5.9194323766000005</v>
      </c>
      <c r="AF695">
        <v>6.0028509844999993</v>
      </c>
      <c r="AG695">
        <v>1038.9156132184421</v>
      </c>
      <c r="AH695">
        <v>0.65</v>
      </c>
      <c r="AJ695">
        <v>-7.9638016045999995</v>
      </c>
      <c r="AK695">
        <v>-3.2594425972000001</v>
      </c>
      <c r="AL695">
        <v>1038.9156132184421</v>
      </c>
      <c r="AM695">
        <v>0.65</v>
      </c>
    </row>
    <row r="696" spans="1:39" x14ac:dyDescent="0.25">
      <c r="A696">
        <v>0</v>
      </c>
      <c r="B696">
        <v>0</v>
      </c>
      <c r="C696">
        <v>-171.00317132019964</v>
      </c>
      <c r="D696">
        <v>0.9</v>
      </c>
      <c r="F696">
        <v>5.6514245400000007</v>
      </c>
      <c r="G696">
        <v>-2.2881337189000002</v>
      </c>
      <c r="H696">
        <v>1038.9156132184421</v>
      </c>
      <c r="I696">
        <v>0.65</v>
      </c>
      <c r="K696">
        <v>-8.7879639098000002</v>
      </c>
      <c r="L696">
        <v>8.6896009017999987</v>
      </c>
      <c r="M696">
        <v>1038.9156132184421</v>
      </c>
      <c r="N696">
        <v>0.65</v>
      </c>
      <c r="U696">
        <v>0</v>
      </c>
      <c r="V696">
        <v>0</v>
      </c>
      <c r="W696">
        <v>-171.00317132019964</v>
      </c>
      <c r="X696">
        <v>0.9</v>
      </c>
      <c r="AE696">
        <v>4.0512711620999999</v>
      </c>
      <c r="AF696">
        <v>4.0732825001999995</v>
      </c>
      <c r="AG696">
        <v>1038.9156132184421</v>
      </c>
      <c r="AH696">
        <v>0.65</v>
      </c>
      <c r="AJ696">
        <v>-9.2089799688999996</v>
      </c>
      <c r="AK696">
        <v>-3.8743580640999999</v>
      </c>
      <c r="AL696">
        <v>1038.9156132184421</v>
      </c>
      <c r="AM696">
        <v>0.65</v>
      </c>
    </row>
    <row r="697" spans="1:39" x14ac:dyDescent="0.25">
      <c r="A697">
        <v>0</v>
      </c>
      <c r="B697">
        <v>0</v>
      </c>
      <c r="C697">
        <v>-171.00317132019964</v>
      </c>
      <c r="D697">
        <v>0.9</v>
      </c>
      <c r="F697">
        <v>5.8623154289000006</v>
      </c>
      <c r="G697">
        <v>-2.4108320148</v>
      </c>
      <c r="H697">
        <v>1038.9156132184421</v>
      </c>
      <c r="I697">
        <v>0.65</v>
      </c>
      <c r="K697">
        <v>-7.8468199562999992</v>
      </c>
      <c r="L697">
        <v>7.8290870239000006</v>
      </c>
      <c r="M697">
        <v>1038.9156132184421</v>
      </c>
      <c r="N697">
        <v>0.65</v>
      </c>
      <c r="U697">
        <v>0</v>
      </c>
      <c r="V697">
        <v>0</v>
      </c>
      <c r="W697">
        <v>-171.00317132019964</v>
      </c>
      <c r="X697">
        <v>0.9</v>
      </c>
      <c r="AE697">
        <v>6.1804078822999999</v>
      </c>
      <c r="AF697">
        <v>6.2421248180999998</v>
      </c>
      <c r="AG697">
        <v>1038.9156132184421</v>
      </c>
      <c r="AH697">
        <v>0.65</v>
      </c>
      <c r="AJ697">
        <v>-9.2007381489999993</v>
      </c>
      <c r="AK697">
        <v>-3.8386468793000001</v>
      </c>
      <c r="AL697">
        <v>1038.9156132184421</v>
      </c>
      <c r="AM697">
        <v>0.65</v>
      </c>
    </row>
    <row r="698" spans="1:39" x14ac:dyDescent="0.25">
      <c r="A698">
        <v>0</v>
      </c>
      <c r="B698">
        <v>0</v>
      </c>
      <c r="C698">
        <v>-171.00317132019964</v>
      </c>
      <c r="D698">
        <v>0.9</v>
      </c>
      <c r="F698">
        <v>7.8945115470999996</v>
      </c>
      <c r="G698">
        <v>-3.2349629873999999</v>
      </c>
      <c r="H698">
        <v>1038.9156132184421</v>
      </c>
      <c r="I698">
        <v>0.65</v>
      </c>
      <c r="K698">
        <v>-7.1521136406999997</v>
      </c>
      <c r="L698">
        <v>7.1525502326000003</v>
      </c>
      <c r="M698">
        <v>1038.9156132184421</v>
      </c>
      <c r="N698">
        <v>0.65</v>
      </c>
      <c r="U698">
        <v>0</v>
      </c>
      <c r="V698">
        <v>0</v>
      </c>
      <c r="W698">
        <v>-171.00317132019964</v>
      </c>
      <c r="X698">
        <v>0.9</v>
      </c>
      <c r="AE698">
        <v>5.3151882541999997</v>
      </c>
      <c r="AF698">
        <v>5.2481991152000003</v>
      </c>
      <c r="AG698">
        <v>1038.9156132184421</v>
      </c>
      <c r="AH698">
        <v>0.65</v>
      </c>
      <c r="AJ698">
        <v>-7.8495481796000002</v>
      </c>
      <c r="AK698">
        <v>-3.2268177613</v>
      </c>
      <c r="AL698">
        <v>1038.9156132184421</v>
      </c>
      <c r="AM698">
        <v>0.65</v>
      </c>
    </row>
    <row r="699" spans="1:39" x14ac:dyDescent="0.25">
      <c r="A699">
        <v>0</v>
      </c>
      <c r="B699">
        <v>0</v>
      </c>
      <c r="C699">
        <v>-171.00317132019964</v>
      </c>
      <c r="D699">
        <v>0.9</v>
      </c>
      <c r="F699">
        <v>6.5939097806999998</v>
      </c>
      <c r="G699">
        <v>-2.7165443105999998</v>
      </c>
      <c r="H699">
        <v>1038.9156132184421</v>
      </c>
      <c r="I699">
        <v>0.65</v>
      </c>
      <c r="K699">
        <v>-7.7293334343</v>
      </c>
      <c r="L699">
        <v>7.7177871454</v>
      </c>
      <c r="M699">
        <v>1038.9156132184421</v>
      </c>
      <c r="N699">
        <v>0.65</v>
      </c>
      <c r="U699">
        <v>0</v>
      </c>
      <c r="V699">
        <v>0</v>
      </c>
      <c r="W699">
        <v>-171.00317132019964</v>
      </c>
      <c r="X699">
        <v>0.9</v>
      </c>
      <c r="AE699">
        <v>3.0443209759000003</v>
      </c>
      <c r="AF699">
        <v>3.0434185502999997</v>
      </c>
      <c r="AG699">
        <v>1038.9156132184421</v>
      </c>
      <c r="AH699">
        <v>0.65</v>
      </c>
      <c r="AJ699">
        <v>-7.8587159670000002</v>
      </c>
      <c r="AK699">
        <v>-3.2101858343999998</v>
      </c>
      <c r="AL699">
        <v>1038.9156132184421</v>
      </c>
      <c r="AM699">
        <v>0.65</v>
      </c>
    </row>
    <row r="700" spans="1:39" x14ac:dyDescent="0.25">
      <c r="A700">
        <v>0</v>
      </c>
      <c r="B700">
        <v>0</v>
      </c>
      <c r="C700">
        <v>-171.00317132019964</v>
      </c>
      <c r="D700">
        <v>0.9</v>
      </c>
      <c r="F700">
        <v>6.6013548555000003</v>
      </c>
      <c r="G700">
        <v>-2.7005959997000004</v>
      </c>
      <c r="H700">
        <v>1038.9156132184421</v>
      </c>
      <c r="I700">
        <v>0.65</v>
      </c>
      <c r="K700">
        <v>-8.3329938683000009</v>
      </c>
      <c r="L700">
        <v>8.3786327874999991</v>
      </c>
      <c r="M700">
        <v>1038.9156132184421</v>
      </c>
      <c r="N700">
        <v>0.65</v>
      </c>
      <c r="U700">
        <v>0</v>
      </c>
      <c r="V700">
        <v>0</v>
      </c>
      <c r="W700">
        <v>-171.00317132019964</v>
      </c>
      <c r="X700">
        <v>0.9</v>
      </c>
      <c r="AE700">
        <v>-3.3686450206000003</v>
      </c>
      <c r="AF700">
        <v>-3.3517876713999999</v>
      </c>
      <c r="AG700">
        <v>1038.9156132184421</v>
      </c>
      <c r="AH700">
        <v>0.65</v>
      </c>
      <c r="AJ700">
        <v>-7.9459849357999994</v>
      </c>
      <c r="AK700">
        <v>-3.2535187878</v>
      </c>
      <c r="AL700">
        <v>1038.9156132184421</v>
      </c>
      <c r="AM700">
        <v>0.65</v>
      </c>
    </row>
    <row r="701" spans="1:39" x14ac:dyDescent="0.25">
      <c r="A701">
        <v>0</v>
      </c>
      <c r="B701">
        <v>0</v>
      </c>
      <c r="C701">
        <v>-171.00317132019964</v>
      </c>
      <c r="D701">
        <v>0.9</v>
      </c>
      <c r="F701">
        <v>7.8944511603</v>
      </c>
      <c r="G701">
        <v>-3.2609747826</v>
      </c>
      <c r="H701">
        <v>1038.9156132184421</v>
      </c>
      <c r="I701">
        <v>0.65</v>
      </c>
      <c r="K701">
        <v>-8.3674607398000003</v>
      </c>
      <c r="L701">
        <v>8.3790264301999997</v>
      </c>
      <c r="M701">
        <v>1038.9156132184421</v>
      </c>
      <c r="N701">
        <v>0.65</v>
      </c>
      <c r="U701">
        <v>0</v>
      </c>
      <c r="V701">
        <v>0</v>
      </c>
      <c r="W701">
        <v>-171.00317132019964</v>
      </c>
      <c r="X701">
        <v>0.9</v>
      </c>
      <c r="AE701">
        <v>4.5104036815999997</v>
      </c>
      <c r="AF701">
        <v>4.4777699157999997</v>
      </c>
      <c r="AG701">
        <v>1038.9156132184421</v>
      </c>
      <c r="AH701">
        <v>0.65</v>
      </c>
      <c r="AJ701">
        <v>-6.6537338914999999</v>
      </c>
      <c r="AK701">
        <v>-2.7057985001999998</v>
      </c>
      <c r="AL701">
        <v>1038.9156132184421</v>
      </c>
      <c r="AM701">
        <v>0.65</v>
      </c>
    </row>
    <row r="702" spans="1:39" x14ac:dyDescent="0.25">
      <c r="A702">
        <v>0</v>
      </c>
      <c r="B702">
        <v>0</v>
      </c>
      <c r="C702">
        <v>-171.00317132019964</v>
      </c>
      <c r="D702">
        <v>0.9</v>
      </c>
      <c r="F702">
        <v>5.5314611075000002</v>
      </c>
      <c r="G702">
        <v>-2.2837625912999999</v>
      </c>
      <c r="H702">
        <v>1038.9156132184421</v>
      </c>
      <c r="I702">
        <v>0.65</v>
      </c>
      <c r="K702">
        <v>-8.1072454508000007</v>
      </c>
      <c r="L702">
        <v>8.0391375895999992</v>
      </c>
      <c r="M702">
        <v>1038.9156132184421</v>
      </c>
      <c r="N702">
        <v>0.65</v>
      </c>
      <c r="U702">
        <v>0</v>
      </c>
      <c r="V702">
        <v>0</v>
      </c>
      <c r="W702">
        <v>-171.00317132019964</v>
      </c>
      <c r="X702">
        <v>0.9</v>
      </c>
      <c r="AE702">
        <v>5.9930519704999998</v>
      </c>
      <c r="AF702">
        <v>5.9888619944000006</v>
      </c>
      <c r="AG702">
        <v>1038.9156132184421</v>
      </c>
      <c r="AH702">
        <v>0.65</v>
      </c>
      <c r="AJ702">
        <v>-10.7731742723</v>
      </c>
      <c r="AK702">
        <v>-4.5134593297999999</v>
      </c>
      <c r="AL702">
        <v>1038.9156132184421</v>
      </c>
      <c r="AM702">
        <v>0.65</v>
      </c>
    </row>
    <row r="703" spans="1:39" x14ac:dyDescent="0.25">
      <c r="A703">
        <v>0</v>
      </c>
      <c r="B703">
        <v>0</v>
      </c>
      <c r="C703">
        <v>-171.00317132019964</v>
      </c>
      <c r="D703">
        <v>0.9</v>
      </c>
      <c r="F703">
        <v>5.5135727587999996</v>
      </c>
      <c r="G703">
        <v>-2.2778672263000002</v>
      </c>
      <c r="H703">
        <v>1038.9156132184421</v>
      </c>
      <c r="I703">
        <v>0.65</v>
      </c>
      <c r="K703">
        <v>-6.9654201491000007</v>
      </c>
      <c r="L703">
        <v>6.9230984925999994</v>
      </c>
      <c r="M703">
        <v>1038.9156132184421</v>
      </c>
      <c r="N703">
        <v>0.65</v>
      </c>
      <c r="U703">
        <v>0</v>
      </c>
      <c r="V703">
        <v>0</v>
      </c>
      <c r="W703">
        <v>-171.00317132019964</v>
      </c>
      <c r="X703">
        <v>0.9</v>
      </c>
      <c r="AE703">
        <v>3.5067181240999998</v>
      </c>
      <c r="AF703">
        <v>3.5016929074000003</v>
      </c>
      <c r="AG703">
        <v>1038.9156132184421</v>
      </c>
      <c r="AH703">
        <v>0.65</v>
      </c>
      <c r="AJ703">
        <v>-9.6348354082000007</v>
      </c>
      <c r="AK703">
        <v>-3.9211121403</v>
      </c>
      <c r="AL703">
        <v>1038.9156132184421</v>
      </c>
      <c r="AM703">
        <v>0.65</v>
      </c>
    </row>
    <row r="704" spans="1:39" x14ac:dyDescent="0.25">
      <c r="A704">
        <v>7.1333219454000005</v>
      </c>
      <c r="B704">
        <v>0</v>
      </c>
      <c r="C704">
        <v>1038.9156132184421</v>
      </c>
      <c r="D704">
        <v>0.65</v>
      </c>
      <c r="F704">
        <v>6.6116406778999997</v>
      </c>
      <c r="G704">
        <v>-2.7614839046999999</v>
      </c>
      <c r="H704">
        <v>1038.9156132184421</v>
      </c>
      <c r="I704">
        <v>0.65</v>
      </c>
      <c r="K704">
        <v>-8.2293418299999992</v>
      </c>
      <c r="L704">
        <v>8.2682644592999992</v>
      </c>
      <c r="M704">
        <v>1038.9156132184421</v>
      </c>
      <c r="N704">
        <v>0.65</v>
      </c>
      <c r="U704">
        <v>0</v>
      </c>
      <c r="V704">
        <v>-0.36503140019999997</v>
      </c>
      <c r="W704">
        <v>1038.9156132184421</v>
      </c>
      <c r="X704">
        <v>0.65</v>
      </c>
      <c r="AE704">
        <v>-4.4576171632000001</v>
      </c>
      <c r="AF704">
        <v>-4.4841059393</v>
      </c>
      <c r="AG704">
        <v>1038.9156132184421</v>
      </c>
      <c r="AH704">
        <v>0.65</v>
      </c>
      <c r="AJ704">
        <v>-10.843086509800001</v>
      </c>
      <c r="AK704">
        <v>-4.4987102944999995</v>
      </c>
      <c r="AL704">
        <v>1038.9156132184421</v>
      </c>
      <c r="AM704">
        <v>0.65</v>
      </c>
    </row>
    <row r="705" spans="1:39" x14ac:dyDescent="0.25">
      <c r="A705">
        <v>15.0387435789</v>
      </c>
      <c r="B705">
        <v>0</v>
      </c>
      <c r="C705">
        <v>1038.9156132184421</v>
      </c>
      <c r="D705">
        <v>0.65</v>
      </c>
      <c r="F705">
        <v>6.7034561558999997</v>
      </c>
      <c r="G705">
        <v>-2.7120552751000004</v>
      </c>
      <c r="H705">
        <v>1038.9156132184421</v>
      </c>
      <c r="I705">
        <v>0.65</v>
      </c>
      <c r="K705">
        <v>-9.378697432200001</v>
      </c>
      <c r="L705">
        <v>9.3175847073</v>
      </c>
      <c r="M705">
        <v>1038.9156132184421</v>
      </c>
      <c r="N705">
        <v>0.65</v>
      </c>
      <c r="U705">
        <v>0</v>
      </c>
      <c r="V705">
        <v>-10.112674292000001</v>
      </c>
      <c r="W705">
        <v>1038.9156132184421</v>
      </c>
      <c r="X705">
        <v>0.65</v>
      </c>
      <c r="AE705">
        <v>4.0531811255000001</v>
      </c>
      <c r="AF705">
        <v>4.0856358233999996</v>
      </c>
      <c r="AG705">
        <v>1038.9156132184421</v>
      </c>
      <c r="AH705">
        <v>0.65</v>
      </c>
      <c r="AJ705">
        <v>-10.4579069317</v>
      </c>
      <c r="AK705">
        <v>-4.2794550990999998</v>
      </c>
      <c r="AL705">
        <v>1038.9156132184421</v>
      </c>
      <c r="AM705">
        <v>0.65</v>
      </c>
    </row>
    <row r="706" spans="1:39" x14ac:dyDescent="0.25">
      <c r="A706">
        <v>0</v>
      </c>
      <c r="B706">
        <v>0</v>
      </c>
      <c r="C706">
        <v>1038.9156132184421</v>
      </c>
      <c r="D706">
        <v>0.65</v>
      </c>
      <c r="F706">
        <v>7.8460560180000005</v>
      </c>
      <c r="G706">
        <v>-3.2282035398</v>
      </c>
      <c r="H706">
        <v>1038.9156132184421</v>
      </c>
      <c r="I706">
        <v>0.65</v>
      </c>
      <c r="K706">
        <v>-8.9753996035999997</v>
      </c>
      <c r="L706">
        <v>9.0219300338000004</v>
      </c>
      <c r="M706">
        <v>1038.9156132184421</v>
      </c>
      <c r="N706">
        <v>0.65</v>
      </c>
      <c r="U706">
        <v>0</v>
      </c>
      <c r="V706">
        <v>0</v>
      </c>
      <c r="W706">
        <v>1038.9156132184421</v>
      </c>
      <c r="X706">
        <v>0.65</v>
      </c>
      <c r="AE706">
        <v>6.4711795374999994</v>
      </c>
      <c r="AF706">
        <v>6.4644395220000002</v>
      </c>
      <c r="AG706">
        <v>1038.9156132184421</v>
      </c>
      <c r="AH706">
        <v>0.65</v>
      </c>
      <c r="AJ706">
        <v>-10.893988052199999</v>
      </c>
      <c r="AK706">
        <v>-4.4915051857999995</v>
      </c>
      <c r="AL706">
        <v>1038.9156132184421</v>
      </c>
      <c r="AM706">
        <v>0.65</v>
      </c>
    </row>
    <row r="707" spans="1:39" x14ac:dyDescent="0.25">
      <c r="A707">
        <v>22.322335680800002</v>
      </c>
      <c r="B707">
        <v>0</v>
      </c>
      <c r="C707">
        <v>1038.9156132184421</v>
      </c>
      <c r="D707">
        <v>0.65</v>
      </c>
      <c r="F707">
        <v>7.8833839306000009</v>
      </c>
      <c r="G707">
        <v>-3.2523726243</v>
      </c>
      <c r="H707">
        <v>1038.9156132184421</v>
      </c>
      <c r="I707">
        <v>0.65</v>
      </c>
      <c r="K707">
        <v>-8.7625271571999992</v>
      </c>
      <c r="L707">
        <v>8.6858900725999995</v>
      </c>
      <c r="M707">
        <v>1038.9156132184421</v>
      </c>
      <c r="N707">
        <v>0.65</v>
      </c>
      <c r="U707">
        <v>0</v>
      </c>
      <c r="V707">
        <v>-10.1518391193</v>
      </c>
      <c r="W707">
        <v>1038.9156132184421</v>
      </c>
      <c r="X707">
        <v>0.65</v>
      </c>
      <c r="AE707">
        <v>3.6580604111000001</v>
      </c>
      <c r="AF707">
        <v>3.6350292434</v>
      </c>
      <c r="AG707">
        <v>1038.9156132184421</v>
      </c>
      <c r="AH707">
        <v>0.65</v>
      </c>
      <c r="AJ707">
        <v>13.625223958500001</v>
      </c>
      <c r="AK707">
        <v>5.6354378025999994</v>
      </c>
      <c r="AL707">
        <v>1038.9156132184421</v>
      </c>
      <c r="AM707">
        <v>0.65</v>
      </c>
    </row>
    <row r="708" spans="1:39" x14ac:dyDescent="0.25">
      <c r="A708">
        <v>7.6561956269999998</v>
      </c>
      <c r="B708">
        <v>0</v>
      </c>
      <c r="C708">
        <v>1038.9156132184421</v>
      </c>
      <c r="D708">
        <v>0.65</v>
      </c>
      <c r="F708">
        <v>5.5538486732000001</v>
      </c>
      <c r="G708">
        <v>-2.2878725527000001</v>
      </c>
      <c r="H708">
        <v>1038.9156132184421</v>
      </c>
      <c r="I708">
        <v>0.65</v>
      </c>
      <c r="K708">
        <v>-10.149838636</v>
      </c>
      <c r="L708">
        <v>10.154429777399999</v>
      </c>
      <c r="M708">
        <v>1038.9156132184421</v>
      </c>
      <c r="N708">
        <v>0.65</v>
      </c>
      <c r="U708">
        <v>0</v>
      </c>
      <c r="V708">
        <v>-1.344152083</v>
      </c>
      <c r="W708">
        <v>1038.9156132184421</v>
      </c>
      <c r="X708">
        <v>0.65</v>
      </c>
      <c r="AE708">
        <v>5.6914240936000002</v>
      </c>
      <c r="AF708">
        <v>5.6187752752999991</v>
      </c>
      <c r="AG708">
        <v>1038.9156132184421</v>
      </c>
      <c r="AH708">
        <v>0.65</v>
      </c>
      <c r="AJ708">
        <v>13.898344722300001</v>
      </c>
      <c r="AK708">
        <v>5.6958937906999996</v>
      </c>
      <c r="AL708">
        <v>1038.9156132184421</v>
      </c>
      <c r="AM708">
        <v>0.65</v>
      </c>
    </row>
    <row r="709" spans="1:39" x14ac:dyDescent="0.25">
      <c r="A709">
        <v>22.224296865500001</v>
      </c>
      <c r="B709">
        <v>0</v>
      </c>
      <c r="C709">
        <v>1038.9156132184421</v>
      </c>
      <c r="D709">
        <v>0.65</v>
      </c>
      <c r="F709">
        <v>7.9637303927999996</v>
      </c>
      <c r="G709">
        <v>-3.2594708558999996</v>
      </c>
      <c r="H709">
        <v>1038.9156132184421</v>
      </c>
      <c r="I709">
        <v>0.65</v>
      </c>
      <c r="K709">
        <v>-9.0053216078000009</v>
      </c>
      <c r="L709">
        <v>9.0239932195999994</v>
      </c>
      <c r="M709">
        <v>1038.9156132184421</v>
      </c>
      <c r="N709">
        <v>0.65</v>
      </c>
      <c r="U709">
        <v>0</v>
      </c>
      <c r="V709">
        <v>-10.1910039466</v>
      </c>
      <c r="W709">
        <v>1038.9156132184421</v>
      </c>
      <c r="X709">
        <v>0.65</v>
      </c>
      <c r="AE709">
        <v>6.5071107599000007</v>
      </c>
      <c r="AF709">
        <v>6.5920008333000002</v>
      </c>
      <c r="AG709">
        <v>1038.9156132184421</v>
      </c>
      <c r="AH709">
        <v>0.65</v>
      </c>
      <c r="AJ709">
        <v>12.578067547600002</v>
      </c>
      <c r="AK709">
        <v>5.2451188563000004</v>
      </c>
      <c r="AL709">
        <v>1038.9156132184421</v>
      </c>
      <c r="AM709">
        <v>0.65</v>
      </c>
    </row>
    <row r="710" spans="1:39" x14ac:dyDescent="0.25">
      <c r="A710">
        <v>6.1529337925000007</v>
      </c>
      <c r="B710">
        <v>0</v>
      </c>
      <c r="C710">
        <v>1038.9156132184421</v>
      </c>
      <c r="D710">
        <v>0.65</v>
      </c>
      <c r="F710">
        <v>6.6463422112000003</v>
      </c>
      <c r="G710">
        <v>-2.7087317066999996</v>
      </c>
      <c r="H710">
        <v>1038.9156132184421</v>
      </c>
      <c r="I710">
        <v>0.65</v>
      </c>
      <c r="K710">
        <v>-10.1326964155</v>
      </c>
      <c r="L710">
        <v>10.029683068199999</v>
      </c>
      <c r="M710">
        <v>1038.9156132184421</v>
      </c>
      <c r="N710">
        <v>0.65</v>
      </c>
      <c r="U710">
        <v>0</v>
      </c>
      <c r="V710">
        <v>-6.6279600402999996</v>
      </c>
      <c r="W710">
        <v>1038.9156132184421</v>
      </c>
      <c r="X710">
        <v>0.65</v>
      </c>
      <c r="AE710">
        <v>7.6055573311</v>
      </c>
      <c r="AF710">
        <v>7.4772501063000005</v>
      </c>
      <c r="AG710">
        <v>1038.9156132184421</v>
      </c>
      <c r="AH710">
        <v>0.65</v>
      </c>
      <c r="AJ710">
        <v>13.0793300319</v>
      </c>
      <c r="AK710">
        <v>5.3686786009</v>
      </c>
      <c r="AL710">
        <v>1038.9156132184421</v>
      </c>
      <c r="AM710">
        <v>0.65</v>
      </c>
    </row>
    <row r="711" spans="1:39" x14ac:dyDescent="0.25">
      <c r="A711">
        <v>0.76079895129999997</v>
      </c>
      <c r="B711">
        <v>0</v>
      </c>
      <c r="C711">
        <v>1038.9156132184421</v>
      </c>
      <c r="D711">
        <v>0.65</v>
      </c>
      <c r="F711">
        <v>9.2017688174999996</v>
      </c>
      <c r="G711">
        <v>-3.8772196321000001</v>
      </c>
      <c r="H711">
        <v>1038.9156132184421</v>
      </c>
      <c r="I711">
        <v>0.65</v>
      </c>
      <c r="K711">
        <v>-9.3929929635999994</v>
      </c>
      <c r="L711">
        <v>9.3253882299999997</v>
      </c>
      <c r="M711">
        <v>1038.9156132184421</v>
      </c>
      <c r="N711">
        <v>0.65</v>
      </c>
      <c r="U711">
        <v>0</v>
      </c>
      <c r="V711">
        <v>-6.7454545222000002</v>
      </c>
      <c r="W711">
        <v>1038.9156132184421</v>
      </c>
      <c r="X711">
        <v>0.65</v>
      </c>
      <c r="AE711">
        <v>6.8773768314999995</v>
      </c>
      <c r="AF711">
        <v>6.8048247689000005</v>
      </c>
      <c r="AG711">
        <v>1038.9156132184421</v>
      </c>
      <c r="AH711">
        <v>0.65</v>
      </c>
      <c r="AJ711">
        <v>-14.585313686399999</v>
      </c>
      <c r="AK711">
        <v>-6.0921398544000001</v>
      </c>
      <c r="AL711">
        <v>1038.9156132184421</v>
      </c>
      <c r="AM711">
        <v>0.65</v>
      </c>
    </row>
    <row r="712" spans="1:39" x14ac:dyDescent="0.25">
      <c r="A712">
        <v>15.006063973800002</v>
      </c>
      <c r="B712">
        <v>0</v>
      </c>
      <c r="C712">
        <v>1038.9156132184421</v>
      </c>
      <c r="D712">
        <v>0.65</v>
      </c>
      <c r="F712">
        <v>7.9454459781000004</v>
      </c>
      <c r="G712">
        <v>-3.2537326598999998</v>
      </c>
      <c r="H712">
        <v>1038.9156132184421</v>
      </c>
      <c r="I712">
        <v>0.65</v>
      </c>
      <c r="K712">
        <v>-9.5628727489000003</v>
      </c>
      <c r="L712">
        <v>9.6591805974000007</v>
      </c>
      <c r="M712">
        <v>1038.9156132184421</v>
      </c>
      <c r="N712">
        <v>0.65</v>
      </c>
      <c r="U712">
        <v>0</v>
      </c>
      <c r="V712">
        <v>-6.6801798099999994</v>
      </c>
      <c r="W712">
        <v>1038.9156132184421</v>
      </c>
      <c r="X712">
        <v>0.65</v>
      </c>
      <c r="AE712">
        <v>7.1521136406999997</v>
      </c>
      <c r="AF712">
        <v>7.1525502326000003</v>
      </c>
      <c r="AG712">
        <v>1038.9156132184421</v>
      </c>
      <c r="AH712">
        <v>0.65</v>
      </c>
      <c r="AJ712">
        <v>-21.131390853599999</v>
      </c>
      <c r="AK712">
        <v>-8.9361925303999996</v>
      </c>
      <c r="AL712">
        <v>1038.9156132184421</v>
      </c>
      <c r="AM712">
        <v>0.65</v>
      </c>
    </row>
    <row r="713" spans="1:39" x14ac:dyDescent="0.25">
      <c r="A713">
        <v>3.7019634101000003</v>
      </c>
      <c r="B713">
        <v>0</v>
      </c>
      <c r="C713">
        <v>1038.9156132184421</v>
      </c>
      <c r="D713">
        <v>0.65</v>
      </c>
      <c r="F713">
        <v>6.8047140191999995</v>
      </c>
      <c r="G713">
        <v>-2.8847564771999998</v>
      </c>
      <c r="H713">
        <v>1038.9156132184421</v>
      </c>
      <c r="I713">
        <v>0.65</v>
      </c>
      <c r="K713">
        <v>-10.294526938599999</v>
      </c>
      <c r="L713">
        <v>10.358421574599999</v>
      </c>
      <c r="M713">
        <v>1038.9156132184421</v>
      </c>
      <c r="N713">
        <v>0.65</v>
      </c>
      <c r="U713">
        <v>0</v>
      </c>
      <c r="V713">
        <v>-6.6018501554000002</v>
      </c>
      <c r="W713">
        <v>1038.9156132184421</v>
      </c>
      <c r="X713">
        <v>0.65</v>
      </c>
      <c r="AE713">
        <v>6.9652105690999999</v>
      </c>
      <c r="AF713">
        <v>6.9231754811999995</v>
      </c>
      <c r="AG713">
        <v>1038.9156132184421</v>
      </c>
      <c r="AH713">
        <v>0.65</v>
      </c>
      <c r="AJ713">
        <v>-15.146966418699998</v>
      </c>
      <c r="AK713">
        <v>-6.1657489413999995</v>
      </c>
      <c r="AL713">
        <v>1038.9156132184421</v>
      </c>
      <c r="AM713">
        <v>0.65</v>
      </c>
    </row>
    <row r="714" spans="1:39" x14ac:dyDescent="0.25">
      <c r="A714">
        <v>7.7542344422999996</v>
      </c>
      <c r="B714">
        <v>0</v>
      </c>
      <c r="C714">
        <v>1038.9156132184421</v>
      </c>
      <c r="D714">
        <v>0.65</v>
      </c>
      <c r="F714">
        <v>9.2164589953</v>
      </c>
      <c r="G714">
        <v>-3.8454023642999999</v>
      </c>
      <c r="H714">
        <v>1038.9156132184421</v>
      </c>
      <c r="I714">
        <v>0.65</v>
      </c>
      <c r="K714">
        <v>14.038824380200001</v>
      </c>
      <c r="L714">
        <v>-13.932184811199999</v>
      </c>
      <c r="M714">
        <v>1038.9156132184421</v>
      </c>
      <c r="N714">
        <v>0.65</v>
      </c>
      <c r="U714">
        <v>0</v>
      </c>
      <c r="V714">
        <v>0</v>
      </c>
      <c r="W714">
        <v>1038.9156132184421</v>
      </c>
      <c r="X714">
        <v>0.65</v>
      </c>
      <c r="AE714">
        <v>6.7006323529999996</v>
      </c>
      <c r="AF714">
        <v>6.7032659084999997</v>
      </c>
      <c r="AG714">
        <v>1038.9156132184421</v>
      </c>
      <c r="AH714">
        <v>0.65</v>
      </c>
      <c r="AJ714">
        <v>-12.608281824799999</v>
      </c>
      <c r="AK714">
        <v>-5.2201351477000006</v>
      </c>
      <c r="AL714">
        <v>1038.9156132184421</v>
      </c>
      <c r="AM714">
        <v>0.65</v>
      </c>
    </row>
    <row r="715" spans="1:39" x14ac:dyDescent="0.25">
      <c r="A715">
        <v>15.136782394199999</v>
      </c>
      <c r="B715">
        <v>0</v>
      </c>
      <c r="C715">
        <v>1038.9156132184421</v>
      </c>
      <c r="D715">
        <v>0.65</v>
      </c>
      <c r="F715">
        <v>9.3103019743999997</v>
      </c>
      <c r="G715">
        <v>-3.8601387512999996</v>
      </c>
      <c r="H715">
        <v>1038.9156132184421</v>
      </c>
      <c r="I715">
        <v>0.65</v>
      </c>
      <c r="K715">
        <v>-9.901835888199999</v>
      </c>
      <c r="L715">
        <v>9.9604276056999996</v>
      </c>
      <c r="M715">
        <v>1038.9156132184421</v>
      </c>
      <c r="N715">
        <v>0.65</v>
      </c>
      <c r="U715">
        <v>0</v>
      </c>
      <c r="V715">
        <v>-1.7358003561000002</v>
      </c>
      <c r="W715">
        <v>1038.9156132184421</v>
      </c>
      <c r="X715">
        <v>0.65</v>
      </c>
      <c r="AE715">
        <v>7.1737742815000001</v>
      </c>
      <c r="AF715">
        <v>7.1576482049000001</v>
      </c>
      <c r="AG715">
        <v>1038.9156132184421</v>
      </c>
      <c r="AH715">
        <v>0.65</v>
      </c>
      <c r="AJ715">
        <v>-24.182447392</v>
      </c>
      <c r="AK715">
        <v>-10.049811934199999</v>
      </c>
      <c r="AL715">
        <v>1038.9156132184421</v>
      </c>
      <c r="AM715">
        <v>0.65</v>
      </c>
    </row>
    <row r="716" spans="1:39" x14ac:dyDescent="0.25">
      <c r="A716">
        <v>15.3328600247</v>
      </c>
      <c r="B716">
        <v>0</v>
      </c>
      <c r="C716">
        <v>1038.9156132184421</v>
      </c>
      <c r="D716">
        <v>0.65</v>
      </c>
      <c r="F716">
        <v>7.8566614303999991</v>
      </c>
      <c r="G716">
        <v>-3.2110011266999998</v>
      </c>
      <c r="H716">
        <v>1038.9156132184421</v>
      </c>
      <c r="I716">
        <v>0.65</v>
      </c>
      <c r="K716">
        <v>-9.8175581037999997</v>
      </c>
      <c r="L716">
        <v>9.7374852772999994</v>
      </c>
      <c r="M716">
        <v>1038.9156132184421</v>
      </c>
      <c r="N716">
        <v>0.65</v>
      </c>
      <c r="U716">
        <v>0</v>
      </c>
      <c r="V716">
        <v>-6.6149050978000004</v>
      </c>
      <c r="W716">
        <v>1038.9156132184421</v>
      </c>
      <c r="X716">
        <v>0.65</v>
      </c>
      <c r="AE716">
        <v>7.3217612482000005</v>
      </c>
      <c r="AF716">
        <v>7.3953050628999994</v>
      </c>
      <c r="AG716">
        <v>1038.9156132184421</v>
      </c>
      <c r="AH716">
        <v>0.65</v>
      </c>
      <c r="AJ716">
        <v>-10.881295187000001</v>
      </c>
      <c r="AK716">
        <v>-4.5225298693000004</v>
      </c>
      <c r="AL716">
        <v>1038.9156132184421</v>
      </c>
      <c r="AM716">
        <v>0.65</v>
      </c>
    </row>
    <row r="717" spans="1:39" x14ac:dyDescent="0.25">
      <c r="A717">
        <v>0</v>
      </c>
      <c r="B717">
        <v>0</v>
      </c>
      <c r="C717">
        <v>1038.9156132184421</v>
      </c>
      <c r="D717">
        <v>0.65</v>
      </c>
      <c r="F717">
        <v>6.6725683666000002</v>
      </c>
      <c r="G717">
        <v>-2.7113184181999999</v>
      </c>
      <c r="H717">
        <v>1038.9156132184421</v>
      </c>
      <c r="I717">
        <v>0.65</v>
      </c>
      <c r="K717">
        <v>-12.096761753700001</v>
      </c>
      <c r="L717">
        <v>12.1817841666</v>
      </c>
      <c r="M717">
        <v>1038.9156132184421</v>
      </c>
      <c r="N717">
        <v>0.65</v>
      </c>
      <c r="U717">
        <v>0</v>
      </c>
      <c r="V717">
        <v>-13.3909978154</v>
      </c>
      <c r="W717">
        <v>1038.9156132184421</v>
      </c>
      <c r="X717">
        <v>0.65</v>
      </c>
      <c r="AE717">
        <v>7.7306124314</v>
      </c>
      <c r="AF717">
        <v>7.7173173097999994</v>
      </c>
      <c r="AG717">
        <v>1038.9156132184421</v>
      </c>
      <c r="AH717">
        <v>0.65</v>
      </c>
      <c r="AJ717">
        <v>-10.868853359800001</v>
      </c>
      <c r="AK717">
        <v>-4.5144731862</v>
      </c>
      <c r="AL717">
        <v>1038.9156132184421</v>
      </c>
      <c r="AM717">
        <v>0.65</v>
      </c>
    </row>
    <row r="718" spans="1:39" x14ac:dyDescent="0.25">
      <c r="A718">
        <v>7.6235160218999996</v>
      </c>
      <c r="B718">
        <v>0</v>
      </c>
      <c r="C718">
        <v>1038.9156132184421</v>
      </c>
      <c r="D718">
        <v>0.65</v>
      </c>
      <c r="F718">
        <v>9.3569073578999991</v>
      </c>
      <c r="G718">
        <v>-3.8286506353999998</v>
      </c>
      <c r="H718">
        <v>1038.9156132184421</v>
      </c>
      <c r="I718">
        <v>0.65</v>
      </c>
      <c r="K718">
        <v>-9.6196877550999993</v>
      </c>
      <c r="L718">
        <v>9.5276172702000004</v>
      </c>
      <c r="M718">
        <v>1038.9156132184421</v>
      </c>
      <c r="N718">
        <v>0.65</v>
      </c>
      <c r="U718">
        <v>0</v>
      </c>
      <c r="V718">
        <v>0</v>
      </c>
      <c r="W718">
        <v>1038.9156132184421</v>
      </c>
      <c r="X718">
        <v>0.65</v>
      </c>
      <c r="AE718">
        <v>8.7878726918999988</v>
      </c>
      <c r="AF718">
        <v>8.6896344104000001</v>
      </c>
      <c r="AG718">
        <v>1038.9156132184421</v>
      </c>
      <c r="AH718">
        <v>0.65</v>
      </c>
      <c r="AJ718">
        <v>-10.806509938300001</v>
      </c>
      <c r="AK718">
        <v>-4.5781943875</v>
      </c>
      <c r="AL718">
        <v>1038.9156132184421</v>
      </c>
      <c r="AM718">
        <v>0.65</v>
      </c>
    </row>
    <row r="719" spans="1:39" x14ac:dyDescent="0.25">
      <c r="A719">
        <v>22.191617260399997</v>
      </c>
      <c r="B719">
        <v>0</v>
      </c>
      <c r="C719">
        <v>1038.9156132184421</v>
      </c>
      <c r="D719">
        <v>0.65</v>
      </c>
      <c r="F719">
        <v>-13.873932492900002</v>
      </c>
      <c r="G719">
        <v>5.8631135171999995</v>
      </c>
      <c r="H719">
        <v>1038.9156132184421</v>
      </c>
      <c r="I719">
        <v>0.65</v>
      </c>
      <c r="U719">
        <v>0</v>
      </c>
      <c r="V719">
        <v>-10.204058889000001</v>
      </c>
      <c r="W719">
        <v>1038.9156132184421</v>
      </c>
      <c r="X719">
        <v>0.65</v>
      </c>
      <c r="AE719">
        <v>8.1070408101999991</v>
      </c>
      <c r="AF719">
        <v>8.0392127637000002</v>
      </c>
      <c r="AG719">
        <v>1038.9156132184421</v>
      </c>
      <c r="AH719">
        <v>0.65</v>
      </c>
      <c r="AJ719">
        <v>13.207312260399998</v>
      </c>
      <c r="AK719">
        <v>5.4816622265000001</v>
      </c>
      <c r="AL719">
        <v>1038.9156132184421</v>
      </c>
      <c r="AM719">
        <v>0.65</v>
      </c>
    </row>
    <row r="720" spans="1:39" x14ac:dyDescent="0.25">
      <c r="A720">
        <v>7.7869140474000007</v>
      </c>
      <c r="B720">
        <v>0</v>
      </c>
      <c r="C720">
        <v>1038.9156132184421</v>
      </c>
      <c r="D720">
        <v>0.65</v>
      </c>
      <c r="F720">
        <v>9.2592838338999996</v>
      </c>
      <c r="G720">
        <v>-3.8414022968000001</v>
      </c>
      <c r="H720">
        <v>1038.9156132184421</v>
      </c>
      <c r="I720">
        <v>0.65</v>
      </c>
      <c r="U720">
        <v>0</v>
      </c>
      <c r="V720">
        <v>0</v>
      </c>
      <c r="W720">
        <v>1038.9156132184421</v>
      </c>
      <c r="X720">
        <v>0.65</v>
      </c>
      <c r="AE720">
        <v>8.3671523488999995</v>
      </c>
      <c r="AF720">
        <v>8.379139716600001</v>
      </c>
      <c r="AG720">
        <v>1038.9156132184421</v>
      </c>
      <c r="AH720">
        <v>0.65</v>
      </c>
      <c r="AJ720">
        <v>14.0804139701</v>
      </c>
      <c r="AK720">
        <v>5.9533916796000002</v>
      </c>
      <c r="AL720">
        <v>1038.9156132184421</v>
      </c>
      <c r="AM720">
        <v>0.65</v>
      </c>
    </row>
    <row r="721" spans="1:39" x14ac:dyDescent="0.25">
      <c r="A721">
        <v>22.453054101199999</v>
      </c>
      <c r="B721">
        <v>0</v>
      </c>
      <c r="C721">
        <v>1038.9156132184421</v>
      </c>
      <c r="D721">
        <v>0.65</v>
      </c>
      <c r="F721">
        <v>9.2200505686999996</v>
      </c>
      <c r="G721">
        <v>-3.9089467173000001</v>
      </c>
      <c r="H721">
        <v>1038.9156132184421</v>
      </c>
      <c r="I721">
        <v>0.65</v>
      </c>
      <c r="U721">
        <v>0</v>
      </c>
      <c r="V721">
        <v>-2.5190969023999998</v>
      </c>
      <c r="W721">
        <v>1038.9156132184421</v>
      </c>
      <c r="X721">
        <v>0.65</v>
      </c>
      <c r="AE721">
        <v>8.9754896944000002</v>
      </c>
      <c r="AF721">
        <v>9.0218969391999995</v>
      </c>
      <c r="AG721">
        <v>1038.9156132184421</v>
      </c>
      <c r="AH721">
        <v>0.65</v>
      </c>
      <c r="AJ721">
        <v>14.2290287324</v>
      </c>
      <c r="AK721">
        <v>5.9074114836999998</v>
      </c>
      <c r="AL721">
        <v>1038.9156132184421</v>
      </c>
      <c r="AM721">
        <v>0.65</v>
      </c>
    </row>
    <row r="722" spans="1:39" x14ac:dyDescent="0.25">
      <c r="A722">
        <v>0</v>
      </c>
      <c r="B722">
        <v>0</v>
      </c>
      <c r="C722">
        <v>1038.9156132184421</v>
      </c>
      <c r="D722">
        <v>0.65</v>
      </c>
      <c r="F722">
        <v>10.785484888900001</v>
      </c>
      <c r="G722">
        <v>-4.5085741645000006</v>
      </c>
      <c r="H722">
        <v>1038.9156132184421</v>
      </c>
      <c r="I722">
        <v>0.65</v>
      </c>
      <c r="U722">
        <v>0</v>
      </c>
      <c r="V722">
        <v>-3.0021297725</v>
      </c>
      <c r="W722">
        <v>1038.9156132184421</v>
      </c>
      <c r="X722">
        <v>0.65</v>
      </c>
      <c r="AE722">
        <v>8.3328380480999993</v>
      </c>
      <c r="AF722">
        <v>8.3786900275999994</v>
      </c>
      <c r="AG722">
        <v>1038.9156132184421</v>
      </c>
      <c r="AH722">
        <v>0.65</v>
      </c>
      <c r="AJ722">
        <v>-10.7992950708</v>
      </c>
      <c r="AK722">
        <v>-4.5680635139999994</v>
      </c>
      <c r="AL722">
        <v>1038.9156132184421</v>
      </c>
      <c r="AM722">
        <v>0.65</v>
      </c>
    </row>
    <row r="723" spans="1:39" x14ac:dyDescent="0.25">
      <c r="A723">
        <v>3.2117693336000004</v>
      </c>
      <c r="B723">
        <v>0</v>
      </c>
      <c r="C723">
        <v>1038.9156132184421</v>
      </c>
      <c r="D723">
        <v>0.65</v>
      </c>
      <c r="F723">
        <v>7.8599179174999998</v>
      </c>
      <c r="G723">
        <v>-3.2356967021000003</v>
      </c>
      <c r="H723">
        <v>1038.9156132184421</v>
      </c>
      <c r="I723">
        <v>0.65</v>
      </c>
      <c r="U723">
        <v>0</v>
      </c>
      <c r="V723">
        <v>-10.073509464700001</v>
      </c>
      <c r="W723">
        <v>1038.9156132184421</v>
      </c>
      <c r="X723">
        <v>0.65</v>
      </c>
      <c r="AE723">
        <v>9.0051140094999997</v>
      </c>
      <c r="AF723">
        <v>9.0240694801999997</v>
      </c>
      <c r="AG723">
        <v>1038.9156132184421</v>
      </c>
      <c r="AH723">
        <v>0.65</v>
      </c>
      <c r="AJ723">
        <v>-11.6887874175</v>
      </c>
      <c r="AK723">
        <v>-4.8735461528000004</v>
      </c>
      <c r="AL723">
        <v>1038.9156132184421</v>
      </c>
      <c r="AM723">
        <v>0.65</v>
      </c>
    </row>
    <row r="724" spans="1:39" x14ac:dyDescent="0.25">
      <c r="A724">
        <v>15.2021416044</v>
      </c>
      <c r="B724">
        <v>0</v>
      </c>
      <c r="C724">
        <v>1038.9156132184421</v>
      </c>
      <c r="D724">
        <v>0.65</v>
      </c>
      <c r="F724">
        <v>10.8418636661</v>
      </c>
      <c r="G724">
        <v>-4.4991955498999996</v>
      </c>
      <c r="H724">
        <v>1038.9156132184421</v>
      </c>
      <c r="I724">
        <v>0.65</v>
      </c>
      <c r="U724">
        <v>0</v>
      </c>
      <c r="V724">
        <v>-6.6540699252</v>
      </c>
      <c r="W724">
        <v>1038.9156132184421</v>
      </c>
      <c r="X724">
        <v>0.65</v>
      </c>
      <c r="AE724">
        <v>8.5966652220000004</v>
      </c>
      <c r="AF724">
        <v>8.5885187284000004</v>
      </c>
      <c r="AG724">
        <v>1038.9156132184421</v>
      </c>
      <c r="AH724">
        <v>0.65</v>
      </c>
      <c r="AJ724">
        <v>-12.240132410599999</v>
      </c>
      <c r="AK724">
        <v>-5.1598379110999995</v>
      </c>
      <c r="AL724">
        <v>1038.9156132184421</v>
      </c>
      <c r="AM724">
        <v>0.65</v>
      </c>
    </row>
    <row r="725" spans="1:39" x14ac:dyDescent="0.25">
      <c r="A725">
        <v>2.2313811806999997</v>
      </c>
      <c r="B725">
        <v>0</v>
      </c>
      <c r="C725">
        <v>1038.9156132184421</v>
      </c>
      <c r="D725">
        <v>0.65</v>
      </c>
      <c r="F725">
        <v>9.1984685381000002</v>
      </c>
      <c r="G725">
        <v>-3.8395475184999999</v>
      </c>
      <c r="H725">
        <v>1038.9156132184421</v>
      </c>
      <c r="I725">
        <v>0.65</v>
      </c>
      <c r="U725">
        <v>0</v>
      </c>
      <c r="V725">
        <v>-2.3232727658000001</v>
      </c>
      <c r="W725">
        <v>1038.9156132184421</v>
      </c>
      <c r="X725">
        <v>0.65</v>
      </c>
      <c r="AE725">
        <v>9.3931403004000007</v>
      </c>
      <c r="AF725">
        <v>9.3253341062999997</v>
      </c>
      <c r="AG725">
        <v>1038.9156132184421</v>
      </c>
      <c r="AH725">
        <v>0.65</v>
      </c>
      <c r="AJ725">
        <v>-12.5280861734</v>
      </c>
      <c r="AK725">
        <v>-5.2389649026999994</v>
      </c>
      <c r="AL725">
        <v>1038.9156132184421</v>
      </c>
      <c r="AM725">
        <v>0.65</v>
      </c>
    </row>
    <row r="726" spans="1:39" x14ac:dyDescent="0.25">
      <c r="A726">
        <v>15.234821209500002</v>
      </c>
      <c r="B726">
        <v>0</v>
      </c>
      <c r="C726">
        <v>1038.9156132184421</v>
      </c>
      <c r="D726">
        <v>0.65</v>
      </c>
      <c r="F726">
        <v>-13.749426660399999</v>
      </c>
      <c r="G726">
        <v>5.5861510162000005</v>
      </c>
      <c r="H726">
        <v>1038.9156132184421</v>
      </c>
      <c r="I726">
        <v>0.65</v>
      </c>
      <c r="U726">
        <v>0</v>
      </c>
      <c r="V726">
        <v>-6.7062896949000006</v>
      </c>
      <c r="W726">
        <v>1038.9156132184421</v>
      </c>
      <c r="X726">
        <v>0.65</v>
      </c>
      <c r="AE726">
        <v>7.8468199336</v>
      </c>
      <c r="AF726">
        <v>7.8290870322000004</v>
      </c>
      <c r="AG726">
        <v>1038.9156132184421</v>
      </c>
      <c r="AH726">
        <v>0.65</v>
      </c>
      <c r="AJ726">
        <v>-13.147992204100001</v>
      </c>
      <c r="AK726">
        <v>-5.3284377910999998</v>
      </c>
      <c r="AL726">
        <v>1038.9156132184421</v>
      </c>
      <c r="AM726">
        <v>0.65</v>
      </c>
    </row>
    <row r="727" spans="1:39" x14ac:dyDescent="0.25">
      <c r="A727">
        <v>22.289656075699998</v>
      </c>
      <c r="B727">
        <v>0</v>
      </c>
      <c r="C727">
        <v>1038.9156132184421</v>
      </c>
      <c r="D727">
        <v>0.65</v>
      </c>
      <c r="F727">
        <v>-13.194756657999999</v>
      </c>
      <c r="G727">
        <v>5.4866446083999998</v>
      </c>
      <c r="H727">
        <v>1038.9156132184421</v>
      </c>
      <c r="I727">
        <v>0.65</v>
      </c>
      <c r="U727">
        <v>0</v>
      </c>
      <c r="V727">
        <v>0</v>
      </c>
      <c r="W727">
        <v>1038.9156132184421</v>
      </c>
      <c r="X727">
        <v>0.65</v>
      </c>
      <c r="AE727">
        <v>8.7625911497000004</v>
      </c>
      <c r="AF727">
        <v>8.6858665650999995</v>
      </c>
      <c r="AG727">
        <v>1038.9156132184421</v>
      </c>
      <c r="AH727">
        <v>0.65</v>
      </c>
      <c r="AJ727">
        <v>17.9848946316</v>
      </c>
      <c r="AK727">
        <v>7.3554330833999995</v>
      </c>
      <c r="AL727">
        <v>1038.9156132184421</v>
      </c>
      <c r="AM727">
        <v>0.65</v>
      </c>
    </row>
    <row r="728" spans="1:39" x14ac:dyDescent="0.25">
      <c r="A728">
        <v>1.7411871042000002</v>
      </c>
      <c r="B728">
        <v>0</v>
      </c>
      <c r="C728">
        <v>1038.9156132184421</v>
      </c>
      <c r="D728">
        <v>0.65</v>
      </c>
      <c r="F728">
        <v>10.4604384301</v>
      </c>
      <c r="G728">
        <v>-4.2784505362000003</v>
      </c>
      <c r="H728">
        <v>1038.9156132184421</v>
      </c>
      <c r="I728">
        <v>0.65</v>
      </c>
      <c r="U728">
        <v>0</v>
      </c>
      <c r="V728">
        <v>-2.1274486291999999</v>
      </c>
      <c r="W728">
        <v>1038.9156132184421</v>
      </c>
      <c r="X728">
        <v>0.65</v>
      </c>
      <c r="AE728">
        <v>9.6196362276000009</v>
      </c>
      <c r="AF728">
        <v>9.5276361986999998</v>
      </c>
      <c r="AG728">
        <v>1038.9156132184421</v>
      </c>
      <c r="AH728">
        <v>0.65</v>
      </c>
      <c r="AJ728">
        <v>-12.391710224399999</v>
      </c>
      <c r="AK728">
        <v>-5.1126819011000002</v>
      </c>
      <c r="AL728">
        <v>1038.9156132184421</v>
      </c>
      <c r="AM728">
        <v>0.65</v>
      </c>
    </row>
    <row r="729" spans="1:39" x14ac:dyDescent="0.25">
      <c r="A729">
        <v>15.430898839999999</v>
      </c>
      <c r="B729">
        <v>0</v>
      </c>
      <c r="C729">
        <v>1038.9156132184421</v>
      </c>
      <c r="D729">
        <v>0.65</v>
      </c>
      <c r="F729">
        <v>-12.580538402499998</v>
      </c>
      <c r="G729">
        <v>5.2441383583000007</v>
      </c>
      <c r="H729">
        <v>1038.9156132184421</v>
      </c>
      <c r="I729">
        <v>0.65</v>
      </c>
      <c r="U729">
        <v>0</v>
      </c>
      <c r="V729">
        <v>0</v>
      </c>
      <c r="W729">
        <v>1038.9156132184421</v>
      </c>
      <c r="X729">
        <v>0.65</v>
      </c>
      <c r="AE729">
        <v>8.2295144956000001</v>
      </c>
      <c r="AF729">
        <v>8.2682010311000003</v>
      </c>
      <c r="AG729">
        <v>1038.9156132184421</v>
      </c>
      <c r="AH729">
        <v>0.65</v>
      </c>
      <c r="AJ729">
        <v>14.5627775559</v>
      </c>
      <c r="AK729">
        <v>5.9271785004000002</v>
      </c>
      <c r="AL729">
        <v>1038.9156132184421</v>
      </c>
      <c r="AM729">
        <v>0.65</v>
      </c>
    </row>
    <row r="730" spans="1:39" x14ac:dyDescent="0.25">
      <c r="A730">
        <v>15.2675008145</v>
      </c>
      <c r="B730">
        <v>0</v>
      </c>
      <c r="C730">
        <v>1038.9156132184421</v>
      </c>
      <c r="D730">
        <v>0.65</v>
      </c>
      <c r="F730">
        <v>9.6211730822000003</v>
      </c>
      <c r="G730">
        <v>-3.9265336982999997</v>
      </c>
      <c r="H730">
        <v>1038.9156132184421</v>
      </c>
      <c r="I730">
        <v>0.65</v>
      </c>
      <c r="U730">
        <v>0</v>
      </c>
      <c r="V730">
        <v>-6.5757402705000008</v>
      </c>
      <c r="W730">
        <v>1038.9156132184421</v>
      </c>
      <c r="X730">
        <v>0.65</v>
      </c>
      <c r="AE730">
        <v>9.9000267326999989</v>
      </c>
      <c r="AF730">
        <v>9.961092193399999</v>
      </c>
      <c r="AG730">
        <v>1038.9156132184421</v>
      </c>
      <c r="AH730">
        <v>0.65</v>
      </c>
      <c r="AJ730">
        <v>0</v>
      </c>
      <c r="AK730">
        <v>0</v>
      </c>
      <c r="AL730">
        <v>1038.9156132184421</v>
      </c>
      <c r="AM730">
        <v>0.65</v>
      </c>
    </row>
    <row r="731" spans="1:39" x14ac:dyDescent="0.25">
      <c r="A731">
        <v>15.169461999299999</v>
      </c>
      <c r="B731">
        <v>0</v>
      </c>
      <c r="C731">
        <v>1038.9156132184421</v>
      </c>
      <c r="D731">
        <v>0.65</v>
      </c>
      <c r="F731">
        <v>10.8947573231</v>
      </c>
      <c r="G731">
        <v>-4.4911999195999996</v>
      </c>
      <c r="H731">
        <v>1038.9156132184421</v>
      </c>
      <c r="I731">
        <v>0.65</v>
      </c>
      <c r="U731">
        <v>0</v>
      </c>
      <c r="V731">
        <v>-6.588795213</v>
      </c>
      <c r="W731">
        <v>1038.9156132184421</v>
      </c>
      <c r="X731">
        <v>0.65</v>
      </c>
      <c r="AE731">
        <v>9.9112026345000004</v>
      </c>
      <c r="AF731">
        <v>9.8364386204000009</v>
      </c>
      <c r="AG731">
        <v>1038.9156132184421</v>
      </c>
      <c r="AH731">
        <v>0.65</v>
      </c>
      <c r="AJ731">
        <v>0</v>
      </c>
      <c r="AK731">
        <v>0</v>
      </c>
      <c r="AL731">
        <v>1038.9156132184421</v>
      </c>
      <c r="AM731">
        <v>0.65</v>
      </c>
    </row>
    <row r="732" spans="1:39" x14ac:dyDescent="0.25">
      <c r="A732">
        <v>4.6823515630000001</v>
      </c>
      <c r="B732">
        <v>0</v>
      </c>
      <c r="C732">
        <v>1038.9156132184421</v>
      </c>
      <c r="D732">
        <v>0.65</v>
      </c>
      <c r="F732">
        <v>14.571503231399999</v>
      </c>
      <c r="G732">
        <v>-6.0976201936999992</v>
      </c>
      <c r="H732">
        <v>1038.9156132184421</v>
      </c>
      <c r="I732">
        <v>0.65</v>
      </c>
      <c r="U732">
        <v>0</v>
      </c>
      <c r="V732">
        <v>-2.9629649452</v>
      </c>
      <c r="W732">
        <v>1038.9156132184421</v>
      </c>
      <c r="X732">
        <v>0.65</v>
      </c>
      <c r="AE732">
        <v>9.1122631542000008</v>
      </c>
      <c r="AF732">
        <v>9.2505019854999997</v>
      </c>
      <c r="AG732">
        <v>1038.9156132184421</v>
      </c>
      <c r="AH732">
        <v>0.65</v>
      </c>
      <c r="AJ732">
        <v>0</v>
      </c>
      <c r="AK732">
        <v>0</v>
      </c>
      <c r="AL732">
        <v>1038.9156132184421</v>
      </c>
      <c r="AM732">
        <v>0.65</v>
      </c>
    </row>
    <row r="733" spans="1:39" x14ac:dyDescent="0.25">
      <c r="A733">
        <v>5.1725456395</v>
      </c>
      <c r="B733">
        <v>0</v>
      </c>
      <c r="C733">
        <v>1038.9156132184421</v>
      </c>
      <c r="D733">
        <v>0.65</v>
      </c>
      <c r="F733">
        <v>10.8669088771</v>
      </c>
      <c r="G733">
        <v>-4.5152448063000001</v>
      </c>
      <c r="H733">
        <v>1038.9156132184421</v>
      </c>
      <c r="I733">
        <v>0.65</v>
      </c>
      <c r="U733">
        <v>0</v>
      </c>
      <c r="V733">
        <v>-10.099619349499999</v>
      </c>
      <c r="W733">
        <v>1038.9156132184421</v>
      </c>
      <c r="X733">
        <v>0.65</v>
      </c>
      <c r="AE733">
        <v>-14.031483017699999</v>
      </c>
      <c r="AF733">
        <v>-13.935098050300001</v>
      </c>
      <c r="AG733">
        <v>1038.9156132184421</v>
      </c>
      <c r="AH733">
        <v>0.65</v>
      </c>
      <c r="AJ733">
        <v>0</v>
      </c>
      <c r="AK733">
        <v>0</v>
      </c>
      <c r="AL733">
        <v>1038.9156132184421</v>
      </c>
      <c r="AM733">
        <v>0.65</v>
      </c>
    </row>
    <row r="734" spans="1:39" x14ac:dyDescent="0.25">
      <c r="A734">
        <v>0</v>
      </c>
      <c r="B734">
        <v>0</v>
      </c>
      <c r="C734">
        <v>1038.9156132184421</v>
      </c>
      <c r="D734">
        <v>0.65</v>
      </c>
      <c r="F734">
        <v>-13.089916737999999</v>
      </c>
      <c r="G734">
        <v>5.3644775271</v>
      </c>
      <c r="H734">
        <v>1038.9156132184421</v>
      </c>
      <c r="I734">
        <v>0.65</v>
      </c>
      <c r="U734">
        <v>0</v>
      </c>
      <c r="V734">
        <v>-10.1648940617</v>
      </c>
      <c r="W734">
        <v>1038.9156132184421</v>
      </c>
      <c r="X734">
        <v>0.65</v>
      </c>
      <c r="AE734">
        <v>9.5629608829999988</v>
      </c>
      <c r="AF734">
        <v>9.6591482215999989</v>
      </c>
      <c r="AG734">
        <v>1038.9156132184421</v>
      </c>
      <c r="AH734">
        <v>0.65</v>
      </c>
      <c r="AJ734">
        <v>0</v>
      </c>
      <c r="AK734">
        <v>0</v>
      </c>
      <c r="AL734">
        <v>1038.9156132184421</v>
      </c>
      <c r="AM734">
        <v>0.65</v>
      </c>
    </row>
    <row r="735" spans="1:39" x14ac:dyDescent="0.25">
      <c r="A735">
        <v>22.158937655300001</v>
      </c>
      <c r="B735">
        <v>0</v>
      </c>
      <c r="C735">
        <v>1038.9156132184421</v>
      </c>
      <c r="D735">
        <v>0.65</v>
      </c>
      <c r="F735">
        <v>12.5760016928</v>
      </c>
      <c r="G735">
        <v>-5.2329447238000002</v>
      </c>
      <c r="H735">
        <v>1038.9156132184421</v>
      </c>
      <c r="I735">
        <v>0.65</v>
      </c>
      <c r="U735">
        <v>0</v>
      </c>
      <c r="V735">
        <v>-1.9316244926999999</v>
      </c>
      <c r="W735">
        <v>1038.9156132184421</v>
      </c>
      <c r="X735">
        <v>0.65</v>
      </c>
      <c r="AE735">
        <v>10.0992515038</v>
      </c>
      <c r="AF735">
        <v>10.0429548585</v>
      </c>
      <c r="AG735">
        <v>1038.9156132184421</v>
      </c>
      <c r="AH735">
        <v>0.65</v>
      </c>
      <c r="AJ735">
        <v>0</v>
      </c>
      <c r="AK735">
        <v>0</v>
      </c>
      <c r="AL735">
        <v>1038.9156132184421</v>
      </c>
      <c r="AM735">
        <v>0.65</v>
      </c>
    </row>
    <row r="736" spans="1:39" x14ac:dyDescent="0.25">
      <c r="A736">
        <v>22.0935784451</v>
      </c>
      <c r="B736">
        <v>0</v>
      </c>
      <c r="C736">
        <v>1038.9156132184421</v>
      </c>
      <c r="D736">
        <v>0.65</v>
      </c>
      <c r="F736">
        <v>14.859463075399999</v>
      </c>
      <c r="G736">
        <v>-6.1372464467999999</v>
      </c>
      <c r="H736">
        <v>1038.9156132184421</v>
      </c>
      <c r="I736">
        <v>0.65</v>
      </c>
      <c r="U736">
        <v>0</v>
      </c>
      <c r="V736">
        <v>-0.16920726359999999</v>
      </c>
      <c r="W736">
        <v>1038.9156132184421</v>
      </c>
      <c r="X736">
        <v>0.65</v>
      </c>
      <c r="AE736">
        <v>10.1502564856</v>
      </c>
      <c r="AF736">
        <v>10.1542639641</v>
      </c>
      <c r="AG736">
        <v>1038.9156132184421</v>
      </c>
      <c r="AH736">
        <v>0.65</v>
      </c>
      <c r="AJ736">
        <v>0</v>
      </c>
      <c r="AK736">
        <v>0</v>
      </c>
      <c r="AL736">
        <v>1038.9156132184421</v>
      </c>
      <c r="AM736">
        <v>0.65</v>
      </c>
    </row>
    <row r="737" spans="1:39" x14ac:dyDescent="0.25">
      <c r="A737">
        <v>5.6627397159999999</v>
      </c>
      <c r="B737">
        <v>0</v>
      </c>
      <c r="C737">
        <v>1038.9156132184421</v>
      </c>
      <c r="D737">
        <v>0.65</v>
      </c>
      <c r="F737">
        <v>12.310069108299999</v>
      </c>
      <c r="G737">
        <v>-4.9793616502999996</v>
      </c>
      <c r="H737">
        <v>1038.9156132184421</v>
      </c>
      <c r="I737">
        <v>0.65</v>
      </c>
      <c r="U737">
        <v>0</v>
      </c>
      <c r="V737">
        <v>-10.217113831499999</v>
      </c>
      <c r="W737">
        <v>1038.9156132184421</v>
      </c>
      <c r="X737">
        <v>0.65</v>
      </c>
      <c r="AE737">
        <v>10.3289722089</v>
      </c>
      <c r="AF737">
        <v>10.474611429100001</v>
      </c>
      <c r="AG737">
        <v>1038.9156132184421</v>
      </c>
      <c r="AH737">
        <v>0.65</v>
      </c>
      <c r="AJ737">
        <v>0</v>
      </c>
      <c r="AK737">
        <v>0</v>
      </c>
      <c r="AL737">
        <v>1038.9156132184421</v>
      </c>
      <c r="AM737">
        <v>0.65</v>
      </c>
    </row>
    <row r="738" spans="1:39" x14ac:dyDescent="0.25">
      <c r="A738">
        <v>0</v>
      </c>
      <c r="B738">
        <v>0</v>
      </c>
      <c r="C738">
        <v>1038.9156132184421</v>
      </c>
      <c r="D738">
        <v>0.65</v>
      </c>
      <c r="F738">
        <v>24.1740296579</v>
      </c>
      <c r="G738">
        <v>-10.053152304799999</v>
      </c>
      <c r="H738">
        <v>1038.9156132184421</v>
      </c>
      <c r="I738">
        <v>0.65</v>
      </c>
      <c r="U738">
        <v>0</v>
      </c>
      <c r="V738">
        <v>-2.7149210389</v>
      </c>
      <c r="W738">
        <v>1038.9156132184421</v>
      </c>
      <c r="X738">
        <v>0.65</v>
      </c>
      <c r="AE738">
        <v>12.096767804700001</v>
      </c>
      <c r="AF738">
        <v>12.1817817654</v>
      </c>
      <c r="AG738">
        <v>1038.9156132184421</v>
      </c>
      <c r="AH738">
        <v>0.65</v>
      </c>
      <c r="AJ738">
        <v>0</v>
      </c>
      <c r="AK738">
        <v>0</v>
      </c>
      <c r="AL738">
        <v>1038.9156132184421</v>
      </c>
      <c r="AM738">
        <v>0.65</v>
      </c>
    </row>
    <row r="739" spans="1:39" x14ac:dyDescent="0.25">
      <c r="A739">
        <v>22.420374496099999</v>
      </c>
      <c r="B739">
        <v>0</v>
      </c>
      <c r="C739">
        <v>1038.9156132184421</v>
      </c>
      <c r="D739">
        <v>0.65</v>
      </c>
      <c r="F739">
        <v>10.8814538931</v>
      </c>
      <c r="G739">
        <v>-4.5224668906999996</v>
      </c>
      <c r="H739">
        <v>1038.9156132184421</v>
      </c>
      <c r="I739">
        <v>0.65</v>
      </c>
      <c r="U739">
        <v>0</v>
      </c>
      <c r="V739">
        <v>-0.75667967329999997</v>
      </c>
      <c r="W739">
        <v>1038.9156132184421</v>
      </c>
      <c r="X739">
        <v>0.65</v>
      </c>
      <c r="AJ739">
        <v>0</v>
      </c>
      <c r="AK739">
        <v>0</v>
      </c>
      <c r="AL739">
        <v>1038.9156132184421</v>
      </c>
      <c r="AM739">
        <v>0.65</v>
      </c>
    </row>
    <row r="740" spans="1:39" x14ac:dyDescent="0.25">
      <c r="A740">
        <v>7.7215548372000002</v>
      </c>
      <c r="B740">
        <v>0</v>
      </c>
      <c r="C740">
        <v>1038.9156132184421</v>
      </c>
      <c r="D740">
        <v>0.65</v>
      </c>
      <c r="F740">
        <v>10.8084692475</v>
      </c>
      <c r="G740">
        <v>-4.5774168838000007</v>
      </c>
      <c r="H740">
        <v>1038.9156132184421</v>
      </c>
      <c r="I740">
        <v>0.65</v>
      </c>
      <c r="U740">
        <v>0</v>
      </c>
      <c r="V740">
        <v>0</v>
      </c>
      <c r="W740">
        <v>1038.9156132184421</v>
      </c>
      <c r="X740">
        <v>0.65</v>
      </c>
      <c r="AJ740">
        <v>2.2233755016000001</v>
      </c>
      <c r="AK740">
        <v>0.90962925159999997</v>
      </c>
      <c r="AL740">
        <v>1038.9156132184421</v>
      </c>
      <c r="AM740">
        <v>0.65</v>
      </c>
    </row>
    <row r="741" spans="1:39" x14ac:dyDescent="0.25">
      <c r="A741">
        <v>15.104102789100001</v>
      </c>
      <c r="B741">
        <v>0</v>
      </c>
      <c r="C741">
        <v>1038.9156132184421</v>
      </c>
      <c r="D741">
        <v>0.65</v>
      </c>
      <c r="F741">
        <v>-14.091187878400001</v>
      </c>
      <c r="G741">
        <v>5.9491163191999998</v>
      </c>
      <c r="H741">
        <v>1038.9156132184421</v>
      </c>
      <c r="I741">
        <v>0.65</v>
      </c>
      <c r="U741">
        <v>0</v>
      </c>
      <c r="V741">
        <v>-6.6671248676000001</v>
      </c>
      <c r="W741">
        <v>1038.9156132184421</v>
      </c>
      <c r="X741">
        <v>0.65</v>
      </c>
      <c r="AJ741">
        <v>1.9719140436999998</v>
      </c>
      <c r="AK741">
        <v>0.81559963210000008</v>
      </c>
      <c r="AL741">
        <v>1038.9156132184421</v>
      </c>
      <c r="AM741">
        <v>0.65</v>
      </c>
    </row>
    <row r="742" spans="1:39" x14ac:dyDescent="0.25">
      <c r="A742">
        <v>15.300180419599998</v>
      </c>
      <c r="B742">
        <v>0</v>
      </c>
      <c r="C742">
        <v>1038.9156132184421</v>
      </c>
      <c r="D742">
        <v>0.65</v>
      </c>
      <c r="F742">
        <v>-14.5605659412</v>
      </c>
      <c r="G742">
        <v>5.9280561252999995</v>
      </c>
      <c r="H742">
        <v>1038.9156132184421</v>
      </c>
      <c r="I742">
        <v>0.65</v>
      </c>
      <c r="U742">
        <v>0</v>
      </c>
      <c r="V742">
        <v>-2.9238001179000004</v>
      </c>
      <c r="W742">
        <v>1038.9156132184421</v>
      </c>
      <c r="X742">
        <v>0.65</v>
      </c>
      <c r="AJ742">
        <v>4.1051609536000004</v>
      </c>
      <c r="AK742">
        <v>1.6881542952999999</v>
      </c>
      <c r="AL742">
        <v>1038.9156132184421</v>
      </c>
      <c r="AM742">
        <v>0.65</v>
      </c>
    </row>
    <row r="743" spans="1:39" x14ac:dyDescent="0.25">
      <c r="A743">
        <v>22.387694891000002</v>
      </c>
      <c r="B743">
        <v>0</v>
      </c>
      <c r="C743">
        <v>1038.9156132184421</v>
      </c>
      <c r="D743">
        <v>0.65</v>
      </c>
      <c r="F743">
        <v>12.2375339974</v>
      </c>
      <c r="G743">
        <v>-5.1608690275000004</v>
      </c>
      <c r="H743">
        <v>1038.9156132184421</v>
      </c>
      <c r="I743">
        <v>0.65</v>
      </c>
      <c r="U743">
        <v>0</v>
      </c>
      <c r="V743">
        <v>-1.1483279464</v>
      </c>
      <c r="W743">
        <v>1038.9156132184421</v>
      </c>
      <c r="X743">
        <v>0.65</v>
      </c>
      <c r="AJ743">
        <v>2.6572817950000003</v>
      </c>
      <c r="AK743">
        <v>1.1272616975</v>
      </c>
      <c r="AL743">
        <v>1038.9156132184421</v>
      </c>
      <c r="AM743">
        <v>0.65</v>
      </c>
    </row>
    <row r="744" spans="1:39" x14ac:dyDescent="0.25">
      <c r="A744">
        <v>22.126258050200001</v>
      </c>
      <c r="B744">
        <v>0</v>
      </c>
      <c r="C744">
        <v>1038.9156132184421</v>
      </c>
      <c r="D744">
        <v>0.65</v>
      </c>
      <c r="F744">
        <v>12.5496121559</v>
      </c>
      <c r="G744">
        <v>-5.2694045945000001</v>
      </c>
      <c r="H744">
        <v>1038.9156132184421</v>
      </c>
      <c r="I744">
        <v>0.65</v>
      </c>
      <c r="U744">
        <v>0</v>
      </c>
      <c r="V744">
        <v>0</v>
      </c>
      <c r="W744">
        <v>1038.9156132184421</v>
      </c>
      <c r="X744">
        <v>0.65</v>
      </c>
      <c r="AJ744">
        <v>3.7722678347</v>
      </c>
      <c r="AK744">
        <v>1.5424053821999999</v>
      </c>
      <c r="AL744">
        <v>1038.9156132184421</v>
      </c>
      <c r="AM744">
        <v>0.65</v>
      </c>
    </row>
    <row r="745" spans="1:39" x14ac:dyDescent="0.25">
      <c r="A745">
        <v>22.485733706300003</v>
      </c>
      <c r="B745">
        <v>0</v>
      </c>
      <c r="C745">
        <v>1038.9156132184421</v>
      </c>
      <c r="D745">
        <v>0.65</v>
      </c>
      <c r="F745">
        <v>12.558717470300001</v>
      </c>
      <c r="G745">
        <v>-5.2268096261999997</v>
      </c>
      <c r="H745">
        <v>1038.9156132184421</v>
      </c>
      <c r="I745">
        <v>0.65</v>
      </c>
      <c r="U745">
        <v>0</v>
      </c>
      <c r="V745">
        <v>-1.5399762196</v>
      </c>
      <c r="W745">
        <v>1038.9156132184421</v>
      </c>
      <c r="X745">
        <v>0.65</v>
      </c>
      <c r="AJ745">
        <v>4.0642723158000003</v>
      </c>
      <c r="AK745">
        <v>1.6653981969</v>
      </c>
      <c r="AL745">
        <v>1038.9156132184421</v>
      </c>
      <c r="AM745">
        <v>0.65</v>
      </c>
    </row>
    <row r="746" spans="1:39" x14ac:dyDescent="0.25">
      <c r="A746">
        <v>0</v>
      </c>
      <c r="B746">
        <v>0</v>
      </c>
      <c r="C746">
        <v>1038.9156132184421</v>
      </c>
      <c r="D746">
        <v>0.65</v>
      </c>
      <c r="F746">
        <v>11.6918255612</v>
      </c>
      <c r="G746">
        <v>-4.8723405401999997</v>
      </c>
      <c r="H746">
        <v>1038.9156132184421</v>
      </c>
      <c r="I746">
        <v>0.65</v>
      </c>
      <c r="U746">
        <v>0</v>
      </c>
      <c r="V746">
        <v>-0.95250380989999994</v>
      </c>
      <c r="W746">
        <v>1038.9156132184421</v>
      </c>
      <c r="X746">
        <v>0.65</v>
      </c>
      <c r="AJ746">
        <v>2.9387354590000001</v>
      </c>
      <c r="AK746">
        <v>1.210482477</v>
      </c>
      <c r="AL746">
        <v>1038.9156132184421</v>
      </c>
      <c r="AM746">
        <v>0.65</v>
      </c>
    </row>
    <row r="747" spans="1:39" x14ac:dyDescent="0.25">
      <c r="A747">
        <v>0</v>
      </c>
      <c r="B747">
        <v>0</v>
      </c>
      <c r="C747">
        <v>1038.9156132184421</v>
      </c>
      <c r="D747">
        <v>0.65</v>
      </c>
      <c r="F747">
        <v>10.7925669132</v>
      </c>
      <c r="G747">
        <v>-4.5707334178000005</v>
      </c>
      <c r="H747">
        <v>1038.9156132184421</v>
      </c>
      <c r="I747">
        <v>0.65</v>
      </c>
      <c r="U747">
        <v>0</v>
      </c>
      <c r="V747">
        <v>-2.9368550604000001</v>
      </c>
      <c r="W747">
        <v>1038.9156132184421</v>
      </c>
      <c r="X747">
        <v>0.65</v>
      </c>
      <c r="AJ747">
        <v>4.0998883964999999</v>
      </c>
      <c r="AK747">
        <v>1.7162344119999999</v>
      </c>
      <c r="AL747">
        <v>1038.9156132184421</v>
      </c>
      <c r="AM747">
        <v>0.65</v>
      </c>
    </row>
    <row r="748" spans="1:39" x14ac:dyDescent="0.25">
      <c r="A748">
        <v>6.6431278688999997</v>
      </c>
      <c r="B748">
        <v>0</v>
      </c>
      <c r="C748">
        <v>1038.9156132184421</v>
      </c>
      <c r="D748">
        <v>0.65</v>
      </c>
      <c r="F748">
        <v>-14.231734852600001</v>
      </c>
      <c r="G748">
        <v>5.9063376265</v>
      </c>
      <c r="H748">
        <v>1038.9156132184421</v>
      </c>
      <c r="I748">
        <v>0.65</v>
      </c>
      <c r="U748">
        <v>0</v>
      </c>
      <c r="V748">
        <v>0</v>
      </c>
      <c r="W748">
        <v>1038.9156132184421</v>
      </c>
      <c r="X748">
        <v>0.65</v>
      </c>
      <c r="AJ748">
        <v>3.6781732796000002</v>
      </c>
      <c r="AK748">
        <v>1.5017809947999998</v>
      </c>
      <c r="AL748">
        <v>1038.9156132184421</v>
      </c>
      <c r="AM748">
        <v>0.65</v>
      </c>
    </row>
    <row r="749" spans="1:39" x14ac:dyDescent="0.25">
      <c r="A749">
        <v>0</v>
      </c>
      <c r="B749">
        <v>0</v>
      </c>
      <c r="C749">
        <v>1038.9156132184421</v>
      </c>
      <c r="D749">
        <v>0.65</v>
      </c>
      <c r="F749">
        <v>21.164863076500001</v>
      </c>
      <c r="G749">
        <v>-8.7814880916</v>
      </c>
      <c r="H749">
        <v>1038.9156132184421</v>
      </c>
      <c r="I749">
        <v>0.65</v>
      </c>
      <c r="U749">
        <v>0</v>
      </c>
      <c r="V749">
        <v>-6.6410149826999998</v>
      </c>
      <c r="W749">
        <v>1038.9156132184421</v>
      </c>
      <c r="X749">
        <v>0.65</v>
      </c>
      <c r="AJ749">
        <v>3.6935325504000001</v>
      </c>
      <c r="AK749">
        <v>1.5086799621</v>
      </c>
      <c r="AL749">
        <v>1038.9156132184421</v>
      </c>
      <c r="AM749">
        <v>0.65</v>
      </c>
    </row>
    <row r="750" spans="1:39" x14ac:dyDescent="0.25">
      <c r="A750">
        <v>7.8522732576000003</v>
      </c>
      <c r="B750">
        <v>0</v>
      </c>
      <c r="C750">
        <v>1038.9156132184421</v>
      </c>
      <c r="D750">
        <v>0.65</v>
      </c>
      <c r="F750">
        <v>-18.236721142900002</v>
      </c>
      <c r="G750">
        <v>7.3800336741999999</v>
      </c>
      <c r="H750">
        <v>1038.9156132184421</v>
      </c>
      <c r="I750">
        <v>0.65</v>
      </c>
      <c r="U750">
        <v>0</v>
      </c>
      <c r="V750">
        <v>-6.7193446372999999</v>
      </c>
      <c r="W750">
        <v>1038.9156132184421</v>
      </c>
      <c r="X750">
        <v>0.65</v>
      </c>
      <c r="AJ750">
        <v>2.4533279413</v>
      </c>
      <c r="AK750">
        <v>1.0132870248999999</v>
      </c>
      <c r="AL750">
        <v>1038.9156132184421</v>
      </c>
      <c r="AM750">
        <v>0.65</v>
      </c>
    </row>
    <row r="751" spans="1:39" x14ac:dyDescent="0.25">
      <c r="A751">
        <v>1.2509930276999999</v>
      </c>
      <c r="B751">
        <v>0</v>
      </c>
      <c r="C751">
        <v>1038.9156132184421</v>
      </c>
      <c r="D751">
        <v>0.65</v>
      </c>
      <c r="F751">
        <v>0</v>
      </c>
      <c r="G751">
        <v>0</v>
      </c>
      <c r="H751">
        <v>1038.9156132184421</v>
      </c>
      <c r="I751">
        <v>0.65</v>
      </c>
      <c r="U751">
        <v>0</v>
      </c>
      <c r="V751">
        <v>-10.1387841768</v>
      </c>
      <c r="W751">
        <v>1038.9156132184421</v>
      </c>
      <c r="X751">
        <v>0.65</v>
      </c>
      <c r="AJ751">
        <v>4.3788695585999999</v>
      </c>
      <c r="AK751">
        <v>1.8249051157</v>
      </c>
      <c r="AL751">
        <v>1038.9156132184421</v>
      </c>
      <c r="AM751">
        <v>0.65</v>
      </c>
    </row>
    <row r="752" spans="1:39" x14ac:dyDescent="0.25">
      <c r="A752">
        <v>28.755341015600003</v>
      </c>
      <c r="B752">
        <v>0</v>
      </c>
      <c r="C752">
        <v>1038.9156132184421</v>
      </c>
      <c r="D752">
        <v>0.65</v>
      </c>
      <c r="F752">
        <v>0</v>
      </c>
      <c r="G752">
        <v>0</v>
      </c>
      <c r="H752">
        <v>1038.9156132184421</v>
      </c>
      <c r="I752">
        <v>0.65</v>
      </c>
      <c r="U752">
        <v>0</v>
      </c>
      <c r="V752">
        <v>-2.9499100027999998</v>
      </c>
      <c r="W752">
        <v>1038.9156132184421</v>
      </c>
      <c r="X752">
        <v>0.65</v>
      </c>
      <c r="AJ752">
        <v>3.7250468540000004</v>
      </c>
      <c r="AK752">
        <v>1.5221621182999998</v>
      </c>
      <c r="AL752">
        <v>1038.9156132184421</v>
      </c>
      <c r="AM752">
        <v>0.65</v>
      </c>
    </row>
    <row r="753" spans="1:39" x14ac:dyDescent="0.25">
      <c r="A753">
        <v>0</v>
      </c>
      <c r="B753">
        <v>0</v>
      </c>
      <c r="C753">
        <v>1038.9156132184421</v>
      </c>
      <c r="D753">
        <v>0.65</v>
      </c>
      <c r="F753">
        <v>0</v>
      </c>
      <c r="G753">
        <v>0</v>
      </c>
      <c r="H753">
        <v>1038.9156132184421</v>
      </c>
      <c r="I753">
        <v>0.65</v>
      </c>
      <c r="U753">
        <v>0</v>
      </c>
      <c r="V753">
        <v>-0.5608555368</v>
      </c>
      <c r="W753">
        <v>1038.9156132184421</v>
      </c>
      <c r="X753">
        <v>0.65</v>
      </c>
      <c r="AJ753">
        <v>3.7565146954999999</v>
      </c>
      <c r="AK753">
        <v>1.5356627117999999</v>
      </c>
      <c r="AL753">
        <v>1038.9156132184421</v>
      </c>
      <c r="AM753">
        <v>0.65</v>
      </c>
    </row>
    <row r="754" spans="1:39" x14ac:dyDescent="0.25">
      <c r="A754">
        <v>15.398219234900001</v>
      </c>
      <c r="B754">
        <v>0</v>
      </c>
      <c r="C754">
        <v>1038.9156132184421</v>
      </c>
      <c r="D754">
        <v>0.65</v>
      </c>
      <c r="F754">
        <v>0</v>
      </c>
      <c r="G754">
        <v>0</v>
      </c>
      <c r="H754">
        <v>1038.9156132184421</v>
      </c>
      <c r="I754">
        <v>0.65</v>
      </c>
      <c r="U754">
        <v>0</v>
      </c>
      <c r="V754">
        <v>-2.9107451754999998</v>
      </c>
      <c r="W754">
        <v>1038.9156132184421</v>
      </c>
      <c r="X754">
        <v>0.65</v>
      </c>
      <c r="AJ754">
        <v>3.7092904508999998</v>
      </c>
      <c r="AK754">
        <v>1.5154207431</v>
      </c>
      <c r="AL754">
        <v>1038.9156132184421</v>
      </c>
      <c r="AM754">
        <v>0.65</v>
      </c>
    </row>
    <row r="755" spans="1:39" x14ac:dyDescent="0.25">
      <c r="A755">
        <v>2.7215752572</v>
      </c>
      <c r="B755">
        <v>0</v>
      </c>
      <c r="C755">
        <v>1038.9156132184421</v>
      </c>
      <c r="D755">
        <v>0.65</v>
      </c>
      <c r="F755">
        <v>0</v>
      </c>
      <c r="G755">
        <v>0</v>
      </c>
      <c r="H755">
        <v>1038.9156132184421</v>
      </c>
      <c r="I755">
        <v>0.65</v>
      </c>
      <c r="U755">
        <v>0</v>
      </c>
      <c r="V755">
        <v>0</v>
      </c>
      <c r="W755">
        <v>1038.9156132184421</v>
      </c>
      <c r="X755">
        <v>0.65</v>
      </c>
      <c r="AJ755">
        <v>4.7204955152000005</v>
      </c>
      <c r="AK755">
        <v>1.9719973479000001</v>
      </c>
      <c r="AL755">
        <v>1038.9156132184421</v>
      </c>
      <c r="AM755">
        <v>0.65</v>
      </c>
    </row>
    <row r="756" spans="1:39" x14ac:dyDescent="0.25">
      <c r="A756">
        <v>22.5184133114</v>
      </c>
      <c r="B756">
        <v>0</v>
      </c>
      <c r="C756">
        <v>1038.9156132184421</v>
      </c>
      <c r="D756">
        <v>0.65</v>
      </c>
      <c r="F756">
        <v>0</v>
      </c>
      <c r="G756">
        <v>0</v>
      </c>
      <c r="H756">
        <v>1038.9156132184421</v>
      </c>
      <c r="I756">
        <v>0.65</v>
      </c>
      <c r="U756">
        <v>0</v>
      </c>
      <c r="V756">
        <v>-2.9890748301000003</v>
      </c>
      <c r="W756">
        <v>1038.9156132184421</v>
      </c>
      <c r="X756">
        <v>0.65</v>
      </c>
      <c r="AJ756">
        <v>4.0804560648999999</v>
      </c>
      <c r="AK756">
        <v>1.6719699904000001</v>
      </c>
      <c r="AL756">
        <v>1038.9156132184421</v>
      </c>
      <c r="AM756">
        <v>0.65</v>
      </c>
    </row>
    <row r="757" spans="1:39" x14ac:dyDescent="0.25">
      <c r="A757">
        <v>7.8195936525</v>
      </c>
      <c r="B757">
        <v>0</v>
      </c>
      <c r="C757">
        <v>1038.9156132184421</v>
      </c>
      <c r="D757">
        <v>0.65</v>
      </c>
      <c r="F757">
        <v>0</v>
      </c>
      <c r="G757">
        <v>0</v>
      </c>
      <c r="H757">
        <v>1038.9156132184421</v>
      </c>
      <c r="I757">
        <v>0.65</v>
      </c>
      <c r="U757">
        <v>0</v>
      </c>
      <c r="V757">
        <v>-13.377942873</v>
      </c>
      <c r="W757">
        <v>1038.9156132184421</v>
      </c>
      <c r="X757">
        <v>0.65</v>
      </c>
      <c r="AJ757">
        <v>3.4151686435999999</v>
      </c>
      <c r="AK757">
        <v>1.4112391724</v>
      </c>
      <c r="AL757">
        <v>1038.9156132184421</v>
      </c>
      <c r="AM757">
        <v>0.65</v>
      </c>
    </row>
    <row r="758" spans="1:39" x14ac:dyDescent="0.25">
      <c r="A758">
        <v>7.6888752321</v>
      </c>
      <c r="B758">
        <v>0</v>
      </c>
      <c r="C758">
        <v>1038.9156132184421</v>
      </c>
      <c r="D758">
        <v>0.65</v>
      </c>
      <c r="F758">
        <v>0</v>
      </c>
      <c r="G758">
        <v>0</v>
      </c>
      <c r="H758">
        <v>1038.9156132184421</v>
      </c>
      <c r="I758">
        <v>0.65</v>
      </c>
      <c r="U758">
        <v>0</v>
      </c>
      <c r="V758">
        <v>-6.6932347525000004</v>
      </c>
      <c r="W758">
        <v>1038.9156132184421</v>
      </c>
      <c r="X758">
        <v>0.65</v>
      </c>
      <c r="AJ758">
        <v>4.1212060755</v>
      </c>
      <c r="AK758">
        <v>1.6947810995000001</v>
      </c>
      <c r="AL758">
        <v>1038.9156132184421</v>
      </c>
      <c r="AM758">
        <v>0.65</v>
      </c>
    </row>
    <row r="759" spans="1:39" x14ac:dyDescent="0.25">
      <c r="A759">
        <v>0</v>
      </c>
      <c r="B759">
        <v>0</v>
      </c>
      <c r="C759">
        <v>1038.9156132184421</v>
      </c>
      <c r="D759">
        <v>0.65</v>
      </c>
      <c r="F759">
        <v>0</v>
      </c>
      <c r="G759">
        <v>0</v>
      </c>
      <c r="H759">
        <v>1038.9156132184421</v>
      </c>
      <c r="I759">
        <v>0.65</v>
      </c>
      <c r="U759">
        <v>0</v>
      </c>
      <c r="V759">
        <v>-13.3518329881</v>
      </c>
      <c r="W759">
        <v>1038.9156132184421</v>
      </c>
      <c r="X759">
        <v>0.65</v>
      </c>
      <c r="AJ759">
        <v>4.7599477911000001</v>
      </c>
      <c r="AK759">
        <v>1.9303538506000002</v>
      </c>
      <c r="AL759">
        <v>1038.9156132184421</v>
      </c>
      <c r="AM759">
        <v>0.65</v>
      </c>
    </row>
    <row r="760" spans="1:39" x14ac:dyDescent="0.25">
      <c r="A760">
        <v>0.27060487480000001</v>
      </c>
      <c r="B760">
        <v>0</v>
      </c>
      <c r="C760">
        <v>1038.9156132184421</v>
      </c>
      <c r="D760">
        <v>0.65</v>
      </c>
      <c r="F760">
        <v>0</v>
      </c>
      <c r="G760">
        <v>0</v>
      </c>
      <c r="H760">
        <v>1038.9156132184421</v>
      </c>
      <c r="I760">
        <v>0.65</v>
      </c>
      <c r="U760">
        <v>0</v>
      </c>
      <c r="V760">
        <v>-2.9760198876999997</v>
      </c>
      <c r="W760">
        <v>1038.9156132184421</v>
      </c>
      <c r="X760">
        <v>0.65</v>
      </c>
      <c r="AJ760">
        <v>3.7408019015000002</v>
      </c>
      <c r="AK760">
        <v>1.5289040314</v>
      </c>
      <c r="AL760">
        <v>1038.9156132184421</v>
      </c>
      <c r="AM760">
        <v>0.65</v>
      </c>
    </row>
    <row r="761" spans="1:39" x14ac:dyDescent="0.25">
      <c r="A761">
        <v>15.365539629800001</v>
      </c>
      <c r="B761">
        <v>0</v>
      </c>
      <c r="C761">
        <v>1038.9156132184421</v>
      </c>
      <c r="D761">
        <v>0.65</v>
      </c>
      <c r="F761">
        <v>-2.2141345638000001</v>
      </c>
      <c r="G761">
        <v>0.91329629040000004</v>
      </c>
      <c r="H761">
        <v>1038.9156132184421</v>
      </c>
      <c r="I761">
        <v>0.65</v>
      </c>
      <c r="U761">
        <v>0</v>
      </c>
      <c r="V761">
        <v>-10.243223716299999</v>
      </c>
      <c r="W761">
        <v>1038.9156132184421</v>
      </c>
      <c r="X761">
        <v>0.65</v>
      </c>
      <c r="AJ761">
        <v>3.7876484627999996</v>
      </c>
      <c r="AK761">
        <v>1.5492958745000001</v>
      </c>
      <c r="AL761">
        <v>1038.9156132184421</v>
      </c>
      <c r="AM761">
        <v>0.65</v>
      </c>
    </row>
    <row r="762" spans="1:39" x14ac:dyDescent="0.25">
      <c r="A762">
        <v>15.071423184</v>
      </c>
      <c r="B762">
        <v>0</v>
      </c>
      <c r="C762">
        <v>1038.9156132184421</v>
      </c>
      <c r="D762">
        <v>0.65</v>
      </c>
      <c r="F762">
        <v>-3.7718747595000002</v>
      </c>
      <c r="G762">
        <v>1.5425613644</v>
      </c>
      <c r="H762">
        <v>1038.9156132184421</v>
      </c>
      <c r="I762">
        <v>0.65</v>
      </c>
      <c r="U762">
        <v>0</v>
      </c>
      <c r="V762">
        <v>0</v>
      </c>
      <c r="W762">
        <v>1038.9156132184421</v>
      </c>
      <c r="X762">
        <v>0.65</v>
      </c>
      <c r="AJ762">
        <v>1.0485443256</v>
      </c>
      <c r="AK762">
        <v>0.43451149780000003</v>
      </c>
      <c r="AL762">
        <v>1038.9156132184421</v>
      </c>
      <c r="AM762">
        <v>0.65</v>
      </c>
    </row>
    <row r="763" spans="1:39" x14ac:dyDescent="0.25">
      <c r="A763">
        <v>22.355015285899999</v>
      </c>
      <c r="B763">
        <v>0</v>
      </c>
      <c r="C763">
        <v>1038.9156132184421</v>
      </c>
      <c r="D763">
        <v>0.65</v>
      </c>
      <c r="F763">
        <v>-1.9718146003999999</v>
      </c>
      <c r="G763">
        <v>0.81563616229999991</v>
      </c>
      <c r="H763">
        <v>1038.9156132184421</v>
      </c>
      <c r="I763">
        <v>0.65</v>
      </c>
      <c r="U763">
        <v>0</v>
      </c>
      <c r="V763">
        <v>-13.338778045700002</v>
      </c>
      <c r="W763">
        <v>1038.9156132184421</v>
      </c>
      <c r="X763">
        <v>0.65</v>
      </c>
      <c r="AJ763">
        <v>4.6528234889000002</v>
      </c>
      <c r="AK763">
        <v>1.9338817461</v>
      </c>
      <c r="AL763">
        <v>1038.9156132184421</v>
      </c>
      <c r="AM763">
        <v>0.65</v>
      </c>
    </row>
    <row r="764" spans="1:39" x14ac:dyDescent="0.25">
      <c r="A764">
        <v>4.1921574865999993</v>
      </c>
      <c r="B764">
        <v>0</v>
      </c>
      <c r="C764">
        <v>1038.9156132184421</v>
      </c>
      <c r="D764">
        <v>0.65</v>
      </c>
      <c r="F764">
        <v>-4.0812423346000006</v>
      </c>
      <c r="G764">
        <v>1.6716579785999999</v>
      </c>
      <c r="H764">
        <v>1038.9156132184421</v>
      </c>
      <c r="I764">
        <v>0.65</v>
      </c>
      <c r="U764">
        <v>0</v>
      </c>
      <c r="V764">
        <v>-10.1257292344</v>
      </c>
      <c r="W764">
        <v>1038.9156132184421</v>
      </c>
      <c r="X764">
        <v>0.65</v>
      </c>
      <c r="AJ764">
        <v>4.0882228032999999</v>
      </c>
      <c r="AK764">
        <v>1.6818818674</v>
      </c>
      <c r="AL764">
        <v>1038.9156132184421</v>
      </c>
      <c r="AM764">
        <v>0.65</v>
      </c>
    </row>
    <row r="765" spans="1:39" x14ac:dyDescent="0.25">
      <c r="A765">
        <v>22.256976470599998</v>
      </c>
      <c r="B765">
        <v>0</v>
      </c>
      <c r="C765">
        <v>1038.9156132184421</v>
      </c>
      <c r="D765">
        <v>0.65</v>
      </c>
      <c r="F765">
        <v>-3.7104738178999996</v>
      </c>
      <c r="G765">
        <v>1.5149511530000002</v>
      </c>
      <c r="H765">
        <v>1038.9156132184421</v>
      </c>
      <c r="I765">
        <v>0.65</v>
      </c>
      <c r="U765">
        <v>0</v>
      </c>
      <c r="V765">
        <v>-10.086564407099999</v>
      </c>
      <c r="W765">
        <v>1038.9156132184421</v>
      </c>
      <c r="X765">
        <v>0.65</v>
      </c>
      <c r="AJ765">
        <v>3.1812353741999999</v>
      </c>
      <c r="AK765">
        <v>1.3091610934</v>
      </c>
      <c r="AL765">
        <v>1038.9156132184421</v>
      </c>
      <c r="AM765">
        <v>0.65</v>
      </c>
    </row>
    <row r="766" spans="1:39" x14ac:dyDescent="0.25">
      <c r="A766">
        <v>28.722661410499999</v>
      </c>
      <c r="B766">
        <v>0</v>
      </c>
      <c r="C766">
        <v>1038.9156132184421</v>
      </c>
      <c r="D766">
        <v>0.65</v>
      </c>
      <c r="F766">
        <v>-4.0633584345999996</v>
      </c>
      <c r="G766">
        <v>1.6657608482000001</v>
      </c>
      <c r="H766">
        <v>1038.9156132184421</v>
      </c>
      <c r="I766">
        <v>0.65</v>
      </c>
      <c r="U766">
        <v>0</v>
      </c>
      <c r="V766">
        <v>-6.7323995798</v>
      </c>
      <c r="W766">
        <v>1038.9156132184421</v>
      </c>
      <c r="X766">
        <v>0.65</v>
      </c>
      <c r="AJ766">
        <v>4.7183521008000007</v>
      </c>
      <c r="AK766">
        <v>1.9338661608999999</v>
      </c>
      <c r="AL766">
        <v>1038.9156132184421</v>
      </c>
      <c r="AM766">
        <v>0.65</v>
      </c>
    </row>
    <row r="767" spans="1:39" x14ac:dyDescent="0.25">
      <c r="A767">
        <v>28.689981805399999</v>
      </c>
      <c r="B767">
        <v>0</v>
      </c>
      <c r="C767">
        <v>1038.9156132184421</v>
      </c>
      <c r="D767">
        <v>0.65</v>
      </c>
      <c r="F767">
        <v>-1.7392835694</v>
      </c>
      <c r="G767">
        <v>0.72098443130000012</v>
      </c>
      <c r="H767">
        <v>1038.9156132184421</v>
      </c>
      <c r="I767">
        <v>0.65</v>
      </c>
      <c r="U767">
        <v>0</v>
      </c>
      <c r="V767">
        <v>-10.1779490042</v>
      </c>
      <c r="W767">
        <v>1038.9156132184421</v>
      </c>
      <c r="X767">
        <v>0.65</v>
      </c>
      <c r="AJ767">
        <v>4.6695100133</v>
      </c>
      <c r="AK767">
        <v>1.9402540255</v>
      </c>
      <c r="AL767">
        <v>1038.9156132184421</v>
      </c>
      <c r="AM767">
        <v>0.65</v>
      </c>
    </row>
    <row r="768" spans="1:39" x14ac:dyDescent="0.25">
      <c r="A768">
        <v>29.082137066599998</v>
      </c>
      <c r="B768">
        <v>0</v>
      </c>
      <c r="C768">
        <v>1038.9156132184421</v>
      </c>
      <c r="D768">
        <v>0.65</v>
      </c>
      <c r="F768">
        <v>-3.7565558532000001</v>
      </c>
      <c r="G768">
        <v>1.5356463794000001</v>
      </c>
      <c r="H768">
        <v>1038.9156132184421</v>
      </c>
      <c r="I768">
        <v>0.65</v>
      </c>
      <c r="U768">
        <v>0</v>
      </c>
      <c r="V768">
        <v>-13.3257231032</v>
      </c>
      <c r="W768">
        <v>1038.9156132184421</v>
      </c>
      <c r="X768">
        <v>0.65</v>
      </c>
      <c r="AJ768">
        <v>5.5288597908999995</v>
      </c>
      <c r="AK768">
        <v>2.2847948597999999</v>
      </c>
      <c r="AL768">
        <v>1038.9156132184421</v>
      </c>
      <c r="AM768">
        <v>0.65</v>
      </c>
    </row>
    <row r="769" spans="1:39" x14ac:dyDescent="0.25">
      <c r="A769">
        <v>28.788020620699999</v>
      </c>
      <c r="B769">
        <v>0</v>
      </c>
      <c r="C769">
        <v>1038.9156132184421</v>
      </c>
      <c r="D769">
        <v>0.65</v>
      </c>
      <c r="F769">
        <v>-3.6770414326000003</v>
      </c>
      <c r="G769">
        <v>1.5022301404</v>
      </c>
      <c r="H769">
        <v>1038.9156132184421</v>
      </c>
      <c r="I769">
        <v>0.65</v>
      </c>
      <c r="U769">
        <v>0</v>
      </c>
      <c r="V769">
        <v>-13.443217585199999</v>
      </c>
      <c r="W769">
        <v>1038.9156132184421</v>
      </c>
      <c r="X769">
        <v>0.65</v>
      </c>
      <c r="AJ769">
        <v>5.5153768828</v>
      </c>
      <c r="AK769">
        <v>2.2771513039999998</v>
      </c>
      <c r="AL769">
        <v>1038.9156132184421</v>
      </c>
      <c r="AM769">
        <v>0.65</v>
      </c>
    </row>
    <row r="770" spans="1:39" x14ac:dyDescent="0.25">
      <c r="A770">
        <v>28.918739041099997</v>
      </c>
      <c r="B770">
        <v>0</v>
      </c>
      <c r="C770">
        <v>1038.9156132184421</v>
      </c>
      <c r="D770">
        <v>0.65</v>
      </c>
      <c r="F770">
        <v>-3.7231707343</v>
      </c>
      <c r="G770">
        <v>1.5229066103</v>
      </c>
      <c r="H770">
        <v>1038.9156132184421</v>
      </c>
      <c r="I770">
        <v>0.65</v>
      </c>
      <c r="U770">
        <v>0</v>
      </c>
      <c r="V770">
        <v>-13.417107700300001</v>
      </c>
      <c r="W770">
        <v>1038.9156132184421</v>
      </c>
      <c r="X770">
        <v>0.65</v>
      </c>
      <c r="AJ770">
        <v>5.0053094407999996</v>
      </c>
      <c r="AK770">
        <v>2.0718572841</v>
      </c>
      <c r="AL770">
        <v>1038.9156132184421</v>
      </c>
      <c r="AM770">
        <v>0.65</v>
      </c>
    </row>
    <row r="771" spans="1:39" x14ac:dyDescent="0.25">
      <c r="A771">
        <v>29.114816671700002</v>
      </c>
      <c r="B771">
        <v>0</v>
      </c>
      <c r="C771">
        <v>1038.9156132184421</v>
      </c>
      <c r="D771">
        <v>0.65</v>
      </c>
      <c r="F771">
        <v>-4.1000354278</v>
      </c>
      <c r="G771">
        <v>1.7161760663000001</v>
      </c>
      <c r="H771">
        <v>1038.9156132184421</v>
      </c>
      <c r="I771">
        <v>0.65</v>
      </c>
      <c r="U771">
        <v>0</v>
      </c>
      <c r="V771">
        <v>-13.469327470000001</v>
      </c>
      <c r="W771">
        <v>1038.9156132184421</v>
      </c>
      <c r="X771">
        <v>0.65</v>
      </c>
      <c r="AJ771">
        <v>1.7351268733</v>
      </c>
      <c r="AK771">
        <v>0.72251138079999999</v>
      </c>
      <c r="AL771">
        <v>1038.9156132184421</v>
      </c>
      <c r="AM771">
        <v>0.65</v>
      </c>
    </row>
    <row r="772" spans="1:39" x14ac:dyDescent="0.25">
      <c r="A772">
        <v>28.886059436</v>
      </c>
      <c r="B772">
        <v>0</v>
      </c>
      <c r="C772">
        <v>1038.9156132184421</v>
      </c>
      <c r="D772">
        <v>0.65</v>
      </c>
      <c r="F772">
        <v>-2.4544737664</v>
      </c>
      <c r="G772">
        <v>1.0128323323999999</v>
      </c>
      <c r="H772">
        <v>1038.9156132184421</v>
      </c>
      <c r="I772">
        <v>0.65</v>
      </c>
      <c r="U772">
        <v>0</v>
      </c>
      <c r="V772">
        <v>-13.364887930499998</v>
      </c>
      <c r="W772">
        <v>1038.9156132184421</v>
      </c>
      <c r="X772">
        <v>0.65</v>
      </c>
      <c r="AJ772">
        <v>5.5976528432999997</v>
      </c>
      <c r="AK772">
        <v>2.2964777776999998</v>
      </c>
      <c r="AL772">
        <v>1038.9156132184421</v>
      </c>
      <c r="AM772">
        <v>0.65</v>
      </c>
    </row>
    <row r="773" spans="1:39" x14ac:dyDescent="0.25">
      <c r="A773">
        <v>28.8207002258</v>
      </c>
      <c r="B773">
        <v>0</v>
      </c>
      <c r="C773">
        <v>1038.9156132184421</v>
      </c>
      <c r="D773">
        <v>0.65</v>
      </c>
      <c r="F773">
        <v>-4.1045521918999999</v>
      </c>
      <c r="G773">
        <v>1.6883958673999999</v>
      </c>
      <c r="H773">
        <v>1038.9156132184421</v>
      </c>
      <c r="I773">
        <v>0.65</v>
      </c>
      <c r="U773">
        <v>0</v>
      </c>
      <c r="V773">
        <v>-10.230168773899999</v>
      </c>
      <c r="W773">
        <v>1038.9156132184421</v>
      </c>
      <c r="X773">
        <v>0.65</v>
      </c>
      <c r="AJ773">
        <v>4.7287666442000003</v>
      </c>
      <c r="AK773">
        <v>1.9557212376999999</v>
      </c>
      <c r="AL773">
        <v>1038.9156132184421</v>
      </c>
      <c r="AM773">
        <v>0.65</v>
      </c>
    </row>
    <row r="774" spans="1:39" x14ac:dyDescent="0.25">
      <c r="A774">
        <v>28.8533798309</v>
      </c>
      <c r="B774">
        <v>0</v>
      </c>
      <c r="C774">
        <v>1038.9156132184421</v>
      </c>
      <c r="D774">
        <v>0.65</v>
      </c>
      <c r="F774">
        <v>-2.9373666184</v>
      </c>
      <c r="G774">
        <v>1.2110256677</v>
      </c>
      <c r="H774">
        <v>1038.9156132184421</v>
      </c>
      <c r="I774">
        <v>0.65</v>
      </c>
      <c r="U774">
        <v>0</v>
      </c>
      <c r="V774">
        <v>-13.404052757899999</v>
      </c>
      <c r="W774">
        <v>1038.9156132184421</v>
      </c>
      <c r="X774">
        <v>0.65</v>
      </c>
      <c r="AJ774">
        <v>5.5855914175999999</v>
      </c>
      <c r="AK774">
        <v>2.2882701417</v>
      </c>
      <c r="AL774">
        <v>1038.9156132184421</v>
      </c>
      <c r="AM774">
        <v>0.65</v>
      </c>
    </row>
    <row r="775" spans="1:39" x14ac:dyDescent="0.25">
      <c r="A775">
        <v>29.049457461500001</v>
      </c>
      <c r="B775">
        <v>0</v>
      </c>
      <c r="C775">
        <v>1038.9156132184421</v>
      </c>
      <c r="D775">
        <v>0.65</v>
      </c>
      <c r="F775">
        <v>-3.1804974764000002</v>
      </c>
      <c r="G775">
        <v>1.30945391</v>
      </c>
      <c r="H775">
        <v>1038.9156132184421</v>
      </c>
      <c r="I775">
        <v>0.65</v>
      </c>
      <c r="U775">
        <v>0</v>
      </c>
      <c r="V775">
        <v>-13.482382412500002</v>
      </c>
      <c r="W775">
        <v>1038.9156132184421</v>
      </c>
      <c r="X775">
        <v>0.65</v>
      </c>
      <c r="AJ775">
        <v>6.6537338537000004</v>
      </c>
      <c r="AK775">
        <v>2.7057985151999997</v>
      </c>
      <c r="AL775">
        <v>1038.9156132184421</v>
      </c>
      <c r="AM775">
        <v>0.65</v>
      </c>
    </row>
    <row r="776" spans="1:39" x14ac:dyDescent="0.25">
      <c r="A776">
        <v>28.9514186462</v>
      </c>
      <c r="B776">
        <v>0</v>
      </c>
      <c r="C776">
        <v>1038.9156132184421</v>
      </c>
      <c r="D776">
        <v>0.65</v>
      </c>
      <c r="F776">
        <v>-4.0893170095000002</v>
      </c>
      <c r="G776">
        <v>1.6814476586</v>
      </c>
      <c r="H776">
        <v>1038.9156132184421</v>
      </c>
      <c r="I776">
        <v>0.65</v>
      </c>
      <c r="U776">
        <v>0</v>
      </c>
      <c r="V776">
        <v>-13.5084922973</v>
      </c>
      <c r="W776">
        <v>1038.9156132184421</v>
      </c>
      <c r="X776">
        <v>0.65</v>
      </c>
      <c r="AJ776">
        <v>6.5870259099999995</v>
      </c>
      <c r="AK776">
        <v>2.7062820892000001</v>
      </c>
      <c r="AL776">
        <v>1038.9156132184421</v>
      </c>
      <c r="AM776">
        <v>0.65</v>
      </c>
    </row>
    <row r="777" spans="1:39" x14ac:dyDescent="0.25">
      <c r="A777">
        <v>29.016777856399997</v>
      </c>
      <c r="B777">
        <v>0</v>
      </c>
      <c r="C777">
        <v>1038.9156132184421</v>
      </c>
      <c r="D777">
        <v>0.65</v>
      </c>
      <c r="F777">
        <v>-4.6709209781999999</v>
      </c>
      <c r="G777">
        <v>1.9396941187999999</v>
      </c>
      <c r="H777">
        <v>1038.9156132184421</v>
      </c>
      <c r="I777">
        <v>0.65</v>
      </c>
      <c r="U777">
        <v>0</v>
      </c>
      <c r="V777">
        <v>-13.430162642699999</v>
      </c>
      <c r="W777">
        <v>1038.9156132184421</v>
      </c>
      <c r="X777">
        <v>0.65</v>
      </c>
      <c r="AJ777">
        <v>9.2464570344000006</v>
      </c>
      <c r="AK777">
        <v>3.8334983805</v>
      </c>
      <c r="AL777">
        <v>1038.9156132184421</v>
      </c>
      <c r="AM777">
        <v>0.65</v>
      </c>
    </row>
    <row r="778" spans="1:39" x14ac:dyDescent="0.25">
      <c r="A778">
        <v>29.180175881899999</v>
      </c>
      <c r="B778">
        <v>0</v>
      </c>
      <c r="C778">
        <v>1038.9156132184421</v>
      </c>
      <c r="D778">
        <v>0.65</v>
      </c>
      <c r="F778">
        <v>-3.4148134261000003</v>
      </c>
      <c r="G778">
        <v>1.4113801316999999</v>
      </c>
      <c r="H778">
        <v>1038.9156132184421</v>
      </c>
      <c r="I778">
        <v>0.65</v>
      </c>
      <c r="U778">
        <v>0</v>
      </c>
      <c r="V778">
        <v>-13.5215472398</v>
      </c>
      <c r="W778">
        <v>1038.9156132184421</v>
      </c>
      <c r="X778">
        <v>0.65</v>
      </c>
      <c r="AJ778">
        <v>6.7002836235999998</v>
      </c>
      <c r="AK778">
        <v>2.7133142164999997</v>
      </c>
      <c r="AL778">
        <v>1038.9156132184421</v>
      </c>
      <c r="AM778">
        <v>0.65</v>
      </c>
    </row>
    <row r="779" spans="1:39" x14ac:dyDescent="0.25">
      <c r="A779">
        <v>29.147496276799998</v>
      </c>
      <c r="B779">
        <v>0</v>
      </c>
      <c r="C779">
        <v>1038.9156132184421</v>
      </c>
      <c r="D779">
        <v>0.65</v>
      </c>
      <c r="F779">
        <v>-4.3781870084000003</v>
      </c>
      <c r="G779">
        <v>1.8251759689</v>
      </c>
      <c r="H779">
        <v>1038.9156132184421</v>
      </c>
      <c r="I779">
        <v>0.65</v>
      </c>
      <c r="U779">
        <v>0</v>
      </c>
      <c r="V779">
        <v>-13.4954373549</v>
      </c>
      <c r="W779">
        <v>1038.9156132184421</v>
      </c>
      <c r="X779">
        <v>0.65</v>
      </c>
      <c r="AJ779">
        <v>7.8824652625000002</v>
      </c>
      <c r="AK779">
        <v>3.2527371752000001</v>
      </c>
      <c r="AL779">
        <v>1038.9156132184421</v>
      </c>
      <c r="AM779">
        <v>0.65</v>
      </c>
    </row>
    <row r="780" spans="1:39" x14ac:dyDescent="0.25">
      <c r="A780">
        <v>28.984098251300001</v>
      </c>
      <c r="B780">
        <v>0</v>
      </c>
      <c r="C780">
        <v>1038.9156132184421</v>
      </c>
      <c r="D780">
        <v>0.65</v>
      </c>
      <c r="F780">
        <v>-4.6549669792000001</v>
      </c>
      <c r="G780">
        <v>1.9330311546999999</v>
      </c>
      <c r="H780">
        <v>1038.9156132184421</v>
      </c>
      <c r="I780">
        <v>0.65</v>
      </c>
      <c r="U780">
        <v>0</v>
      </c>
      <c r="V780">
        <v>-13.456272527599999</v>
      </c>
      <c r="W780">
        <v>1038.9156132184421</v>
      </c>
      <c r="X780">
        <v>0.65</v>
      </c>
      <c r="AJ780">
        <v>9.2405655056999993</v>
      </c>
      <c r="AK780">
        <v>3.8488302048999996</v>
      </c>
      <c r="AL780">
        <v>1038.9156132184421</v>
      </c>
      <c r="AM780">
        <v>0.65</v>
      </c>
    </row>
    <row r="781" spans="1:39" x14ac:dyDescent="0.25">
      <c r="A781">
        <v>0</v>
      </c>
      <c r="B781">
        <v>0</v>
      </c>
      <c r="C781">
        <v>1038.9156132184421</v>
      </c>
      <c r="D781">
        <v>0.65</v>
      </c>
      <c r="F781">
        <v>-2.6920118576999998</v>
      </c>
      <c r="G781">
        <v>1.1134799264999999</v>
      </c>
      <c r="H781">
        <v>1038.9156132184421</v>
      </c>
      <c r="I781">
        <v>0.65</v>
      </c>
      <c r="U781">
        <v>0</v>
      </c>
      <c r="V781">
        <v>0</v>
      </c>
      <c r="W781">
        <v>1038.9156132184421</v>
      </c>
      <c r="X781">
        <v>0.65</v>
      </c>
      <c r="AJ781">
        <v>6.5957531110000005</v>
      </c>
      <c r="AK781">
        <v>2.7158128303</v>
      </c>
      <c r="AL781">
        <v>1038.9156132184421</v>
      </c>
      <c r="AM781">
        <v>0.65</v>
      </c>
    </row>
    <row r="782" spans="1:39" x14ac:dyDescent="0.25">
      <c r="A782">
        <v>0</v>
      </c>
      <c r="B782">
        <v>0</v>
      </c>
      <c r="C782">
        <v>1038.9156132184421</v>
      </c>
      <c r="D782">
        <v>0.65</v>
      </c>
      <c r="F782">
        <v>-3.7410956487</v>
      </c>
      <c r="G782">
        <v>1.5287874651000002</v>
      </c>
      <c r="H782">
        <v>1038.9156132184421</v>
      </c>
      <c r="I782">
        <v>0.65</v>
      </c>
      <c r="U782">
        <v>0</v>
      </c>
      <c r="V782">
        <v>0</v>
      </c>
      <c r="W782">
        <v>1038.9156132184421</v>
      </c>
      <c r="X782">
        <v>0.65</v>
      </c>
      <c r="AJ782">
        <v>5.5571566081000006</v>
      </c>
      <c r="AK782">
        <v>2.2865598801</v>
      </c>
      <c r="AL782">
        <v>1038.9156132184421</v>
      </c>
      <c r="AM782">
        <v>0.65</v>
      </c>
    </row>
    <row r="783" spans="1:39" x14ac:dyDescent="0.25">
      <c r="A783">
        <v>0</v>
      </c>
      <c r="B783">
        <v>0</v>
      </c>
      <c r="C783">
        <v>1038.9156132184421</v>
      </c>
      <c r="D783">
        <v>0.65</v>
      </c>
      <c r="F783">
        <v>-3.6951674344999996</v>
      </c>
      <c r="G783">
        <v>1.5080311986000001</v>
      </c>
      <c r="H783">
        <v>1038.9156132184421</v>
      </c>
      <c r="I783">
        <v>0.65</v>
      </c>
      <c r="U783">
        <v>0</v>
      </c>
      <c r="V783">
        <v>0</v>
      </c>
      <c r="W783">
        <v>1038.9156132184421</v>
      </c>
      <c r="X783">
        <v>0.65</v>
      </c>
      <c r="AJ783">
        <v>5.8628297473000002</v>
      </c>
      <c r="AK783">
        <v>2.4106279202000001</v>
      </c>
      <c r="AL783">
        <v>1038.9156132184421</v>
      </c>
      <c r="AM783">
        <v>0.65</v>
      </c>
    </row>
    <row r="784" spans="1:39" x14ac:dyDescent="0.25">
      <c r="A784">
        <v>0</v>
      </c>
      <c r="B784">
        <v>0</v>
      </c>
      <c r="C784">
        <v>1038.9156132184421</v>
      </c>
      <c r="D784">
        <v>0.65</v>
      </c>
      <c r="F784">
        <v>-3.7898279249</v>
      </c>
      <c r="G784">
        <v>1.5484310085000002</v>
      </c>
      <c r="H784">
        <v>1038.9156132184421</v>
      </c>
      <c r="I784">
        <v>0.65</v>
      </c>
      <c r="U784">
        <v>0</v>
      </c>
      <c r="V784">
        <v>0.95250380989999994</v>
      </c>
      <c r="W784">
        <v>1038.9156132184421</v>
      </c>
      <c r="X784">
        <v>0.65</v>
      </c>
      <c r="AJ784">
        <v>5.6531154872</v>
      </c>
      <c r="AK784">
        <v>2.2874627082000001</v>
      </c>
      <c r="AL784">
        <v>1038.9156132184421</v>
      </c>
      <c r="AM784">
        <v>0.65</v>
      </c>
    </row>
    <row r="785" spans="1:39" x14ac:dyDescent="0.25">
      <c r="A785">
        <v>-3.7019634101000003</v>
      </c>
      <c r="B785">
        <v>0</v>
      </c>
      <c r="C785">
        <v>1038.9156132184421</v>
      </c>
      <c r="D785">
        <v>0.65</v>
      </c>
      <c r="F785">
        <v>-4.7179002190999997</v>
      </c>
      <c r="G785">
        <v>1.9730272273</v>
      </c>
      <c r="H785">
        <v>1038.9156132184421</v>
      </c>
      <c r="I785">
        <v>0.65</v>
      </c>
      <c r="U785">
        <v>0</v>
      </c>
      <c r="V785">
        <v>0</v>
      </c>
      <c r="W785">
        <v>1038.9156132184421</v>
      </c>
      <c r="X785">
        <v>0.65</v>
      </c>
      <c r="AJ785">
        <v>7.8495481299000005</v>
      </c>
      <c r="AK785">
        <v>3.2268177810999998</v>
      </c>
      <c r="AL785">
        <v>1038.9156132184421</v>
      </c>
      <c r="AM785">
        <v>0.65</v>
      </c>
    </row>
    <row r="786" spans="1:39" x14ac:dyDescent="0.25">
      <c r="A786">
        <v>0</v>
      </c>
      <c r="B786">
        <v>0</v>
      </c>
      <c r="C786">
        <v>1038.9156132184421</v>
      </c>
      <c r="D786">
        <v>0.65</v>
      </c>
      <c r="F786">
        <v>-1.5122272813000002</v>
      </c>
      <c r="G786">
        <v>0.62432157020000001</v>
      </c>
      <c r="H786">
        <v>1038.9156132184421</v>
      </c>
      <c r="I786">
        <v>0.65</v>
      </c>
      <c r="U786">
        <v>0</v>
      </c>
      <c r="V786">
        <v>0</v>
      </c>
      <c r="W786">
        <v>1038.9156132184421</v>
      </c>
      <c r="X786">
        <v>0.65</v>
      </c>
      <c r="AJ786">
        <v>7.8985659275</v>
      </c>
      <c r="AK786">
        <v>3.2593419385</v>
      </c>
      <c r="AL786">
        <v>1038.9156132184421</v>
      </c>
      <c r="AM786">
        <v>0.65</v>
      </c>
    </row>
    <row r="787" spans="1:39" x14ac:dyDescent="0.25">
      <c r="A787">
        <v>-0.76079895129999997</v>
      </c>
      <c r="B787">
        <v>0</v>
      </c>
      <c r="C787">
        <v>1038.9156132184421</v>
      </c>
      <c r="D787">
        <v>0.65</v>
      </c>
      <c r="F787">
        <v>-4.1212798385999996</v>
      </c>
      <c r="G787">
        <v>1.6947518284</v>
      </c>
      <c r="H787">
        <v>1038.9156132184421</v>
      </c>
      <c r="I787">
        <v>0.65</v>
      </c>
      <c r="U787">
        <v>0</v>
      </c>
      <c r="V787">
        <v>0</v>
      </c>
      <c r="W787">
        <v>1038.9156132184421</v>
      </c>
      <c r="X787">
        <v>0.65</v>
      </c>
      <c r="AJ787">
        <v>6.8049241521999999</v>
      </c>
      <c r="AK787">
        <v>2.8846730910999998</v>
      </c>
      <c r="AL787">
        <v>1038.9156132184421</v>
      </c>
      <c r="AM787">
        <v>0.65</v>
      </c>
    </row>
    <row r="788" spans="1:39" x14ac:dyDescent="0.25">
      <c r="A788">
        <v>-5.6627397159999999</v>
      </c>
      <c r="B788">
        <v>0</v>
      </c>
      <c r="C788">
        <v>1038.9156132184421</v>
      </c>
      <c r="D788">
        <v>0.65</v>
      </c>
      <c r="F788">
        <v>-4.7281916581000001</v>
      </c>
      <c r="G788">
        <v>1.9559494068000001</v>
      </c>
      <c r="H788">
        <v>1038.9156132184421</v>
      </c>
      <c r="I788">
        <v>0.65</v>
      </c>
      <c r="U788">
        <v>0</v>
      </c>
      <c r="V788">
        <v>0.5608555368</v>
      </c>
      <c r="W788">
        <v>1038.9156132184421</v>
      </c>
      <c r="X788">
        <v>0.65</v>
      </c>
      <c r="AJ788">
        <v>7.8587159754</v>
      </c>
      <c r="AK788">
        <v>3.210185831</v>
      </c>
      <c r="AL788">
        <v>1038.9156132184421</v>
      </c>
      <c r="AM788">
        <v>0.65</v>
      </c>
    </row>
    <row r="789" spans="1:39" x14ac:dyDescent="0.25">
      <c r="A789">
        <v>-2.2313811806999997</v>
      </c>
      <c r="B789">
        <v>0</v>
      </c>
      <c r="C789">
        <v>1038.9156132184421</v>
      </c>
      <c r="D789">
        <v>0.65</v>
      </c>
      <c r="F789">
        <v>-4.7566641631</v>
      </c>
      <c r="G789">
        <v>1.9316568776</v>
      </c>
      <c r="H789">
        <v>1038.9156132184421</v>
      </c>
      <c r="I789">
        <v>0.65</v>
      </c>
      <c r="U789">
        <v>0</v>
      </c>
      <c r="V789">
        <v>0</v>
      </c>
      <c r="W789">
        <v>1038.9156132184421</v>
      </c>
      <c r="X789">
        <v>0.65</v>
      </c>
      <c r="AJ789">
        <v>7.9638016312</v>
      </c>
      <c r="AK789">
        <v>3.2594425866000001</v>
      </c>
      <c r="AL789">
        <v>1038.9156132184421</v>
      </c>
      <c r="AM789">
        <v>0.65</v>
      </c>
    </row>
    <row r="790" spans="1:39" x14ac:dyDescent="0.25">
      <c r="A790">
        <v>-4.6823515630000001</v>
      </c>
      <c r="B790">
        <v>0</v>
      </c>
      <c r="C790">
        <v>1038.9156132184421</v>
      </c>
      <c r="D790">
        <v>0.65</v>
      </c>
      <c r="F790">
        <v>-4.7177933574999997</v>
      </c>
      <c r="G790">
        <v>1.9340878844</v>
      </c>
      <c r="H790">
        <v>1038.9156132184421</v>
      </c>
      <c r="I790">
        <v>0.65</v>
      </c>
      <c r="U790">
        <v>0</v>
      </c>
      <c r="V790">
        <v>0</v>
      </c>
      <c r="W790">
        <v>1038.9156132184421</v>
      </c>
      <c r="X790">
        <v>0.65</v>
      </c>
      <c r="AJ790">
        <v>7.8897404046999995</v>
      </c>
      <c r="AK790">
        <v>3.2368562979000002</v>
      </c>
      <c r="AL790">
        <v>1038.9156132184421</v>
      </c>
      <c r="AM790">
        <v>0.65</v>
      </c>
    </row>
    <row r="791" spans="1:39" x14ac:dyDescent="0.25">
      <c r="A791">
        <v>0</v>
      </c>
      <c r="B791">
        <v>0</v>
      </c>
      <c r="C791">
        <v>1038.9156132184421</v>
      </c>
      <c r="D791">
        <v>0.65</v>
      </c>
      <c r="F791">
        <v>-6.6463422112000003</v>
      </c>
      <c r="G791">
        <v>2.7087317066999996</v>
      </c>
      <c r="H791">
        <v>1038.9156132184421</v>
      </c>
      <c r="I791">
        <v>0.65</v>
      </c>
      <c r="U791">
        <v>0</v>
      </c>
      <c r="V791">
        <v>0</v>
      </c>
      <c r="W791">
        <v>1038.9156132184421</v>
      </c>
      <c r="X791">
        <v>0.65</v>
      </c>
      <c r="AJ791">
        <v>9.3576294545999996</v>
      </c>
      <c r="AK791">
        <v>3.8283640890999999</v>
      </c>
      <c r="AL791">
        <v>1038.9156132184421</v>
      </c>
      <c r="AM791">
        <v>0.65</v>
      </c>
    </row>
    <row r="792" spans="1:39" x14ac:dyDescent="0.25">
      <c r="A792">
        <v>0</v>
      </c>
      <c r="B792">
        <v>0</v>
      </c>
      <c r="C792">
        <v>1038.9156132184421</v>
      </c>
      <c r="D792">
        <v>0.65</v>
      </c>
      <c r="F792">
        <v>-6.7034554797999997</v>
      </c>
      <c r="G792">
        <v>2.7120555434</v>
      </c>
      <c r="H792">
        <v>1038.9156132184421</v>
      </c>
      <c r="I792">
        <v>0.65</v>
      </c>
      <c r="U792">
        <v>0</v>
      </c>
      <c r="V792">
        <v>2.9107451754999998</v>
      </c>
      <c r="W792">
        <v>1038.9156132184421</v>
      </c>
      <c r="X792">
        <v>0.65</v>
      </c>
      <c r="AJ792">
        <v>9.2089798482000003</v>
      </c>
      <c r="AK792">
        <v>3.8743581119999999</v>
      </c>
      <c r="AL792">
        <v>1038.9156132184421</v>
      </c>
      <c r="AM792">
        <v>0.65</v>
      </c>
    </row>
    <row r="793" spans="1:39" x14ac:dyDescent="0.25">
      <c r="A793">
        <v>-1.2509930276999999</v>
      </c>
      <c r="B793">
        <v>0</v>
      </c>
      <c r="C793">
        <v>1038.9156132184421</v>
      </c>
      <c r="D793">
        <v>0.65</v>
      </c>
      <c r="F793">
        <v>-9.2592838338999996</v>
      </c>
      <c r="G793">
        <v>3.8414022968000001</v>
      </c>
      <c r="H793">
        <v>1038.9156132184421</v>
      </c>
      <c r="I793">
        <v>0.65</v>
      </c>
      <c r="U793">
        <v>0</v>
      </c>
      <c r="V793">
        <v>0</v>
      </c>
      <c r="W793">
        <v>1038.9156132184421</v>
      </c>
      <c r="X793">
        <v>0.65</v>
      </c>
      <c r="AJ793">
        <v>6.6660692544000009</v>
      </c>
      <c r="AK793">
        <v>2.7138974309999999</v>
      </c>
      <c r="AL793">
        <v>1038.9156132184421</v>
      </c>
      <c r="AM793">
        <v>0.65</v>
      </c>
    </row>
    <row r="794" spans="1:39" x14ac:dyDescent="0.25">
      <c r="A794">
        <v>-2.7215752572</v>
      </c>
      <c r="B794">
        <v>0</v>
      </c>
      <c r="C794">
        <v>1038.9156132184421</v>
      </c>
      <c r="D794">
        <v>0.65</v>
      </c>
      <c r="F794">
        <v>-5.5900260875000001</v>
      </c>
      <c r="G794">
        <v>2.2865103521000001</v>
      </c>
      <c r="H794">
        <v>1038.9156132184421</v>
      </c>
      <c r="I794">
        <v>0.65</v>
      </c>
      <c r="U794">
        <v>0</v>
      </c>
      <c r="V794">
        <v>0</v>
      </c>
      <c r="W794">
        <v>1038.9156132184421</v>
      </c>
      <c r="X794">
        <v>0.65</v>
      </c>
      <c r="AJ794">
        <v>9.2007381539999997</v>
      </c>
      <c r="AK794">
        <v>3.8386468773</v>
      </c>
      <c r="AL794">
        <v>1038.9156132184421</v>
      </c>
      <c r="AM794">
        <v>0.65</v>
      </c>
    </row>
    <row r="795" spans="1:39" x14ac:dyDescent="0.25">
      <c r="A795">
        <v>0</v>
      </c>
      <c r="B795">
        <v>0</v>
      </c>
      <c r="C795">
        <v>1038.9156132184421</v>
      </c>
      <c r="D795">
        <v>0.65</v>
      </c>
      <c r="F795">
        <v>-5.5997872579000001</v>
      </c>
      <c r="G795">
        <v>2.2956307878</v>
      </c>
      <c r="H795">
        <v>1038.9156132184421</v>
      </c>
      <c r="I795">
        <v>0.65</v>
      </c>
      <c r="U795">
        <v>0</v>
      </c>
      <c r="V795">
        <v>0.75667967329999997</v>
      </c>
      <c r="W795">
        <v>1038.9156132184421</v>
      </c>
      <c r="X795">
        <v>0.65</v>
      </c>
      <c r="AJ795">
        <v>9.2234740441999996</v>
      </c>
      <c r="AK795">
        <v>3.9075881951999998</v>
      </c>
      <c r="AL795">
        <v>1038.9156132184421</v>
      </c>
      <c r="AM795">
        <v>0.65</v>
      </c>
    </row>
    <row r="796" spans="1:39" x14ac:dyDescent="0.25">
      <c r="A796">
        <v>-1.7411871042000002</v>
      </c>
      <c r="B796">
        <v>0</v>
      </c>
      <c r="C796">
        <v>1038.9156132184421</v>
      </c>
      <c r="D796">
        <v>0.65</v>
      </c>
      <c r="F796">
        <v>-9.2017668798999992</v>
      </c>
      <c r="G796">
        <v>3.8772204010000002</v>
      </c>
      <c r="H796">
        <v>1038.9156132184421</v>
      </c>
      <c r="I796">
        <v>0.65</v>
      </c>
      <c r="U796">
        <v>0</v>
      </c>
      <c r="V796">
        <v>1.344152083</v>
      </c>
      <c r="W796">
        <v>1038.9156132184421</v>
      </c>
      <c r="X796">
        <v>0.65</v>
      </c>
      <c r="AJ796">
        <v>9.3084458436999995</v>
      </c>
      <c r="AK796">
        <v>3.8608753111</v>
      </c>
      <c r="AL796">
        <v>1038.9156132184421</v>
      </c>
      <c r="AM796">
        <v>0.65</v>
      </c>
    </row>
    <row r="797" spans="1:39" x14ac:dyDescent="0.25">
      <c r="A797">
        <v>-3.2117693336000004</v>
      </c>
      <c r="B797">
        <v>0</v>
      </c>
      <c r="C797">
        <v>1038.9156132184421</v>
      </c>
      <c r="D797">
        <v>0.65</v>
      </c>
      <c r="F797">
        <v>-6.6725683666000002</v>
      </c>
      <c r="G797">
        <v>2.7113184181999999</v>
      </c>
      <c r="H797">
        <v>1038.9156132184421</v>
      </c>
      <c r="I797">
        <v>0.65</v>
      </c>
      <c r="U797">
        <v>0</v>
      </c>
      <c r="V797">
        <v>2.9760198876999997</v>
      </c>
      <c r="W797">
        <v>1038.9156132184421</v>
      </c>
      <c r="X797">
        <v>0.65</v>
      </c>
      <c r="AJ797">
        <v>7.9459849947999999</v>
      </c>
      <c r="AK797">
        <v>3.2535187644000003</v>
      </c>
      <c r="AL797">
        <v>1038.9156132184421</v>
      </c>
      <c r="AM797">
        <v>0.65</v>
      </c>
    </row>
    <row r="798" spans="1:39" x14ac:dyDescent="0.25">
      <c r="A798">
        <v>-4.1921574865999993</v>
      </c>
      <c r="B798">
        <v>0</v>
      </c>
      <c r="C798">
        <v>1038.9156132184421</v>
      </c>
      <c r="D798">
        <v>0.65</v>
      </c>
      <c r="F798">
        <v>-5.5314608469</v>
      </c>
      <c r="G798">
        <v>2.2837626947</v>
      </c>
      <c r="H798">
        <v>1038.9156132184421</v>
      </c>
      <c r="I798">
        <v>0.65</v>
      </c>
      <c r="U798">
        <v>0</v>
      </c>
      <c r="V798">
        <v>0.36503140019999997</v>
      </c>
      <c r="W798">
        <v>1038.9156132184421</v>
      </c>
      <c r="X798">
        <v>0.65</v>
      </c>
      <c r="AJ798">
        <v>6.6119825865999999</v>
      </c>
      <c r="AK798">
        <v>2.7613482266</v>
      </c>
      <c r="AL798">
        <v>1038.9156132184421</v>
      </c>
      <c r="AM798">
        <v>0.65</v>
      </c>
    </row>
    <row r="799" spans="1:39" x14ac:dyDescent="0.25">
      <c r="A799">
        <v>0</v>
      </c>
      <c r="B799">
        <v>0</v>
      </c>
      <c r="C799">
        <v>1038.9156132184421</v>
      </c>
      <c r="D799">
        <v>0.65</v>
      </c>
      <c r="F799">
        <v>-5.8623160567000001</v>
      </c>
      <c r="G799">
        <v>2.4108317657000002</v>
      </c>
      <c r="H799">
        <v>1038.9156132184421</v>
      </c>
      <c r="I799">
        <v>0.65</v>
      </c>
      <c r="U799">
        <v>0</v>
      </c>
      <c r="V799">
        <v>2.9890748301000003</v>
      </c>
      <c r="W799">
        <v>1038.9156132184421</v>
      </c>
      <c r="X799">
        <v>0.65</v>
      </c>
      <c r="AJ799">
        <v>7.8627500440999993</v>
      </c>
      <c r="AK799">
        <v>3.2345728423000004</v>
      </c>
      <c r="AL799">
        <v>1038.9156132184421</v>
      </c>
      <c r="AM799">
        <v>0.65</v>
      </c>
    </row>
    <row r="800" spans="1:39" x14ac:dyDescent="0.25">
      <c r="A800">
        <v>-6.1529337925000007</v>
      </c>
      <c r="B800">
        <v>0</v>
      </c>
      <c r="C800">
        <v>1038.9156132184421</v>
      </c>
      <c r="D800">
        <v>0.65</v>
      </c>
      <c r="F800">
        <v>-6.5939097806999998</v>
      </c>
      <c r="G800">
        <v>2.7165443105999998</v>
      </c>
      <c r="H800">
        <v>1038.9156132184421</v>
      </c>
      <c r="I800">
        <v>0.65</v>
      </c>
      <c r="U800">
        <v>0</v>
      </c>
      <c r="V800">
        <v>2.1274486291999999</v>
      </c>
      <c r="W800">
        <v>1038.9156132184421</v>
      </c>
      <c r="X800">
        <v>0.65</v>
      </c>
      <c r="AJ800">
        <v>10.773174272799999</v>
      </c>
      <c r="AK800">
        <v>4.5134593295999998</v>
      </c>
      <c r="AL800">
        <v>1038.9156132184421</v>
      </c>
      <c r="AM800">
        <v>0.65</v>
      </c>
    </row>
    <row r="801" spans="1:39" x14ac:dyDescent="0.25">
      <c r="A801">
        <v>0</v>
      </c>
      <c r="B801">
        <v>0</v>
      </c>
      <c r="C801">
        <v>1038.9156132184421</v>
      </c>
      <c r="D801">
        <v>0.65</v>
      </c>
      <c r="F801">
        <v>-7.8566614303999991</v>
      </c>
      <c r="G801">
        <v>3.2110011266999998</v>
      </c>
      <c r="H801">
        <v>1038.9156132184421</v>
      </c>
      <c r="I801">
        <v>0.65</v>
      </c>
      <c r="U801">
        <v>0</v>
      </c>
      <c r="V801">
        <v>2.3232727658000001</v>
      </c>
      <c r="W801">
        <v>1038.9156132184421</v>
      </c>
      <c r="X801">
        <v>0.65</v>
      </c>
      <c r="AJ801">
        <v>10.843086444299999</v>
      </c>
      <c r="AK801">
        <v>4.4987103204999999</v>
      </c>
      <c r="AL801">
        <v>1038.9156132184421</v>
      </c>
      <c r="AM801">
        <v>0.65</v>
      </c>
    </row>
    <row r="802" spans="1:39" x14ac:dyDescent="0.25">
      <c r="A802">
        <v>-7.7869140474000007</v>
      </c>
      <c r="B802">
        <v>0</v>
      </c>
      <c r="C802">
        <v>1038.9156132184421</v>
      </c>
      <c r="D802">
        <v>0.65</v>
      </c>
      <c r="F802">
        <v>-5.5135724703000006</v>
      </c>
      <c r="G802">
        <v>2.2778673407999999</v>
      </c>
      <c r="H802">
        <v>1038.9156132184421</v>
      </c>
      <c r="I802">
        <v>0.65</v>
      </c>
      <c r="U802">
        <v>0</v>
      </c>
      <c r="V802">
        <v>3.0021297725</v>
      </c>
      <c r="W802">
        <v>1038.9156132184421</v>
      </c>
      <c r="X802">
        <v>0.65</v>
      </c>
      <c r="AJ802">
        <v>9.6348354099999991</v>
      </c>
      <c r="AK802">
        <v>3.9211121395999999</v>
      </c>
      <c r="AL802">
        <v>1038.9156132184421</v>
      </c>
      <c r="AM802">
        <v>0.65</v>
      </c>
    </row>
    <row r="803" spans="1:39" x14ac:dyDescent="0.25">
      <c r="A803">
        <v>-6.6431278688999997</v>
      </c>
      <c r="B803">
        <v>0</v>
      </c>
      <c r="C803">
        <v>1038.9156132184421</v>
      </c>
      <c r="D803">
        <v>0.65</v>
      </c>
      <c r="F803">
        <v>-7.8460560180000005</v>
      </c>
      <c r="G803">
        <v>3.2282035398</v>
      </c>
      <c r="H803">
        <v>1038.9156132184421</v>
      </c>
      <c r="I803">
        <v>0.65</v>
      </c>
      <c r="U803">
        <v>0</v>
      </c>
      <c r="V803">
        <v>6.6279600402999996</v>
      </c>
      <c r="W803">
        <v>1038.9156132184421</v>
      </c>
      <c r="X803">
        <v>0.65</v>
      </c>
      <c r="AJ803">
        <v>10.893988012100001</v>
      </c>
      <c r="AK803">
        <v>4.4915052017999999</v>
      </c>
      <c r="AL803">
        <v>1038.9156132184421</v>
      </c>
      <c r="AM803">
        <v>0.65</v>
      </c>
    </row>
    <row r="804" spans="1:39" x14ac:dyDescent="0.25">
      <c r="A804">
        <v>-5.1725456395</v>
      </c>
      <c r="B804">
        <v>0</v>
      </c>
      <c r="C804">
        <v>1038.9156132184421</v>
      </c>
      <c r="D804">
        <v>0.65</v>
      </c>
      <c r="F804">
        <v>-6.6013548555000003</v>
      </c>
      <c r="G804">
        <v>2.7005959997000004</v>
      </c>
      <c r="H804">
        <v>1038.9156132184421</v>
      </c>
      <c r="I804">
        <v>0.65</v>
      </c>
      <c r="U804">
        <v>0</v>
      </c>
      <c r="V804">
        <v>2.9499100027999998</v>
      </c>
      <c r="W804">
        <v>1038.9156132184421</v>
      </c>
      <c r="X804">
        <v>0.65</v>
      </c>
      <c r="AJ804">
        <v>10.457906919800001</v>
      </c>
      <c r="AK804">
        <v>4.2794551038000002</v>
      </c>
      <c r="AL804">
        <v>1038.9156132184421</v>
      </c>
      <c r="AM804">
        <v>0.65</v>
      </c>
    </row>
    <row r="805" spans="1:39" x14ac:dyDescent="0.25">
      <c r="A805">
        <v>-15.430898839999999</v>
      </c>
      <c r="B805">
        <v>0</v>
      </c>
      <c r="C805">
        <v>1038.9156132184421</v>
      </c>
      <c r="D805">
        <v>0.65</v>
      </c>
      <c r="F805">
        <v>-9.3103019743999997</v>
      </c>
      <c r="G805">
        <v>3.8601387512999996</v>
      </c>
      <c r="H805">
        <v>1038.9156132184421</v>
      </c>
      <c r="I805">
        <v>0.65</v>
      </c>
      <c r="U805">
        <v>0</v>
      </c>
      <c r="V805">
        <v>2.9629649452</v>
      </c>
      <c r="W805">
        <v>1038.9156132184421</v>
      </c>
      <c r="X805">
        <v>0.65</v>
      </c>
      <c r="AJ805">
        <v>-13.2073122424</v>
      </c>
      <c r="AK805">
        <v>-5.4816622335999998</v>
      </c>
      <c r="AL805">
        <v>1038.9156132184421</v>
      </c>
      <c r="AM805">
        <v>0.65</v>
      </c>
    </row>
    <row r="806" spans="1:39" x14ac:dyDescent="0.25">
      <c r="A806">
        <v>-15.398219234900001</v>
      </c>
      <c r="B806">
        <v>0</v>
      </c>
      <c r="C806">
        <v>1038.9156132184421</v>
      </c>
      <c r="D806">
        <v>0.65</v>
      </c>
      <c r="F806">
        <v>-5.5538485122000001</v>
      </c>
      <c r="G806">
        <v>2.2878726166000001</v>
      </c>
      <c r="H806">
        <v>1038.9156132184421</v>
      </c>
      <c r="I806">
        <v>0.65</v>
      </c>
      <c r="U806">
        <v>0</v>
      </c>
      <c r="V806">
        <v>2.7149210389</v>
      </c>
      <c r="W806">
        <v>1038.9156132184421</v>
      </c>
      <c r="X806">
        <v>0.65</v>
      </c>
      <c r="AJ806">
        <v>-13.8983444693</v>
      </c>
      <c r="AK806">
        <v>-5.6958938910999999</v>
      </c>
      <c r="AL806">
        <v>1038.9156132184421</v>
      </c>
      <c r="AM806">
        <v>0.65</v>
      </c>
    </row>
    <row r="807" spans="1:39" x14ac:dyDescent="0.25">
      <c r="A807">
        <v>-0.27060487480000001</v>
      </c>
      <c r="B807">
        <v>0</v>
      </c>
      <c r="C807">
        <v>1038.9156132184421</v>
      </c>
      <c r="D807">
        <v>0.65</v>
      </c>
      <c r="F807">
        <v>-9.2164589953</v>
      </c>
      <c r="G807">
        <v>3.8454023642999999</v>
      </c>
      <c r="H807">
        <v>1038.9156132184421</v>
      </c>
      <c r="I807">
        <v>0.65</v>
      </c>
      <c r="U807">
        <v>0</v>
      </c>
      <c r="V807">
        <v>6.6410149826999998</v>
      </c>
      <c r="W807">
        <v>1038.9156132184421</v>
      </c>
      <c r="X807">
        <v>0.65</v>
      </c>
      <c r="AJ807">
        <v>-13.0793301377</v>
      </c>
      <c r="AK807">
        <v>-5.3686785589000001</v>
      </c>
      <c r="AL807">
        <v>1038.9156132184421</v>
      </c>
      <c r="AM807">
        <v>0.65</v>
      </c>
    </row>
    <row r="808" spans="1:39" x14ac:dyDescent="0.25">
      <c r="A808">
        <v>-15.3328600247</v>
      </c>
      <c r="B808">
        <v>0</v>
      </c>
      <c r="C808">
        <v>1038.9156132184421</v>
      </c>
      <c r="D808">
        <v>0.65</v>
      </c>
      <c r="F808">
        <v>-5.0059781386999997</v>
      </c>
      <c r="G808">
        <v>2.0715919278000001</v>
      </c>
      <c r="H808">
        <v>1038.9156132184421</v>
      </c>
      <c r="I808">
        <v>0.65</v>
      </c>
      <c r="U808">
        <v>0</v>
      </c>
      <c r="V808">
        <v>1.7358003561000002</v>
      </c>
      <c r="W808">
        <v>1038.9156132184421</v>
      </c>
      <c r="X808">
        <v>0.65</v>
      </c>
      <c r="AJ808">
        <v>-12.5780677668</v>
      </c>
      <c r="AK808">
        <v>-5.2451187692999994</v>
      </c>
      <c r="AL808">
        <v>1038.9156132184421</v>
      </c>
      <c r="AM808">
        <v>0.65</v>
      </c>
    </row>
    <row r="809" spans="1:39" x14ac:dyDescent="0.25">
      <c r="A809">
        <v>-15.2675008145</v>
      </c>
      <c r="B809">
        <v>0</v>
      </c>
      <c r="C809">
        <v>1038.9156132184421</v>
      </c>
      <c r="D809">
        <v>0.65</v>
      </c>
      <c r="F809">
        <v>-7.8945115470999996</v>
      </c>
      <c r="G809">
        <v>3.2349629873999999</v>
      </c>
      <c r="H809">
        <v>1038.9156132184421</v>
      </c>
      <c r="I809">
        <v>0.65</v>
      </c>
      <c r="U809">
        <v>0</v>
      </c>
      <c r="V809">
        <v>1.5399762196</v>
      </c>
      <c r="W809">
        <v>1038.9156132184421</v>
      </c>
      <c r="X809">
        <v>0.65</v>
      </c>
      <c r="AJ809">
        <v>10.806509998199999</v>
      </c>
      <c r="AK809">
        <v>4.5781943636999998</v>
      </c>
      <c r="AL809">
        <v>1038.9156132184421</v>
      </c>
      <c r="AM809">
        <v>0.65</v>
      </c>
    </row>
    <row r="810" spans="1:39" x14ac:dyDescent="0.25">
      <c r="A810">
        <v>-7.6561956269999998</v>
      </c>
      <c r="B810">
        <v>0</v>
      </c>
      <c r="C810">
        <v>1038.9156132184421</v>
      </c>
      <c r="D810">
        <v>0.65</v>
      </c>
      <c r="F810">
        <v>-7.9637308895999999</v>
      </c>
      <c r="G810">
        <v>3.2594706587000002</v>
      </c>
      <c r="H810">
        <v>1038.9156132184421</v>
      </c>
      <c r="I810">
        <v>0.65</v>
      </c>
      <c r="U810">
        <v>0</v>
      </c>
      <c r="V810">
        <v>1.1483279464</v>
      </c>
      <c r="W810">
        <v>1038.9156132184421</v>
      </c>
      <c r="X810">
        <v>0.65</v>
      </c>
      <c r="AJ810">
        <v>10.881295188799999</v>
      </c>
      <c r="AK810">
        <v>4.5225298686000004</v>
      </c>
      <c r="AL810">
        <v>1038.9156132184421</v>
      </c>
      <c r="AM810">
        <v>0.65</v>
      </c>
    </row>
    <row r="811" spans="1:39" x14ac:dyDescent="0.25">
      <c r="A811">
        <v>-7.6888752321</v>
      </c>
      <c r="B811">
        <v>0</v>
      </c>
      <c r="C811">
        <v>1038.9156132184421</v>
      </c>
      <c r="D811">
        <v>0.65</v>
      </c>
      <c r="F811">
        <v>-9.2200505686999996</v>
      </c>
      <c r="G811">
        <v>3.9089467173000001</v>
      </c>
      <c r="H811">
        <v>1038.9156132184421</v>
      </c>
      <c r="I811">
        <v>0.65</v>
      </c>
      <c r="U811">
        <v>0</v>
      </c>
      <c r="V811">
        <v>2.9238001179000004</v>
      </c>
      <c r="W811">
        <v>1038.9156132184421</v>
      </c>
      <c r="X811">
        <v>0.65</v>
      </c>
      <c r="AJ811">
        <v>24.182447199799999</v>
      </c>
      <c r="AK811">
        <v>10.0498120105</v>
      </c>
      <c r="AL811">
        <v>1038.9156132184421</v>
      </c>
      <c r="AM811">
        <v>0.65</v>
      </c>
    </row>
    <row r="812" spans="1:39" x14ac:dyDescent="0.25">
      <c r="A812">
        <v>-7.1333219454000005</v>
      </c>
      <c r="B812">
        <v>0</v>
      </c>
      <c r="C812">
        <v>1038.9156132184421</v>
      </c>
      <c r="D812">
        <v>0.65</v>
      </c>
      <c r="F812">
        <v>-7.9454464826000004</v>
      </c>
      <c r="G812">
        <v>3.2537324597000001</v>
      </c>
      <c r="H812">
        <v>1038.9156132184421</v>
      </c>
      <c r="I812">
        <v>0.65</v>
      </c>
      <c r="U812">
        <v>0</v>
      </c>
      <c r="V812">
        <v>6.5757402705000008</v>
      </c>
      <c r="W812">
        <v>1038.9156132184421</v>
      </c>
      <c r="X812">
        <v>0.65</v>
      </c>
      <c r="AJ812">
        <v>-13.625223928</v>
      </c>
      <c r="AK812">
        <v>-5.6354378148000004</v>
      </c>
      <c r="AL812">
        <v>1038.9156132184421</v>
      </c>
      <c r="AM812">
        <v>0.65</v>
      </c>
    </row>
    <row r="813" spans="1:39" x14ac:dyDescent="0.25">
      <c r="A813">
        <v>-15.300180419599998</v>
      </c>
      <c r="B813">
        <v>0</v>
      </c>
      <c r="C813">
        <v>1038.9156132184421</v>
      </c>
      <c r="D813">
        <v>0.65</v>
      </c>
      <c r="F813">
        <v>-7.8833839306000009</v>
      </c>
      <c r="G813">
        <v>3.2523726243</v>
      </c>
      <c r="H813">
        <v>1038.9156132184421</v>
      </c>
      <c r="I813">
        <v>0.65</v>
      </c>
      <c r="U813">
        <v>0</v>
      </c>
      <c r="V813">
        <v>2.5190969023999998</v>
      </c>
      <c r="W813">
        <v>1038.9156132184421</v>
      </c>
      <c r="X813">
        <v>0.65</v>
      </c>
      <c r="AJ813">
        <v>-14.229029089999999</v>
      </c>
      <c r="AK813">
        <v>-5.9074113418000005</v>
      </c>
      <c r="AL813">
        <v>1038.9156132184421</v>
      </c>
      <c r="AM813">
        <v>0.65</v>
      </c>
    </row>
    <row r="814" spans="1:39" x14ac:dyDescent="0.25">
      <c r="A814">
        <v>-7.8195936525</v>
      </c>
      <c r="B814">
        <v>0</v>
      </c>
      <c r="C814">
        <v>1038.9156132184421</v>
      </c>
      <c r="D814">
        <v>0.65</v>
      </c>
      <c r="F814">
        <v>-7.8599179174999998</v>
      </c>
      <c r="G814">
        <v>3.2356967021000003</v>
      </c>
      <c r="H814">
        <v>1038.9156132184421</v>
      </c>
      <c r="I814">
        <v>0.65</v>
      </c>
      <c r="U814">
        <v>0</v>
      </c>
      <c r="V814">
        <v>6.7062896949000006</v>
      </c>
      <c r="W814">
        <v>1038.9156132184421</v>
      </c>
      <c r="X814">
        <v>0.65</v>
      </c>
      <c r="AJ814">
        <v>14.5853136718</v>
      </c>
      <c r="AK814">
        <v>6.0921398601999996</v>
      </c>
      <c r="AL814">
        <v>1038.9156132184421</v>
      </c>
      <c r="AM814">
        <v>0.65</v>
      </c>
    </row>
    <row r="815" spans="1:39" x14ac:dyDescent="0.25">
      <c r="A815">
        <v>-15.2021416044</v>
      </c>
      <c r="B815">
        <v>0</v>
      </c>
      <c r="C815">
        <v>1038.9156132184421</v>
      </c>
      <c r="D815">
        <v>0.65</v>
      </c>
      <c r="F815">
        <v>-9.3569054401000002</v>
      </c>
      <c r="G815">
        <v>3.8286513963999997</v>
      </c>
      <c r="H815">
        <v>1038.9156132184421</v>
      </c>
      <c r="I815">
        <v>0.65</v>
      </c>
      <c r="U815">
        <v>0</v>
      </c>
      <c r="V815">
        <v>6.6018501554000002</v>
      </c>
      <c r="W815">
        <v>1038.9156132184421</v>
      </c>
      <c r="X815">
        <v>0.65</v>
      </c>
      <c r="AJ815">
        <v>10.868853363099999</v>
      </c>
      <c r="AK815">
        <v>4.5144731848999999</v>
      </c>
      <c r="AL815">
        <v>1038.9156132184421</v>
      </c>
      <c r="AM815">
        <v>0.65</v>
      </c>
    </row>
    <row r="816" spans="1:39" x14ac:dyDescent="0.25">
      <c r="A816">
        <v>-15.071423184</v>
      </c>
      <c r="B816">
        <v>0</v>
      </c>
      <c r="C816">
        <v>1038.9156132184421</v>
      </c>
      <c r="D816">
        <v>0.65</v>
      </c>
      <c r="F816">
        <v>-6.8047137485999993</v>
      </c>
      <c r="G816">
        <v>2.8847565845999998</v>
      </c>
      <c r="H816">
        <v>1038.9156132184421</v>
      </c>
      <c r="I816">
        <v>0.65</v>
      </c>
      <c r="U816">
        <v>0</v>
      </c>
      <c r="V816">
        <v>1.9316244926999999</v>
      </c>
      <c r="W816">
        <v>1038.9156132184421</v>
      </c>
      <c r="X816">
        <v>0.65</v>
      </c>
      <c r="AJ816">
        <v>15.146966297599999</v>
      </c>
      <c r="AK816">
        <v>6.1657489894999999</v>
      </c>
      <c r="AL816">
        <v>1038.9156132184421</v>
      </c>
      <c r="AM816">
        <v>0.65</v>
      </c>
    </row>
    <row r="817" spans="1:39" x14ac:dyDescent="0.25">
      <c r="A817">
        <v>-7.7215548372000002</v>
      </c>
      <c r="B817">
        <v>0</v>
      </c>
      <c r="C817">
        <v>1038.9156132184421</v>
      </c>
      <c r="D817">
        <v>0.65</v>
      </c>
      <c r="F817">
        <v>-5.5774596670000003</v>
      </c>
      <c r="G817">
        <v>2.3174848589999999</v>
      </c>
      <c r="H817">
        <v>1038.9156132184421</v>
      </c>
      <c r="I817">
        <v>0.65</v>
      </c>
      <c r="U817">
        <v>0</v>
      </c>
      <c r="V817">
        <v>6.6801798099999994</v>
      </c>
      <c r="W817">
        <v>1038.9156132184421</v>
      </c>
      <c r="X817">
        <v>0.65</v>
      </c>
      <c r="AJ817">
        <v>-14.080414939100001</v>
      </c>
      <c r="AK817">
        <v>-5.9533912951000003</v>
      </c>
      <c r="AL817">
        <v>1038.9156132184421</v>
      </c>
      <c r="AM817">
        <v>0.65</v>
      </c>
    </row>
    <row r="818" spans="1:39" x14ac:dyDescent="0.25">
      <c r="A818">
        <v>-7.6235160218999996</v>
      </c>
      <c r="B818">
        <v>0</v>
      </c>
      <c r="C818">
        <v>1038.9156132184421</v>
      </c>
      <c r="D818">
        <v>0.65</v>
      </c>
      <c r="F818">
        <v>-7.8944511603</v>
      </c>
      <c r="G818">
        <v>3.2609747826</v>
      </c>
      <c r="H818">
        <v>1038.9156132184421</v>
      </c>
      <c r="I818">
        <v>0.65</v>
      </c>
      <c r="U818">
        <v>0</v>
      </c>
      <c r="V818">
        <v>10.073509464700001</v>
      </c>
      <c r="W818">
        <v>1038.9156132184421</v>
      </c>
      <c r="X818">
        <v>0.65</v>
      </c>
      <c r="AJ818">
        <v>11.688787424800001</v>
      </c>
      <c r="AK818">
        <v>4.8735461499000001</v>
      </c>
      <c r="AL818">
        <v>1038.9156132184421</v>
      </c>
      <c r="AM818">
        <v>0.65</v>
      </c>
    </row>
    <row r="819" spans="1:39" x14ac:dyDescent="0.25">
      <c r="A819">
        <v>-22.0935784451</v>
      </c>
      <c r="B819">
        <v>0</v>
      </c>
      <c r="C819">
        <v>1038.9156132184421</v>
      </c>
      <c r="D819">
        <v>0.65</v>
      </c>
      <c r="F819">
        <v>-6.6116406778999997</v>
      </c>
      <c r="G819">
        <v>2.7614839046999999</v>
      </c>
      <c r="H819">
        <v>1038.9156132184421</v>
      </c>
      <c r="I819">
        <v>0.65</v>
      </c>
      <c r="U819">
        <v>0</v>
      </c>
      <c r="V819">
        <v>2.9368550604000001</v>
      </c>
      <c r="W819">
        <v>1038.9156132184421</v>
      </c>
      <c r="X819">
        <v>0.65</v>
      </c>
      <c r="AJ819">
        <v>12.6082845017</v>
      </c>
      <c r="AK819">
        <v>5.2201340853999998</v>
      </c>
      <c r="AL819">
        <v>1038.9156132184421</v>
      </c>
      <c r="AM819">
        <v>0.65</v>
      </c>
    </row>
    <row r="820" spans="1:39" x14ac:dyDescent="0.25">
      <c r="A820">
        <v>-7.8522732576000003</v>
      </c>
      <c r="B820">
        <v>0</v>
      </c>
      <c r="C820">
        <v>1038.9156132184421</v>
      </c>
      <c r="D820">
        <v>0.65</v>
      </c>
      <c r="F820">
        <v>-9.1984685381000002</v>
      </c>
      <c r="G820">
        <v>3.8395475184999999</v>
      </c>
      <c r="H820">
        <v>1038.9156132184421</v>
      </c>
      <c r="I820">
        <v>0.65</v>
      </c>
      <c r="U820">
        <v>0</v>
      </c>
      <c r="V820">
        <v>6.6932347525000004</v>
      </c>
      <c r="W820">
        <v>1038.9156132184421</v>
      </c>
      <c r="X820">
        <v>0.65</v>
      </c>
      <c r="AJ820">
        <v>12.5280879553</v>
      </c>
      <c r="AK820">
        <v>5.2389641956000004</v>
      </c>
      <c r="AL820">
        <v>1038.9156132184421</v>
      </c>
      <c r="AM820">
        <v>0.65</v>
      </c>
    </row>
    <row r="821" spans="1:39" x14ac:dyDescent="0.25">
      <c r="A821">
        <v>-15.365539629800001</v>
      </c>
      <c r="B821">
        <v>0</v>
      </c>
      <c r="C821">
        <v>1038.9156132184421</v>
      </c>
      <c r="D821">
        <v>0.65</v>
      </c>
      <c r="F821">
        <v>13.873932492900002</v>
      </c>
      <c r="G821">
        <v>-5.8631135171999995</v>
      </c>
      <c r="H821">
        <v>1038.9156132184421</v>
      </c>
      <c r="I821">
        <v>0.65</v>
      </c>
      <c r="U821">
        <v>0</v>
      </c>
      <c r="V821">
        <v>6.7454545222000002</v>
      </c>
      <c r="W821">
        <v>1038.9156132184421</v>
      </c>
      <c r="X821">
        <v>0.65</v>
      </c>
      <c r="AJ821">
        <v>21.131390853599999</v>
      </c>
      <c r="AK821">
        <v>8.9361925303999996</v>
      </c>
      <c r="AL821">
        <v>1038.9156132184421</v>
      </c>
      <c r="AM821">
        <v>0.65</v>
      </c>
    </row>
    <row r="822" spans="1:39" x14ac:dyDescent="0.25">
      <c r="A822">
        <v>-15.234821209500002</v>
      </c>
      <c r="B822">
        <v>0</v>
      </c>
      <c r="C822">
        <v>1038.9156132184421</v>
      </c>
      <c r="D822">
        <v>0.65</v>
      </c>
      <c r="F822">
        <v>-10.7854849006</v>
      </c>
      <c r="G822">
        <v>4.5085741598000002</v>
      </c>
      <c r="H822">
        <v>1038.9156132184421</v>
      </c>
      <c r="I822">
        <v>0.65</v>
      </c>
      <c r="U822">
        <v>0</v>
      </c>
      <c r="V822">
        <v>6.7193446372999999</v>
      </c>
      <c r="W822">
        <v>1038.9156132184421</v>
      </c>
      <c r="X822">
        <v>0.65</v>
      </c>
      <c r="AJ822">
        <v>13.147980972099999</v>
      </c>
      <c r="AK822">
        <v>5.3284422483</v>
      </c>
      <c r="AL822">
        <v>1038.9156132184421</v>
      </c>
      <c r="AM822">
        <v>0.65</v>
      </c>
    </row>
    <row r="823" spans="1:39" x14ac:dyDescent="0.25">
      <c r="A823">
        <v>-22.126258050200001</v>
      </c>
      <c r="B823">
        <v>0</v>
      </c>
      <c r="C823">
        <v>1038.9156132184421</v>
      </c>
      <c r="D823">
        <v>0.65</v>
      </c>
      <c r="F823">
        <v>-9.6211732413000011</v>
      </c>
      <c r="G823">
        <v>3.9265336351000002</v>
      </c>
      <c r="H823">
        <v>1038.9156132184421</v>
      </c>
      <c r="I823">
        <v>0.65</v>
      </c>
      <c r="U823">
        <v>0</v>
      </c>
      <c r="V823">
        <v>10.1648940617</v>
      </c>
      <c r="W823">
        <v>1038.9156132184421</v>
      </c>
      <c r="X823">
        <v>0.65</v>
      </c>
      <c r="AJ823">
        <v>12.240132434300001</v>
      </c>
      <c r="AK823">
        <v>5.1598379018000005</v>
      </c>
      <c r="AL823">
        <v>1038.9156132184421</v>
      </c>
      <c r="AM823">
        <v>0.65</v>
      </c>
    </row>
    <row r="824" spans="1:39" x14ac:dyDescent="0.25">
      <c r="A824">
        <v>-15.169461999299999</v>
      </c>
      <c r="B824">
        <v>0</v>
      </c>
      <c r="C824">
        <v>1038.9156132184421</v>
      </c>
      <c r="D824">
        <v>0.65</v>
      </c>
      <c r="F824">
        <v>-14.5714937664</v>
      </c>
      <c r="G824">
        <v>6.0976239496999991</v>
      </c>
      <c r="H824">
        <v>1038.9156132184421</v>
      </c>
      <c r="I824">
        <v>0.65</v>
      </c>
      <c r="U824">
        <v>0</v>
      </c>
      <c r="V824">
        <v>6.6149050978000004</v>
      </c>
      <c r="W824">
        <v>1038.9156132184421</v>
      </c>
      <c r="X824">
        <v>0.65</v>
      </c>
      <c r="AJ824">
        <v>10.7992950585</v>
      </c>
      <c r="AK824">
        <v>4.5680635188999998</v>
      </c>
      <c r="AL824">
        <v>1038.9156132184421</v>
      </c>
      <c r="AM824">
        <v>0.65</v>
      </c>
    </row>
    <row r="825" spans="1:39" x14ac:dyDescent="0.25">
      <c r="A825">
        <v>-15.006063973800002</v>
      </c>
      <c r="B825">
        <v>0</v>
      </c>
      <c r="C825">
        <v>1038.9156132184421</v>
      </c>
      <c r="D825">
        <v>0.65</v>
      </c>
      <c r="F825">
        <v>13.194760475600001</v>
      </c>
      <c r="G825">
        <v>-5.4866430935000006</v>
      </c>
      <c r="H825">
        <v>1038.9156132184421</v>
      </c>
      <c r="I825">
        <v>0.65</v>
      </c>
      <c r="U825">
        <v>0</v>
      </c>
      <c r="V825">
        <v>10.217113831499999</v>
      </c>
      <c r="W825">
        <v>1038.9156132184421</v>
      </c>
      <c r="X825">
        <v>0.65</v>
      </c>
      <c r="AJ825">
        <v>-14.5627778149</v>
      </c>
      <c r="AK825">
        <v>-5.9271783975999996</v>
      </c>
      <c r="AL825">
        <v>1038.9156132184421</v>
      </c>
      <c r="AM825">
        <v>0.65</v>
      </c>
    </row>
    <row r="826" spans="1:39" x14ac:dyDescent="0.25">
      <c r="A826">
        <v>-22.191617260399997</v>
      </c>
      <c r="B826">
        <v>0</v>
      </c>
      <c r="C826">
        <v>1038.9156132184421</v>
      </c>
      <c r="D826">
        <v>0.65</v>
      </c>
      <c r="F826">
        <v>-10.8947573231</v>
      </c>
      <c r="G826">
        <v>4.4911999195999996</v>
      </c>
      <c r="H826">
        <v>1038.9156132184421</v>
      </c>
      <c r="I826">
        <v>0.65</v>
      </c>
      <c r="U826">
        <v>0</v>
      </c>
      <c r="V826">
        <v>6.6540699252</v>
      </c>
      <c r="W826">
        <v>1038.9156132184421</v>
      </c>
      <c r="X826">
        <v>0.65</v>
      </c>
      <c r="AJ826">
        <v>12.3921493637</v>
      </c>
      <c r="AK826">
        <v>5.1125076395000004</v>
      </c>
      <c r="AL826">
        <v>1038.9156132184421</v>
      </c>
      <c r="AM826">
        <v>0.65</v>
      </c>
    </row>
    <row r="827" spans="1:39" x14ac:dyDescent="0.25">
      <c r="A827">
        <v>-7.7542344422999996</v>
      </c>
      <c r="B827">
        <v>0</v>
      </c>
      <c r="C827">
        <v>1038.9156132184421</v>
      </c>
      <c r="D827">
        <v>0.65</v>
      </c>
      <c r="F827">
        <v>-10.4604384301</v>
      </c>
      <c r="G827">
        <v>4.2784505362000003</v>
      </c>
      <c r="H827">
        <v>1038.9156132184421</v>
      </c>
      <c r="I827">
        <v>0.65</v>
      </c>
      <c r="U827">
        <v>0</v>
      </c>
      <c r="V827">
        <v>10.1387841768</v>
      </c>
      <c r="W827">
        <v>1038.9156132184421</v>
      </c>
      <c r="X827">
        <v>0.65</v>
      </c>
      <c r="AJ827">
        <v>-17.984894956600002</v>
      </c>
      <c r="AK827">
        <v>-7.3554329543999994</v>
      </c>
      <c r="AL827">
        <v>1038.9156132184421</v>
      </c>
      <c r="AM827">
        <v>0.65</v>
      </c>
    </row>
    <row r="828" spans="1:39" x14ac:dyDescent="0.25">
      <c r="A828">
        <v>-22.485733706300003</v>
      </c>
      <c r="B828">
        <v>0</v>
      </c>
      <c r="C828">
        <v>1038.9156132184421</v>
      </c>
      <c r="D828">
        <v>0.65</v>
      </c>
      <c r="F828">
        <v>-24.1740296579</v>
      </c>
      <c r="G828">
        <v>10.053152304799999</v>
      </c>
      <c r="H828">
        <v>1038.9156132184421</v>
      </c>
      <c r="I828">
        <v>0.65</v>
      </c>
      <c r="U828">
        <v>0</v>
      </c>
      <c r="V828">
        <v>10.099619349499999</v>
      </c>
      <c r="W828">
        <v>1038.9156132184421</v>
      </c>
      <c r="X828">
        <v>0.65</v>
      </c>
    </row>
    <row r="829" spans="1:39" x14ac:dyDescent="0.25">
      <c r="A829">
        <v>-22.5184133114</v>
      </c>
      <c r="B829">
        <v>0</v>
      </c>
      <c r="C829">
        <v>1038.9156132184421</v>
      </c>
      <c r="D829">
        <v>0.65</v>
      </c>
      <c r="F829">
        <v>-11.6918255612</v>
      </c>
      <c r="G829">
        <v>4.8723405401999997</v>
      </c>
      <c r="H829">
        <v>1038.9156132184421</v>
      </c>
      <c r="I829">
        <v>0.65</v>
      </c>
      <c r="U829">
        <v>0</v>
      </c>
      <c r="V829">
        <v>10.086564407099999</v>
      </c>
      <c r="W829">
        <v>1038.9156132184421</v>
      </c>
      <c r="X829">
        <v>0.65</v>
      </c>
    </row>
    <row r="830" spans="1:39" x14ac:dyDescent="0.25">
      <c r="A830">
        <v>-15.104102789100001</v>
      </c>
      <c r="B830">
        <v>0</v>
      </c>
      <c r="C830">
        <v>1038.9156132184421</v>
      </c>
      <c r="D830">
        <v>0.65</v>
      </c>
      <c r="F830">
        <v>-14.859463075399999</v>
      </c>
      <c r="G830">
        <v>6.1372464467999999</v>
      </c>
      <c r="H830">
        <v>1038.9156132184421</v>
      </c>
      <c r="I830">
        <v>0.65</v>
      </c>
      <c r="U830">
        <v>0</v>
      </c>
      <c r="V830">
        <v>6.588795213</v>
      </c>
      <c r="W830">
        <v>1038.9156132184421</v>
      </c>
      <c r="X830">
        <v>0.65</v>
      </c>
    </row>
    <row r="831" spans="1:39" x14ac:dyDescent="0.25">
      <c r="A831">
        <v>-22.420374496099999</v>
      </c>
      <c r="B831">
        <v>0</v>
      </c>
      <c r="C831">
        <v>1038.9156132184421</v>
      </c>
      <c r="D831">
        <v>0.65</v>
      </c>
      <c r="F831">
        <v>13.749419591900001</v>
      </c>
      <c r="G831">
        <v>-5.5861538211000008</v>
      </c>
      <c r="H831">
        <v>1038.9156132184421</v>
      </c>
      <c r="I831">
        <v>0.65</v>
      </c>
      <c r="U831">
        <v>0</v>
      </c>
      <c r="V831">
        <v>6.7323995798</v>
      </c>
      <c r="W831">
        <v>1038.9156132184421</v>
      </c>
      <c r="X831">
        <v>0.65</v>
      </c>
    </row>
    <row r="832" spans="1:39" x14ac:dyDescent="0.25">
      <c r="A832">
        <v>-22.322335680800002</v>
      </c>
      <c r="B832">
        <v>0</v>
      </c>
      <c r="C832">
        <v>1038.9156132184421</v>
      </c>
      <c r="D832">
        <v>0.65</v>
      </c>
      <c r="F832">
        <v>13.0899190226</v>
      </c>
      <c r="G832">
        <v>-5.3644766204999996</v>
      </c>
      <c r="H832">
        <v>1038.9156132184421</v>
      </c>
      <c r="I832">
        <v>0.65</v>
      </c>
      <c r="U832">
        <v>0</v>
      </c>
      <c r="V832">
        <v>0.16920726359999999</v>
      </c>
      <c r="W832">
        <v>1038.9156132184421</v>
      </c>
      <c r="X832">
        <v>0.65</v>
      </c>
    </row>
    <row r="833" spans="1:24" x14ac:dyDescent="0.25">
      <c r="A833">
        <v>-15.136782394199999</v>
      </c>
      <c r="B833">
        <v>0</v>
      </c>
      <c r="C833">
        <v>1038.9156132184421</v>
      </c>
      <c r="D833">
        <v>0.65</v>
      </c>
      <c r="F833">
        <v>-10.8418633445</v>
      </c>
      <c r="G833">
        <v>4.4991956776000004</v>
      </c>
      <c r="H833">
        <v>1038.9156132184421</v>
      </c>
      <c r="I833">
        <v>0.65</v>
      </c>
      <c r="U833">
        <v>0</v>
      </c>
      <c r="V833">
        <v>10.1779490042</v>
      </c>
      <c r="W833">
        <v>1038.9156132184421</v>
      </c>
      <c r="X833">
        <v>0.65</v>
      </c>
    </row>
    <row r="834" spans="1:24" x14ac:dyDescent="0.25">
      <c r="A834">
        <v>-28.886059436</v>
      </c>
      <c r="B834">
        <v>0</v>
      </c>
      <c r="C834">
        <v>1038.9156132184421</v>
      </c>
      <c r="D834">
        <v>0.65</v>
      </c>
      <c r="F834">
        <v>-21.164863076500001</v>
      </c>
      <c r="G834">
        <v>8.7814880916</v>
      </c>
      <c r="H834">
        <v>1038.9156132184421</v>
      </c>
      <c r="I834">
        <v>0.65</v>
      </c>
      <c r="U834">
        <v>0</v>
      </c>
      <c r="V834">
        <v>10.1910039466</v>
      </c>
      <c r="W834">
        <v>1038.9156132184421</v>
      </c>
      <c r="X834">
        <v>0.65</v>
      </c>
    </row>
    <row r="835" spans="1:24" x14ac:dyDescent="0.25">
      <c r="A835">
        <v>-29.082137066599998</v>
      </c>
      <c r="B835">
        <v>0</v>
      </c>
      <c r="C835">
        <v>1038.9156132184421</v>
      </c>
      <c r="D835">
        <v>0.65</v>
      </c>
      <c r="F835">
        <v>14.091254699</v>
      </c>
      <c r="G835">
        <v>-5.9490898030999997</v>
      </c>
      <c r="H835">
        <v>1038.9156132184421</v>
      </c>
      <c r="I835">
        <v>0.65</v>
      </c>
      <c r="U835">
        <v>0</v>
      </c>
      <c r="V835">
        <v>10.230168773899999</v>
      </c>
      <c r="W835">
        <v>1038.9156132184421</v>
      </c>
      <c r="X835">
        <v>0.65</v>
      </c>
    </row>
    <row r="836" spans="1:24" x14ac:dyDescent="0.25">
      <c r="A836">
        <v>-22.453054101199999</v>
      </c>
      <c r="B836">
        <v>0</v>
      </c>
      <c r="C836">
        <v>1038.9156132184421</v>
      </c>
      <c r="D836">
        <v>0.65</v>
      </c>
      <c r="F836">
        <v>14.231734852600001</v>
      </c>
      <c r="G836">
        <v>-5.9063376265</v>
      </c>
      <c r="H836">
        <v>1038.9156132184421</v>
      </c>
      <c r="I836">
        <v>0.65</v>
      </c>
      <c r="U836">
        <v>0</v>
      </c>
      <c r="V836">
        <v>13.456272527599999</v>
      </c>
      <c r="W836">
        <v>1038.9156132184421</v>
      </c>
      <c r="X836">
        <v>0.65</v>
      </c>
    </row>
    <row r="837" spans="1:24" x14ac:dyDescent="0.25">
      <c r="A837">
        <v>-22.256976470599998</v>
      </c>
      <c r="B837">
        <v>0</v>
      </c>
      <c r="C837">
        <v>1038.9156132184421</v>
      </c>
      <c r="D837">
        <v>0.65</v>
      </c>
      <c r="F837">
        <v>12.580538402499998</v>
      </c>
      <c r="G837">
        <v>-5.2441383583000007</v>
      </c>
      <c r="H837">
        <v>1038.9156132184421</v>
      </c>
      <c r="I837">
        <v>0.65</v>
      </c>
      <c r="U837">
        <v>0</v>
      </c>
      <c r="V837">
        <v>10.243223716299999</v>
      </c>
      <c r="W837">
        <v>1038.9156132184421</v>
      </c>
      <c r="X837">
        <v>0.65</v>
      </c>
    </row>
    <row r="838" spans="1:24" x14ac:dyDescent="0.25">
      <c r="A838">
        <v>-22.158937655300001</v>
      </c>
      <c r="B838">
        <v>0</v>
      </c>
      <c r="C838">
        <v>1038.9156132184421</v>
      </c>
      <c r="D838">
        <v>0.65</v>
      </c>
      <c r="F838">
        <v>-12.5760016928</v>
      </c>
      <c r="G838">
        <v>5.2329447238000002</v>
      </c>
      <c r="H838">
        <v>1038.9156132184421</v>
      </c>
      <c r="I838">
        <v>0.65</v>
      </c>
      <c r="U838">
        <v>0</v>
      </c>
      <c r="V838">
        <v>10.204058889000001</v>
      </c>
      <c r="W838">
        <v>1038.9156132184421</v>
      </c>
      <c r="X838">
        <v>0.65</v>
      </c>
    </row>
    <row r="839" spans="1:24" x14ac:dyDescent="0.25">
      <c r="A839">
        <v>-28.8207002258</v>
      </c>
      <c r="B839">
        <v>0</v>
      </c>
      <c r="C839">
        <v>1038.9156132184421</v>
      </c>
      <c r="D839">
        <v>0.65</v>
      </c>
      <c r="F839">
        <v>-12.549656071799999</v>
      </c>
      <c r="G839">
        <v>5.2693871676000006</v>
      </c>
      <c r="H839">
        <v>1038.9156132184421</v>
      </c>
      <c r="I839">
        <v>0.65</v>
      </c>
      <c r="U839">
        <v>0</v>
      </c>
      <c r="V839">
        <v>6.6671248676000001</v>
      </c>
      <c r="W839">
        <v>1038.9156132184421</v>
      </c>
      <c r="X839">
        <v>0.65</v>
      </c>
    </row>
    <row r="840" spans="1:24" x14ac:dyDescent="0.25">
      <c r="A840">
        <v>-15.0387435789</v>
      </c>
      <c r="B840">
        <v>0</v>
      </c>
      <c r="C840">
        <v>1038.9156132184421</v>
      </c>
      <c r="D840">
        <v>0.65</v>
      </c>
      <c r="F840">
        <v>-10.8084692475</v>
      </c>
      <c r="G840">
        <v>4.5774168838000007</v>
      </c>
      <c r="H840">
        <v>1038.9156132184421</v>
      </c>
      <c r="I840">
        <v>0.65</v>
      </c>
      <c r="U840">
        <v>0</v>
      </c>
      <c r="V840">
        <v>13.482382412500002</v>
      </c>
      <c r="W840">
        <v>1038.9156132184421</v>
      </c>
      <c r="X840">
        <v>0.65</v>
      </c>
    </row>
    <row r="841" spans="1:24" x14ac:dyDescent="0.25">
      <c r="A841">
        <v>-22.355015285899999</v>
      </c>
      <c r="B841">
        <v>0</v>
      </c>
      <c r="C841">
        <v>1038.9156132184421</v>
      </c>
      <c r="D841">
        <v>0.65</v>
      </c>
      <c r="F841">
        <v>14.560565941699998</v>
      </c>
      <c r="G841">
        <v>-5.9280561250999995</v>
      </c>
      <c r="H841">
        <v>1038.9156132184421</v>
      </c>
      <c r="I841">
        <v>0.65</v>
      </c>
      <c r="U841">
        <v>0</v>
      </c>
      <c r="V841">
        <v>10.112674292000001</v>
      </c>
      <c r="W841">
        <v>1038.9156132184421</v>
      </c>
      <c r="X841">
        <v>0.65</v>
      </c>
    </row>
    <row r="842" spans="1:24" x14ac:dyDescent="0.25">
      <c r="A842">
        <v>-28.755341015600003</v>
      </c>
      <c r="B842">
        <v>0</v>
      </c>
      <c r="C842">
        <v>1038.9156132184421</v>
      </c>
      <c r="D842">
        <v>0.65</v>
      </c>
      <c r="F842">
        <v>-12.4197862554</v>
      </c>
      <c r="G842">
        <v>5.2689471446000002</v>
      </c>
      <c r="H842">
        <v>1038.9156132184421</v>
      </c>
      <c r="I842">
        <v>0.65</v>
      </c>
      <c r="U842">
        <v>0</v>
      </c>
      <c r="V842">
        <v>10.1257292344</v>
      </c>
      <c r="W842">
        <v>1038.9156132184421</v>
      </c>
      <c r="X842">
        <v>0.65</v>
      </c>
    </row>
    <row r="843" spans="1:24" x14ac:dyDescent="0.25">
      <c r="A843">
        <v>-22.387694891000002</v>
      </c>
      <c r="B843">
        <v>0</v>
      </c>
      <c r="C843">
        <v>1038.9156132184421</v>
      </c>
      <c r="D843">
        <v>0.65</v>
      </c>
      <c r="F843">
        <v>-10.7925669132</v>
      </c>
      <c r="G843">
        <v>4.5707334178000005</v>
      </c>
      <c r="H843">
        <v>1038.9156132184421</v>
      </c>
      <c r="I843">
        <v>0.65</v>
      </c>
      <c r="U843">
        <v>0</v>
      </c>
      <c r="V843">
        <v>13.430162642699999</v>
      </c>
      <c r="W843">
        <v>1038.9156132184421</v>
      </c>
      <c r="X843">
        <v>0.65</v>
      </c>
    </row>
    <row r="844" spans="1:24" x14ac:dyDescent="0.25">
      <c r="A844">
        <v>-22.289656075699998</v>
      </c>
      <c r="B844">
        <v>0</v>
      </c>
      <c r="C844">
        <v>1038.9156132184421</v>
      </c>
      <c r="D844">
        <v>0.65</v>
      </c>
      <c r="F844">
        <v>-12.2375339974</v>
      </c>
      <c r="G844">
        <v>5.1608690275000004</v>
      </c>
      <c r="H844">
        <v>1038.9156132184421</v>
      </c>
      <c r="I844">
        <v>0.65</v>
      </c>
      <c r="U844">
        <v>0</v>
      </c>
      <c r="V844">
        <v>13.4954373549</v>
      </c>
      <c r="W844">
        <v>1038.9156132184421</v>
      </c>
      <c r="X844">
        <v>0.65</v>
      </c>
    </row>
    <row r="845" spans="1:24" x14ac:dyDescent="0.25">
      <c r="A845">
        <v>-28.689981805399999</v>
      </c>
      <c r="B845">
        <v>0</v>
      </c>
      <c r="C845">
        <v>1038.9156132184421</v>
      </c>
      <c r="D845">
        <v>0.65</v>
      </c>
      <c r="F845">
        <v>-10.8814538931</v>
      </c>
      <c r="G845">
        <v>4.5224668906999996</v>
      </c>
      <c r="H845">
        <v>1038.9156132184421</v>
      </c>
      <c r="I845">
        <v>0.65</v>
      </c>
      <c r="U845">
        <v>0</v>
      </c>
      <c r="V845">
        <v>13.5084922973</v>
      </c>
      <c r="W845">
        <v>1038.9156132184421</v>
      </c>
      <c r="X845">
        <v>0.65</v>
      </c>
    </row>
    <row r="846" spans="1:24" x14ac:dyDescent="0.25">
      <c r="A846">
        <v>-29.049457461500001</v>
      </c>
      <c r="B846">
        <v>0</v>
      </c>
      <c r="C846">
        <v>1038.9156132184421</v>
      </c>
      <c r="D846">
        <v>0.65</v>
      </c>
      <c r="F846">
        <v>-12.5587174702</v>
      </c>
      <c r="G846">
        <v>5.2268096261999997</v>
      </c>
      <c r="H846">
        <v>1038.9156132184421</v>
      </c>
      <c r="I846">
        <v>0.65</v>
      </c>
      <c r="U846">
        <v>0</v>
      </c>
      <c r="V846">
        <v>13.377942873</v>
      </c>
      <c r="W846">
        <v>1038.9156132184421</v>
      </c>
      <c r="X846">
        <v>0.65</v>
      </c>
    </row>
    <row r="847" spans="1:24" x14ac:dyDescent="0.25">
      <c r="A847">
        <v>-28.8533798309</v>
      </c>
      <c r="B847">
        <v>0</v>
      </c>
      <c r="C847">
        <v>1038.9156132184421</v>
      </c>
      <c r="D847">
        <v>0.65</v>
      </c>
      <c r="F847">
        <v>-10.8669088771</v>
      </c>
      <c r="G847">
        <v>4.5152448063000001</v>
      </c>
      <c r="H847">
        <v>1038.9156132184421</v>
      </c>
      <c r="I847">
        <v>0.65</v>
      </c>
      <c r="U847">
        <v>0</v>
      </c>
      <c r="V847">
        <v>13.3518329881</v>
      </c>
      <c r="W847">
        <v>1038.9156132184421</v>
      </c>
      <c r="X847">
        <v>0.65</v>
      </c>
    </row>
    <row r="848" spans="1:24" x14ac:dyDescent="0.25">
      <c r="A848">
        <v>-22.224296865500001</v>
      </c>
      <c r="B848">
        <v>0</v>
      </c>
      <c r="C848">
        <v>1038.9156132184421</v>
      </c>
      <c r="D848">
        <v>0.65</v>
      </c>
      <c r="F848">
        <v>18.236721139099998</v>
      </c>
      <c r="G848">
        <v>-7.3800336757</v>
      </c>
      <c r="H848">
        <v>1038.9156132184421</v>
      </c>
      <c r="I848">
        <v>0.65</v>
      </c>
      <c r="U848">
        <v>0</v>
      </c>
      <c r="V848">
        <v>13.338778045700002</v>
      </c>
      <c r="W848">
        <v>1038.9156132184421</v>
      </c>
      <c r="X848">
        <v>0.65</v>
      </c>
    </row>
    <row r="849" spans="1:24" x14ac:dyDescent="0.25">
      <c r="A849">
        <v>-28.722661410499999</v>
      </c>
      <c r="B849">
        <v>0</v>
      </c>
      <c r="C849">
        <v>1038.9156132184421</v>
      </c>
      <c r="D849">
        <v>0.65</v>
      </c>
      <c r="U849">
        <v>0</v>
      </c>
      <c r="V849">
        <v>13.3257231032</v>
      </c>
      <c r="W849">
        <v>1038.9156132184421</v>
      </c>
      <c r="X849">
        <v>0.65</v>
      </c>
    </row>
    <row r="850" spans="1:24" x14ac:dyDescent="0.25">
      <c r="A850">
        <v>-28.984098251300001</v>
      </c>
      <c r="B850">
        <v>0</v>
      </c>
      <c r="C850">
        <v>1038.9156132184421</v>
      </c>
      <c r="D850">
        <v>0.65</v>
      </c>
      <c r="U850">
        <v>0</v>
      </c>
      <c r="V850">
        <v>10.1518391193</v>
      </c>
      <c r="W850">
        <v>1038.9156132184421</v>
      </c>
      <c r="X850">
        <v>0.65</v>
      </c>
    </row>
    <row r="851" spans="1:24" x14ac:dyDescent="0.25">
      <c r="A851">
        <v>-29.016777856399997</v>
      </c>
      <c r="B851">
        <v>0</v>
      </c>
      <c r="C851">
        <v>1038.9156132184421</v>
      </c>
      <c r="D851">
        <v>0.65</v>
      </c>
      <c r="U851">
        <v>0</v>
      </c>
      <c r="V851">
        <v>13.3909978154</v>
      </c>
      <c r="W851">
        <v>1038.9156132184421</v>
      </c>
      <c r="X851">
        <v>0.65</v>
      </c>
    </row>
    <row r="852" spans="1:24" x14ac:dyDescent="0.25">
      <c r="A852">
        <v>-29.114816671700002</v>
      </c>
      <c r="B852">
        <v>0</v>
      </c>
      <c r="C852">
        <v>1038.9156132184421</v>
      </c>
      <c r="D852">
        <v>0.65</v>
      </c>
      <c r="U852">
        <v>0</v>
      </c>
      <c r="V852">
        <v>13.404052757899999</v>
      </c>
      <c r="W852">
        <v>1038.9156132184421</v>
      </c>
      <c r="X852">
        <v>0.65</v>
      </c>
    </row>
    <row r="853" spans="1:24" x14ac:dyDescent="0.25">
      <c r="A853">
        <v>-29.147496276799998</v>
      </c>
      <c r="B853">
        <v>0</v>
      </c>
      <c r="C853">
        <v>1038.9156132184421</v>
      </c>
      <c r="D853">
        <v>0.65</v>
      </c>
      <c r="U853">
        <v>0</v>
      </c>
      <c r="V853">
        <v>13.417107700300001</v>
      </c>
      <c r="W853">
        <v>1038.9156132184421</v>
      </c>
      <c r="X853">
        <v>0.65</v>
      </c>
    </row>
    <row r="854" spans="1:24" x14ac:dyDescent="0.25">
      <c r="A854">
        <v>-28.918739041099997</v>
      </c>
      <c r="B854">
        <v>0</v>
      </c>
      <c r="C854">
        <v>1038.9156132184421</v>
      </c>
      <c r="D854">
        <v>0.65</v>
      </c>
      <c r="U854">
        <v>0</v>
      </c>
      <c r="V854">
        <v>13.443217585199999</v>
      </c>
      <c r="W854">
        <v>1038.9156132184421</v>
      </c>
      <c r="X854">
        <v>0.65</v>
      </c>
    </row>
    <row r="855" spans="1:24" x14ac:dyDescent="0.25">
      <c r="A855">
        <v>-28.788020620699999</v>
      </c>
      <c r="B855">
        <v>0</v>
      </c>
      <c r="C855">
        <v>1038.9156132184421</v>
      </c>
      <c r="D855">
        <v>0.65</v>
      </c>
      <c r="U855">
        <v>0</v>
      </c>
      <c r="V855">
        <v>13.469327470000001</v>
      </c>
      <c r="W855">
        <v>1038.9156132184421</v>
      </c>
      <c r="X855">
        <v>0.65</v>
      </c>
    </row>
    <row r="856" spans="1:24" x14ac:dyDescent="0.25">
      <c r="A856">
        <v>-29.180175881899999</v>
      </c>
      <c r="B856">
        <v>0</v>
      </c>
      <c r="C856">
        <v>1038.9156132184421</v>
      </c>
      <c r="D856">
        <v>0.65</v>
      </c>
      <c r="U856">
        <v>0</v>
      </c>
      <c r="V856">
        <v>13.364887930499998</v>
      </c>
      <c r="W856">
        <v>1038.9156132184421</v>
      </c>
      <c r="X856">
        <v>0.65</v>
      </c>
    </row>
    <row r="857" spans="1:24" x14ac:dyDescent="0.25">
      <c r="A857">
        <v>-28.9514186462</v>
      </c>
      <c r="B857">
        <v>0</v>
      </c>
      <c r="C857">
        <v>1038.9156132184421</v>
      </c>
      <c r="D857">
        <v>0.65</v>
      </c>
      <c r="U857">
        <v>0</v>
      </c>
      <c r="V857">
        <v>13.5215472398</v>
      </c>
      <c r="W857">
        <v>1038.9156132184421</v>
      </c>
      <c r="X857">
        <v>0.65</v>
      </c>
    </row>
  </sheetData>
  <mergeCells count="40">
    <mergeCell ref="AJ1:AM1"/>
    <mergeCell ref="AJ2:AJ3"/>
    <mergeCell ref="AK2:AK3"/>
    <mergeCell ref="AL2:AL3"/>
    <mergeCell ref="AM2:AM3"/>
    <mergeCell ref="AE1:AH1"/>
    <mergeCell ref="AE2:AE3"/>
    <mergeCell ref="AF2:AF3"/>
    <mergeCell ref="AG2:AG3"/>
    <mergeCell ref="AH2:AH3"/>
    <mergeCell ref="Z1:AC1"/>
    <mergeCell ref="Z2:Z3"/>
    <mergeCell ref="AA2:AA3"/>
    <mergeCell ref="AB2:AB3"/>
    <mergeCell ref="AC2:AC3"/>
    <mergeCell ref="U1:X1"/>
    <mergeCell ref="U2:U3"/>
    <mergeCell ref="V2:V3"/>
    <mergeCell ref="W2:W3"/>
    <mergeCell ref="X2:X3"/>
    <mergeCell ref="P1:S1"/>
    <mergeCell ref="P2:P3"/>
    <mergeCell ref="Q2:Q3"/>
    <mergeCell ref="R2:R3"/>
    <mergeCell ref="S2:S3"/>
    <mergeCell ref="K1:N1"/>
    <mergeCell ref="K2:K3"/>
    <mergeCell ref="L2:L3"/>
    <mergeCell ref="M2:M3"/>
    <mergeCell ref="N2:N3"/>
    <mergeCell ref="F1:I1"/>
    <mergeCell ref="F2:F3"/>
    <mergeCell ref="G2:G3"/>
    <mergeCell ref="H2:H3"/>
    <mergeCell ref="I2:I3"/>
    <mergeCell ref="A1:D1"/>
    <mergeCell ref="A2:A3"/>
    <mergeCell ref="B2:B3"/>
    <mergeCell ref="C2:C3"/>
    <mergeCell ref="D2:D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84579-75F6-4C03-A056-57780E92867D}">
  <sheetPr codeName="Sheet6">
    <tabColor rgb="FFFF0000"/>
  </sheetPr>
  <dimension ref="A1:XFC56"/>
  <sheetViews>
    <sheetView showGridLines="0" zoomScaleNormal="100" workbookViewId="0">
      <selection activeCell="C10" sqref="C10"/>
    </sheetView>
  </sheetViews>
  <sheetFormatPr defaultColWidth="0" defaultRowHeight="15" x14ac:dyDescent="0.25"/>
  <cols>
    <col min="1" max="1" width="21.85546875" customWidth="1"/>
    <col min="2" max="2" width="12.7109375" customWidth="1"/>
    <col min="3" max="3" width="19.7109375" customWidth="1"/>
    <col min="4" max="4" width="12.7109375" customWidth="1"/>
    <col min="5" max="5" width="19.7109375" customWidth="1"/>
    <col min="6" max="6" width="12.7109375" customWidth="1"/>
    <col min="7" max="7" width="11.42578125" customWidth="1"/>
    <col min="8" max="8" width="9.5703125" customWidth="1"/>
    <col min="9" max="9" width="100.7109375" hidden="1" customWidth="1"/>
    <col min="10" max="16380" width="9.140625" hidden="1"/>
    <col min="16381" max="16381" width="7" hidden="1" customWidth="1"/>
    <col min="16382" max="16382" width="5.28515625" hidden="1" customWidth="1"/>
    <col min="16383" max="16383" width="12.140625" hidden="1" customWidth="1"/>
    <col min="16384" max="16384" width="17.85546875" hidden="1" customWidth="1"/>
  </cols>
  <sheetData>
    <row r="1" spans="1:8" x14ac:dyDescent="0.25">
      <c r="A1" s="78" t="s">
        <v>74</v>
      </c>
      <c r="B1" s="78"/>
      <c r="C1" s="78"/>
      <c r="D1" s="79"/>
      <c r="E1" s="79"/>
      <c r="F1" s="79"/>
      <c r="G1" s="3"/>
      <c r="H1" s="4"/>
    </row>
    <row r="2" spans="1:8" ht="28.5" customHeight="1" x14ac:dyDescent="0.25">
      <c r="A2" s="80"/>
      <c r="B2" s="80"/>
      <c r="C2" s="130" t="s">
        <v>0</v>
      </c>
      <c r="D2" s="81"/>
      <c r="E2" s="82"/>
      <c r="F2" s="81"/>
      <c r="G2" s="82"/>
      <c r="H2" s="4"/>
    </row>
    <row r="3" spans="1:8" x14ac:dyDescent="0.25">
      <c r="A3" s="83"/>
      <c r="B3" s="3"/>
      <c r="C3" s="3"/>
      <c r="D3" s="84"/>
      <c r="E3" s="85"/>
      <c r="F3" s="85"/>
      <c r="G3" s="85"/>
      <c r="H3" s="4"/>
    </row>
    <row r="4" spans="1:8" x14ac:dyDescent="0.25">
      <c r="A4" s="183" t="s">
        <v>1</v>
      </c>
      <c r="B4" s="183"/>
      <c r="C4" s="92">
        <v>25</v>
      </c>
      <c r="D4" s="85"/>
      <c r="E4" s="85"/>
      <c r="F4" s="85"/>
      <c r="G4" s="85"/>
      <c r="H4" s="4"/>
    </row>
    <row r="5" spans="1:8" x14ac:dyDescent="0.25">
      <c r="A5" s="130"/>
      <c r="B5" s="130"/>
      <c r="C5" s="130"/>
      <c r="D5" s="85"/>
      <c r="E5" s="85"/>
      <c r="F5" s="85"/>
      <c r="G5" s="85"/>
      <c r="H5" s="4"/>
    </row>
    <row r="6" spans="1:8" x14ac:dyDescent="0.25">
      <c r="A6" s="183" t="s">
        <v>2</v>
      </c>
      <c r="B6" s="183"/>
      <c r="C6" s="93" t="s">
        <v>3</v>
      </c>
      <c r="D6" s="82"/>
      <c r="E6" s="6"/>
      <c r="F6" s="3"/>
      <c r="G6" s="94"/>
      <c r="H6" s="4"/>
    </row>
    <row r="7" spans="1:8" x14ac:dyDescent="0.25">
      <c r="A7" s="130"/>
      <c r="B7" s="130"/>
      <c r="C7" s="130"/>
      <c r="D7" s="130"/>
      <c r="E7" s="130"/>
      <c r="F7" s="130"/>
      <c r="G7" s="3"/>
      <c r="H7" s="4"/>
    </row>
    <row r="8" spans="1:8" x14ac:dyDescent="0.25">
      <c r="A8" s="183" t="s">
        <v>4</v>
      </c>
      <c r="B8" s="183"/>
      <c r="C8" s="92" t="s">
        <v>128</v>
      </c>
      <c r="D8" s="130" t="s">
        <v>5</v>
      </c>
      <c r="E8" s="95">
        <v>5.21</v>
      </c>
      <c r="F8" s="3" t="s">
        <v>32</v>
      </c>
      <c r="G8" s="3"/>
      <c r="H8" s="4"/>
    </row>
    <row r="9" spans="1:8" x14ac:dyDescent="0.25">
      <c r="A9" s="184"/>
      <c r="B9" s="185"/>
      <c r="C9" s="185"/>
      <c r="D9" s="185"/>
      <c r="E9" s="185"/>
      <c r="F9" s="185"/>
      <c r="G9" s="186"/>
      <c r="H9" s="4"/>
    </row>
    <row r="10" spans="1:8" x14ac:dyDescent="0.25">
      <c r="A10" s="183" t="s">
        <v>73</v>
      </c>
      <c r="B10" s="183"/>
      <c r="C10" s="92" t="s">
        <v>6</v>
      </c>
      <c r="D10" s="4"/>
      <c r="E10" s="86"/>
      <c r="F10" s="86"/>
      <c r="G10" s="4"/>
      <c r="H10" s="4"/>
    </row>
    <row r="11" spans="1:8" x14ac:dyDescent="0.25">
      <c r="A11" s="4"/>
      <c r="B11" s="4"/>
      <c r="C11" s="4"/>
      <c r="D11" s="6"/>
      <c r="E11" s="4"/>
      <c r="F11" s="4"/>
      <c r="G11" s="4"/>
      <c r="H11" s="4"/>
    </row>
    <row r="12" spans="1:8" x14ac:dyDescent="0.25">
      <c r="A12" s="86" t="s">
        <v>7</v>
      </c>
      <c r="B12" s="86"/>
      <c r="C12" s="86"/>
      <c r="D12" s="86"/>
      <c r="E12" s="86"/>
      <c r="F12" s="4"/>
      <c r="G12" s="4"/>
      <c r="H12" s="4"/>
    </row>
    <row r="13" spans="1:8" x14ac:dyDescent="0.25">
      <c r="A13" s="4"/>
      <c r="B13" s="4"/>
      <c r="C13" s="4"/>
      <c r="D13" s="4"/>
      <c r="E13" s="4"/>
      <c r="F13" s="4"/>
      <c r="G13" s="4"/>
      <c r="H13" s="4"/>
    </row>
    <row r="14" spans="1:8" x14ac:dyDescent="0.25">
      <c r="A14" s="180" t="s">
        <v>98</v>
      </c>
      <c r="B14" s="187"/>
      <c r="C14" s="181"/>
      <c r="D14" s="96">
        <v>1</v>
      </c>
      <c r="E14" s="4"/>
      <c r="F14" s="4"/>
      <c r="G14" s="4"/>
      <c r="H14" s="4"/>
    </row>
    <row r="15" spans="1:8" x14ac:dyDescent="0.25">
      <c r="A15" s="131"/>
      <c r="B15" s="4"/>
      <c r="C15" s="132"/>
      <c r="D15" s="4"/>
      <c r="E15" s="4"/>
      <c r="F15" s="4"/>
      <c r="G15" s="4"/>
      <c r="H15" s="4"/>
    </row>
    <row r="16" spans="1:8" ht="28.5" x14ac:dyDescent="0.25">
      <c r="A16" s="10" t="s">
        <v>50</v>
      </c>
      <c r="B16" s="10" t="s">
        <v>49</v>
      </c>
      <c r="C16" s="1" t="s">
        <v>38</v>
      </c>
      <c r="D16" s="10" t="s">
        <v>48</v>
      </c>
      <c r="E16" s="1" t="s">
        <v>39</v>
      </c>
      <c r="F16" s="37" t="s">
        <v>8</v>
      </c>
      <c r="G16" s="1">
        <v>4</v>
      </c>
      <c r="H16" s="55"/>
    </row>
    <row r="17" spans="1:8" x14ac:dyDescent="0.25">
      <c r="A17" s="38"/>
      <c r="B17" s="38"/>
      <c r="C17" s="38"/>
      <c r="D17" s="38"/>
      <c r="E17" s="39"/>
      <c r="F17" s="40"/>
      <c r="G17" s="40"/>
      <c r="H17" s="4"/>
    </row>
    <row r="18" spans="1:8" x14ac:dyDescent="0.25">
      <c r="A18" s="36" t="s">
        <v>36</v>
      </c>
      <c r="B18" s="33"/>
      <c r="C18" s="35" t="s">
        <v>9</v>
      </c>
      <c r="D18" s="33"/>
      <c r="E18" s="49" t="s">
        <v>10</v>
      </c>
      <c r="F18" s="3"/>
      <c r="G18" s="3"/>
      <c r="H18" s="4"/>
    </row>
    <row r="19" spans="1:8" x14ac:dyDescent="0.25">
      <c r="A19" s="41">
        <v>1</v>
      </c>
      <c r="B19" s="29"/>
      <c r="C19" s="47">
        <v>0</v>
      </c>
      <c r="D19" s="48"/>
      <c r="E19" s="47">
        <v>0</v>
      </c>
      <c r="F19" s="30"/>
      <c r="G19" s="3"/>
      <c r="H19" s="4"/>
    </row>
    <row r="20" spans="1:8" x14ac:dyDescent="0.25">
      <c r="A20" s="42">
        <v>2</v>
      </c>
      <c r="B20" s="29"/>
      <c r="C20" s="47">
        <v>0</v>
      </c>
      <c r="D20" s="48"/>
      <c r="E20" s="47">
        <v>0</v>
      </c>
      <c r="F20" s="30"/>
      <c r="G20" s="3"/>
      <c r="H20" s="4"/>
    </row>
    <row r="21" spans="1:8" x14ac:dyDescent="0.25">
      <c r="A21" s="42">
        <v>3</v>
      </c>
      <c r="B21" s="29"/>
      <c r="C21" s="47">
        <v>0</v>
      </c>
      <c r="D21" s="48"/>
      <c r="E21" s="47">
        <v>0</v>
      </c>
      <c r="F21" s="30"/>
      <c r="G21" s="3"/>
      <c r="H21" s="4"/>
    </row>
    <row r="22" spans="1:8" x14ac:dyDescent="0.25">
      <c r="A22" s="43">
        <f>A21+1</f>
        <v>4</v>
      </c>
      <c r="B22" s="29"/>
      <c r="C22" s="47">
        <v>0</v>
      </c>
      <c r="D22" s="48"/>
      <c r="E22" s="47">
        <v>0</v>
      </c>
      <c r="F22" s="30"/>
      <c r="G22" s="3"/>
      <c r="H22" s="4"/>
    </row>
    <row r="23" spans="1:8" x14ac:dyDescent="0.25">
      <c r="A23" s="3"/>
      <c r="B23" s="3"/>
      <c r="C23" s="4"/>
      <c r="D23" s="3"/>
      <c r="E23" s="3"/>
      <c r="F23" s="3"/>
      <c r="G23" s="3"/>
      <c r="H23" s="4"/>
    </row>
    <row r="24" spans="1:8" x14ac:dyDescent="0.25">
      <c r="A24" s="87" t="s">
        <v>11</v>
      </c>
      <c r="B24" s="88"/>
      <c r="C24" s="89"/>
      <c r="D24" s="4"/>
      <c r="E24" s="4"/>
      <c r="F24" s="4"/>
      <c r="G24" s="4"/>
    </row>
    <row r="25" spans="1:8" x14ac:dyDescent="0.25">
      <c r="A25" s="4"/>
      <c r="B25" s="4"/>
      <c r="C25" s="4"/>
      <c r="D25" s="4"/>
      <c r="E25" s="4"/>
      <c r="F25" s="4"/>
      <c r="G25" s="4"/>
    </row>
    <row r="26" spans="1:8" x14ac:dyDescent="0.25">
      <c r="A26" s="180" t="s">
        <v>12</v>
      </c>
      <c r="B26" s="187"/>
      <c r="C26" s="181"/>
      <c r="D26" s="97">
        <v>0</v>
      </c>
      <c r="E26" s="4"/>
      <c r="F26" s="4"/>
      <c r="G26" s="4"/>
    </row>
    <row r="27" spans="1:8" x14ac:dyDescent="0.25">
      <c r="A27" s="4"/>
      <c r="B27" s="4"/>
      <c r="C27" s="4"/>
      <c r="D27" s="4"/>
      <c r="E27" s="4"/>
      <c r="F27" s="4"/>
      <c r="G27" s="4"/>
    </row>
    <row r="28" spans="1:8" x14ac:dyDescent="0.25">
      <c r="A28" s="133" t="s">
        <v>13</v>
      </c>
      <c r="B28" s="4"/>
      <c r="C28" s="133" t="s">
        <v>9</v>
      </c>
      <c r="D28" s="4"/>
      <c r="E28" s="133" t="s">
        <v>10</v>
      </c>
      <c r="F28" s="4"/>
      <c r="G28" s="90" t="s">
        <v>57</v>
      </c>
    </row>
    <row r="29" spans="1:8" x14ac:dyDescent="0.25">
      <c r="A29" s="188"/>
      <c r="B29" s="189"/>
      <c r="C29" s="189"/>
      <c r="D29" s="189"/>
      <c r="E29" s="189"/>
      <c r="F29" s="189"/>
      <c r="G29" s="190"/>
    </row>
    <row r="30" spans="1:8" x14ac:dyDescent="0.25">
      <c r="A30" s="87" t="s">
        <v>14</v>
      </c>
      <c r="B30" s="88"/>
      <c r="C30" s="89"/>
      <c r="D30" s="6"/>
      <c r="E30" s="4"/>
      <c r="F30" s="6"/>
      <c r="G30" s="6"/>
    </row>
    <row r="31" spans="1:8" x14ac:dyDescent="0.25">
      <c r="A31" s="4"/>
      <c r="B31" s="4"/>
      <c r="C31" s="4"/>
      <c r="D31" s="4"/>
      <c r="E31" s="4"/>
      <c r="F31" s="4"/>
      <c r="G31" s="4"/>
    </row>
    <row r="32" spans="1:8" x14ac:dyDescent="0.25">
      <c r="A32" s="180" t="s">
        <v>12</v>
      </c>
      <c r="B32" s="187"/>
      <c r="C32" s="181"/>
      <c r="D32" s="97">
        <v>0</v>
      </c>
      <c r="E32" s="4"/>
      <c r="F32" s="4"/>
      <c r="G32" s="4"/>
    </row>
    <row r="33" spans="1:8" x14ac:dyDescent="0.25">
      <c r="A33" s="4"/>
      <c r="B33" s="4"/>
      <c r="C33" s="4"/>
      <c r="D33" s="4"/>
      <c r="E33" s="4"/>
      <c r="F33" s="4"/>
      <c r="G33" s="4"/>
    </row>
    <row r="34" spans="1:8" x14ac:dyDescent="0.25">
      <c r="A34" s="133" t="s">
        <v>13</v>
      </c>
      <c r="B34" s="4"/>
      <c r="C34" s="133" t="s">
        <v>9</v>
      </c>
      <c r="D34" s="4"/>
      <c r="E34" s="133" t="s">
        <v>10</v>
      </c>
      <c r="F34" s="4"/>
      <c r="G34" s="90" t="s">
        <v>15</v>
      </c>
    </row>
    <row r="35" spans="1:8" x14ac:dyDescent="0.25">
      <c r="A35" s="3"/>
      <c r="B35" s="3"/>
      <c r="C35" s="33"/>
      <c r="D35" s="3"/>
      <c r="E35" s="33"/>
      <c r="F35" s="3"/>
    </row>
    <row r="36" spans="1:8" x14ac:dyDescent="0.25">
      <c r="A36" s="87" t="s">
        <v>16</v>
      </c>
      <c r="B36" s="88"/>
      <c r="C36" s="4"/>
      <c r="D36" s="4"/>
      <c r="E36" s="4"/>
      <c r="F36" s="4"/>
      <c r="G36" s="4"/>
    </row>
    <row r="37" spans="1:8" x14ac:dyDescent="0.25">
      <c r="A37" s="4"/>
      <c r="B37" s="4"/>
      <c r="C37" s="4"/>
      <c r="D37" s="4"/>
      <c r="E37" s="4"/>
      <c r="F37" s="4"/>
      <c r="G37" s="4"/>
    </row>
    <row r="38" spans="1:8" x14ac:dyDescent="0.25">
      <c r="A38" s="180" t="s">
        <v>51</v>
      </c>
      <c r="B38" s="187"/>
      <c r="C38" s="191" t="s">
        <v>85</v>
      </c>
      <c r="D38" s="191"/>
      <c r="E38" s="98"/>
      <c r="F38" s="4"/>
      <c r="G38" s="4"/>
    </row>
    <row r="39" spans="1:8" x14ac:dyDescent="0.25">
      <c r="A39" s="4"/>
      <c r="B39" s="4"/>
      <c r="C39" s="33"/>
      <c r="D39" s="4"/>
      <c r="E39" s="4"/>
      <c r="F39" s="4"/>
      <c r="G39" s="4"/>
    </row>
    <row r="40" spans="1:8" ht="14.45" hidden="1" customHeight="1" x14ac:dyDescent="0.25">
      <c r="A40" s="182" t="s">
        <v>58</v>
      </c>
      <c r="B40" s="182"/>
      <c r="C40" s="5">
        <v>2</v>
      </c>
      <c r="D40" s="4"/>
      <c r="E40" s="91" t="s">
        <v>56</v>
      </c>
      <c r="F40" s="91"/>
      <c r="G40" s="91"/>
    </row>
    <row r="41" spans="1:8" ht="14.45" hidden="1" customHeight="1" x14ac:dyDescent="0.25">
      <c r="A41" s="4"/>
      <c r="B41" s="4"/>
      <c r="C41" s="7"/>
      <c r="D41" s="4"/>
      <c r="E41" s="91" t="s">
        <v>55</v>
      </c>
      <c r="F41" s="91"/>
      <c r="G41" s="91"/>
    </row>
    <row r="42" spans="1:8" ht="14.45" hidden="1" customHeight="1" x14ac:dyDescent="0.25">
      <c r="A42" s="182" t="s">
        <v>88</v>
      </c>
      <c r="B42" s="182"/>
      <c r="C42" s="5">
        <v>2</v>
      </c>
      <c r="D42" s="4"/>
      <c r="E42" s="91" t="s">
        <v>89</v>
      </c>
      <c r="F42" s="91"/>
      <c r="G42" s="91"/>
    </row>
    <row r="43" spans="1:8" ht="14.45" hidden="1" customHeight="1" x14ac:dyDescent="0.25">
      <c r="A43" s="3"/>
      <c r="B43" s="3"/>
      <c r="C43" s="33"/>
      <c r="D43" s="3"/>
      <c r="E43" s="102" t="s">
        <v>90</v>
      </c>
      <c r="F43" s="91"/>
      <c r="G43" s="91"/>
    </row>
    <row r="44" spans="1:8" ht="14.45" hidden="1" customHeight="1" x14ac:dyDescent="0.25">
      <c r="A44" s="182" t="s">
        <v>91</v>
      </c>
      <c r="B44" s="182"/>
      <c r="C44" s="5">
        <v>2</v>
      </c>
      <c r="D44" s="4"/>
      <c r="F44" s="4"/>
      <c r="G44" s="4"/>
    </row>
    <row r="45" spans="1:8" ht="14.45" hidden="1" customHeight="1" x14ac:dyDescent="0.25">
      <c r="A45" s="3"/>
      <c r="B45" s="3"/>
      <c r="C45" s="33"/>
      <c r="D45" s="4"/>
      <c r="E45" s="4"/>
      <c r="F45" s="4"/>
      <c r="G45" s="4"/>
    </row>
    <row r="46" spans="1:8" x14ac:dyDescent="0.25">
      <c r="A46" s="87" t="s">
        <v>54</v>
      </c>
      <c r="B46" s="4"/>
      <c r="C46" s="4"/>
      <c r="D46" s="4"/>
      <c r="E46" s="4"/>
      <c r="F46" s="4"/>
      <c r="G46" s="4"/>
    </row>
    <row r="47" spans="1:8" x14ac:dyDescent="0.25">
      <c r="A47" s="6"/>
      <c r="B47" s="4"/>
      <c r="C47" s="33"/>
      <c r="D47" s="4"/>
      <c r="E47" s="4"/>
      <c r="F47" s="4"/>
      <c r="G47" s="4"/>
      <c r="H47" s="6"/>
    </row>
    <row r="48" spans="1:8" x14ac:dyDescent="0.25">
      <c r="A48" s="180" t="s">
        <v>48</v>
      </c>
      <c r="B48" s="181"/>
      <c r="C48" s="9" t="s">
        <v>101</v>
      </c>
      <c r="E48" s="4"/>
      <c r="F48" s="4"/>
      <c r="G48" s="4"/>
      <c r="H48" s="6"/>
    </row>
    <row r="50" spans="1:8" ht="27.6" customHeight="1" x14ac:dyDescent="0.25">
      <c r="A50" s="178" t="s">
        <v>109</v>
      </c>
      <c r="B50" s="179"/>
      <c r="C50" s="115" t="s">
        <v>141</v>
      </c>
      <c r="D50" s="113"/>
      <c r="E50" s="4"/>
      <c r="F50" s="55"/>
      <c r="G50" s="55"/>
      <c r="H50" s="55"/>
    </row>
    <row r="51" spans="1:8" x14ac:dyDescent="0.25">
      <c r="A51" s="55"/>
      <c r="B51" s="55"/>
      <c r="C51" s="55"/>
      <c r="D51" s="4"/>
      <c r="E51" s="4"/>
      <c r="F51" s="55"/>
      <c r="G51" s="55"/>
      <c r="H51" s="55"/>
    </row>
    <row r="52" spans="1:8" x14ac:dyDescent="0.25">
      <c r="A52" s="180" t="s">
        <v>82</v>
      </c>
      <c r="B52" s="181"/>
      <c r="C52" s="5" t="s">
        <v>77</v>
      </c>
      <c r="D52" s="55"/>
      <c r="E52" s="4"/>
      <c r="F52" s="55"/>
      <c r="G52" s="55"/>
      <c r="H52" s="55"/>
    </row>
    <row r="53" spans="1:8" x14ac:dyDescent="0.25">
      <c r="A53" s="4"/>
      <c r="B53" s="4"/>
      <c r="C53" s="4"/>
      <c r="D53" s="4"/>
      <c r="E53" s="4"/>
      <c r="F53" s="4"/>
      <c r="G53" s="4"/>
      <c r="H53" s="4"/>
    </row>
    <row r="54" spans="1:8" x14ac:dyDescent="0.25">
      <c r="A54" s="180" t="s">
        <v>92</v>
      </c>
      <c r="B54" s="181"/>
      <c r="C54" s="5" t="s">
        <v>77</v>
      </c>
      <c r="D54" s="4"/>
      <c r="E54" s="4"/>
      <c r="F54" s="4"/>
      <c r="G54" s="4"/>
      <c r="H54" s="4"/>
    </row>
    <row r="55" spans="1:8" x14ac:dyDescent="0.25">
      <c r="A55" s="134"/>
      <c r="B55" s="135"/>
      <c r="C55" s="136"/>
      <c r="D55" s="4"/>
      <c r="E55" s="4"/>
      <c r="F55" s="4"/>
      <c r="G55" s="4"/>
      <c r="H55" s="4"/>
    </row>
    <row r="56" spans="1:8" x14ac:dyDescent="0.25">
      <c r="A56" s="180" t="s">
        <v>52</v>
      </c>
      <c r="B56" s="181"/>
      <c r="C56" s="8">
        <v>0</v>
      </c>
    </row>
  </sheetData>
  <dataConsolidate/>
  <mergeCells count="19">
    <mergeCell ref="C38:D38"/>
    <mergeCell ref="A9:G9"/>
    <mergeCell ref="A14:C14"/>
    <mergeCell ref="A56:B56"/>
    <mergeCell ref="A52:B52"/>
    <mergeCell ref="A54:B54"/>
    <mergeCell ref="A50:B50"/>
    <mergeCell ref="A4:B4"/>
    <mergeCell ref="A6:B6"/>
    <mergeCell ref="A8:B8"/>
    <mergeCell ref="A10:B10"/>
    <mergeCell ref="A48:B48"/>
    <mergeCell ref="A26:C26"/>
    <mergeCell ref="A40:B40"/>
    <mergeCell ref="A42:B42"/>
    <mergeCell ref="A44:B44"/>
    <mergeCell ref="A29:G29"/>
    <mergeCell ref="A32:C32"/>
    <mergeCell ref="A38:B38"/>
  </mergeCells>
  <dataValidations count="17">
    <dataValidation type="whole" operator="greaterThanOrEqual" allowBlank="1" showInputMessage="1" showErrorMessage="1" errorTitle="Ingreso de Contornos" error="Por lo menos debe ingresar 1 contorno." sqref="D14" xr:uid="{7ED9F095-4D7C-4C87-9CBD-195D72BCFD17}">
      <formula1>1</formula1>
    </dataValidation>
    <dataValidation type="whole" allowBlank="1" showInputMessage="1" showErrorMessage="1" errorTitle="Error" error="El número de barras debe ser mayor o igual a 0." sqref="D32 D26" xr:uid="{CC782D5D-09C5-42BB-83F8-B4C63BF2AD0C}">
      <formula1>0</formula1>
      <formula2>500</formula2>
    </dataValidation>
    <dataValidation type="list" allowBlank="1" showInputMessage="1" showErrorMessage="1" sqref="C16" xr:uid="{5A4CDF70-9346-4CCA-91F2-9A062F33590C}">
      <formula1>"Positivo, Negativo"</formula1>
    </dataValidation>
    <dataValidation type="whole" allowBlank="1" showInputMessage="1" showErrorMessage="1" errorTitle="Error" error="El número de nodos debe estar comprendido entre 1 y 500" sqref="A19:A22" xr:uid="{90BA8548-157E-4A43-84C1-BB94A9389308}">
      <formula1>1</formula1>
      <formula2>500</formula2>
    </dataValidation>
    <dataValidation type="list" allowBlank="1" showInputMessage="1" showErrorMessage="1" sqref="C10" xr:uid="{E23B8D88-8801-44A0-96DD-05D07423E75C}">
      <formula1>"Estribos, Zunchos en espiral"</formula1>
    </dataValidation>
    <dataValidation type="list" allowBlank="1" showInputMessage="1" sqref="C4" xr:uid="{EEBC22E6-7F61-43E3-B91E-0A982EEBABE5}">
      <formula1>"20,25,30,35,40,45,50,55, 60, Otro(Ingresar en misma Celda)"</formula1>
    </dataValidation>
    <dataValidation type="whole" allowBlank="1" showInputMessage="1" showErrorMessage="1" errorTitle="Error" error="El número de barras debe estar comprendido entre 1 y 500" sqref="A29 A35" xr:uid="{B01FF57F-46D1-4E76-AB4B-6CAC707B5170}">
      <formula1>1</formula1>
      <formula2>500</formula2>
    </dataValidation>
    <dataValidation type="list" allowBlank="1" showInputMessage="1" showErrorMessage="1" sqref="C38:D38 C44:D44" xr:uid="{17FCC8D5-FC19-4D4A-80C1-CBAD8202F207}">
      <formula1>"Muy Fina, Fina, Media, Gruesa, Muy Gruesa, Avanzada (Ingreso Manual)"</formula1>
    </dataValidation>
    <dataValidation type="list" allowBlank="1" showInputMessage="1" showErrorMessage="1" sqref="E16" xr:uid="{C4CD63F0-8A34-4EC8-BBA7-8D607D1AEFAD}">
      <formula1>"Poligonal, Circular"</formula1>
    </dataValidation>
    <dataValidation type="list" allowBlank="1" showInputMessage="1" showErrorMessage="1" sqref="C6" xr:uid="{8C1619E3-6062-47B1-B52D-D6904C576A6F}">
      <formula1>"ADN 420, ADN 500, AL 220, Provisto por usuario"</formula1>
    </dataValidation>
    <dataValidation type="list" allowBlank="1" showInputMessage="1" showErrorMessage="1" sqref="C48" xr:uid="{B4AC6A37-76BE-4682-AC4E-8CF28CBF2E42}">
      <formula1>"2D,3D"</formula1>
    </dataValidation>
    <dataValidation type="list" allowBlank="1" showInputMessage="1" showErrorMessage="1" error="Por favor, ingrese únicamente los valores predeterminados." sqref="C52" xr:uid="{47DE7F42-0B06-49F5-94CC-708D75B788A7}">
      <formula1>"No, Sí"</formula1>
    </dataValidation>
    <dataValidation type="decimal" allowBlank="1" showInputMessage="1" showErrorMessage="1" errorTitle="ERROR" error="El ángulo de inclinación del plano de carga debe estar comprendido entre 0º y 180º" sqref="C56" xr:uid="{0E7512E7-75AB-446F-84C7-664CDE9E20D3}">
      <formula1>0</formula1>
      <formula2>180</formula2>
    </dataValidation>
    <dataValidation type="whole" operator="greaterThanOrEqual" allowBlank="1" showInputMessage="1" showErrorMessage="1" errorTitle="Error" error="El número de nodos debe ser mayor a 3." sqref="G16" xr:uid="{7619CF8A-8005-4722-B9A2-0DD7168DAAA3}">
      <formula1>3</formula1>
    </dataValidation>
    <dataValidation type="list" allowBlank="1" showInputMessage="1" showErrorMessage="1" sqref="C8" xr:uid="{92D212CC-0DCD-4CAA-A51B-757814A81C1A}">
      <formula1>"Barras 1050, Cordones C1650, Cordones C1900, Provisto por usuario"</formula1>
    </dataValidation>
    <dataValidation type="list" allowBlank="1" showInputMessage="1" showErrorMessage="1" sqref="C54" xr:uid="{055ACBE0-5A76-44FD-B021-A19E92BED3F1}">
      <formula1>"Sí, No"</formula1>
    </dataValidation>
    <dataValidation type="list" allowBlank="1" error="Por favor, ingrese únicamente los valores predeterminados." prompt="Ingresar valor" sqref="C50" xr:uid="{B5989E5A-DF08-4338-9402-0A2B4AC75F59}">
      <formula1>"Según CIRSOC 201-2005, Según CIRSOC 201-2024, Constante. Ingresar en Celda."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40" r:id="rId4" name="Button 56">
              <controlPr defaultSize="0" print="0" autoFill="0" autoPict="0" macro="[0]!Sheet1.CopyBackupSheet">
                <anchor moveWithCells="1" sizeWithCells="1">
                  <from>
                    <xdr:col>3</xdr:col>
                    <xdr:colOff>542925</xdr:colOff>
                    <xdr:row>1</xdr:row>
                    <xdr:rowOff>285750</xdr:rowOff>
                  </from>
                  <to>
                    <xdr:col>6</xdr:col>
                    <xdr:colOff>771525</xdr:colOff>
                    <xdr:row>4</xdr:row>
                    <xdr:rowOff>0</xdr:rowOff>
                  </to>
                </anchor>
              </controlPr>
            </control>
          </mc:Choice>
        </mc:AlternateContent>
        <mc:AlternateContent xmlns:mc="http://schemas.openxmlformats.org/markup-compatibility/2006">
          <mc:Choice Requires="x14">
            <control shapeId="16477" r:id="rId5" name="Button 93">
              <controlPr defaultSize="0" print="0" autoFill="0" autoPict="0" macro="[0]!Sheet1.RunPyExe_Click">
                <anchor moveWithCells="1" sizeWithCells="1">
                  <from>
                    <xdr:col>3</xdr:col>
                    <xdr:colOff>533400</xdr:colOff>
                    <xdr:row>46</xdr:row>
                    <xdr:rowOff>152400</xdr:rowOff>
                  </from>
                  <to>
                    <xdr:col>7</xdr:col>
                    <xdr:colOff>114300</xdr:colOff>
                    <xdr:row>49</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47D3F-C365-45E5-A802-07D48861D211}">
  <sheetPr codeName="Sheet5">
    <tabColor rgb="FFFF0000"/>
  </sheetPr>
  <dimension ref="A1:P83"/>
  <sheetViews>
    <sheetView showGridLines="0" topLeftCell="A4" zoomScaleNormal="100" workbookViewId="0">
      <selection activeCell="J15" sqref="J15"/>
    </sheetView>
  </sheetViews>
  <sheetFormatPr defaultColWidth="8.7109375" defaultRowHeight="14.25" x14ac:dyDescent="0.2"/>
  <cols>
    <col min="1" max="1" width="21.140625" style="55" customWidth="1"/>
    <col min="2" max="2" width="8.7109375" style="55"/>
    <col min="3" max="3" width="14.42578125" style="55" customWidth="1"/>
    <col min="4" max="5" width="8.7109375" style="55"/>
    <col min="6" max="6" width="13" style="55" customWidth="1"/>
    <col min="7" max="7" width="15.85546875" style="55" customWidth="1"/>
    <col min="8" max="16384" width="8.7109375" style="55"/>
  </cols>
  <sheetData>
    <row r="1" spans="1:8" ht="30" customHeight="1" x14ac:dyDescent="0.2">
      <c r="A1" s="10" t="s">
        <v>37</v>
      </c>
      <c r="B1" s="10" t="s">
        <v>49</v>
      </c>
      <c r="C1" s="1" t="s">
        <v>38</v>
      </c>
      <c r="D1" s="10" t="s">
        <v>48</v>
      </c>
      <c r="E1" s="1" t="s">
        <v>39</v>
      </c>
      <c r="F1" s="37" t="s">
        <v>8</v>
      </c>
      <c r="G1" s="1">
        <v>4</v>
      </c>
    </row>
    <row r="2" spans="1:8" x14ac:dyDescent="0.2">
      <c r="A2" s="38"/>
      <c r="B2" s="38"/>
      <c r="C2" s="38"/>
      <c r="D2" s="38"/>
      <c r="E2" s="39"/>
      <c r="F2" s="40"/>
      <c r="G2" s="40"/>
      <c r="H2" s="4"/>
    </row>
    <row r="3" spans="1:8" x14ac:dyDescent="0.2">
      <c r="A3" s="36" t="s">
        <v>36</v>
      </c>
      <c r="B3" s="33"/>
      <c r="C3" s="35" t="s">
        <v>9</v>
      </c>
      <c r="D3" s="33"/>
      <c r="E3" s="49" t="s">
        <v>10</v>
      </c>
      <c r="F3" s="3"/>
      <c r="G3" s="3"/>
      <c r="H3" s="4"/>
    </row>
    <row r="4" spans="1:8" x14ac:dyDescent="0.2">
      <c r="A4" s="41">
        <v>1</v>
      </c>
      <c r="B4" s="29"/>
      <c r="C4" s="47">
        <v>0</v>
      </c>
      <c r="D4" s="48"/>
      <c r="E4" s="47">
        <v>0</v>
      </c>
      <c r="F4" s="30"/>
      <c r="G4" s="3"/>
      <c r="H4" s="4"/>
    </row>
    <row r="5" spans="1:8" x14ac:dyDescent="0.2">
      <c r="A5" s="42">
        <v>2</v>
      </c>
      <c r="B5" s="29"/>
      <c r="C5" s="47">
        <v>0</v>
      </c>
      <c r="D5" s="48"/>
      <c r="E5" s="47">
        <v>0</v>
      </c>
      <c r="F5" s="30"/>
      <c r="G5" s="3"/>
      <c r="H5" s="4"/>
    </row>
    <row r="6" spans="1:8" x14ac:dyDescent="0.2">
      <c r="A6" s="42">
        <v>3</v>
      </c>
      <c r="B6" s="29"/>
      <c r="C6" s="47">
        <v>0</v>
      </c>
      <c r="D6" s="48"/>
      <c r="E6" s="47">
        <v>0</v>
      </c>
      <c r="F6" s="30"/>
      <c r="G6" s="3"/>
      <c r="H6" s="4"/>
    </row>
    <row r="7" spans="1:8" x14ac:dyDescent="0.2">
      <c r="A7" s="43">
        <f>A6+1</f>
        <v>4</v>
      </c>
      <c r="B7" s="29"/>
      <c r="C7" s="47">
        <v>0</v>
      </c>
      <c r="D7" s="48"/>
      <c r="E7" s="47">
        <v>0</v>
      </c>
      <c r="F7" s="30"/>
      <c r="G7" s="3"/>
      <c r="H7" s="4"/>
    </row>
    <row r="8" spans="1:8" x14ac:dyDescent="0.2">
      <c r="A8" s="3"/>
      <c r="B8" s="3"/>
      <c r="C8" s="4"/>
      <c r="D8" s="3"/>
      <c r="E8" s="3"/>
      <c r="F8" s="3"/>
      <c r="G8" s="3"/>
      <c r="H8" s="4"/>
    </row>
    <row r="9" spans="1:8" x14ac:dyDescent="0.2">
      <c r="A9" s="3"/>
      <c r="B9" s="3"/>
      <c r="C9" s="4"/>
      <c r="D9" s="3"/>
      <c r="E9" s="3"/>
      <c r="F9" s="3"/>
      <c r="G9" s="3"/>
      <c r="H9" s="4"/>
    </row>
    <row r="10" spans="1:8" ht="30" customHeight="1" x14ac:dyDescent="0.2">
      <c r="A10" s="10" t="s">
        <v>37</v>
      </c>
      <c r="B10" s="10" t="s">
        <v>49</v>
      </c>
      <c r="C10" s="1" t="s">
        <v>38</v>
      </c>
      <c r="D10" s="10" t="s">
        <v>48</v>
      </c>
      <c r="E10" s="1" t="s">
        <v>40</v>
      </c>
      <c r="F10" s="103" t="s">
        <v>8</v>
      </c>
      <c r="G10" s="3"/>
      <c r="H10" s="4"/>
    </row>
    <row r="11" spans="1:8" x14ac:dyDescent="0.2">
      <c r="A11" s="3"/>
      <c r="B11" s="3"/>
      <c r="C11" s="50"/>
      <c r="D11" s="3"/>
      <c r="E11" s="33"/>
      <c r="F11" s="33"/>
      <c r="G11" s="3"/>
      <c r="H11" s="4"/>
    </row>
    <row r="12" spans="1:8" ht="15" thickBot="1" x14ac:dyDescent="0.25">
      <c r="A12" s="51" t="s">
        <v>46</v>
      </c>
      <c r="B12" s="52" t="s">
        <v>9</v>
      </c>
      <c r="C12" s="47">
        <v>0</v>
      </c>
      <c r="D12" s="106" t="s">
        <v>10</v>
      </c>
      <c r="E12" s="31">
        <v>0</v>
      </c>
      <c r="F12" s="3"/>
      <c r="G12" s="3"/>
      <c r="H12" s="4"/>
    </row>
    <row r="13" spans="1:8" ht="15" thickBot="1" x14ac:dyDescent="0.25">
      <c r="A13" s="3" t="s">
        <v>42</v>
      </c>
      <c r="B13" s="29"/>
      <c r="C13" s="47">
        <v>0</v>
      </c>
      <c r="E13" s="111"/>
      <c r="F13" s="30"/>
      <c r="G13" s="3"/>
      <c r="H13" s="4"/>
    </row>
    <row r="14" spans="1:8" x14ac:dyDescent="0.2">
      <c r="A14" s="3" t="s">
        <v>43</v>
      </c>
      <c r="B14" s="29"/>
      <c r="C14" s="47">
        <v>0</v>
      </c>
      <c r="D14" s="30"/>
      <c r="E14" s="3"/>
      <c r="F14" s="3"/>
      <c r="G14" s="3"/>
      <c r="H14" s="3"/>
    </row>
    <row r="15" spans="1:8" x14ac:dyDescent="0.2">
      <c r="A15" s="4"/>
      <c r="B15" s="4"/>
      <c r="C15" s="4"/>
      <c r="D15" s="3"/>
      <c r="E15" s="3"/>
      <c r="F15" s="3"/>
      <c r="G15" s="3"/>
      <c r="H15" s="3"/>
    </row>
    <row r="16" spans="1:8" x14ac:dyDescent="0.2">
      <c r="A16" s="4"/>
      <c r="B16" s="4"/>
      <c r="C16" s="4"/>
      <c r="D16" s="4"/>
      <c r="E16" s="4"/>
      <c r="F16" s="3"/>
      <c r="G16" s="3"/>
      <c r="H16" s="3"/>
    </row>
    <row r="17" spans="1:8" x14ac:dyDescent="0.2">
      <c r="A17" s="105" t="s">
        <v>37</v>
      </c>
      <c r="B17" s="34" t="s">
        <v>38</v>
      </c>
      <c r="C17" s="34" t="s">
        <v>53</v>
      </c>
      <c r="D17" s="3"/>
      <c r="E17" s="3"/>
      <c r="F17" s="3" t="s">
        <v>8</v>
      </c>
      <c r="G17" s="3"/>
      <c r="H17" s="34"/>
    </row>
    <row r="18" spans="1:8" x14ac:dyDescent="0.2">
      <c r="A18" s="3"/>
      <c r="B18" s="3"/>
      <c r="C18" s="3"/>
      <c r="D18" s="3"/>
      <c r="E18" s="33"/>
      <c r="F18" s="33"/>
      <c r="G18" s="3"/>
      <c r="H18" s="4"/>
    </row>
    <row r="19" spans="1:8" x14ac:dyDescent="0.2">
      <c r="A19" s="105" t="s">
        <v>41</v>
      </c>
      <c r="B19" s="105" t="s">
        <v>9</v>
      </c>
      <c r="C19" s="31">
        <v>0</v>
      </c>
      <c r="D19" s="105" t="s">
        <v>10</v>
      </c>
      <c r="E19" s="31">
        <v>0</v>
      </c>
      <c r="F19" s="3"/>
      <c r="G19" s="3"/>
      <c r="H19" s="4"/>
    </row>
    <row r="20" spans="1:8" x14ac:dyDescent="0.2">
      <c r="A20" s="105" t="s">
        <v>42</v>
      </c>
      <c r="B20" s="105"/>
      <c r="C20" s="31">
        <v>0</v>
      </c>
      <c r="E20" s="3"/>
      <c r="F20" s="3"/>
      <c r="G20" s="4"/>
      <c r="H20" s="4"/>
    </row>
    <row r="21" spans="1:8" x14ac:dyDescent="0.2">
      <c r="A21" s="105" t="s">
        <v>43</v>
      </c>
      <c r="B21" s="105"/>
      <c r="C21" s="32">
        <v>0</v>
      </c>
      <c r="D21" s="3"/>
      <c r="E21" s="3"/>
      <c r="F21" s="3"/>
      <c r="G21" s="4"/>
      <c r="H21" s="4"/>
    </row>
    <row r="22" spans="1:8" x14ac:dyDescent="0.2">
      <c r="A22" s="105" t="s">
        <v>44</v>
      </c>
      <c r="B22" s="105"/>
      <c r="C22" s="32">
        <v>0</v>
      </c>
      <c r="D22" s="208" t="s">
        <v>47</v>
      </c>
      <c r="E22" s="209"/>
      <c r="F22" s="209"/>
      <c r="G22" s="210"/>
      <c r="H22" s="4"/>
    </row>
    <row r="23" spans="1:8" x14ac:dyDescent="0.2">
      <c r="A23" s="105" t="s">
        <v>45</v>
      </c>
      <c r="B23" s="105"/>
      <c r="C23" s="32">
        <v>0</v>
      </c>
      <c r="D23" s="211"/>
      <c r="E23" s="212"/>
      <c r="F23" s="212"/>
      <c r="G23" s="213"/>
      <c r="H23" s="4"/>
    </row>
    <row r="24" spans="1:8" x14ac:dyDescent="0.2">
      <c r="A24" s="105"/>
      <c r="B24" s="105"/>
      <c r="C24" s="105"/>
      <c r="D24" s="105"/>
      <c r="E24" s="105"/>
      <c r="F24" s="105"/>
      <c r="G24" s="105"/>
      <c r="H24" s="105"/>
    </row>
    <row r="25" spans="1:8" ht="15" x14ac:dyDescent="0.25">
      <c r="A25" s="112" t="s">
        <v>108</v>
      </c>
      <c r="B25" s="105"/>
      <c r="C25" s="105"/>
      <c r="D25" s="105"/>
      <c r="E25" s="105"/>
      <c r="F25" s="105"/>
      <c r="G25" s="105"/>
      <c r="H25" s="105"/>
    </row>
    <row r="26" spans="1:8" ht="15" x14ac:dyDescent="0.25">
      <c r="A26" s="214"/>
      <c r="B26" s="215"/>
      <c r="C26" s="215"/>
      <c r="D26" s="215"/>
      <c r="E26" s="216"/>
      <c r="F26" s="4"/>
      <c r="G26" s="4"/>
      <c r="H26" s="4"/>
    </row>
    <row r="27" spans="1:8" x14ac:dyDescent="0.2">
      <c r="A27" s="4"/>
      <c r="B27" s="4"/>
      <c r="C27" s="4"/>
      <c r="D27" s="4"/>
      <c r="E27" s="4"/>
      <c r="F27" s="4"/>
      <c r="G27" s="4"/>
      <c r="H27" s="4"/>
    </row>
    <row r="28" spans="1:8" ht="42.75" customHeight="1" x14ac:dyDescent="0.2">
      <c r="A28" s="178" t="s">
        <v>109</v>
      </c>
      <c r="B28" s="179"/>
      <c r="C28" s="115" t="s">
        <v>141</v>
      </c>
      <c r="D28" s="4"/>
      <c r="E28" s="4"/>
      <c r="F28" s="4"/>
      <c r="G28" s="4"/>
      <c r="H28" s="4"/>
    </row>
    <row r="29" spans="1:8" x14ac:dyDescent="0.2">
      <c r="D29" s="4"/>
      <c r="E29" s="4"/>
      <c r="F29" s="4"/>
      <c r="G29" s="4"/>
      <c r="H29" s="4"/>
    </row>
    <row r="30" spans="1:8" x14ac:dyDescent="0.2">
      <c r="A30" s="180" t="s">
        <v>82</v>
      </c>
      <c r="B30" s="181"/>
      <c r="C30" s="5" t="s">
        <v>77</v>
      </c>
      <c r="D30" s="4"/>
      <c r="E30" s="4"/>
      <c r="F30" s="4"/>
      <c r="G30" s="4"/>
      <c r="H30" s="4"/>
    </row>
    <row r="31" spans="1:8" x14ac:dyDescent="0.2">
      <c r="A31" s="4"/>
      <c r="B31" s="4"/>
      <c r="C31" s="4"/>
      <c r="D31" s="4"/>
      <c r="E31" s="4"/>
      <c r="F31" s="4"/>
      <c r="G31" s="4"/>
      <c r="H31" s="4"/>
    </row>
    <row r="32" spans="1:8" x14ac:dyDescent="0.2">
      <c r="A32" s="180" t="s">
        <v>92</v>
      </c>
      <c r="B32" s="181"/>
      <c r="C32" s="5" t="s">
        <v>129</v>
      </c>
      <c r="D32" s="4"/>
      <c r="E32" s="4"/>
      <c r="F32" s="4"/>
      <c r="G32" s="4"/>
      <c r="H32" s="4"/>
    </row>
    <row r="33" spans="1:16" x14ac:dyDescent="0.2">
      <c r="A33" s="4"/>
      <c r="B33" s="4"/>
      <c r="C33" s="4"/>
      <c r="D33" s="4"/>
      <c r="E33" s="4"/>
      <c r="F33" s="4"/>
      <c r="G33" s="4"/>
      <c r="H33" s="4"/>
    </row>
    <row r="34" spans="1:16" ht="14.1" customHeight="1" x14ac:dyDescent="0.2">
      <c r="A34" s="180" t="s">
        <v>81</v>
      </c>
      <c r="B34" s="181"/>
      <c r="C34" s="109">
        <v>1</v>
      </c>
      <c r="D34" s="4"/>
      <c r="E34" s="4"/>
      <c r="F34" s="4"/>
      <c r="G34" s="4"/>
      <c r="H34" s="4"/>
    </row>
    <row r="35" spans="1:16" x14ac:dyDescent="0.2">
      <c r="A35" s="4"/>
      <c r="B35" s="4"/>
      <c r="C35" s="105" t="s">
        <v>80</v>
      </c>
      <c r="D35" s="4"/>
      <c r="E35" s="4"/>
      <c r="F35" s="4"/>
      <c r="G35" s="4"/>
      <c r="H35" s="4"/>
      <c r="I35" s="4"/>
    </row>
    <row r="36" spans="1:16" x14ac:dyDescent="0.2">
      <c r="A36" s="4"/>
      <c r="B36" s="4"/>
      <c r="C36" s="8">
        <v>0</v>
      </c>
      <c r="D36" s="4"/>
      <c r="E36" s="4"/>
      <c r="F36" s="4"/>
      <c r="G36" s="4"/>
      <c r="H36" s="4"/>
    </row>
    <row r="37" spans="1:16" x14ac:dyDescent="0.2">
      <c r="D37" s="4"/>
      <c r="E37" s="4"/>
      <c r="F37" s="4"/>
      <c r="G37" s="4"/>
      <c r="H37" s="4"/>
    </row>
    <row r="38" spans="1:16" ht="15" x14ac:dyDescent="0.25">
      <c r="A38" s="112" t="s">
        <v>93</v>
      </c>
      <c r="D38" s="4"/>
      <c r="E38" s="4"/>
      <c r="N38" s="4"/>
      <c r="O38" s="4"/>
      <c r="P38" s="4"/>
    </row>
    <row r="39" spans="1:16" x14ac:dyDescent="0.2">
      <c r="D39" s="4"/>
      <c r="E39" s="4"/>
      <c r="N39" s="4"/>
      <c r="O39" s="4"/>
      <c r="P39" s="4"/>
    </row>
    <row r="40" spans="1:16" ht="27.95" customHeight="1" x14ac:dyDescent="0.2">
      <c r="A40" s="178" t="s">
        <v>109</v>
      </c>
      <c r="B40" s="179"/>
      <c r="C40" s="115" t="s">
        <v>141</v>
      </c>
      <c r="D40" s="113"/>
      <c r="E40" s="4"/>
      <c r="I40" s="4"/>
      <c r="J40" s="4"/>
    </row>
    <row r="41" spans="1:16" x14ac:dyDescent="0.2">
      <c r="D41" s="4"/>
      <c r="E41" s="4"/>
    </row>
    <row r="42" spans="1:16" x14ac:dyDescent="0.2">
      <c r="A42" s="180" t="s">
        <v>82</v>
      </c>
      <c r="B42" s="181"/>
      <c r="C42" s="5" t="s">
        <v>77</v>
      </c>
      <c r="E42" s="4"/>
    </row>
    <row r="43" spans="1:16" x14ac:dyDescent="0.2">
      <c r="A43" s="4"/>
      <c r="B43" s="4"/>
      <c r="C43" s="4"/>
      <c r="D43" s="4"/>
      <c r="E43" s="4"/>
      <c r="F43" s="4"/>
      <c r="G43" s="4"/>
      <c r="H43" s="4"/>
    </row>
    <row r="44" spans="1:16" x14ac:dyDescent="0.2">
      <c r="A44" s="180" t="s">
        <v>92</v>
      </c>
      <c r="B44" s="181"/>
      <c r="C44" s="5" t="s">
        <v>129</v>
      </c>
      <c r="D44" s="4"/>
      <c r="E44" s="4"/>
      <c r="F44" s="4"/>
      <c r="G44" s="4"/>
      <c r="H44" s="4"/>
    </row>
    <row r="45" spans="1:16" x14ac:dyDescent="0.2">
      <c r="A45" s="134"/>
      <c r="B45" s="135"/>
      <c r="C45" s="136"/>
      <c r="D45" s="4"/>
      <c r="E45" s="4"/>
      <c r="F45" s="4"/>
      <c r="G45" s="4"/>
      <c r="H45" s="4"/>
    </row>
    <row r="46" spans="1:16" x14ac:dyDescent="0.2">
      <c r="A46" s="180" t="s">
        <v>52</v>
      </c>
      <c r="B46" s="181"/>
      <c r="C46" s="8">
        <v>0</v>
      </c>
      <c r="D46" s="4"/>
      <c r="E46" s="4"/>
      <c r="F46" s="4"/>
      <c r="G46" s="4"/>
      <c r="H46" s="4"/>
    </row>
    <row r="47" spans="1:16" x14ac:dyDescent="0.2">
      <c r="D47" s="4"/>
      <c r="E47" s="4"/>
      <c r="F47" s="4"/>
      <c r="G47" s="4"/>
      <c r="H47" s="4"/>
    </row>
    <row r="48" spans="1:16" x14ac:dyDescent="0.2">
      <c r="D48" s="4"/>
      <c r="E48" s="4"/>
      <c r="F48" s="4"/>
      <c r="G48" s="4"/>
      <c r="H48" s="4"/>
    </row>
    <row r="49" spans="1:9" x14ac:dyDescent="0.2">
      <c r="D49" s="4"/>
      <c r="E49" s="4"/>
      <c r="F49" s="4"/>
      <c r="G49" s="4"/>
      <c r="H49" s="4"/>
    </row>
    <row r="50" spans="1:9" ht="15" x14ac:dyDescent="0.25">
      <c r="A50" s="112" t="s">
        <v>83</v>
      </c>
      <c r="E50" s="4"/>
      <c r="F50" s="4"/>
      <c r="G50" s="4"/>
      <c r="H50" s="4"/>
    </row>
    <row r="51" spans="1:9" x14ac:dyDescent="0.2">
      <c r="A51" s="4"/>
      <c r="B51" s="4"/>
      <c r="C51" s="4"/>
      <c r="D51" s="4"/>
      <c r="E51" s="4"/>
      <c r="F51" s="4"/>
      <c r="G51" s="4"/>
      <c r="H51" s="4"/>
    </row>
    <row r="52" spans="1:9" x14ac:dyDescent="0.2">
      <c r="A52" s="180" t="s">
        <v>79</v>
      </c>
      <c r="B52" s="181"/>
      <c r="C52" s="109">
        <v>1</v>
      </c>
      <c r="D52" s="70"/>
      <c r="E52" s="4"/>
      <c r="F52" s="4"/>
      <c r="G52" s="4"/>
      <c r="H52" s="4"/>
    </row>
    <row r="53" spans="1:9" x14ac:dyDescent="0.2">
      <c r="A53" s="70"/>
      <c r="B53" s="4"/>
      <c r="C53" s="4"/>
      <c r="D53" s="4"/>
      <c r="E53" s="4"/>
      <c r="F53" s="4"/>
      <c r="G53" s="4"/>
      <c r="H53" s="4"/>
    </row>
    <row r="54" spans="1:9" x14ac:dyDescent="0.2">
      <c r="A54" s="36" t="s">
        <v>126</v>
      </c>
      <c r="B54" s="3"/>
      <c r="C54" s="107" t="s">
        <v>102</v>
      </c>
      <c r="D54" s="46"/>
      <c r="E54" s="108" t="s">
        <v>103</v>
      </c>
      <c r="F54" s="3"/>
      <c r="G54" s="3"/>
      <c r="H54" s="4"/>
    </row>
    <row r="55" spans="1:9" x14ac:dyDescent="0.2">
      <c r="A55" s="45" t="s">
        <v>78</v>
      </c>
      <c r="B55" s="3"/>
      <c r="C55" s="44">
        <v>0</v>
      </c>
      <c r="D55" s="4"/>
      <c r="E55" s="68">
        <v>0</v>
      </c>
      <c r="F55" s="46"/>
      <c r="G55" s="46"/>
      <c r="H55" s="4"/>
    </row>
    <row r="56" spans="1:9" x14ac:dyDescent="0.2">
      <c r="A56" s="4"/>
      <c r="B56" s="4"/>
      <c r="C56" s="4"/>
      <c r="D56" s="4"/>
      <c r="E56" s="4"/>
      <c r="F56" s="4"/>
      <c r="H56" s="4"/>
    </row>
    <row r="57" spans="1:9" ht="15" x14ac:dyDescent="0.25">
      <c r="A57" s="112" t="s">
        <v>84</v>
      </c>
      <c r="B57" s="114"/>
      <c r="C57" s="114"/>
      <c r="D57" s="4"/>
      <c r="E57" s="4"/>
      <c r="F57" s="4"/>
      <c r="G57" s="4"/>
      <c r="H57" s="4"/>
    </row>
    <row r="58" spans="1:9" x14ac:dyDescent="0.2">
      <c r="A58" s="4"/>
      <c r="B58" s="4"/>
      <c r="C58" s="4"/>
      <c r="D58" s="4"/>
      <c r="E58" s="4"/>
      <c r="F58" s="4"/>
      <c r="G58" s="4"/>
      <c r="H58" s="4"/>
    </row>
    <row r="59" spans="1:9" x14ac:dyDescent="0.2">
      <c r="A59" s="180" t="s">
        <v>79</v>
      </c>
      <c r="B59" s="181"/>
      <c r="C59" s="109">
        <v>1</v>
      </c>
      <c r="D59" s="71"/>
      <c r="E59" s="71"/>
      <c r="F59" s="71"/>
      <c r="G59" s="71"/>
      <c r="H59" s="71"/>
    </row>
    <row r="60" spans="1:9" x14ac:dyDescent="0.2">
      <c r="A60" s="206"/>
      <c r="B60" s="207"/>
      <c r="C60" s="4"/>
      <c r="D60" s="71"/>
      <c r="E60" s="71"/>
      <c r="F60" s="71"/>
      <c r="G60" s="71"/>
      <c r="H60" s="71"/>
      <c r="I60" s="4"/>
    </row>
    <row r="61" spans="1:9" x14ac:dyDescent="0.2">
      <c r="A61" s="36" t="s">
        <v>126</v>
      </c>
      <c r="B61" s="3"/>
      <c r="C61" s="107" t="s">
        <v>102</v>
      </c>
      <c r="D61" s="3"/>
      <c r="E61" s="108" t="s">
        <v>104</v>
      </c>
      <c r="F61" s="46"/>
      <c r="G61" s="108" t="s">
        <v>105</v>
      </c>
      <c r="H61" s="105" t="s">
        <v>80</v>
      </c>
    </row>
    <row r="62" spans="1:9" x14ac:dyDescent="0.2">
      <c r="A62" s="45" t="s">
        <v>78</v>
      </c>
      <c r="B62" s="3"/>
      <c r="C62" s="44">
        <v>0</v>
      </c>
      <c r="D62" s="46"/>
      <c r="E62" s="68">
        <v>0</v>
      </c>
      <c r="F62" s="4"/>
      <c r="G62" s="68">
        <v>0</v>
      </c>
      <c r="H62" s="69" t="str">
        <f>IF(AND(E62=0,G62=0),"",IF(E62=0, G62/ABS(G62)*90, IF(ROUND(DEGREES(ATAN(G62/E62)),1)&gt;0, 180-DEGREES(ATAN(G62/E62)), ABS(DEGREES(ATAN(G62/E62))))))</f>
        <v/>
      </c>
    </row>
    <row r="63" spans="1:9" x14ac:dyDescent="0.2">
      <c r="A63" s="4"/>
      <c r="B63" s="4"/>
      <c r="C63" s="4"/>
      <c r="D63" s="4"/>
      <c r="E63" s="4"/>
      <c r="F63" s="4"/>
      <c r="G63" s="4"/>
      <c r="H63" s="4"/>
    </row>
    <row r="64" spans="1:9" x14ac:dyDescent="0.2">
      <c r="A64" s="3"/>
      <c r="B64" s="3"/>
      <c r="C64" s="4"/>
      <c r="D64" s="3"/>
      <c r="E64" s="3"/>
      <c r="F64" s="4"/>
      <c r="G64" s="3"/>
      <c r="H64" s="3"/>
    </row>
    <row r="65" spans="1:8" x14ac:dyDescent="0.2">
      <c r="A65" s="4"/>
      <c r="B65" s="4"/>
      <c r="C65" s="4"/>
      <c r="D65" s="4"/>
      <c r="E65" s="4"/>
      <c r="F65" s="4"/>
      <c r="G65" s="4"/>
      <c r="H65" s="4"/>
    </row>
    <row r="66" spans="1:8" x14ac:dyDescent="0.2">
      <c r="A66" s="110">
        <v>1</v>
      </c>
      <c r="B66" s="4"/>
      <c r="C66" s="123">
        <v>0</v>
      </c>
      <c r="D66" s="4"/>
      <c r="E66" s="123">
        <v>0</v>
      </c>
      <c r="F66" s="4"/>
      <c r="G66" s="2">
        <v>12</v>
      </c>
    </row>
    <row r="67" spans="1:8" x14ac:dyDescent="0.2">
      <c r="A67" s="4"/>
      <c r="B67" s="4"/>
      <c r="C67" s="4"/>
      <c r="D67" s="4"/>
      <c r="E67" s="4"/>
      <c r="F67" s="4"/>
      <c r="G67" s="4"/>
      <c r="H67" s="4"/>
    </row>
    <row r="68" spans="1:8" x14ac:dyDescent="0.2">
      <c r="A68" s="4"/>
      <c r="B68" s="4"/>
      <c r="C68" s="4"/>
      <c r="D68" s="4"/>
      <c r="E68" s="4"/>
      <c r="F68" s="4"/>
      <c r="G68" s="4"/>
      <c r="H68" s="4"/>
    </row>
    <row r="69" spans="1:8" x14ac:dyDescent="0.2">
      <c r="A69" s="110">
        <v>1</v>
      </c>
      <c r="B69" s="4"/>
      <c r="C69" s="123">
        <v>0</v>
      </c>
      <c r="D69" s="4"/>
      <c r="E69" s="123">
        <v>0</v>
      </c>
      <c r="F69" s="4"/>
      <c r="G69" s="2">
        <v>1</v>
      </c>
    </row>
    <row r="70" spans="1:8" x14ac:dyDescent="0.2">
      <c r="A70" s="105"/>
      <c r="B70" s="105"/>
      <c r="C70" s="105"/>
      <c r="D70" s="105"/>
      <c r="E70" s="105"/>
      <c r="F70" s="105"/>
      <c r="G70" s="105"/>
      <c r="H70" s="105"/>
    </row>
    <row r="71" spans="1:8" x14ac:dyDescent="0.2">
      <c r="A71" s="105"/>
      <c r="B71" s="105"/>
      <c r="C71" s="105"/>
      <c r="D71" s="105"/>
      <c r="E71" s="105"/>
      <c r="F71" s="105"/>
      <c r="G71" s="105"/>
      <c r="H71" s="105"/>
    </row>
    <row r="72" spans="1:8" x14ac:dyDescent="0.2">
      <c r="A72" s="4"/>
      <c r="B72" s="4"/>
      <c r="C72" s="4"/>
      <c r="D72" s="4"/>
      <c r="E72" s="4"/>
      <c r="F72" s="4"/>
      <c r="G72" s="4"/>
      <c r="H72" s="4"/>
    </row>
    <row r="73" spans="1:8" x14ac:dyDescent="0.2">
      <c r="A73" s="4"/>
      <c r="B73" s="4"/>
      <c r="C73" s="4"/>
      <c r="D73" s="4"/>
      <c r="E73" s="4"/>
      <c r="F73" s="4"/>
      <c r="G73" s="4"/>
      <c r="H73" s="4"/>
    </row>
    <row r="74" spans="1:8" x14ac:dyDescent="0.2">
      <c r="A74" s="4"/>
      <c r="B74" s="4"/>
      <c r="C74" s="4"/>
      <c r="D74" s="4"/>
      <c r="E74" s="4"/>
      <c r="F74" s="4"/>
      <c r="G74" s="4"/>
      <c r="H74" s="4"/>
    </row>
    <row r="75" spans="1:8" x14ac:dyDescent="0.2">
      <c r="A75" s="4"/>
      <c r="B75" s="4"/>
      <c r="C75" s="4"/>
      <c r="D75" s="4"/>
      <c r="E75" s="4"/>
      <c r="F75" s="4"/>
      <c r="G75" s="4"/>
      <c r="H75" s="4"/>
    </row>
    <row r="76" spans="1:8" x14ac:dyDescent="0.2">
      <c r="A76" s="4"/>
      <c r="B76" s="4"/>
      <c r="C76" s="4"/>
      <c r="D76" s="4"/>
      <c r="E76" s="4"/>
      <c r="F76" s="4"/>
      <c r="G76" s="4"/>
      <c r="H76" s="4"/>
    </row>
    <row r="77" spans="1:8" x14ac:dyDescent="0.2">
      <c r="A77" s="4"/>
      <c r="B77" s="4"/>
      <c r="C77" s="4"/>
      <c r="D77" s="4"/>
      <c r="E77" s="4"/>
      <c r="F77" s="4"/>
      <c r="G77" s="4"/>
      <c r="H77" s="4"/>
    </row>
    <row r="78" spans="1:8" x14ac:dyDescent="0.2">
      <c r="A78" s="4"/>
      <c r="B78" s="4"/>
      <c r="C78" s="4"/>
      <c r="D78" s="4"/>
      <c r="E78" s="4"/>
      <c r="F78" s="4"/>
      <c r="G78" s="4"/>
      <c r="H78" s="4"/>
    </row>
    <row r="79" spans="1:8" x14ac:dyDescent="0.2">
      <c r="A79" s="4"/>
      <c r="B79" s="4"/>
      <c r="C79" s="4"/>
      <c r="D79" s="4"/>
      <c r="E79" s="4"/>
      <c r="F79" s="4"/>
      <c r="G79" s="4"/>
      <c r="H79" s="4"/>
    </row>
    <row r="80" spans="1:8" x14ac:dyDescent="0.2">
      <c r="A80" s="4"/>
      <c r="B80" s="4"/>
      <c r="C80" s="4"/>
      <c r="D80" s="4"/>
      <c r="E80" s="4"/>
      <c r="F80" s="4"/>
      <c r="G80" s="4"/>
      <c r="H80" s="4"/>
    </row>
    <row r="81" spans="1:8" x14ac:dyDescent="0.2">
      <c r="A81" s="4"/>
      <c r="B81" s="4"/>
      <c r="C81" s="4"/>
      <c r="D81" s="4"/>
      <c r="E81" s="4"/>
      <c r="F81" s="4"/>
      <c r="G81" s="4"/>
      <c r="H81" s="4"/>
    </row>
    <row r="82" spans="1:8" x14ac:dyDescent="0.2">
      <c r="A82" s="4"/>
      <c r="B82" s="4"/>
      <c r="C82" s="4"/>
      <c r="D82" s="4"/>
      <c r="E82" s="4"/>
      <c r="F82" s="4"/>
      <c r="G82" s="4"/>
      <c r="H82" s="4"/>
    </row>
    <row r="83" spans="1:8" x14ac:dyDescent="0.2">
      <c r="A83" s="4"/>
      <c r="B83" s="4"/>
      <c r="C83" s="4"/>
      <c r="D83" s="4"/>
      <c r="E83" s="4"/>
      <c r="F83" s="4"/>
      <c r="G83" s="4"/>
      <c r="H83" s="4"/>
    </row>
  </sheetData>
  <mergeCells count="13">
    <mergeCell ref="A40:B40"/>
    <mergeCell ref="A52:B52"/>
    <mergeCell ref="A59:B59"/>
    <mergeCell ref="A60:B60"/>
    <mergeCell ref="D22:G23"/>
    <mergeCell ref="A26:E26"/>
    <mergeCell ref="A28:B28"/>
    <mergeCell ref="A30:B30"/>
    <mergeCell ref="A42:B42"/>
    <mergeCell ref="A44:B44"/>
    <mergeCell ref="A32:B32"/>
    <mergeCell ref="A34:B34"/>
    <mergeCell ref="A46:B46"/>
  </mergeCells>
  <dataValidations count="16">
    <dataValidation type="whole" allowBlank="1" showInputMessage="1" showErrorMessage="1" errorTitle="Error" error="El número de nodos debe estar comprendido entre 1 y 500" sqref="A4:A7 G10" xr:uid="{32D64FBA-B40B-413A-8B29-90B6044FEBCD}">
      <formula1>1</formula1>
      <formula2>500</formula2>
    </dataValidation>
    <dataValidation type="list" allowBlank="1" showInputMessage="1" showErrorMessage="1" sqref="C1 B17 C10" xr:uid="{82BD09D8-0305-4931-AB32-B55F81757ABA}">
      <formula1>"Positivo, Negativo"</formula1>
    </dataValidation>
    <dataValidation type="list" allowBlank="1" showInputMessage="1" showErrorMessage="1" sqref="E10 E1" xr:uid="{DC5F1A77-3B5A-4942-A5AD-9CF2F9DEEB24}">
      <formula1>"Poligonal, Circular"</formula1>
    </dataValidation>
    <dataValidation allowBlank="1" showInputMessage="1" showErrorMessage="1" errorTitle="Error" error="El número de nodos debe estar comprendido entre 1 y 500" sqref="A55 A62" xr:uid="{709CA49A-7201-4765-BDBC-57ED9688C0D6}"/>
    <dataValidation type="list" allowBlank="1" showInputMessage="1" showErrorMessage="1" sqref="C17" xr:uid="{4946371A-90E5-451E-B9A0-F4BE28F4FC03}">
      <formula1>"Poligonal, Circular, Región Circular"</formula1>
    </dataValidation>
    <dataValidation type="whole" operator="greaterThanOrEqual" allowBlank="1" showInputMessage="1" showErrorMessage="1" errorTitle="Error" error="El número de nodos debe ser mayor a 3." sqref="G1" xr:uid="{292CEF3F-18CD-41C4-91C9-F76F5248B6ED}">
      <formula1>3</formula1>
    </dataValidation>
    <dataValidation type="decimal" operator="greaterThanOrEqual" allowBlank="1" showInputMessage="1" showErrorMessage="1" errorTitle="Error en ingreso de radio." error="Los radios deben ser valores positivos." sqref="C13:C14" xr:uid="{6DF11B6B-7D9B-44C5-8B0E-E3C11D02DC2E}">
      <formula1>0</formula1>
    </dataValidation>
    <dataValidation type="list" allowBlank="1" showInputMessage="1" showErrorMessage="1" error="Por favor, ingrese únicamente los valores predeterminados." sqref="C42 C30" xr:uid="{8B27F687-FE2F-4124-9E9F-C509423B7EFF}">
      <formula1>"No, Sí"</formula1>
    </dataValidation>
    <dataValidation type="whole" allowBlank="1" showInputMessage="1" showErrorMessage="1" errorTitle="Error" error="El valor debe estar comprendido entre 0 y 500" sqref="C34" xr:uid="{C7E5AD5F-C231-45CC-A869-DEFE317394F0}">
      <formula1>0</formula1>
      <formula2>500</formula2>
    </dataValidation>
    <dataValidation type="whole" allowBlank="1" showInputMessage="1" showErrorMessage="1" errorTitle="Error" error="El valor debe estar comprendido entre 1 y 500" sqref="C52" xr:uid="{3161AF10-C52D-40DF-ACB3-D11DABEBC89D}">
      <formula1>1</formula1>
      <formula2>500</formula2>
    </dataValidation>
    <dataValidation type="list" allowBlank="1" showInputMessage="1" showErrorMessage="1" sqref="C44 C32" xr:uid="{F28FE137-D8AB-4946-A0B9-6D6FE232AAA8}">
      <formula1>"Sí, No"</formula1>
    </dataValidation>
    <dataValidation allowBlank="1" showInputMessage="1" showErrorMessage="1" errorTitle="ERROR" error="El ángulo de inclinación del plano de carga debe estar comprendido entre -90º y 90º" sqref="C62" xr:uid="{829979DD-6B66-4521-9312-6217A4D2742D}"/>
    <dataValidation type="whole" allowBlank="1" showInputMessage="1" showErrorMessage="1" errorTitle="Error" error="El número de barras debe estar comprendido entre 1 y 500" sqref="A66 A69" xr:uid="{5B600BDD-AD66-43E7-AF1E-F8B692F9E088}">
      <formula1>1</formula1>
      <formula2>500</formula2>
    </dataValidation>
    <dataValidation type="decimal" allowBlank="1" showInputMessage="1" showErrorMessage="1" errorTitle="ERROR" error="El ángulo de inclinación del plano de carga debe estar comprendido entre 0º y 180º" sqref="C36 C46" xr:uid="{BDAA3E8F-EDDB-4149-ADF1-E8D0ADC849D9}">
      <formula1>0</formula1>
      <formula2>180</formula2>
    </dataValidation>
    <dataValidation type="whole" allowBlank="1" showInputMessage="1" showErrorMessage="1" errorTitle="Error" error="El valor debe estar comprendido entre 1 y 500._x000a_Si no quiere ingresar estados, por favor tildar 'No' en la celda Verificación de Estados que se encuentra arriba." sqref="C59" xr:uid="{3A70F971-A46F-4231-8434-74ED4AE29C28}">
      <formula1>1</formula1>
      <formula2>500</formula2>
    </dataValidation>
    <dataValidation type="list" allowBlank="1" error="Por favor, ingrese únicamente los valores predeterminados." prompt="Ingresar valor" sqref="C28 C40" xr:uid="{4F63C8A3-681B-4DB5-85A9-01D15918C443}">
      <formula1>"Según CIRSOC 201-2005, Según CIRSOC 201-2024, Constante. Ingresar en Celda."</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Instrucciones</vt:lpstr>
      <vt:lpstr>Ingreso de Datos</vt:lpstr>
      <vt:lpstr>Armaduras Pasivas</vt:lpstr>
      <vt:lpstr>Armaduras Activas</vt:lpstr>
      <vt:lpstr>Resultados 2D</vt:lpstr>
      <vt:lpstr>Resultados 3D</vt:lpstr>
      <vt:lpstr>BACKUP Ingreso de Datos</vt:lpstr>
      <vt:lpstr>AUX</vt:lpstr>
      <vt:lpstr>'Resultados 2D'!Print_Area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ACSAHE</dc:title>
  <dc:creator>Facundo L. Pfeffer</dc:creator>
  <cp:lastModifiedBy>Facundo L. Pfeffer</cp:lastModifiedBy>
  <dcterms:created xsi:type="dcterms:W3CDTF">2023-04-14T12:25:15Z</dcterms:created>
  <dcterms:modified xsi:type="dcterms:W3CDTF">2025-05-03T21:30:48Z</dcterms:modified>
</cp:coreProperties>
</file>