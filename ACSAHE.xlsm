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G:\Other computers\My Computer (1)\PC Facundo L Pfeffer - Drive Backup\Ingeniería Civil\03 - Investigaciones\01 - Automatización de Diagramas de Interacción\01 - Archivos\ACSAHE\"/>
    </mc:Choice>
  </mc:AlternateContent>
  <xr:revisionPtr revIDLastSave="0" documentId="13_ncr:1_{17EFA6DC-A376-4732-A5E3-F0EE67763DB4}" xr6:coauthVersionLast="47" xr6:coauthVersionMax="47" xr10:uidLastSave="{00000000-0000-0000-0000-000000000000}"/>
  <bookViews>
    <workbookView xWindow="-110" yWindow="-110" windowWidth="19420" windowHeight="10300" firstSheet="3" activeTab="3" xr2:uid="{6C1792F0-6D7B-40E4-BF39-E06A9BBFB0A4}"/>
  </bookViews>
  <sheets>
    <sheet name="Instrucciones" sheetId="12" r:id="rId1"/>
    <sheet name="Ingreso de Datos" sheetId="1" r:id="rId2"/>
    <sheet name="Armaduras Pasivas" sheetId="3" r:id="rId3"/>
    <sheet name="Armaduras Activas" sheetId="4" r:id="rId4"/>
    <sheet name="Resultados 2D" sheetId="7" state="hidden" r:id="rId5"/>
    <sheet name="Resultados 3D" sheetId="13" state="hidden" r:id="rId6"/>
    <sheet name="BACKUP Ingreso de Datos" sheetId="11" state="hidden" r:id="rId7"/>
    <sheet name="AUX" sheetId="5" state="hidden" r:id="rId8"/>
  </sheets>
  <functionGroups builtInGroupCount="19"/>
  <definedNames>
    <definedName name="INTERACCIÓN" localSheetId="4">'Resultados 2D'!#REF!</definedName>
    <definedName name="_xlnm.Print_Area" localSheetId="4">'Resultados 2D'!$A$1:$G$50</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2" i="1" l="1"/>
  <c r="A22" i="11" l="1"/>
  <c r="AH3" i="4"/>
  <c r="AH4" i="4"/>
  <c r="AH5" i="4"/>
  <c r="AH6" i="4"/>
  <c r="AH7" i="4"/>
  <c r="AH8" i="4"/>
  <c r="AH9" i="4"/>
  <c r="AH10" i="4"/>
  <c r="AH11" i="4"/>
  <c r="AH12" i="4"/>
  <c r="AH13" i="4"/>
  <c r="AH14" i="4"/>
  <c r="AH15" i="4"/>
  <c r="AH16" i="4"/>
  <c r="AH17" i="4"/>
  <c r="AH1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62" i="4"/>
  <c r="AH63" i="4"/>
  <c r="AH64" i="4"/>
  <c r="AH65" i="4"/>
  <c r="AH66" i="4"/>
  <c r="AH67" i="4"/>
  <c r="AH68" i="4"/>
  <c r="AH69" i="4"/>
  <c r="AH70" i="4"/>
  <c r="AH71" i="4"/>
  <c r="AH72" i="4"/>
  <c r="AH73" i="4"/>
  <c r="AH74" i="4"/>
  <c r="AH75" i="4"/>
  <c r="AH76" i="4"/>
  <c r="AH77" i="4"/>
  <c r="AH78" i="4"/>
  <c r="AH79" i="4"/>
  <c r="AH80" i="4"/>
  <c r="AH81" i="4"/>
  <c r="AH82" i="4"/>
  <c r="AH83" i="4"/>
  <c r="AH84" i="4"/>
  <c r="AH85" i="4"/>
  <c r="AH86" i="4"/>
  <c r="AH87" i="4"/>
  <c r="AH88" i="4"/>
  <c r="AH89" i="4"/>
  <c r="AH90" i="4"/>
  <c r="AH91" i="4"/>
  <c r="AH92" i="4"/>
  <c r="AH93" i="4"/>
  <c r="AH94" i="4"/>
  <c r="AH95" i="4"/>
  <c r="AH96" i="4"/>
  <c r="AH97" i="4"/>
  <c r="AH98" i="4"/>
  <c r="AH99" i="4"/>
  <c r="AH100" i="4"/>
  <c r="AH101" i="4"/>
  <c r="AH102" i="4"/>
  <c r="AH103" i="4"/>
  <c r="AH104" i="4"/>
  <c r="AH105" i="4"/>
  <c r="AH106" i="4"/>
  <c r="AH107" i="4"/>
  <c r="AH108" i="4"/>
  <c r="AH109" i="4"/>
  <c r="AH110" i="4"/>
  <c r="AH111" i="4"/>
  <c r="AH112" i="4"/>
  <c r="AH113" i="4"/>
  <c r="AH114" i="4"/>
  <c r="AH115" i="4"/>
  <c r="AH116" i="4"/>
  <c r="AH117" i="4"/>
  <c r="AH118" i="4"/>
  <c r="AH119" i="4"/>
  <c r="AH120" i="4"/>
  <c r="AH121" i="4"/>
  <c r="AH122" i="4"/>
  <c r="AH123" i="4"/>
  <c r="AH124" i="4"/>
  <c r="AH125" i="4"/>
  <c r="AH126" i="4"/>
  <c r="AH127" i="4"/>
  <c r="AH128" i="4"/>
  <c r="AH129" i="4"/>
  <c r="AH130" i="4"/>
  <c r="AH131" i="4"/>
  <c r="AH132" i="4"/>
  <c r="AH133" i="4"/>
  <c r="AH134" i="4"/>
  <c r="AH135" i="4"/>
  <c r="AH136" i="4"/>
  <c r="AH137" i="4"/>
  <c r="AH138" i="4"/>
  <c r="AH139" i="4"/>
  <c r="AH140" i="4"/>
  <c r="AH141" i="4"/>
  <c r="AH142" i="4"/>
  <c r="AH143" i="4"/>
  <c r="AH144" i="4"/>
  <c r="AH145" i="4"/>
  <c r="AH146"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5" i="4"/>
  <c r="AH186" i="4"/>
  <c r="AH187" i="4"/>
  <c r="AH188" i="4"/>
  <c r="AH189" i="4"/>
  <c r="AH190" i="4"/>
  <c r="AH191" i="4"/>
  <c r="AH192" i="4"/>
  <c r="AH193" i="4"/>
  <c r="AH194" i="4"/>
  <c r="AH195" i="4"/>
  <c r="AH196" i="4"/>
  <c r="AH197" i="4"/>
  <c r="AH198" i="4"/>
  <c r="AH199" i="4"/>
  <c r="AH200" i="4"/>
  <c r="AH201" i="4"/>
  <c r="AH202" i="4"/>
  <c r="AH2" i="4"/>
  <c r="AD3" i="4"/>
  <c r="AB3" i="4"/>
  <c r="AB4" i="4" s="1"/>
  <c r="AB5" i="4" s="1"/>
  <c r="AB6" i="4" s="1"/>
  <c r="AB7" i="4" s="1"/>
  <c r="AB8" i="4" s="1"/>
  <c r="AB9" i="4" s="1"/>
  <c r="AB10" i="4" s="1"/>
  <c r="AB11" i="4" s="1"/>
  <c r="AB12" i="4" s="1"/>
  <c r="AB13" i="4" s="1"/>
  <c r="AB14" i="4" s="1"/>
  <c r="AB15" i="4" s="1"/>
  <c r="AB16" i="4" s="1"/>
  <c r="AB17" i="4" s="1"/>
  <c r="AB18" i="4" s="1"/>
  <c r="AB19" i="4" s="1"/>
  <c r="AB20" i="4" s="1"/>
  <c r="AB21" i="4" s="1"/>
  <c r="AB22" i="4" s="1"/>
  <c r="AB23" i="4" s="1"/>
  <c r="AB24" i="4" s="1"/>
  <c r="AB25" i="4" s="1"/>
  <c r="AB26" i="4" s="1"/>
  <c r="AB27" i="4" s="1"/>
  <c r="AB28" i="4" s="1"/>
  <c r="AB29" i="4" s="1"/>
  <c r="AB30" i="4" s="1"/>
  <c r="AB31" i="4" s="1"/>
  <c r="AB32" i="4" s="1"/>
  <c r="AB33" i="4" s="1"/>
  <c r="AB34" i="4" s="1"/>
  <c r="AB35" i="4" s="1"/>
  <c r="AB36" i="4" s="1"/>
  <c r="AB37" i="4" s="1"/>
  <c r="AB38" i="4" s="1"/>
  <c r="AB39" i="4" s="1"/>
  <c r="AB40" i="4" s="1"/>
  <c r="AB41" i="4" s="1"/>
  <c r="AB42" i="4" s="1"/>
  <c r="AB43" i="4" s="1"/>
  <c r="AB44" i="4" s="1"/>
  <c r="AB45" i="4" s="1"/>
  <c r="AB46" i="4" s="1"/>
  <c r="AB47" i="4" s="1"/>
  <c r="AB48" i="4" s="1"/>
  <c r="AB49" i="4" s="1"/>
  <c r="AB50" i="4" s="1"/>
  <c r="AB51" i="4" s="1"/>
  <c r="AB52" i="4" s="1"/>
  <c r="AB53" i="4" s="1"/>
  <c r="AB54" i="4" s="1"/>
  <c r="AB55" i="4" s="1"/>
  <c r="AB56" i="4" s="1"/>
  <c r="AB57" i="4" s="1"/>
  <c r="AB58" i="4" s="1"/>
  <c r="AB59" i="4" s="1"/>
  <c r="AB60" i="4" s="1"/>
  <c r="AB61" i="4" s="1"/>
  <c r="AB62" i="4" s="1"/>
  <c r="AB63" i="4" s="1"/>
  <c r="AB64" i="4" s="1"/>
  <c r="AB65" i="4" s="1"/>
  <c r="AB66" i="4" s="1"/>
  <c r="AB67" i="4" s="1"/>
  <c r="AB68" i="4" s="1"/>
  <c r="AB69" i="4" s="1"/>
  <c r="AB70" i="4" s="1"/>
  <c r="AB71" i="4" s="1"/>
  <c r="AB72" i="4" s="1"/>
  <c r="AB73" i="4" s="1"/>
  <c r="AB74" i="4" s="1"/>
  <c r="AB75" i="4" s="1"/>
  <c r="AB76" i="4" s="1"/>
  <c r="AB77" i="4" s="1"/>
  <c r="AB78" i="4" s="1"/>
  <c r="AB79" i="4" s="1"/>
  <c r="AB80" i="4" s="1"/>
  <c r="AB81" i="4" s="1"/>
  <c r="AB82" i="4" s="1"/>
  <c r="AB83" i="4" s="1"/>
  <c r="AB84" i="4" s="1"/>
  <c r="AB85" i="4" s="1"/>
  <c r="AB86" i="4" s="1"/>
  <c r="AB87" i="4" s="1"/>
  <c r="AB88" i="4" s="1"/>
  <c r="AB89" i="4" s="1"/>
  <c r="AB90" i="4" s="1"/>
  <c r="AB91" i="4" s="1"/>
  <c r="AB92" i="4" s="1"/>
  <c r="AB93" i="4" s="1"/>
  <c r="AB94" i="4" s="1"/>
  <c r="AB95" i="4" s="1"/>
  <c r="AB96" i="4" s="1"/>
  <c r="AB97" i="4" s="1"/>
  <c r="AB98" i="4" s="1"/>
  <c r="AB99" i="4" s="1"/>
  <c r="AB100" i="4" s="1"/>
  <c r="AB101" i="4" s="1"/>
  <c r="AB102" i="4" s="1"/>
  <c r="AB103" i="4" s="1"/>
  <c r="AB104" i="4" s="1"/>
  <c r="AB105" i="4" s="1"/>
  <c r="AB106" i="4" s="1"/>
  <c r="AB107" i="4" s="1"/>
  <c r="AB108" i="4" s="1"/>
  <c r="AB109" i="4" s="1"/>
  <c r="AB110" i="4" s="1"/>
  <c r="AB111" i="4" s="1"/>
  <c r="AB112" i="4" s="1"/>
  <c r="AB113" i="4" s="1"/>
  <c r="AB114" i="4" s="1"/>
  <c r="AB115" i="4" s="1"/>
  <c r="AB116" i="4" s="1"/>
  <c r="AB117" i="4" s="1"/>
  <c r="AB118" i="4" s="1"/>
  <c r="AB119" i="4" s="1"/>
  <c r="AB120" i="4" s="1"/>
  <c r="AB121" i="4" s="1"/>
  <c r="AB122" i="4" s="1"/>
  <c r="AB123" i="4" s="1"/>
  <c r="AB124" i="4" s="1"/>
  <c r="AB125" i="4" s="1"/>
  <c r="AB126" i="4" s="1"/>
  <c r="AB127" i="4" s="1"/>
  <c r="AB128" i="4" s="1"/>
  <c r="AB129" i="4" s="1"/>
  <c r="AB130" i="4" s="1"/>
  <c r="AB131" i="4" s="1"/>
  <c r="AB132" i="4" s="1"/>
  <c r="AB133" i="4" s="1"/>
  <c r="AB134" i="4" s="1"/>
  <c r="AB135" i="4" s="1"/>
  <c r="AB136" i="4" s="1"/>
  <c r="AB137" i="4" s="1"/>
  <c r="AB138" i="4" s="1"/>
  <c r="AB139" i="4" s="1"/>
  <c r="AB140" i="4" s="1"/>
  <c r="AB141" i="4" s="1"/>
  <c r="AB142" i="4" s="1"/>
  <c r="AB143" i="4" s="1"/>
  <c r="AB144" i="4" s="1"/>
  <c r="AB145" i="4" s="1"/>
  <c r="AB146" i="4" s="1"/>
  <c r="AB147" i="4" s="1"/>
  <c r="AB148" i="4" s="1"/>
  <c r="AB149" i="4" s="1"/>
  <c r="AB150" i="4" s="1"/>
  <c r="AB151" i="4" s="1"/>
  <c r="AB152" i="4" s="1"/>
  <c r="AB153" i="4" s="1"/>
  <c r="AB154" i="4" s="1"/>
  <c r="AB155" i="4" s="1"/>
  <c r="AB156" i="4" s="1"/>
  <c r="AB157" i="4" s="1"/>
  <c r="AB158" i="4" s="1"/>
  <c r="AB159" i="4" s="1"/>
  <c r="AB160" i="4" s="1"/>
  <c r="AB161" i="4" s="1"/>
  <c r="AB162" i="4" s="1"/>
  <c r="AB163" i="4" s="1"/>
  <c r="AB164" i="4" s="1"/>
  <c r="AB165" i="4" s="1"/>
  <c r="AB166" i="4" s="1"/>
  <c r="AB167" i="4" s="1"/>
  <c r="AB168" i="4" s="1"/>
  <c r="AB169" i="4" s="1"/>
  <c r="AB170" i="4" s="1"/>
  <c r="AB171" i="4" s="1"/>
  <c r="AB172" i="4" s="1"/>
  <c r="AB173" i="4" s="1"/>
  <c r="AB174" i="4" s="1"/>
  <c r="AB175" i="4" s="1"/>
  <c r="AB176" i="4" s="1"/>
  <c r="AB177" i="4" s="1"/>
  <c r="AB178" i="4" s="1"/>
  <c r="AB179" i="4" s="1"/>
  <c r="AB180" i="4" s="1"/>
  <c r="AB181" i="4" s="1"/>
  <c r="AB182" i="4" s="1"/>
  <c r="AB183" i="4" s="1"/>
  <c r="AB184" i="4" s="1"/>
  <c r="AB185" i="4" s="1"/>
  <c r="AB186" i="4" s="1"/>
  <c r="AB187" i="4" s="1"/>
  <c r="AB188" i="4" s="1"/>
  <c r="AB189" i="4" s="1"/>
  <c r="AB190" i="4" s="1"/>
  <c r="AB191" i="4" s="1"/>
  <c r="AB192" i="4" s="1"/>
  <c r="AB193" i="4" s="1"/>
  <c r="AB194" i="4" s="1"/>
  <c r="AB195" i="4" s="1"/>
  <c r="AB196" i="4" s="1"/>
  <c r="AB197" i="4" s="1"/>
  <c r="AB198" i="4" s="1"/>
  <c r="AB199" i="4" s="1"/>
  <c r="AB200" i="4" s="1"/>
  <c r="AB201" i="4" s="1"/>
  <c r="AB202" i="4" s="1"/>
  <c r="AF202" i="4" s="1"/>
  <c r="AC3" i="4"/>
  <c r="AC4" i="4" s="1"/>
  <c r="AC5" i="4" s="1"/>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AC41" i="4" s="1"/>
  <c r="AC42" i="4" s="1"/>
  <c r="AC43" i="4" s="1"/>
  <c r="AC44" i="4" s="1"/>
  <c r="AC45" i="4" s="1"/>
  <c r="AC46" i="4" s="1"/>
  <c r="AC47" i="4" s="1"/>
  <c r="AC48" i="4" s="1"/>
  <c r="AC49" i="4" s="1"/>
  <c r="AC50" i="4" s="1"/>
  <c r="AC51" i="4" s="1"/>
  <c r="AC52" i="4" s="1"/>
  <c r="AC53" i="4" s="1"/>
  <c r="AC54" i="4" s="1"/>
  <c r="AC55" i="4" s="1"/>
  <c r="AC56" i="4" s="1"/>
  <c r="AC57" i="4" s="1"/>
  <c r="AC58" i="4" s="1"/>
  <c r="AC59" i="4" s="1"/>
  <c r="AC60" i="4" s="1"/>
  <c r="AC61" i="4" s="1"/>
  <c r="AC62" i="4" s="1"/>
  <c r="AC63" i="4" s="1"/>
  <c r="AC64" i="4" s="1"/>
  <c r="AC65" i="4" s="1"/>
  <c r="AC66" i="4" s="1"/>
  <c r="AC67" i="4" s="1"/>
  <c r="AC68" i="4" s="1"/>
  <c r="AC69" i="4" s="1"/>
  <c r="AC70" i="4" s="1"/>
  <c r="AC71" i="4" s="1"/>
  <c r="AC72" i="4" s="1"/>
  <c r="AC73" i="4" s="1"/>
  <c r="AC74" i="4" s="1"/>
  <c r="AC75" i="4" s="1"/>
  <c r="AC76" i="4" s="1"/>
  <c r="AC77" i="4" s="1"/>
  <c r="AC78" i="4" s="1"/>
  <c r="AC79" i="4" s="1"/>
  <c r="AC80" i="4" s="1"/>
  <c r="AC81" i="4" s="1"/>
  <c r="AC82" i="4" s="1"/>
  <c r="AC83" i="4" s="1"/>
  <c r="AC84" i="4" s="1"/>
  <c r="AC85" i="4" s="1"/>
  <c r="AC86" i="4" s="1"/>
  <c r="AC87" i="4" s="1"/>
  <c r="AC88" i="4" s="1"/>
  <c r="AC89" i="4" s="1"/>
  <c r="AC90" i="4" s="1"/>
  <c r="AC91" i="4" s="1"/>
  <c r="AC92" i="4" s="1"/>
  <c r="AC93" i="4" s="1"/>
  <c r="AC94" i="4" s="1"/>
  <c r="AC95" i="4" s="1"/>
  <c r="AC96" i="4" s="1"/>
  <c r="AC97" i="4" s="1"/>
  <c r="AC98" i="4" s="1"/>
  <c r="AC99" i="4" s="1"/>
  <c r="AC100" i="4" s="1"/>
  <c r="AC101" i="4" s="1"/>
  <c r="AC102" i="4" s="1"/>
  <c r="AC103" i="4" s="1"/>
  <c r="AC104" i="4" s="1"/>
  <c r="AC105" i="4" s="1"/>
  <c r="AC106" i="4" s="1"/>
  <c r="AC107" i="4" s="1"/>
  <c r="AC108" i="4" s="1"/>
  <c r="AC109" i="4" s="1"/>
  <c r="AC110" i="4" s="1"/>
  <c r="AC111" i="4" s="1"/>
  <c r="AC112" i="4" s="1"/>
  <c r="AC113" i="4" s="1"/>
  <c r="AC114" i="4" s="1"/>
  <c r="AC115" i="4" s="1"/>
  <c r="AC116" i="4" s="1"/>
  <c r="AC117" i="4" s="1"/>
  <c r="AC118" i="4" s="1"/>
  <c r="AC119" i="4" s="1"/>
  <c r="AC120" i="4" s="1"/>
  <c r="AC121" i="4" s="1"/>
  <c r="AC122" i="4" s="1"/>
  <c r="AC123" i="4" s="1"/>
  <c r="AC124" i="4" s="1"/>
  <c r="AC125" i="4" s="1"/>
  <c r="AC126" i="4" s="1"/>
  <c r="AC127" i="4" s="1"/>
  <c r="AC128" i="4" s="1"/>
  <c r="AC129" i="4" s="1"/>
  <c r="AC130" i="4" s="1"/>
  <c r="AC131" i="4" s="1"/>
  <c r="AC132" i="4" s="1"/>
  <c r="AC133" i="4" s="1"/>
  <c r="AC134" i="4" s="1"/>
  <c r="AC135" i="4" s="1"/>
  <c r="AC136" i="4" s="1"/>
  <c r="AC137" i="4" s="1"/>
  <c r="AC138" i="4" s="1"/>
  <c r="AC139" i="4" s="1"/>
  <c r="AC140" i="4" s="1"/>
  <c r="AC141" i="4" s="1"/>
  <c r="AC142" i="4" s="1"/>
  <c r="AC143" i="4" s="1"/>
  <c r="AC144" i="4" s="1"/>
  <c r="AC145" i="4" s="1"/>
  <c r="AC146" i="4" s="1"/>
  <c r="AC147" i="4" s="1"/>
  <c r="AC148" i="4" s="1"/>
  <c r="AC149" i="4" s="1"/>
  <c r="AC150" i="4" s="1"/>
  <c r="AC151" i="4" s="1"/>
  <c r="AC152" i="4" s="1"/>
  <c r="AC153" i="4" s="1"/>
  <c r="AC154" i="4" s="1"/>
  <c r="AC155" i="4" s="1"/>
  <c r="AC156" i="4" s="1"/>
  <c r="AC157" i="4" s="1"/>
  <c r="AC158" i="4" s="1"/>
  <c r="AC159" i="4" s="1"/>
  <c r="AC160" i="4" s="1"/>
  <c r="AC161" i="4" s="1"/>
  <c r="AC162" i="4" s="1"/>
  <c r="AC163" i="4" s="1"/>
  <c r="AC164" i="4" s="1"/>
  <c r="AC165" i="4" s="1"/>
  <c r="AC166" i="4" s="1"/>
  <c r="AC167" i="4" s="1"/>
  <c r="AC168" i="4" s="1"/>
  <c r="AC169" i="4" s="1"/>
  <c r="AC170" i="4" s="1"/>
  <c r="AC171" i="4" s="1"/>
  <c r="AC172" i="4" s="1"/>
  <c r="AC173" i="4" s="1"/>
  <c r="AC174" i="4" s="1"/>
  <c r="AC175" i="4" s="1"/>
  <c r="AC176" i="4" s="1"/>
  <c r="AC177" i="4" s="1"/>
  <c r="AC178" i="4" s="1"/>
  <c r="AC179" i="4" s="1"/>
  <c r="AC180" i="4" s="1"/>
  <c r="AC181" i="4" s="1"/>
  <c r="AC182" i="4" s="1"/>
  <c r="AC183" i="4" s="1"/>
  <c r="AC184" i="4" s="1"/>
  <c r="AC185" i="4" s="1"/>
  <c r="AC186" i="4" s="1"/>
  <c r="AC187" i="4" s="1"/>
  <c r="AC188" i="4" s="1"/>
  <c r="AC189" i="4" s="1"/>
  <c r="AC190" i="4" s="1"/>
  <c r="AC191" i="4" s="1"/>
  <c r="AC192" i="4" s="1"/>
  <c r="AC193" i="4" s="1"/>
  <c r="AC194" i="4" s="1"/>
  <c r="AC195" i="4" s="1"/>
  <c r="AC196" i="4" s="1"/>
  <c r="AC197" i="4" s="1"/>
  <c r="AC198" i="4" s="1"/>
  <c r="AC199" i="4" s="1"/>
  <c r="AC200" i="4" s="1"/>
  <c r="AC201" i="4" s="1"/>
  <c r="AC202" i="4" s="1"/>
  <c r="AG202" i="4" s="1"/>
  <c r="AA3" i="4"/>
  <c r="AA4" i="4" s="1"/>
  <c r="AA5" i="4" s="1"/>
  <c r="AA6" i="4" s="1"/>
  <c r="AA7" i="4" s="1"/>
  <c r="AA8" i="4" s="1"/>
  <c r="AA9" i="4" s="1"/>
  <c r="AA10" i="4" s="1"/>
  <c r="AA11" i="4" s="1"/>
  <c r="AA12" i="4" s="1"/>
  <c r="AA13" i="4" s="1"/>
  <c r="AA14" i="4" s="1"/>
  <c r="AA15" i="4" s="1"/>
  <c r="AA16" i="4" s="1"/>
  <c r="AA17" i="4" s="1"/>
  <c r="AA18" i="4" s="1"/>
  <c r="AA19" i="4" s="1"/>
  <c r="AA20" i="4" s="1"/>
  <c r="AA21" i="4" s="1"/>
  <c r="AA22" i="4" s="1"/>
  <c r="AA23" i="4" s="1"/>
  <c r="AA24" i="4" s="1"/>
  <c r="AA25" i="4" s="1"/>
  <c r="AA26" i="4" s="1"/>
  <c r="AA27" i="4" s="1"/>
  <c r="AA28" i="4" s="1"/>
  <c r="AA29" i="4" s="1"/>
  <c r="AA30" i="4" s="1"/>
  <c r="AA31" i="4" s="1"/>
  <c r="AA32" i="4" s="1"/>
  <c r="AA33" i="4" s="1"/>
  <c r="AA34" i="4" s="1"/>
  <c r="AA35" i="4" s="1"/>
  <c r="AA36" i="4" s="1"/>
  <c r="AA37" i="4" s="1"/>
  <c r="AA38" i="4" s="1"/>
  <c r="AA39" i="4" s="1"/>
  <c r="AA40" i="4" s="1"/>
  <c r="AA41" i="4" s="1"/>
  <c r="AA42" i="4" s="1"/>
  <c r="AA43" i="4" s="1"/>
  <c r="AA44" i="4" s="1"/>
  <c r="AA45" i="4" s="1"/>
  <c r="AA46" i="4" s="1"/>
  <c r="AA47" i="4" s="1"/>
  <c r="AA48" i="4" s="1"/>
  <c r="AA49" i="4" s="1"/>
  <c r="AA50" i="4" s="1"/>
  <c r="AA51" i="4" s="1"/>
  <c r="AA52" i="4" s="1"/>
  <c r="AA53" i="4" s="1"/>
  <c r="AA54" i="4" s="1"/>
  <c r="AA55" i="4" s="1"/>
  <c r="AA56" i="4" s="1"/>
  <c r="AA57" i="4" s="1"/>
  <c r="AA58" i="4" s="1"/>
  <c r="AA59" i="4" s="1"/>
  <c r="AA60" i="4" s="1"/>
  <c r="AA61" i="4" s="1"/>
  <c r="AA62" i="4" s="1"/>
  <c r="AA63" i="4" s="1"/>
  <c r="AA64" i="4" s="1"/>
  <c r="AA65" i="4" s="1"/>
  <c r="AA66" i="4" s="1"/>
  <c r="AA67" i="4" s="1"/>
  <c r="AA68" i="4" s="1"/>
  <c r="AA69" i="4" s="1"/>
  <c r="AA70" i="4" s="1"/>
  <c r="AA71" i="4" s="1"/>
  <c r="AA72" i="4" s="1"/>
  <c r="AA73" i="4" s="1"/>
  <c r="AA74" i="4" s="1"/>
  <c r="AA75" i="4" s="1"/>
  <c r="AA76" i="4" s="1"/>
  <c r="AA77" i="4" s="1"/>
  <c r="AA78" i="4" s="1"/>
  <c r="AA79" i="4" s="1"/>
  <c r="AA80" i="4" s="1"/>
  <c r="AA81" i="4" s="1"/>
  <c r="AA82" i="4" s="1"/>
  <c r="AA83" i="4" s="1"/>
  <c r="AA84" i="4" s="1"/>
  <c r="AA85" i="4" s="1"/>
  <c r="AA86" i="4" s="1"/>
  <c r="AA87" i="4" s="1"/>
  <c r="AA88" i="4" s="1"/>
  <c r="AA89" i="4" s="1"/>
  <c r="AA90" i="4" s="1"/>
  <c r="AA91" i="4" s="1"/>
  <c r="AA92" i="4" s="1"/>
  <c r="AA93" i="4" s="1"/>
  <c r="AA94" i="4" s="1"/>
  <c r="AA95" i="4" s="1"/>
  <c r="AA96" i="4" s="1"/>
  <c r="AA97" i="4" s="1"/>
  <c r="AA98" i="4" s="1"/>
  <c r="AA99" i="4" s="1"/>
  <c r="AA100" i="4" s="1"/>
  <c r="AA101" i="4" s="1"/>
  <c r="AA102" i="4" s="1"/>
  <c r="AA103" i="4" s="1"/>
  <c r="AA104" i="4" s="1"/>
  <c r="AA105" i="4" s="1"/>
  <c r="AA106" i="4" s="1"/>
  <c r="AA107" i="4" s="1"/>
  <c r="AA108" i="4" s="1"/>
  <c r="AA109" i="4" s="1"/>
  <c r="AA110" i="4" s="1"/>
  <c r="AA111" i="4" s="1"/>
  <c r="AA112" i="4" s="1"/>
  <c r="AA113" i="4" s="1"/>
  <c r="AA114" i="4" s="1"/>
  <c r="AA115" i="4" s="1"/>
  <c r="AA116" i="4" s="1"/>
  <c r="AA117" i="4" s="1"/>
  <c r="AA118" i="4" s="1"/>
  <c r="AA119" i="4" s="1"/>
  <c r="AA120" i="4" s="1"/>
  <c r="AA121" i="4" s="1"/>
  <c r="AA122" i="4" s="1"/>
  <c r="AA123" i="4" s="1"/>
  <c r="AA124" i="4" s="1"/>
  <c r="AA125" i="4" s="1"/>
  <c r="AA126" i="4" s="1"/>
  <c r="AA127" i="4" s="1"/>
  <c r="AA128" i="4" s="1"/>
  <c r="AA129" i="4" s="1"/>
  <c r="AA130" i="4" s="1"/>
  <c r="AA131" i="4" s="1"/>
  <c r="AA132" i="4" s="1"/>
  <c r="AA133" i="4" s="1"/>
  <c r="AA134" i="4" s="1"/>
  <c r="AA135" i="4" s="1"/>
  <c r="AA136" i="4" s="1"/>
  <c r="AA137" i="4" s="1"/>
  <c r="AA138" i="4" s="1"/>
  <c r="AA139" i="4" s="1"/>
  <c r="AA140" i="4" s="1"/>
  <c r="AA141" i="4" s="1"/>
  <c r="AA142" i="4" s="1"/>
  <c r="AA143" i="4" s="1"/>
  <c r="AA144" i="4" s="1"/>
  <c r="AA145" i="4" s="1"/>
  <c r="AA146" i="4" s="1"/>
  <c r="AA147" i="4" s="1"/>
  <c r="AA148" i="4" s="1"/>
  <c r="AA149" i="4" s="1"/>
  <c r="AA150" i="4" s="1"/>
  <c r="AA151" i="4" s="1"/>
  <c r="AA152" i="4" s="1"/>
  <c r="AA153" i="4" s="1"/>
  <c r="AA154" i="4" s="1"/>
  <c r="AA155" i="4" s="1"/>
  <c r="AA156" i="4" s="1"/>
  <c r="AA157" i="4" s="1"/>
  <c r="AA158" i="4" s="1"/>
  <c r="AA159" i="4" s="1"/>
  <c r="AA160" i="4" s="1"/>
  <c r="AA161" i="4" s="1"/>
  <c r="AA162" i="4" s="1"/>
  <c r="AA163" i="4" s="1"/>
  <c r="AA164" i="4" s="1"/>
  <c r="AA165" i="4" s="1"/>
  <c r="AA166" i="4" s="1"/>
  <c r="AA167" i="4" s="1"/>
  <c r="AA168" i="4" s="1"/>
  <c r="AA169" i="4" s="1"/>
  <c r="AA170" i="4" s="1"/>
  <c r="AA171" i="4" s="1"/>
  <c r="AA172" i="4" s="1"/>
  <c r="AA173" i="4" s="1"/>
  <c r="AA174" i="4" s="1"/>
  <c r="AA175" i="4" s="1"/>
  <c r="AA176" i="4" s="1"/>
  <c r="AA177" i="4" s="1"/>
  <c r="AA178" i="4" s="1"/>
  <c r="AA179" i="4" s="1"/>
  <c r="AA180" i="4" s="1"/>
  <c r="AA181" i="4" s="1"/>
  <c r="AA182" i="4" s="1"/>
  <c r="AA183" i="4" s="1"/>
  <c r="AA184" i="4" s="1"/>
  <c r="AA185" i="4" s="1"/>
  <c r="AA186" i="4" s="1"/>
  <c r="AA187" i="4" s="1"/>
  <c r="AA188" i="4" s="1"/>
  <c r="AA189" i="4" s="1"/>
  <c r="AA190" i="4" s="1"/>
  <c r="AA191" i="4" s="1"/>
  <c r="AA192" i="4" s="1"/>
  <c r="AA193" i="4" s="1"/>
  <c r="AA194" i="4" s="1"/>
  <c r="AA195" i="4" s="1"/>
  <c r="AA196" i="4" s="1"/>
  <c r="AA197" i="4" s="1"/>
  <c r="AA198" i="4" s="1"/>
  <c r="AA199" i="4" s="1"/>
  <c r="AA200" i="4" s="1"/>
  <c r="AA201" i="4" s="1"/>
  <c r="AA202" i="4" s="1"/>
  <c r="AF2" i="4"/>
  <c r="AG2" i="4"/>
  <c r="AE2" i="4"/>
  <c r="AG3" i="4" l="1"/>
  <c r="AD4" i="4"/>
  <c r="AF3" i="4"/>
  <c r="AF4" i="4"/>
  <c r="AF44" i="4"/>
  <c r="AF40" i="4"/>
  <c r="AF36" i="4"/>
  <c r="AF32" i="4"/>
  <c r="AF12" i="4"/>
  <c r="AF8" i="4"/>
  <c r="AF28" i="4"/>
  <c r="AF56" i="4"/>
  <c r="AF24" i="4"/>
  <c r="AF52" i="4"/>
  <c r="AF20" i="4"/>
  <c r="AF48" i="4"/>
  <c r="AF16" i="4"/>
  <c r="AF196" i="4"/>
  <c r="AF176" i="4"/>
  <c r="AF152" i="4"/>
  <c r="AF132" i="4"/>
  <c r="AF104" i="4"/>
  <c r="AF88" i="4"/>
  <c r="AF68" i="4"/>
  <c r="AF201" i="4"/>
  <c r="AF197" i="4"/>
  <c r="AF193" i="4"/>
  <c r="AF189" i="4"/>
  <c r="AF185" i="4"/>
  <c r="AF181" i="4"/>
  <c r="AF177" i="4"/>
  <c r="AF173" i="4"/>
  <c r="AF169" i="4"/>
  <c r="AF165" i="4"/>
  <c r="AF161" i="4"/>
  <c r="AF157" i="4"/>
  <c r="AF153" i="4"/>
  <c r="AF149" i="4"/>
  <c r="AF145" i="4"/>
  <c r="AF141" i="4"/>
  <c r="AF137" i="4"/>
  <c r="AF133" i="4"/>
  <c r="AF129" i="4"/>
  <c r="AF125" i="4"/>
  <c r="AF121" i="4"/>
  <c r="AF117" i="4"/>
  <c r="AF113" i="4"/>
  <c r="AF109" i="4"/>
  <c r="AF105" i="4"/>
  <c r="AF101" i="4"/>
  <c r="AF97" i="4"/>
  <c r="AF93" i="4"/>
  <c r="AF89" i="4"/>
  <c r="AF85" i="4"/>
  <c r="AF81" i="4"/>
  <c r="AF77" i="4"/>
  <c r="AF73" i="4"/>
  <c r="AF69" i="4"/>
  <c r="AF65" i="4"/>
  <c r="AF61" i="4"/>
  <c r="AF57" i="4"/>
  <c r="AF53" i="4"/>
  <c r="AF49" i="4"/>
  <c r="AF45" i="4"/>
  <c r="AF41" i="4"/>
  <c r="AF37" i="4"/>
  <c r="AF33" i="4"/>
  <c r="AF29" i="4"/>
  <c r="AF25" i="4"/>
  <c r="AF21" i="4"/>
  <c r="AF17" i="4"/>
  <c r="AF13" i="4"/>
  <c r="AF9" i="4"/>
  <c r="AF5" i="4"/>
  <c r="AG172" i="4"/>
  <c r="AG144" i="4"/>
  <c r="AG140" i="4"/>
  <c r="AG112" i="4"/>
  <c r="AG108" i="4"/>
  <c r="AG80" i="4"/>
  <c r="AG76" i="4"/>
  <c r="AG48" i="4"/>
  <c r="AG44" i="4"/>
  <c r="AG40" i="4"/>
  <c r="AG36" i="4"/>
  <c r="AG32" i="4"/>
  <c r="AG28" i="4"/>
  <c r="AG24" i="4"/>
  <c r="AG20" i="4"/>
  <c r="AG16" i="4"/>
  <c r="AG12" i="4"/>
  <c r="AG8" i="4"/>
  <c r="AG4" i="4"/>
  <c r="AF188" i="4"/>
  <c r="AF172" i="4"/>
  <c r="AF156" i="4"/>
  <c r="AF140" i="4"/>
  <c r="AF120" i="4"/>
  <c r="AF92" i="4"/>
  <c r="AF76" i="4"/>
  <c r="AG111" i="4"/>
  <c r="AG95" i="4"/>
  <c r="AG75" i="4"/>
  <c r="AG59" i="4"/>
  <c r="AG55" i="4"/>
  <c r="AG47" i="4"/>
  <c r="AG43" i="4"/>
  <c r="AG35" i="4"/>
  <c r="AG31" i="4"/>
  <c r="AG27" i="4"/>
  <c r="AG23" i="4"/>
  <c r="AG19" i="4"/>
  <c r="AF199" i="4"/>
  <c r="AF195" i="4"/>
  <c r="AF191" i="4"/>
  <c r="AF187" i="4"/>
  <c r="AF183" i="4"/>
  <c r="AF179" i="4"/>
  <c r="AF175" i="4"/>
  <c r="AF171" i="4"/>
  <c r="AF167" i="4"/>
  <c r="AF163" i="4"/>
  <c r="AF159" i="4"/>
  <c r="AF155" i="4"/>
  <c r="AF151" i="4"/>
  <c r="AF147" i="4"/>
  <c r="AF143" i="4"/>
  <c r="AF139" i="4"/>
  <c r="AF135" i="4"/>
  <c r="AF131" i="4"/>
  <c r="AF127" i="4"/>
  <c r="AF123" i="4"/>
  <c r="AF119" i="4"/>
  <c r="AF115" i="4"/>
  <c r="AF111" i="4"/>
  <c r="AF107" i="4"/>
  <c r="AF103" i="4"/>
  <c r="AF99" i="4"/>
  <c r="AF95" i="4"/>
  <c r="AF91" i="4"/>
  <c r="AF87" i="4"/>
  <c r="AF83" i="4"/>
  <c r="AF79" i="4"/>
  <c r="AF75" i="4"/>
  <c r="AF71" i="4"/>
  <c r="AF67" i="4"/>
  <c r="AF63" i="4"/>
  <c r="AF59" i="4"/>
  <c r="AF55" i="4"/>
  <c r="AF51" i="4"/>
  <c r="AF47" i="4"/>
  <c r="AF43" i="4"/>
  <c r="AF39" i="4"/>
  <c r="AF35" i="4"/>
  <c r="AF31" i="4"/>
  <c r="AF27" i="4"/>
  <c r="AF23" i="4"/>
  <c r="AF19" i="4"/>
  <c r="AF15" i="4"/>
  <c r="AF11" i="4"/>
  <c r="AF7" i="4"/>
  <c r="AF180" i="4"/>
  <c r="AF160" i="4"/>
  <c r="AF148" i="4"/>
  <c r="AF128" i="4"/>
  <c r="AF116" i="4"/>
  <c r="AF96" i="4"/>
  <c r="AF72" i="4"/>
  <c r="AF64" i="4"/>
  <c r="AG167" i="4"/>
  <c r="AG151" i="4"/>
  <c r="AG87" i="4"/>
  <c r="AG63" i="4"/>
  <c r="AG15" i="4"/>
  <c r="AG194" i="4"/>
  <c r="AG166" i="4"/>
  <c r="AG162" i="4"/>
  <c r="AG134" i="4"/>
  <c r="AG130" i="4"/>
  <c r="AG102" i="4"/>
  <c r="AG98" i="4"/>
  <c r="AG94" i="4"/>
  <c r="AG90" i="4"/>
  <c r="AG86" i="4"/>
  <c r="AG82" i="4"/>
  <c r="AG78" i="4"/>
  <c r="AG74" i="4"/>
  <c r="AG70" i="4"/>
  <c r="AG66" i="4"/>
  <c r="AG62" i="4"/>
  <c r="AG58" i="4"/>
  <c r="AG54" i="4"/>
  <c r="AG50" i="4"/>
  <c r="AG46" i="4"/>
  <c r="AG42" i="4"/>
  <c r="AG38" i="4"/>
  <c r="AG34" i="4"/>
  <c r="AG30" i="4"/>
  <c r="AG26" i="4"/>
  <c r="AG22" i="4"/>
  <c r="AG18" i="4"/>
  <c r="AG14" i="4"/>
  <c r="AG10" i="4"/>
  <c r="AG6" i="4"/>
  <c r="AF200" i="4"/>
  <c r="AF184" i="4"/>
  <c r="AF168" i="4"/>
  <c r="AF144" i="4"/>
  <c r="AF124" i="4"/>
  <c r="AF112" i="4"/>
  <c r="AF100" i="4"/>
  <c r="AF80" i="4"/>
  <c r="AF60" i="4"/>
  <c r="AG119" i="4"/>
  <c r="AG107" i="4"/>
  <c r="AG91" i="4"/>
  <c r="AG71" i="4"/>
  <c r="AG7" i="4"/>
  <c r="AF198" i="4"/>
  <c r="AF194" i="4"/>
  <c r="AF190" i="4"/>
  <c r="AF186" i="4"/>
  <c r="AF182" i="4"/>
  <c r="AF178" i="4"/>
  <c r="AF174" i="4"/>
  <c r="AF170" i="4"/>
  <c r="AF166" i="4"/>
  <c r="AF162" i="4"/>
  <c r="AF158" i="4"/>
  <c r="AF154" i="4"/>
  <c r="AF150" i="4"/>
  <c r="AF146" i="4"/>
  <c r="AF142" i="4"/>
  <c r="AF138" i="4"/>
  <c r="AF134" i="4"/>
  <c r="AF130" i="4"/>
  <c r="AF126" i="4"/>
  <c r="AF122" i="4"/>
  <c r="AF118" i="4"/>
  <c r="AF114" i="4"/>
  <c r="AF110" i="4"/>
  <c r="AF106" i="4"/>
  <c r="AF102" i="4"/>
  <c r="AF98" i="4"/>
  <c r="AF94" i="4"/>
  <c r="AF90" i="4"/>
  <c r="AF86" i="4"/>
  <c r="AF82" i="4"/>
  <c r="AF78" i="4"/>
  <c r="AF74" i="4"/>
  <c r="AF70" i="4"/>
  <c r="AF66" i="4"/>
  <c r="AF62" i="4"/>
  <c r="AF58" i="4"/>
  <c r="AF54" i="4"/>
  <c r="AF50" i="4"/>
  <c r="AF46" i="4"/>
  <c r="AF42" i="4"/>
  <c r="AF38" i="4"/>
  <c r="AF34" i="4"/>
  <c r="AF30" i="4"/>
  <c r="AF26" i="4"/>
  <c r="AF22" i="4"/>
  <c r="AF18" i="4"/>
  <c r="AF14" i="4"/>
  <c r="AF10" i="4"/>
  <c r="AF6" i="4"/>
  <c r="AF192" i="4"/>
  <c r="AF164" i="4"/>
  <c r="AF136" i="4"/>
  <c r="AF108" i="4"/>
  <c r="AF84" i="4"/>
  <c r="AG123" i="4"/>
  <c r="AG99" i="4"/>
  <c r="AG79" i="4"/>
  <c r="AG67" i="4"/>
  <c r="AG51" i="4"/>
  <c r="AG39" i="4"/>
  <c r="AG11" i="4"/>
  <c r="AG185" i="4"/>
  <c r="AG181" i="4"/>
  <c r="AG153" i="4"/>
  <c r="AG149" i="4"/>
  <c r="AG141" i="4"/>
  <c r="AG133" i="4"/>
  <c r="AG129" i="4"/>
  <c r="AG125" i="4"/>
  <c r="AG121" i="4"/>
  <c r="AG117" i="4"/>
  <c r="AG113" i="4"/>
  <c r="AG109" i="4"/>
  <c r="AG105" i="4"/>
  <c r="AG101" i="4"/>
  <c r="AG97" i="4"/>
  <c r="AG93" i="4"/>
  <c r="AG89" i="4"/>
  <c r="AG85" i="4"/>
  <c r="AG81" i="4"/>
  <c r="AG77" i="4"/>
  <c r="AG73" i="4"/>
  <c r="AG69" i="4"/>
  <c r="AG65" i="4"/>
  <c r="AG61" i="4"/>
  <c r="AG57" i="4"/>
  <c r="AG53" i="4"/>
  <c r="AG49" i="4"/>
  <c r="AG45" i="4"/>
  <c r="AG41" i="4"/>
  <c r="AG37" i="4"/>
  <c r="AG33" i="4"/>
  <c r="AG29" i="4"/>
  <c r="AG25" i="4"/>
  <c r="AG21" i="4"/>
  <c r="AG17" i="4"/>
  <c r="AG13" i="4"/>
  <c r="AG9" i="4"/>
  <c r="AG5" i="4"/>
  <c r="AE3" i="4"/>
  <c r="E6" i="3"/>
  <c r="D6" i="3"/>
  <c r="AG2" i="3" s="1"/>
  <c r="AH2" i="3" l="1"/>
  <c r="AD5" i="4"/>
  <c r="AG157" i="4"/>
  <c r="AG189" i="4"/>
  <c r="AG106" i="4"/>
  <c r="AG138" i="4"/>
  <c r="AG170" i="4"/>
  <c r="AG183" i="4"/>
  <c r="AG127" i="4"/>
  <c r="AG52" i="4"/>
  <c r="AG84" i="4"/>
  <c r="AG116" i="4"/>
  <c r="AG148" i="4"/>
  <c r="AG180" i="4"/>
  <c r="AG179" i="4"/>
  <c r="AG161" i="4"/>
  <c r="AG193" i="4"/>
  <c r="AG135" i="4"/>
  <c r="AG110" i="4"/>
  <c r="AG142" i="4"/>
  <c r="AG174" i="4"/>
  <c r="AG199" i="4"/>
  <c r="AG143" i="4"/>
  <c r="AG56" i="4"/>
  <c r="AG88" i="4"/>
  <c r="AG120" i="4"/>
  <c r="AG152" i="4"/>
  <c r="AG184" i="4"/>
  <c r="AG165" i="4"/>
  <c r="AG197" i="4"/>
  <c r="AG147" i="4"/>
  <c r="AG114" i="4"/>
  <c r="AG146" i="4"/>
  <c r="AG178" i="4"/>
  <c r="AG155" i="4"/>
  <c r="AG60" i="4"/>
  <c r="AG92" i="4"/>
  <c r="AG124" i="4"/>
  <c r="AG156" i="4"/>
  <c r="AG188" i="4"/>
  <c r="AG176" i="4"/>
  <c r="AG137" i="4"/>
  <c r="AG169" i="4"/>
  <c r="AG201" i="4"/>
  <c r="AG139" i="4"/>
  <c r="AG159" i="4"/>
  <c r="AG118" i="4"/>
  <c r="AG150" i="4"/>
  <c r="AG182" i="4"/>
  <c r="AG103" i="4"/>
  <c r="AG171" i="4"/>
  <c r="AG64" i="4"/>
  <c r="AG96" i="4"/>
  <c r="AG128" i="4"/>
  <c r="AG160" i="4"/>
  <c r="AG192" i="4"/>
  <c r="AG173" i="4"/>
  <c r="AG163" i="4"/>
  <c r="AG175" i="4"/>
  <c r="AG122" i="4"/>
  <c r="AG154" i="4"/>
  <c r="AG186" i="4"/>
  <c r="AG115" i="4"/>
  <c r="AG187" i="4"/>
  <c r="AG68" i="4"/>
  <c r="AG100" i="4"/>
  <c r="AG132" i="4"/>
  <c r="AG164" i="4"/>
  <c r="AG196" i="4"/>
  <c r="AG198" i="4"/>
  <c r="AG145" i="4"/>
  <c r="AG177" i="4"/>
  <c r="AG191" i="4"/>
  <c r="AG195" i="4"/>
  <c r="AG126" i="4"/>
  <c r="AG158" i="4"/>
  <c r="AG190" i="4"/>
  <c r="AG131" i="4"/>
  <c r="AG83" i="4"/>
  <c r="AG72" i="4"/>
  <c r="AG104" i="4"/>
  <c r="AG136" i="4"/>
  <c r="AG168" i="4"/>
  <c r="AG200" i="4"/>
  <c r="AE4" i="4"/>
  <c r="H62" i="5"/>
  <c r="AH29" i="3" l="1"/>
  <c r="AH18" i="3"/>
  <c r="AH49" i="3"/>
  <c r="AH33" i="3"/>
  <c r="AH7" i="3"/>
  <c r="AH26" i="3"/>
  <c r="AH19" i="3"/>
  <c r="AH48" i="3"/>
  <c r="AH12" i="3"/>
  <c r="AH38" i="3"/>
  <c r="AH4" i="3"/>
  <c r="AH45" i="3"/>
  <c r="AH154" i="3"/>
  <c r="AH193" i="3"/>
  <c r="AH147" i="3"/>
  <c r="AH68" i="3"/>
  <c r="AH82" i="3"/>
  <c r="AH112" i="3"/>
  <c r="AH157" i="3"/>
  <c r="AH116" i="3"/>
  <c r="AH130" i="3"/>
  <c r="AH145" i="3"/>
  <c r="AH175" i="3"/>
  <c r="AH201" i="3"/>
  <c r="AH16" i="3"/>
  <c r="AH14" i="3"/>
  <c r="AH123" i="3"/>
  <c r="AH125" i="3"/>
  <c r="AH108" i="3"/>
  <c r="AH44" i="3"/>
  <c r="AH186" i="3"/>
  <c r="AH122" i="3"/>
  <c r="AH58" i="3"/>
  <c r="AH101" i="3"/>
  <c r="AH121" i="3"/>
  <c r="AH176" i="3"/>
  <c r="AH72" i="3"/>
  <c r="AH167" i="3"/>
  <c r="AH103" i="3"/>
  <c r="AH39" i="3"/>
  <c r="AH185" i="3"/>
  <c r="AH57" i="3"/>
  <c r="AH120" i="3"/>
  <c r="AH198" i="3"/>
  <c r="AH134" i="3"/>
  <c r="AH70" i="3"/>
  <c r="AH6" i="3"/>
  <c r="AH133" i="3"/>
  <c r="AH5" i="3"/>
  <c r="AH179" i="3"/>
  <c r="AH115" i="3"/>
  <c r="AH51" i="3"/>
  <c r="AH90" i="3"/>
  <c r="AH199" i="3"/>
  <c r="AH200" i="3"/>
  <c r="AH140" i="3"/>
  <c r="AH127" i="3"/>
  <c r="AH149" i="3"/>
  <c r="AH52" i="3"/>
  <c r="AH66" i="3"/>
  <c r="AH192" i="3"/>
  <c r="AH111" i="3"/>
  <c r="AH73" i="3"/>
  <c r="AH142" i="3"/>
  <c r="AH181" i="3"/>
  <c r="AH187" i="3"/>
  <c r="AH59" i="3"/>
  <c r="AH53" i="3"/>
  <c r="AH100" i="3"/>
  <c r="AH36" i="3"/>
  <c r="AH178" i="3"/>
  <c r="AH114" i="3"/>
  <c r="AH50" i="3"/>
  <c r="AH105" i="3"/>
  <c r="AH97" i="3"/>
  <c r="AH168" i="3"/>
  <c r="AH56" i="3"/>
  <c r="AH159" i="3"/>
  <c r="AH95" i="3"/>
  <c r="AH31" i="3"/>
  <c r="AH169" i="3"/>
  <c r="AH41" i="3"/>
  <c r="AH104" i="3"/>
  <c r="AH190" i="3"/>
  <c r="AH126" i="3"/>
  <c r="AH62" i="3"/>
  <c r="AH189" i="3"/>
  <c r="AH109" i="3"/>
  <c r="AH196" i="3"/>
  <c r="AH171" i="3"/>
  <c r="AH107" i="3"/>
  <c r="AH43" i="3"/>
  <c r="AH188" i="3"/>
  <c r="AH92" i="3"/>
  <c r="AH28" i="3"/>
  <c r="AH170" i="3"/>
  <c r="AH106" i="3"/>
  <c r="AH42" i="3"/>
  <c r="AH165" i="3"/>
  <c r="AH81" i="3"/>
  <c r="AH152" i="3"/>
  <c r="AH40" i="3"/>
  <c r="AH151" i="3"/>
  <c r="AH87" i="3"/>
  <c r="AH23" i="3"/>
  <c r="AH153" i="3"/>
  <c r="AH25" i="3"/>
  <c r="AH80" i="3"/>
  <c r="AH182" i="3"/>
  <c r="AH118" i="3"/>
  <c r="AH54" i="3"/>
  <c r="AH141" i="3"/>
  <c r="AH69" i="3"/>
  <c r="AH180" i="3"/>
  <c r="AH163" i="3"/>
  <c r="AH99" i="3"/>
  <c r="AH35" i="3"/>
  <c r="AH156" i="3"/>
  <c r="AH135" i="3"/>
  <c r="AH129" i="3"/>
  <c r="AH102" i="3"/>
  <c r="AH132" i="3"/>
  <c r="AH146" i="3"/>
  <c r="AH63" i="3"/>
  <c r="AH194" i="3"/>
  <c r="AH173" i="3"/>
  <c r="AH88" i="3"/>
  <c r="AH47" i="3"/>
  <c r="AH136" i="3"/>
  <c r="AH78" i="3"/>
  <c r="AH13" i="3"/>
  <c r="AH172" i="3"/>
  <c r="AH84" i="3"/>
  <c r="AH20" i="3"/>
  <c r="AH162" i="3"/>
  <c r="AH98" i="3"/>
  <c r="AH34" i="3"/>
  <c r="AH85" i="3"/>
  <c r="AH65" i="3"/>
  <c r="AH144" i="3"/>
  <c r="AH8" i="3"/>
  <c r="AH143" i="3"/>
  <c r="AH79" i="3"/>
  <c r="AH15" i="3"/>
  <c r="AH137" i="3"/>
  <c r="AH17" i="3"/>
  <c r="AH64" i="3"/>
  <c r="AH174" i="3"/>
  <c r="AH110" i="3"/>
  <c r="AH46" i="3"/>
  <c r="AH117" i="3"/>
  <c r="AH61" i="3"/>
  <c r="AH164" i="3"/>
  <c r="AH155" i="3"/>
  <c r="AH91" i="3"/>
  <c r="AH27" i="3"/>
  <c r="AH83" i="3"/>
  <c r="AH128" i="3"/>
  <c r="AH76" i="3"/>
  <c r="AH71" i="3"/>
  <c r="AH166" i="3"/>
  <c r="AH77" i="3"/>
  <c r="AH177" i="3"/>
  <c r="AH191" i="3"/>
  <c r="AH113" i="3"/>
  <c r="AH184" i="3"/>
  <c r="AH32" i="3"/>
  <c r="AH158" i="3"/>
  <c r="AH94" i="3"/>
  <c r="AH30" i="3"/>
  <c r="AH37" i="3"/>
  <c r="AH139" i="3"/>
  <c r="AH75" i="3"/>
  <c r="AH11" i="3"/>
  <c r="AH197" i="3"/>
  <c r="AH124" i="3"/>
  <c r="AH60" i="3"/>
  <c r="AH138" i="3"/>
  <c r="AH74" i="3"/>
  <c r="AH10" i="3"/>
  <c r="AH161" i="3"/>
  <c r="AH9" i="3"/>
  <c r="AH96" i="3"/>
  <c r="AH183" i="3"/>
  <c r="AH119" i="3"/>
  <c r="AH55" i="3"/>
  <c r="AH93" i="3"/>
  <c r="AH89" i="3"/>
  <c r="AH160" i="3"/>
  <c r="AH24" i="3"/>
  <c r="AH150" i="3"/>
  <c r="AH86" i="3"/>
  <c r="AH22" i="3"/>
  <c r="AH148" i="3"/>
  <c r="AH21" i="3"/>
  <c r="AH195" i="3"/>
  <c r="AH131" i="3"/>
  <c r="AH67" i="3"/>
  <c r="AH3" i="3"/>
  <c r="AD6" i="4"/>
  <c r="AE5" i="4"/>
  <c r="A7" i="5"/>
  <c r="B6" i="3"/>
  <c r="C6" i="3"/>
  <c r="AF2" i="3" s="1"/>
  <c r="AE2" i="3" l="1"/>
  <c r="AA3" i="3"/>
  <c r="AB3" i="3"/>
  <c r="AC3" i="3"/>
  <c r="AD3" i="3"/>
  <c r="AD4" i="3" s="1"/>
  <c r="AD5" i="3" s="1"/>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D121" i="3" s="1"/>
  <c r="AD122" i="3" s="1"/>
  <c r="AD123" i="3" s="1"/>
  <c r="AD124" i="3" s="1"/>
  <c r="AD125" i="3" s="1"/>
  <c r="AD126" i="3" s="1"/>
  <c r="AD127" i="3" s="1"/>
  <c r="AD128" i="3" s="1"/>
  <c r="AD129" i="3" s="1"/>
  <c r="AD130" i="3" s="1"/>
  <c r="AD131" i="3" s="1"/>
  <c r="AD132" i="3" s="1"/>
  <c r="AD133" i="3" s="1"/>
  <c r="AD134" i="3" s="1"/>
  <c r="AD135" i="3" s="1"/>
  <c r="AD136" i="3" s="1"/>
  <c r="AD137" i="3" s="1"/>
  <c r="AD138" i="3" s="1"/>
  <c r="AD139" i="3" s="1"/>
  <c r="AD140" i="3" s="1"/>
  <c r="AD141" i="3" s="1"/>
  <c r="AD142" i="3" s="1"/>
  <c r="AD143" i="3" s="1"/>
  <c r="AD144" i="3" s="1"/>
  <c r="AD145" i="3" s="1"/>
  <c r="AD146" i="3" s="1"/>
  <c r="AD147" i="3" s="1"/>
  <c r="AD148" i="3" s="1"/>
  <c r="AD149" i="3" s="1"/>
  <c r="AD150" i="3" s="1"/>
  <c r="AD151" i="3" s="1"/>
  <c r="AD152" i="3" s="1"/>
  <c r="AD153" i="3" s="1"/>
  <c r="AD154" i="3" s="1"/>
  <c r="AD155" i="3" s="1"/>
  <c r="AD156" i="3" s="1"/>
  <c r="AD157" i="3" s="1"/>
  <c r="AD158" i="3" s="1"/>
  <c r="AD159" i="3" s="1"/>
  <c r="AD160" i="3" s="1"/>
  <c r="AD161" i="3" s="1"/>
  <c r="AD162" i="3" s="1"/>
  <c r="AD163" i="3" s="1"/>
  <c r="AD164" i="3" s="1"/>
  <c r="AD165" i="3" s="1"/>
  <c r="AD166" i="3" s="1"/>
  <c r="AD167" i="3" s="1"/>
  <c r="AD168" i="3" s="1"/>
  <c r="AD169" i="3" s="1"/>
  <c r="AD170" i="3" s="1"/>
  <c r="AD171" i="3" s="1"/>
  <c r="AD172" i="3" s="1"/>
  <c r="AD173" i="3" s="1"/>
  <c r="AD174" i="3" s="1"/>
  <c r="AD175" i="3" s="1"/>
  <c r="AD176" i="3" s="1"/>
  <c r="AD177" i="3" s="1"/>
  <c r="AD178" i="3" s="1"/>
  <c r="AD179" i="3" s="1"/>
  <c r="AD180" i="3" s="1"/>
  <c r="AD181" i="3" s="1"/>
  <c r="AD182" i="3" s="1"/>
  <c r="AD183" i="3" s="1"/>
  <c r="AD184" i="3" s="1"/>
  <c r="AD185" i="3" s="1"/>
  <c r="AD186" i="3" s="1"/>
  <c r="AD187" i="3" s="1"/>
  <c r="AD188" i="3" s="1"/>
  <c r="AD189" i="3" s="1"/>
  <c r="AD190" i="3" s="1"/>
  <c r="AD191" i="3" s="1"/>
  <c r="AD192" i="3" s="1"/>
  <c r="AD193" i="3" s="1"/>
  <c r="AD194" i="3" s="1"/>
  <c r="AD195" i="3" s="1"/>
  <c r="AD196" i="3" s="1"/>
  <c r="AD197" i="3" s="1"/>
  <c r="AD198" i="3" s="1"/>
  <c r="AD199" i="3" s="1"/>
  <c r="AD200" i="3" s="1"/>
  <c r="AD201" i="3" s="1"/>
  <c r="AD202" i="3" s="1"/>
  <c r="AH202" i="3" s="1"/>
  <c r="AD7" i="4"/>
  <c r="AE6" i="4"/>
  <c r="AB4" i="3" l="1"/>
  <c r="AF3" i="3"/>
  <c r="AG3" i="3"/>
  <c r="AC4" i="3"/>
  <c r="AE3" i="3"/>
  <c r="AA4" i="3"/>
  <c r="AD8" i="4"/>
  <c r="AE7" i="4"/>
  <c r="AG4" i="3" l="1"/>
  <c r="AC5" i="3"/>
  <c r="AA5" i="3"/>
  <c r="AE4" i="3"/>
  <c r="AF4" i="3"/>
  <c r="AB5" i="3"/>
  <c r="AD9" i="4"/>
  <c r="AE8" i="4"/>
  <c r="AG5" i="3" l="1"/>
  <c r="AC6" i="3"/>
  <c r="AB6" i="3"/>
  <c r="AF5" i="3"/>
  <c r="AE5" i="3"/>
  <c r="AA6" i="3"/>
  <c r="AD10" i="4"/>
  <c r="AE9" i="4"/>
  <c r="AE6" i="3" l="1"/>
  <c r="AA7" i="3"/>
  <c r="AG6" i="3"/>
  <c r="AC7" i="3"/>
  <c r="AB7" i="3"/>
  <c r="AF6" i="3"/>
  <c r="AD11" i="4"/>
  <c r="AE10" i="4"/>
  <c r="AC8" i="3" l="1"/>
  <c r="AG7" i="3"/>
  <c r="AA8" i="3"/>
  <c r="AE7" i="3"/>
  <c r="AF7" i="3"/>
  <c r="AB8" i="3"/>
  <c r="AD12" i="4"/>
  <c r="AE11" i="4"/>
  <c r="AA9" i="3" l="1"/>
  <c r="AE8" i="3"/>
  <c r="AB9" i="3"/>
  <c r="AF8" i="3"/>
  <c r="AG8" i="3"/>
  <c r="AC9" i="3"/>
  <c r="AD13" i="4"/>
  <c r="AE12" i="4"/>
  <c r="AA10" i="3" l="1"/>
  <c r="AE9" i="3"/>
  <c r="AG9" i="3"/>
  <c r="AC10" i="3"/>
  <c r="AB10" i="3"/>
  <c r="AF9" i="3"/>
  <c r="AD14" i="4"/>
  <c r="AE13" i="4"/>
  <c r="AC11" i="3" l="1"/>
  <c r="AG10" i="3"/>
  <c r="AF10" i="3"/>
  <c r="AB11" i="3"/>
  <c r="AE10" i="3"/>
  <c r="AA11" i="3"/>
  <c r="AD15" i="4"/>
  <c r="AE14" i="4"/>
  <c r="AF11" i="3" l="1"/>
  <c r="AB12" i="3"/>
  <c r="AE11" i="3"/>
  <c r="AA12" i="3"/>
  <c r="AC12" i="3"/>
  <c r="AG11" i="3"/>
  <c r="AD16" i="4"/>
  <c r="AE15" i="4"/>
  <c r="AG12" i="3" l="1"/>
  <c r="AC13" i="3"/>
  <c r="AA13" i="3"/>
  <c r="AE12" i="3"/>
  <c r="AB13" i="3"/>
  <c r="AF12" i="3"/>
  <c r="AD17" i="4"/>
  <c r="AE16" i="4"/>
  <c r="AB14" i="3" l="1"/>
  <c r="AF13" i="3"/>
  <c r="AA14" i="3"/>
  <c r="AE13" i="3"/>
  <c r="AC14" i="3"/>
  <c r="AG13" i="3"/>
  <c r="AD18" i="4"/>
  <c r="AE17" i="4"/>
  <c r="AG14" i="3" l="1"/>
  <c r="AC15" i="3"/>
  <c r="AA15" i="3"/>
  <c r="AE14" i="3"/>
  <c r="AF14" i="3"/>
  <c r="AB15" i="3"/>
  <c r="AD19" i="4"/>
  <c r="AE18" i="4"/>
  <c r="AB16" i="3" l="1"/>
  <c r="AF15" i="3"/>
  <c r="AA16" i="3"/>
  <c r="AE15" i="3"/>
  <c r="AC16" i="3"/>
  <c r="AG15" i="3"/>
  <c r="AD20" i="4"/>
  <c r="AE19" i="4"/>
  <c r="AA17" i="3" l="1"/>
  <c r="AE16" i="3"/>
  <c r="AC17" i="3"/>
  <c r="AG16" i="3"/>
  <c r="AB17" i="3"/>
  <c r="AF16" i="3"/>
  <c r="AD21" i="4"/>
  <c r="AE20" i="4"/>
  <c r="AB18" i="3" l="1"/>
  <c r="AF17" i="3"/>
  <c r="AA18" i="3"/>
  <c r="AE17" i="3"/>
  <c r="AC18" i="3"/>
  <c r="AG17" i="3"/>
  <c r="AD22" i="4"/>
  <c r="AE21" i="4"/>
  <c r="AG18" i="3" l="1"/>
  <c r="AC19" i="3"/>
  <c r="AA19" i="3"/>
  <c r="AE18" i="3"/>
  <c r="AF18" i="3"/>
  <c r="AB19" i="3"/>
  <c r="AD23" i="4"/>
  <c r="AE22" i="4"/>
  <c r="AB20" i="3" l="1"/>
  <c r="AF19" i="3"/>
  <c r="AE19" i="3"/>
  <c r="AA20" i="3"/>
  <c r="AC20" i="3"/>
  <c r="AG19" i="3"/>
  <c r="AD24" i="4"/>
  <c r="AE23" i="4"/>
  <c r="AC21" i="3" l="1"/>
  <c r="AG20" i="3"/>
  <c r="AE20" i="3"/>
  <c r="AA21" i="3"/>
  <c r="AB21" i="3"/>
  <c r="AF20" i="3"/>
  <c r="AD25" i="4"/>
  <c r="AE24" i="4"/>
  <c r="AA22" i="3" l="1"/>
  <c r="AE21" i="3"/>
  <c r="AB22" i="3"/>
  <c r="AF21" i="3"/>
  <c r="AG21" i="3"/>
  <c r="AC22" i="3"/>
  <c r="AD26" i="4"/>
  <c r="AE25" i="4"/>
  <c r="AG22" i="3" l="1"/>
  <c r="AC23" i="3"/>
  <c r="AB23" i="3"/>
  <c r="AF22" i="3"/>
  <c r="AA23" i="3"/>
  <c r="AE22" i="3"/>
  <c r="AD27" i="4"/>
  <c r="AE26" i="4"/>
  <c r="AA24" i="3" l="1"/>
  <c r="AE23" i="3"/>
  <c r="AG23" i="3"/>
  <c r="AC24" i="3"/>
  <c r="AB24" i="3"/>
  <c r="AF23" i="3"/>
  <c r="AD28" i="4"/>
  <c r="AE27" i="4"/>
  <c r="AB25" i="3" l="1"/>
  <c r="AF24" i="3"/>
  <c r="AG24" i="3"/>
  <c r="AC25" i="3"/>
  <c r="AE24" i="3"/>
  <c r="AA25" i="3"/>
  <c r="AD29" i="4"/>
  <c r="AE28" i="4"/>
  <c r="AE25" i="3" l="1"/>
  <c r="AA26" i="3"/>
  <c r="AC26" i="3"/>
  <c r="AG25" i="3"/>
  <c r="AB26" i="3"/>
  <c r="AF25" i="3"/>
  <c r="AD30" i="4"/>
  <c r="AE29" i="4"/>
  <c r="AC27" i="3" l="1"/>
  <c r="AG26" i="3"/>
  <c r="AA27" i="3"/>
  <c r="AE26" i="3"/>
  <c r="AB27" i="3"/>
  <c r="AF26" i="3"/>
  <c r="AD31" i="4"/>
  <c r="AE30" i="4"/>
  <c r="AB28" i="3" l="1"/>
  <c r="AF27" i="3"/>
  <c r="AE27" i="3"/>
  <c r="AA28" i="3"/>
  <c r="AC28" i="3"/>
  <c r="AG27" i="3"/>
  <c r="AD32" i="4"/>
  <c r="AE31" i="4"/>
  <c r="AC29" i="3" l="1"/>
  <c r="AG28" i="3"/>
  <c r="AE28" i="3"/>
  <c r="AA29" i="3"/>
  <c r="AF28" i="3"/>
  <c r="AB29" i="3"/>
  <c r="AD33" i="4"/>
  <c r="AE32" i="4"/>
  <c r="AB30" i="3" l="1"/>
  <c r="AF29" i="3"/>
  <c r="AE29" i="3"/>
  <c r="AA30" i="3"/>
  <c r="AG29" i="3"/>
  <c r="AC30" i="3"/>
  <c r="AD34" i="4"/>
  <c r="AE33" i="4"/>
  <c r="AA31" i="3" l="1"/>
  <c r="AE30" i="3"/>
  <c r="AG30" i="3"/>
  <c r="AC31" i="3"/>
  <c r="AB31" i="3"/>
  <c r="AF30" i="3"/>
  <c r="AD35" i="4"/>
  <c r="AE34" i="4"/>
  <c r="AB32" i="3" l="1"/>
  <c r="AF31" i="3"/>
  <c r="AG31" i="3"/>
  <c r="AC32" i="3"/>
  <c r="AE31" i="3"/>
  <c r="AA32" i="3"/>
  <c r="AD36" i="4"/>
  <c r="AE35" i="4"/>
  <c r="AG32" i="3" l="1"/>
  <c r="AC33" i="3"/>
  <c r="AA33" i="3"/>
  <c r="AE32" i="3"/>
  <c r="AB33" i="3"/>
  <c r="AF32" i="3"/>
  <c r="AD37" i="4"/>
  <c r="AE36" i="4"/>
  <c r="AB34" i="3" l="1"/>
  <c r="AF33" i="3"/>
  <c r="AA34" i="3"/>
  <c r="AE33" i="3"/>
  <c r="AC34" i="3"/>
  <c r="AG33" i="3"/>
  <c r="AD38" i="4"/>
  <c r="AE37" i="4"/>
  <c r="AC35" i="3" l="1"/>
  <c r="AG34" i="3"/>
  <c r="AA35" i="3"/>
  <c r="AE34" i="3"/>
  <c r="AF34" i="3"/>
  <c r="AB35" i="3"/>
  <c r="AD39" i="4"/>
  <c r="AE38" i="4"/>
  <c r="AB36" i="3" l="1"/>
  <c r="AF35" i="3"/>
  <c r="AE35" i="3"/>
  <c r="AA36" i="3"/>
  <c r="AG35" i="3"/>
  <c r="AC36" i="3"/>
  <c r="AD40" i="4"/>
  <c r="AE39" i="4"/>
  <c r="AC37" i="3" l="1"/>
  <c r="AG36" i="3"/>
  <c r="AE36" i="3"/>
  <c r="AA37" i="3"/>
  <c r="AB37" i="3"/>
  <c r="AF36" i="3"/>
  <c r="AD41" i="4"/>
  <c r="AE40" i="4"/>
  <c r="AA38" i="3" l="1"/>
  <c r="AE37" i="3"/>
  <c r="AB38" i="3"/>
  <c r="AF37" i="3"/>
  <c r="AC38" i="3"/>
  <c r="AG37" i="3"/>
  <c r="AD42" i="4"/>
  <c r="AE41" i="4"/>
  <c r="AC39" i="3" l="1"/>
  <c r="AG38" i="3"/>
  <c r="AE38" i="3"/>
  <c r="AA39" i="3"/>
  <c r="AB39" i="3"/>
  <c r="AF38" i="3"/>
  <c r="AD43" i="4"/>
  <c r="AE42" i="4"/>
  <c r="AC40" i="3" l="1"/>
  <c r="AG39" i="3"/>
  <c r="AB40" i="3"/>
  <c r="AF39" i="3"/>
  <c r="AA40" i="3"/>
  <c r="AE39" i="3"/>
  <c r="AD44" i="4"/>
  <c r="AE43" i="4"/>
  <c r="AA41" i="3" l="1"/>
  <c r="AE40" i="3"/>
  <c r="AF40" i="3"/>
  <c r="AB41" i="3"/>
  <c r="AG40" i="3"/>
  <c r="AC41" i="3"/>
  <c r="AD45" i="4"/>
  <c r="AE44" i="4"/>
  <c r="AB42" i="3" l="1"/>
  <c r="AF41" i="3"/>
  <c r="AG41" i="3"/>
  <c r="AC42" i="3"/>
  <c r="AA42" i="3"/>
  <c r="AE41" i="3"/>
  <c r="AD46" i="4"/>
  <c r="AE45" i="4"/>
  <c r="AA43" i="3" l="1"/>
  <c r="AE42" i="3"/>
  <c r="AC43" i="3"/>
  <c r="AG42" i="3"/>
  <c r="AB43" i="3"/>
  <c r="AF42" i="3"/>
  <c r="AD47" i="4"/>
  <c r="AE46" i="4"/>
  <c r="AG43" i="3" l="1"/>
  <c r="AC44" i="3"/>
  <c r="AF43" i="3"/>
  <c r="AB44" i="3"/>
  <c r="AA44" i="3"/>
  <c r="AE43" i="3"/>
  <c r="AD48" i="4"/>
  <c r="AE47" i="4"/>
  <c r="AA45" i="3" l="1"/>
  <c r="AE44" i="3"/>
  <c r="AG44" i="3"/>
  <c r="AC45" i="3"/>
  <c r="AB45" i="3"/>
  <c r="AF44" i="3"/>
  <c r="AD49" i="4"/>
  <c r="AE48" i="4"/>
  <c r="AG45" i="3" l="1"/>
  <c r="AC46" i="3"/>
  <c r="AB46" i="3"/>
  <c r="AF45" i="3"/>
  <c r="AA46" i="3"/>
  <c r="AE45" i="3"/>
  <c r="AD50" i="4"/>
  <c r="AE49" i="4"/>
  <c r="AF46" i="3" l="1"/>
  <c r="AB47" i="3"/>
  <c r="AC47" i="3"/>
  <c r="AG46" i="3"/>
  <c r="AA47" i="3"/>
  <c r="AE46" i="3"/>
  <c r="AD51" i="4"/>
  <c r="AE50" i="4"/>
  <c r="AA48" i="3" l="1"/>
  <c r="AE47" i="3"/>
  <c r="AG47" i="3"/>
  <c r="AC48" i="3"/>
  <c r="AB48" i="3"/>
  <c r="AF47" i="3"/>
  <c r="AD52" i="4"/>
  <c r="AE51" i="4"/>
  <c r="AC49" i="3" l="1"/>
  <c r="AG48" i="3"/>
  <c r="AB49" i="3"/>
  <c r="AF48" i="3"/>
  <c r="AA49" i="3"/>
  <c r="AE48" i="3"/>
  <c r="AD53" i="4"/>
  <c r="AE52" i="4"/>
  <c r="AE49" i="3" l="1"/>
  <c r="AA50" i="3"/>
  <c r="AF49" i="3"/>
  <c r="AB50" i="3"/>
  <c r="AG49" i="3"/>
  <c r="AC50" i="3"/>
  <c r="AD54" i="4"/>
  <c r="AE53" i="4"/>
  <c r="AC51" i="3" l="1"/>
  <c r="AG50" i="3"/>
  <c r="AB51" i="3"/>
  <c r="AF50" i="3"/>
  <c r="AE50" i="3"/>
  <c r="AA51" i="3"/>
  <c r="AD55" i="4"/>
  <c r="AE54" i="4"/>
  <c r="AE51" i="3" l="1"/>
  <c r="AA52" i="3"/>
  <c r="AB52" i="3"/>
  <c r="AF51" i="3"/>
  <c r="AG51" i="3"/>
  <c r="AC52" i="3"/>
  <c r="AD56" i="4"/>
  <c r="AE55" i="4"/>
  <c r="AC53" i="3" l="1"/>
  <c r="AG52" i="3"/>
  <c r="AB53" i="3"/>
  <c r="AF52" i="3"/>
  <c r="AA53" i="3"/>
  <c r="AE52" i="3"/>
  <c r="AD57" i="4"/>
  <c r="AE56" i="4"/>
  <c r="AA54" i="3" l="1"/>
  <c r="AE53" i="3"/>
  <c r="AB54" i="3"/>
  <c r="AF53" i="3"/>
  <c r="AC54" i="3"/>
  <c r="AG53" i="3"/>
  <c r="AD58" i="4"/>
  <c r="AE57" i="4"/>
  <c r="AF54" i="3" l="1"/>
  <c r="AB55" i="3"/>
  <c r="AG54" i="3"/>
  <c r="AC55" i="3"/>
  <c r="AA55" i="3"/>
  <c r="AE54" i="3"/>
  <c r="AD59" i="4"/>
  <c r="AE58" i="4"/>
  <c r="AC56" i="3" l="1"/>
  <c r="AG55" i="3"/>
  <c r="AB56" i="3"/>
  <c r="AF55" i="3"/>
  <c r="AA56" i="3"/>
  <c r="AE55" i="3"/>
  <c r="AD60" i="4"/>
  <c r="AE59" i="4"/>
  <c r="AA57" i="3" l="1"/>
  <c r="AE56" i="3"/>
  <c r="AB57" i="3"/>
  <c r="AF56" i="3"/>
  <c r="AG56" i="3"/>
  <c r="AC57" i="3"/>
  <c r="AD61" i="4"/>
  <c r="AE60" i="4"/>
  <c r="AG57" i="3" l="1"/>
  <c r="AC58" i="3"/>
  <c r="AF57" i="3"/>
  <c r="AB58" i="3"/>
  <c r="AA58" i="3"/>
  <c r="AE57" i="3"/>
  <c r="AD62" i="4"/>
  <c r="AE61" i="4"/>
  <c r="AB59" i="3" l="1"/>
  <c r="AF58" i="3"/>
  <c r="AE58" i="3"/>
  <c r="AA59" i="3"/>
  <c r="AC59" i="3"/>
  <c r="AG58" i="3"/>
  <c r="AD63" i="4"/>
  <c r="AE62" i="4"/>
  <c r="AA60" i="3" l="1"/>
  <c r="AE59" i="3"/>
  <c r="AG59" i="3"/>
  <c r="AC60" i="3"/>
  <c r="AB60" i="3"/>
  <c r="AF59" i="3"/>
  <c r="AD64" i="4"/>
  <c r="AE63" i="4"/>
  <c r="AF60" i="3" l="1"/>
  <c r="AB61" i="3"/>
  <c r="AC61" i="3"/>
  <c r="AG60" i="3"/>
  <c r="AA61" i="3"/>
  <c r="AE60" i="3"/>
  <c r="AD65" i="4"/>
  <c r="AE64" i="4"/>
  <c r="AA62" i="3" l="1"/>
  <c r="AE61" i="3"/>
  <c r="AF61" i="3"/>
  <c r="AB62" i="3"/>
  <c r="AG61" i="3"/>
  <c r="AC62" i="3"/>
  <c r="AD66" i="4"/>
  <c r="AE65" i="4"/>
  <c r="AB63" i="3" l="1"/>
  <c r="AF62" i="3"/>
  <c r="AG62" i="3"/>
  <c r="AC63" i="3"/>
  <c r="AA63" i="3"/>
  <c r="AE62" i="3"/>
  <c r="AD67" i="4"/>
  <c r="AE66" i="4"/>
  <c r="AC64" i="3" l="1"/>
  <c r="AG63" i="3"/>
  <c r="AA64" i="3"/>
  <c r="AE63" i="3"/>
  <c r="AF63" i="3"/>
  <c r="AB64" i="3"/>
  <c r="AD68" i="4"/>
  <c r="AE67" i="4"/>
  <c r="AA65" i="3" l="1"/>
  <c r="AE64" i="3"/>
  <c r="AB65" i="3"/>
  <c r="AF64" i="3"/>
  <c r="AC65" i="3"/>
  <c r="AG64" i="3"/>
  <c r="AD69" i="4"/>
  <c r="AE68" i="4"/>
  <c r="AF65" i="3" l="1"/>
  <c r="AB66" i="3"/>
  <c r="AG65" i="3"/>
  <c r="AC66" i="3"/>
  <c r="AA66" i="3"/>
  <c r="AE65" i="3"/>
  <c r="AD70" i="4"/>
  <c r="AE69" i="4"/>
  <c r="AC67" i="3" l="1"/>
  <c r="AG66" i="3"/>
  <c r="AB67" i="3"/>
  <c r="AF66" i="3"/>
  <c r="AA67" i="3"/>
  <c r="AE66" i="3"/>
  <c r="AD71" i="4"/>
  <c r="AE70" i="4"/>
  <c r="AB68" i="3" l="1"/>
  <c r="AF67" i="3"/>
  <c r="AA68" i="3"/>
  <c r="AE67" i="3"/>
  <c r="AG67" i="3"/>
  <c r="AC68" i="3"/>
  <c r="AD72" i="4"/>
  <c r="AE71" i="4"/>
  <c r="AC69" i="3" l="1"/>
  <c r="AG68" i="3"/>
  <c r="AA69" i="3"/>
  <c r="AE68" i="3"/>
  <c r="AB69" i="3"/>
  <c r="AF68" i="3"/>
  <c r="AD73" i="4"/>
  <c r="AE72" i="4"/>
  <c r="AB70" i="3" l="1"/>
  <c r="AF69" i="3"/>
  <c r="AA70" i="3"/>
  <c r="AE69" i="3"/>
  <c r="AG69" i="3"/>
  <c r="AC70" i="3"/>
  <c r="AD74" i="4"/>
  <c r="AE73" i="4"/>
  <c r="AC71" i="3" l="1"/>
  <c r="AG70" i="3"/>
  <c r="AE70" i="3"/>
  <c r="AA71" i="3"/>
  <c r="AB71" i="3"/>
  <c r="AF70" i="3"/>
  <c r="AD75" i="4"/>
  <c r="AE74" i="4"/>
  <c r="AE71" i="3" l="1"/>
  <c r="AA72" i="3"/>
  <c r="AB72" i="3"/>
  <c r="AF71" i="3"/>
  <c r="AC72" i="3"/>
  <c r="AG71" i="3"/>
  <c r="AD76" i="4"/>
  <c r="AE75" i="4"/>
  <c r="AE72" i="3" l="1"/>
  <c r="AA73" i="3"/>
  <c r="AG72" i="3"/>
  <c r="AC73" i="3"/>
  <c r="AB73" i="3"/>
  <c r="AF72" i="3"/>
  <c r="AD77" i="4"/>
  <c r="AE76" i="4"/>
  <c r="AB74" i="3" l="1"/>
  <c r="AF73" i="3"/>
  <c r="AC74" i="3"/>
  <c r="AG73" i="3"/>
  <c r="AA74" i="3"/>
  <c r="AE73" i="3"/>
  <c r="AD78" i="4"/>
  <c r="AE77" i="4"/>
  <c r="AA75" i="3" l="1"/>
  <c r="AE74" i="3"/>
  <c r="AG74" i="3"/>
  <c r="AC75" i="3"/>
  <c r="AB75" i="3"/>
  <c r="AF74" i="3"/>
  <c r="AD79" i="4"/>
  <c r="AE78" i="4"/>
  <c r="AB76" i="3" l="1"/>
  <c r="AF75" i="3"/>
  <c r="AC76" i="3"/>
  <c r="AG75" i="3"/>
  <c r="AA76" i="3"/>
  <c r="AE75" i="3"/>
  <c r="AD80" i="4"/>
  <c r="AE79" i="4"/>
  <c r="AA77" i="3" l="1"/>
  <c r="AE76" i="3"/>
  <c r="AG76" i="3"/>
  <c r="AC77" i="3"/>
  <c r="AF76" i="3"/>
  <c r="AB77" i="3"/>
  <c r="AD81" i="4"/>
  <c r="AE80" i="4"/>
  <c r="AC78" i="3" l="1"/>
  <c r="AG77" i="3"/>
  <c r="AB78" i="3"/>
  <c r="AF77" i="3"/>
  <c r="AA78" i="3"/>
  <c r="AE77" i="3"/>
  <c r="AD82" i="4"/>
  <c r="AE81" i="4"/>
  <c r="AA79" i="3" l="1"/>
  <c r="AE78" i="3"/>
  <c r="AB79" i="3"/>
  <c r="AF78" i="3"/>
  <c r="AG78" i="3"/>
  <c r="AC79" i="3"/>
  <c r="AD83" i="4"/>
  <c r="AE82" i="4"/>
  <c r="AB80" i="3" l="1"/>
  <c r="AF79" i="3"/>
  <c r="AG79" i="3"/>
  <c r="AC80" i="3"/>
  <c r="AE79" i="3"/>
  <c r="AA80" i="3"/>
  <c r="AD84" i="4"/>
  <c r="AE83" i="4"/>
  <c r="AG80" i="3" l="1"/>
  <c r="AC81" i="3"/>
  <c r="AA81" i="3"/>
  <c r="AE80" i="3"/>
  <c r="AB81" i="3"/>
  <c r="AF80" i="3"/>
  <c r="AD85" i="4"/>
  <c r="AE84" i="4"/>
  <c r="AE81" i="3" l="1"/>
  <c r="AA82" i="3"/>
  <c r="AB82" i="3"/>
  <c r="AF81" i="3"/>
  <c r="AC82" i="3"/>
  <c r="AG81" i="3"/>
  <c r="AD86" i="4"/>
  <c r="AE85" i="4"/>
  <c r="AG82" i="3" l="1"/>
  <c r="AC83" i="3"/>
  <c r="AB83" i="3"/>
  <c r="AF82" i="3"/>
  <c r="AA83" i="3"/>
  <c r="AE82" i="3"/>
  <c r="AD87" i="4"/>
  <c r="AE86" i="4"/>
  <c r="AA84" i="3" l="1"/>
  <c r="AE83" i="3"/>
  <c r="AB84" i="3"/>
  <c r="AF83" i="3"/>
  <c r="AC84" i="3"/>
  <c r="AG83" i="3"/>
  <c r="AD88" i="4"/>
  <c r="AE87" i="4"/>
  <c r="AC85" i="3" l="1"/>
  <c r="AG84" i="3"/>
  <c r="AB85" i="3"/>
  <c r="AF84" i="3"/>
  <c r="AE84" i="3"/>
  <c r="AA85" i="3"/>
  <c r="AD89" i="4"/>
  <c r="AE88" i="4"/>
  <c r="AA86" i="3" l="1"/>
  <c r="AE85" i="3"/>
  <c r="AB86" i="3"/>
  <c r="AF85" i="3"/>
  <c r="AC86" i="3"/>
  <c r="AG85" i="3"/>
  <c r="AD90" i="4"/>
  <c r="AE89" i="4"/>
  <c r="AG86" i="3" l="1"/>
  <c r="AC87" i="3"/>
  <c r="AB87" i="3"/>
  <c r="AF86" i="3"/>
  <c r="AA87" i="3"/>
  <c r="AE86" i="3"/>
  <c r="AD91" i="4"/>
  <c r="AE90" i="4"/>
  <c r="AB88" i="3" l="1"/>
  <c r="AF87" i="3"/>
  <c r="AC88" i="3"/>
  <c r="AG87" i="3"/>
  <c r="AA88" i="3"/>
  <c r="AE87" i="3"/>
  <c r="AD92" i="4"/>
  <c r="AE91" i="4"/>
  <c r="AC89" i="3" l="1"/>
  <c r="AG88" i="3"/>
  <c r="AE88" i="3"/>
  <c r="AA89" i="3"/>
  <c r="AB89" i="3"/>
  <c r="AF88" i="3"/>
  <c r="AD93" i="4"/>
  <c r="AE92" i="4"/>
  <c r="AB90" i="3" l="1"/>
  <c r="AF89" i="3"/>
  <c r="AA90" i="3"/>
  <c r="AE89" i="3"/>
  <c r="AG89" i="3"/>
  <c r="AC90" i="3"/>
  <c r="AD94" i="4"/>
  <c r="AE93" i="4"/>
  <c r="AA91" i="3" l="1"/>
  <c r="AE90" i="3"/>
  <c r="AC91" i="3"/>
  <c r="AG90" i="3"/>
  <c r="AB91" i="3"/>
  <c r="AF90" i="3"/>
  <c r="AD95" i="4"/>
  <c r="AE94" i="4"/>
  <c r="AB92" i="3" l="1"/>
  <c r="AF91" i="3"/>
  <c r="AG91" i="3"/>
  <c r="AC92" i="3"/>
  <c r="AE91" i="3"/>
  <c r="AA92" i="3"/>
  <c r="AD96" i="4"/>
  <c r="AE95" i="4"/>
  <c r="AG92" i="3" l="1"/>
  <c r="AC93" i="3"/>
  <c r="AA93" i="3"/>
  <c r="AE92" i="3"/>
  <c r="AB93" i="3"/>
  <c r="AF92" i="3"/>
  <c r="AD97" i="4"/>
  <c r="AE96" i="4"/>
  <c r="AA94" i="3" l="1"/>
  <c r="AE93" i="3"/>
  <c r="AG93" i="3"/>
  <c r="AC94" i="3"/>
  <c r="AB94" i="3"/>
  <c r="AF93" i="3"/>
  <c r="AD98" i="4"/>
  <c r="AE97" i="4"/>
  <c r="AB95" i="3" l="1"/>
  <c r="AF94" i="3"/>
  <c r="AC95" i="3"/>
  <c r="AG94" i="3"/>
  <c r="AA95" i="3"/>
  <c r="AE94" i="3"/>
  <c r="AD99" i="4"/>
  <c r="AE98" i="4"/>
  <c r="AA96" i="3" l="1"/>
  <c r="AE95" i="3"/>
  <c r="AG95" i="3"/>
  <c r="AC96" i="3"/>
  <c r="AB96" i="3"/>
  <c r="AF95" i="3"/>
  <c r="AD100" i="4"/>
  <c r="AE99" i="4"/>
  <c r="AG96" i="3" l="1"/>
  <c r="AC97" i="3"/>
  <c r="AF96" i="3"/>
  <c r="AB97" i="3"/>
  <c r="AA97" i="3"/>
  <c r="AE96" i="3"/>
  <c r="AD101" i="4"/>
  <c r="AE100" i="4"/>
  <c r="AB98" i="3" l="1"/>
  <c r="AF97" i="3"/>
  <c r="AG97" i="3"/>
  <c r="AC98" i="3"/>
  <c r="AA98" i="3"/>
  <c r="AE97" i="3"/>
  <c r="AD102" i="4"/>
  <c r="AE101" i="4"/>
  <c r="AG98" i="3" l="1"/>
  <c r="AC99" i="3"/>
  <c r="AA99" i="3"/>
  <c r="AE98" i="3"/>
  <c r="AB99" i="3"/>
  <c r="AF98" i="3"/>
  <c r="AD103" i="4"/>
  <c r="AE102" i="4"/>
  <c r="AA100" i="3" l="1"/>
  <c r="AE99" i="3"/>
  <c r="AC100" i="3"/>
  <c r="AG99" i="3"/>
  <c r="AB100" i="3"/>
  <c r="AF99" i="3"/>
  <c r="AD104" i="4"/>
  <c r="AE103" i="4"/>
  <c r="AG100" i="3" l="1"/>
  <c r="AC101" i="3"/>
  <c r="AB101" i="3"/>
  <c r="AF100" i="3"/>
  <c r="AA101" i="3"/>
  <c r="AE100" i="3"/>
  <c r="AD105" i="4"/>
  <c r="AE104" i="4"/>
  <c r="AB102" i="3" l="1"/>
  <c r="AF101" i="3"/>
  <c r="AA102" i="3"/>
  <c r="AE101" i="3"/>
  <c r="AG101" i="3"/>
  <c r="AC102" i="3"/>
  <c r="AD106" i="4"/>
  <c r="AE105" i="4"/>
  <c r="AG102" i="3" l="1"/>
  <c r="AC103" i="3"/>
  <c r="AA103" i="3"/>
  <c r="AE102" i="3"/>
  <c r="AB103" i="3"/>
  <c r="AF102" i="3"/>
  <c r="AD107" i="4"/>
  <c r="AE106" i="4"/>
  <c r="AB104" i="3" l="1"/>
  <c r="AF103" i="3"/>
  <c r="AA104" i="3"/>
  <c r="AE103" i="3"/>
  <c r="AG103" i="3"/>
  <c r="AC104" i="3"/>
  <c r="AD108" i="4"/>
  <c r="AE107" i="4"/>
  <c r="AC105" i="3" l="1"/>
  <c r="AG104" i="3"/>
  <c r="AE104" i="3"/>
  <c r="AA105" i="3"/>
  <c r="AF104" i="3"/>
  <c r="AB105" i="3"/>
  <c r="AD109" i="4"/>
  <c r="AE108" i="4"/>
  <c r="AB106" i="3" l="1"/>
  <c r="AF105" i="3"/>
  <c r="AE105" i="3"/>
  <c r="AA106" i="3"/>
  <c r="AG105" i="3"/>
  <c r="AC106" i="3"/>
  <c r="AD110" i="4"/>
  <c r="AE109" i="4"/>
  <c r="AG106" i="3" l="1"/>
  <c r="AC107" i="3"/>
  <c r="AB107" i="3"/>
  <c r="AF106" i="3"/>
  <c r="AA107" i="3"/>
  <c r="AE106" i="3"/>
  <c r="AD111" i="4"/>
  <c r="AE110" i="4"/>
  <c r="AA108" i="3" l="1"/>
  <c r="AE107" i="3"/>
  <c r="AC108" i="3"/>
  <c r="AG107" i="3"/>
  <c r="AB108" i="3"/>
  <c r="AF107" i="3"/>
  <c r="AD112" i="4"/>
  <c r="AE111" i="4"/>
  <c r="AB109" i="3" l="1"/>
  <c r="AF108" i="3"/>
  <c r="AC109" i="3"/>
  <c r="AG108" i="3"/>
  <c r="AE108" i="3"/>
  <c r="AA109" i="3"/>
  <c r="AD113" i="4"/>
  <c r="AE112" i="4"/>
  <c r="AG109" i="3" l="1"/>
  <c r="AC110" i="3"/>
  <c r="AA110" i="3"/>
  <c r="AE109" i="3"/>
  <c r="AB110" i="3"/>
  <c r="AF109" i="3"/>
  <c r="AD114" i="4"/>
  <c r="AE113" i="4"/>
  <c r="AC111" i="3" l="1"/>
  <c r="AG110" i="3"/>
  <c r="AB111" i="3"/>
  <c r="AF110" i="3"/>
  <c r="AA111" i="3"/>
  <c r="AE110" i="3"/>
  <c r="AD115" i="4"/>
  <c r="AE114" i="4"/>
  <c r="AE111" i="3" l="1"/>
  <c r="AA112" i="3"/>
  <c r="AF111" i="3"/>
  <c r="AB112" i="3"/>
  <c r="AC112" i="3"/>
  <c r="AG111" i="3"/>
  <c r="AD116" i="4"/>
  <c r="AE115" i="4"/>
  <c r="AB113" i="3" l="1"/>
  <c r="AF112" i="3"/>
  <c r="AC113" i="3"/>
  <c r="AG112" i="3"/>
  <c r="AA113" i="3"/>
  <c r="AE112" i="3"/>
  <c r="AD117" i="4"/>
  <c r="AE116" i="4"/>
  <c r="AC114" i="3" l="1"/>
  <c r="AG113" i="3"/>
  <c r="AA114" i="3"/>
  <c r="AE113" i="3"/>
  <c r="AB114" i="3"/>
  <c r="AF113" i="3"/>
  <c r="AD118" i="4"/>
  <c r="AE117" i="4"/>
  <c r="AA115" i="3" l="1"/>
  <c r="AE114" i="3"/>
  <c r="AB115" i="3"/>
  <c r="AF114" i="3"/>
  <c r="AC115" i="3"/>
  <c r="AG114" i="3"/>
  <c r="AD119" i="4"/>
  <c r="AE118" i="4"/>
  <c r="AB116" i="3" l="1"/>
  <c r="AF115" i="3"/>
  <c r="AG115" i="3"/>
  <c r="AC116" i="3"/>
  <c r="AA116" i="3"/>
  <c r="AE115" i="3"/>
  <c r="AD120" i="4"/>
  <c r="AE119" i="4"/>
  <c r="AA117" i="3" l="1"/>
  <c r="AE116" i="3"/>
  <c r="AG116" i="3"/>
  <c r="AC117" i="3"/>
  <c r="AB117" i="3"/>
  <c r="AF116" i="3"/>
  <c r="AD121" i="4"/>
  <c r="AE120" i="4"/>
  <c r="AF117" i="3" l="1"/>
  <c r="AB118" i="3"/>
  <c r="AC118" i="3"/>
  <c r="AG117" i="3"/>
  <c r="AA118" i="3"/>
  <c r="AE117" i="3"/>
  <c r="AD122" i="4"/>
  <c r="AE121" i="4"/>
  <c r="AC119" i="3" l="1"/>
  <c r="AG118" i="3"/>
  <c r="AA119" i="3"/>
  <c r="AE118" i="3"/>
  <c r="AB119" i="3"/>
  <c r="AF118" i="3"/>
  <c r="AD123" i="4"/>
  <c r="AE122" i="4"/>
  <c r="AA120" i="3" l="1"/>
  <c r="AE119" i="3"/>
  <c r="AF119" i="3"/>
  <c r="AB120" i="3"/>
  <c r="AC120" i="3"/>
  <c r="AG119" i="3"/>
  <c r="AD124" i="4"/>
  <c r="AE123" i="4"/>
  <c r="AF120" i="3" l="1"/>
  <c r="AB121" i="3"/>
  <c r="AG120" i="3"/>
  <c r="AC121" i="3"/>
  <c r="AA121" i="3"/>
  <c r="AE120" i="3"/>
  <c r="AD125" i="4"/>
  <c r="AE124" i="4"/>
  <c r="AA122" i="3" l="1"/>
  <c r="AE121" i="3"/>
  <c r="AC122" i="3"/>
  <c r="AG121" i="3"/>
  <c r="AB122" i="3"/>
  <c r="AF121" i="3"/>
  <c r="AD126" i="4"/>
  <c r="AE125" i="4"/>
  <c r="AF122" i="3" l="1"/>
  <c r="AB123" i="3"/>
  <c r="AG122" i="3"/>
  <c r="AC123" i="3"/>
  <c r="AA123" i="3"/>
  <c r="AE122" i="3"/>
  <c r="AD127" i="4"/>
  <c r="AE126" i="4"/>
  <c r="AA124" i="3" l="1"/>
  <c r="AE123" i="3"/>
  <c r="AC124" i="3"/>
  <c r="AG123" i="3"/>
  <c r="AF123" i="3"/>
  <c r="AB124" i="3"/>
  <c r="AD128" i="4"/>
  <c r="AE127" i="4"/>
  <c r="AB125" i="3" l="1"/>
  <c r="AF124" i="3"/>
  <c r="AG124" i="3"/>
  <c r="AC125" i="3"/>
  <c r="AA125" i="3"/>
  <c r="AE124" i="3"/>
  <c r="AD129" i="4"/>
  <c r="AE128" i="4"/>
  <c r="AA126" i="3" l="1"/>
  <c r="AE125" i="3"/>
  <c r="AG125" i="3"/>
  <c r="AC126" i="3"/>
  <c r="AF125" i="3"/>
  <c r="AB126" i="3"/>
  <c r="AD130" i="4"/>
  <c r="AE129" i="4"/>
  <c r="AF126" i="3" l="1"/>
  <c r="AB127" i="3"/>
  <c r="AC127" i="3"/>
  <c r="AG126" i="3"/>
  <c r="AA127" i="3"/>
  <c r="AE126" i="3"/>
  <c r="AD131" i="4"/>
  <c r="AE130" i="4"/>
  <c r="AA128" i="3" l="1"/>
  <c r="AE127" i="3"/>
  <c r="AG127" i="3"/>
  <c r="AC128" i="3"/>
  <c r="AB128" i="3"/>
  <c r="AF127" i="3"/>
  <c r="AD132" i="4"/>
  <c r="AE131" i="4"/>
  <c r="AB129" i="3" l="1"/>
  <c r="AF128" i="3"/>
  <c r="AC129" i="3"/>
  <c r="AG128" i="3"/>
  <c r="AA129" i="3"/>
  <c r="AE128" i="3"/>
  <c r="AD133" i="4"/>
  <c r="AE132" i="4"/>
  <c r="AC130" i="3" l="1"/>
  <c r="AG129" i="3"/>
  <c r="AA130" i="3"/>
  <c r="AE129" i="3"/>
  <c r="AB130" i="3"/>
  <c r="AF129" i="3"/>
  <c r="AD134" i="4"/>
  <c r="AE133" i="4"/>
  <c r="AB131" i="3" l="1"/>
  <c r="AF130" i="3"/>
  <c r="AE130" i="3"/>
  <c r="AA131" i="3"/>
  <c r="AC131" i="3"/>
  <c r="AG130" i="3"/>
  <c r="AD135" i="4"/>
  <c r="AE134" i="4"/>
  <c r="AG131" i="3" l="1"/>
  <c r="AC132" i="3"/>
  <c r="AE131" i="3"/>
  <c r="AA132" i="3"/>
  <c r="AF131" i="3"/>
  <c r="AB132" i="3"/>
  <c r="AD136" i="4"/>
  <c r="AE135" i="4"/>
  <c r="AB133" i="3" l="1"/>
  <c r="AF132" i="3"/>
  <c r="AC133" i="3"/>
  <c r="AG132" i="3"/>
  <c r="AA133" i="3"/>
  <c r="AE132" i="3"/>
  <c r="AD137" i="4"/>
  <c r="AE136" i="4"/>
  <c r="AC134" i="3" l="1"/>
  <c r="AG133" i="3"/>
  <c r="AA134" i="3"/>
  <c r="AE133" i="3"/>
  <c r="AF133" i="3"/>
  <c r="AB134" i="3"/>
  <c r="AD138" i="4"/>
  <c r="AE137" i="4"/>
  <c r="AB135" i="3" l="1"/>
  <c r="AF134" i="3"/>
  <c r="AA135" i="3"/>
  <c r="AE134" i="3"/>
  <c r="AC135" i="3"/>
  <c r="AG134" i="3"/>
  <c r="AD139" i="4"/>
  <c r="AE138" i="4"/>
  <c r="AA136" i="3" l="1"/>
  <c r="AE135" i="3"/>
  <c r="AG135" i="3"/>
  <c r="AC136" i="3"/>
  <c r="AB136" i="3"/>
  <c r="AF135" i="3"/>
  <c r="AD140" i="4"/>
  <c r="AE139" i="4"/>
  <c r="AB137" i="3" l="1"/>
  <c r="AF136" i="3"/>
  <c r="AG136" i="3"/>
  <c r="AC137" i="3"/>
  <c r="AA137" i="3"/>
  <c r="AE136" i="3"/>
  <c r="AD141" i="4"/>
  <c r="AE140" i="4"/>
  <c r="AG137" i="3" l="1"/>
  <c r="AC138" i="3"/>
  <c r="AE137" i="3"/>
  <c r="AA138" i="3"/>
  <c r="AB138" i="3"/>
  <c r="AF137" i="3"/>
  <c r="AD142" i="4"/>
  <c r="AE141" i="4"/>
  <c r="AG138" i="3" l="1"/>
  <c r="AC139" i="3"/>
  <c r="AB139" i="3"/>
  <c r="AF138" i="3"/>
  <c r="AA139" i="3"/>
  <c r="AE138" i="3"/>
  <c r="AD143" i="4"/>
  <c r="AE142" i="4"/>
  <c r="AF139" i="3" l="1"/>
  <c r="AB140" i="3"/>
  <c r="AG139" i="3"/>
  <c r="AC140" i="3"/>
  <c r="AA140" i="3"/>
  <c r="AE139" i="3"/>
  <c r="AD144" i="4"/>
  <c r="AE143" i="4"/>
  <c r="AA141" i="3" l="1"/>
  <c r="AE140" i="3"/>
  <c r="AB141" i="3"/>
  <c r="AF140" i="3"/>
  <c r="AC141" i="3"/>
  <c r="AG140" i="3"/>
  <c r="AD145" i="4"/>
  <c r="AE144" i="4"/>
  <c r="AC142" i="3" l="1"/>
  <c r="AG141" i="3"/>
  <c r="AF141" i="3"/>
  <c r="AB142" i="3"/>
  <c r="AA142" i="3"/>
  <c r="AE141" i="3"/>
  <c r="AD146" i="4"/>
  <c r="AE145" i="4"/>
  <c r="AA143" i="3" l="1"/>
  <c r="AE142" i="3"/>
  <c r="AB143" i="3"/>
  <c r="AF142" i="3"/>
  <c r="AG142" i="3"/>
  <c r="AC143" i="3"/>
  <c r="AD147" i="4"/>
  <c r="AE146" i="4"/>
  <c r="AG143" i="3" l="1"/>
  <c r="AC144" i="3"/>
  <c r="AF143" i="3"/>
  <c r="AB144" i="3"/>
  <c r="AA144" i="3"/>
  <c r="AE143" i="3"/>
  <c r="AD148" i="4"/>
  <c r="AE147" i="4"/>
  <c r="AB145" i="3" l="1"/>
  <c r="AF144" i="3"/>
  <c r="AA145" i="3"/>
  <c r="AE144" i="3"/>
  <c r="AC145" i="3"/>
  <c r="AG144" i="3"/>
  <c r="AD149" i="4"/>
  <c r="AE148" i="4"/>
  <c r="AG145" i="3" l="1"/>
  <c r="AC146" i="3"/>
  <c r="AA146" i="3"/>
  <c r="AE145" i="3"/>
  <c r="AB146" i="3"/>
  <c r="AF145" i="3"/>
  <c r="AD150" i="4"/>
  <c r="AE149" i="4"/>
  <c r="AB147" i="3" l="1"/>
  <c r="AF146" i="3"/>
  <c r="AC147" i="3"/>
  <c r="AG146" i="3"/>
  <c r="AA147" i="3"/>
  <c r="AE146" i="3"/>
  <c r="AD151" i="4"/>
  <c r="AE150" i="4"/>
  <c r="AA148" i="3" l="1"/>
  <c r="AE147" i="3"/>
  <c r="AC148" i="3"/>
  <c r="AG147" i="3"/>
  <c r="AB148" i="3"/>
  <c r="AF147" i="3"/>
  <c r="AD152" i="4"/>
  <c r="AE151" i="4"/>
  <c r="AB149" i="3" l="1"/>
  <c r="AF148" i="3"/>
  <c r="AG148" i="3"/>
  <c r="AC149" i="3"/>
  <c r="AA149" i="3"/>
  <c r="AE148" i="3"/>
  <c r="AD153" i="4"/>
  <c r="AE152" i="4"/>
  <c r="AC150" i="3" l="1"/>
  <c r="AG149" i="3"/>
  <c r="AE149" i="3"/>
  <c r="AA150" i="3"/>
  <c r="AB150" i="3"/>
  <c r="AF149" i="3"/>
  <c r="AD154" i="4"/>
  <c r="AE153" i="4"/>
  <c r="AA151" i="3" l="1"/>
  <c r="AE150" i="3"/>
  <c r="AF150" i="3"/>
  <c r="AB151" i="3"/>
  <c r="AG150" i="3"/>
  <c r="AC151" i="3"/>
  <c r="AD155" i="4"/>
  <c r="AE154" i="4"/>
  <c r="AG151" i="3" l="1"/>
  <c r="AC152" i="3"/>
  <c r="AB152" i="3"/>
  <c r="AF151" i="3"/>
  <c r="AA152" i="3"/>
  <c r="AE151" i="3"/>
  <c r="AD156" i="4"/>
  <c r="AE155" i="4"/>
  <c r="AG152" i="3" l="1"/>
  <c r="AC153" i="3"/>
  <c r="AA153" i="3"/>
  <c r="AE152" i="3"/>
  <c r="AF152" i="3"/>
  <c r="AB153" i="3"/>
  <c r="AD157" i="4"/>
  <c r="AE156" i="4"/>
  <c r="AF153" i="3" l="1"/>
  <c r="AB154" i="3"/>
  <c r="AA154" i="3"/>
  <c r="AE153" i="3"/>
  <c r="AG153" i="3"/>
  <c r="AC154" i="3"/>
  <c r="AD158" i="4"/>
  <c r="AE157" i="4"/>
  <c r="AA155" i="3" l="1"/>
  <c r="AE154" i="3"/>
  <c r="AB155" i="3"/>
  <c r="AF154" i="3"/>
  <c r="AC155" i="3"/>
  <c r="AG154" i="3"/>
  <c r="AD159" i="4"/>
  <c r="AE158" i="4"/>
  <c r="AG155" i="3" l="1"/>
  <c r="AC156" i="3"/>
  <c r="AB156" i="3"/>
  <c r="AF155" i="3"/>
  <c r="AA156" i="3"/>
  <c r="AE155" i="3"/>
  <c r="AD160" i="4"/>
  <c r="AE159" i="4"/>
  <c r="AB157" i="3" l="1"/>
  <c r="AF156" i="3"/>
  <c r="AA157" i="3"/>
  <c r="AE156" i="3"/>
  <c r="AC157" i="3"/>
  <c r="AG156" i="3"/>
  <c r="AD161" i="4"/>
  <c r="AE160" i="4"/>
  <c r="AG157" i="3" l="1"/>
  <c r="AC158" i="3"/>
  <c r="AA158" i="3"/>
  <c r="AE157" i="3"/>
  <c r="AF157" i="3"/>
  <c r="AB158" i="3"/>
  <c r="AD162" i="4"/>
  <c r="AE161" i="4"/>
  <c r="AC159" i="3" l="1"/>
  <c r="AG158" i="3"/>
  <c r="AB159" i="3"/>
  <c r="AF158" i="3"/>
  <c r="AA159" i="3"/>
  <c r="AE158" i="3"/>
  <c r="AD163" i="4"/>
  <c r="AE162" i="4"/>
  <c r="AB160" i="3" l="1"/>
  <c r="AF159" i="3"/>
  <c r="AA160" i="3"/>
  <c r="AE159" i="3"/>
  <c r="AC160" i="3"/>
  <c r="AG159" i="3"/>
  <c r="AD164" i="4"/>
  <c r="AE163" i="4"/>
  <c r="AG160" i="3" l="1"/>
  <c r="AC161" i="3"/>
  <c r="AA161" i="3"/>
  <c r="AE160" i="3"/>
  <c r="AF160" i="3"/>
  <c r="AB161" i="3"/>
  <c r="AD165" i="4"/>
  <c r="AE164" i="4"/>
  <c r="AB162" i="3" l="1"/>
  <c r="AF161" i="3"/>
  <c r="AC162" i="3"/>
  <c r="AG161" i="3"/>
  <c r="AA162" i="3"/>
  <c r="AE161" i="3"/>
  <c r="AD166" i="4"/>
  <c r="AE165" i="4"/>
  <c r="AC163" i="3" l="1"/>
  <c r="AG162" i="3"/>
  <c r="AA163" i="3"/>
  <c r="AE162" i="3"/>
  <c r="AB163" i="3"/>
  <c r="AF162" i="3"/>
  <c r="AD167" i="4"/>
  <c r="AE166" i="4"/>
  <c r="AF163" i="3" l="1"/>
  <c r="AB164" i="3"/>
  <c r="AE163" i="3"/>
  <c r="AA164" i="3"/>
  <c r="AG163" i="3"/>
  <c r="AC164" i="3"/>
  <c r="AD168" i="4"/>
  <c r="AE167" i="4"/>
  <c r="AB165" i="3" l="1"/>
  <c r="AF164" i="3"/>
  <c r="AC165" i="3"/>
  <c r="AG164" i="3"/>
  <c r="AE164" i="3"/>
  <c r="AA165" i="3"/>
  <c r="AD169" i="4"/>
  <c r="AE168" i="4"/>
  <c r="AE165" i="3" l="1"/>
  <c r="AA166" i="3"/>
  <c r="AC166" i="3"/>
  <c r="AG165" i="3"/>
  <c r="AB166" i="3"/>
  <c r="AF165" i="3"/>
  <c r="AD170" i="4"/>
  <c r="AE169" i="4"/>
  <c r="AC167" i="3" l="1"/>
  <c r="AG166" i="3"/>
  <c r="AA167" i="3"/>
  <c r="AE166" i="3"/>
  <c r="AB167" i="3"/>
  <c r="AF166" i="3"/>
  <c r="AD171" i="4"/>
  <c r="AE170" i="4"/>
  <c r="AB168" i="3" l="1"/>
  <c r="AF167" i="3"/>
  <c r="AA168" i="3"/>
  <c r="AE167" i="3"/>
  <c r="AG167" i="3"/>
  <c r="AC168" i="3"/>
  <c r="AD172" i="4"/>
  <c r="AE171" i="4"/>
  <c r="AG168" i="3" l="1"/>
  <c r="AC169" i="3"/>
  <c r="AA169" i="3"/>
  <c r="AE168" i="3"/>
  <c r="AB169" i="3"/>
  <c r="AF168" i="3"/>
  <c r="AD173" i="4"/>
  <c r="AE172" i="4"/>
  <c r="AA170" i="3" l="1"/>
  <c r="AE169" i="3"/>
  <c r="AB170" i="3"/>
  <c r="AF169" i="3"/>
  <c r="AG169" i="3"/>
  <c r="AC170" i="3"/>
  <c r="AD174" i="4"/>
  <c r="AE173" i="4"/>
  <c r="AG170" i="3" l="1"/>
  <c r="AC171" i="3"/>
  <c r="AB171" i="3"/>
  <c r="AF170" i="3"/>
  <c r="AA171" i="3"/>
  <c r="AE170" i="3"/>
  <c r="AD175" i="4"/>
  <c r="AE174" i="4"/>
  <c r="AC172" i="3" l="1"/>
  <c r="AG171" i="3"/>
  <c r="AA172" i="3"/>
  <c r="AE171" i="3"/>
  <c r="AB172" i="3"/>
  <c r="AF171" i="3"/>
  <c r="AD176" i="4"/>
  <c r="AE175" i="4"/>
  <c r="AA173" i="3" l="1"/>
  <c r="AE172" i="3"/>
  <c r="AB173" i="3"/>
  <c r="AF172" i="3"/>
  <c r="AC173" i="3"/>
  <c r="AG172" i="3"/>
  <c r="AD177" i="4"/>
  <c r="AE176" i="4"/>
  <c r="AG173" i="3" l="1"/>
  <c r="AC174" i="3"/>
  <c r="AB174" i="3"/>
  <c r="AF173" i="3"/>
  <c r="AE173" i="3"/>
  <c r="AA174" i="3"/>
  <c r="AD178" i="4"/>
  <c r="AE177" i="4"/>
  <c r="AB175" i="3" l="1"/>
  <c r="AF174" i="3"/>
  <c r="AE174" i="3"/>
  <c r="AA175" i="3"/>
  <c r="AG174" i="3"/>
  <c r="AC175" i="3"/>
  <c r="AD179" i="4"/>
  <c r="AE178" i="4"/>
  <c r="AA176" i="3" l="1"/>
  <c r="AE175" i="3"/>
  <c r="AG175" i="3"/>
  <c r="AC176" i="3"/>
  <c r="AB176" i="3"/>
  <c r="AF175" i="3"/>
  <c r="AD180" i="4"/>
  <c r="AE179" i="4"/>
  <c r="AC177" i="3" l="1"/>
  <c r="AG176" i="3"/>
  <c r="AB177" i="3"/>
  <c r="AF176" i="3"/>
  <c r="AA177" i="3"/>
  <c r="AE176" i="3"/>
  <c r="AD181" i="4"/>
  <c r="AE180" i="4"/>
  <c r="AA178" i="3" l="1"/>
  <c r="AE177" i="3"/>
  <c r="AF177" i="3"/>
  <c r="AB178" i="3"/>
  <c r="AG177" i="3"/>
  <c r="AC178" i="3"/>
  <c r="AD182" i="4"/>
  <c r="AE181" i="4"/>
  <c r="AB179" i="3" l="1"/>
  <c r="AF178" i="3"/>
  <c r="AG178" i="3"/>
  <c r="AC179" i="3"/>
  <c r="AA179" i="3"/>
  <c r="AE178" i="3"/>
  <c r="AD183" i="4"/>
  <c r="AE182" i="4"/>
  <c r="AC180" i="3" l="1"/>
  <c r="AG179" i="3"/>
  <c r="AA180" i="3"/>
  <c r="AE179" i="3"/>
  <c r="AB180" i="3"/>
  <c r="AF179" i="3"/>
  <c r="AD184" i="4"/>
  <c r="AE183" i="4"/>
  <c r="AA181" i="3" l="1"/>
  <c r="AE180" i="3"/>
  <c r="AF180" i="3"/>
  <c r="AB181" i="3"/>
  <c r="AC181" i="3"/>
  <c r="AG180" i="3"/>
  <c r="AD185" i="4"/>
  <c r="AE184" i="4"/>
  <c r="AG181" i="3" l="1"/>
  <c r="AC182" i="3"/>
  <c r="AB182" i="3"/>
  <c r="AF181" i="3"/>
  <c r="AA182" i="3"/>
  <c r="AE181" i="3"/>
  <c r="AD186" i="4"/>
  <c r="AE185" i="4"/>
  <c r="AG182" i="3" l="1"/>
  <c r="AC183" i="3"/>
  <c r="AA183" i="3"/>
  <c r="AE182" i="3"/>
  <c r="AF182" i="3"/>
  <c r="AB183" i="3"/>
  <c r="AD187" i="4"/>
  <c r="AE186" i="4"/>
  <c r="AF183" i="3" l="1"/>
  <c r="AB184" i="3"/>
  <c r="AA184" i="3"/>
  <c r="AE183" i="3"/>
  <c r="AC184" i="3"/>
  <c r="AG183" i="3"/>
  <c r="AD188" i="4"/>
  <c r="AE187" i="4"/>
  <c r="AF184" i="3" l="1"/>
  <c r="AB185" i="3"/>
  <c r="AC185" i="3"/>
  <c r="AG184" i="3"/>
  <c r="AE184" i="3"/>
  <c r="AA185" i="3"/>
  <c r="AD189" i="4"/>
  <c r="AE188" i="4"/>
  <c r="AC186" i="3" l="1"/>
  <c r="AG185" i="3"/>
  <c r="AF185" i="3"/>
  <c r="AB186" i="3"/>
  <c r="AE185" i="3"/>
  <c r="AA186" i="3"/>
  <c r="AD190" i="4"/>
  <c r="AE189" i="4"/>
  <c r="AA187" i="3" l="1"/>
  <c r="AE186" i="3"/>
  <c r="AF186" i="3"/>
  <c r="AB187" i="3"/>
  <c r="AC187" i="3"/>
  <c r="AG186" i="3"/>
  <c r="AD191" i="4"/>
  <c r="AE190" i="4"/>
  <c r="AG187" i="3" l="1"/>
  <c r="AC188" i="3"/>
  <c r="AB188" i="3"/>
  <c r="AF187" i="3"/>
  <c r="AA188" i="3"/>
  <c r="AE187" i="3"/>
  <c r="AD192" i="4"/>
  <c r="AE191" i="4"/>
  <c r="AE188" i="3" l="1"/>
  <c r="AA189" i="3"/>
  <c r="AB189" i="3"/>
  <c r="AF188" i="3"/>
  <c r="AC189" i="3"/>
  <c r="AG188" i="3"/>
  <c r="AD193" i="4"/>
  <c r="AE192" i="4"/>
  <c r="AB190" i="3" l="1"/>
  <c r="AF189" i="3"/>
  <c r="AA190" i="3"/>
  <c r="AE189" i="3"/>
  <c r="AG189" i="3"/>
  <c r="AC190" i="3"/>
  <c r="AD194" i="4"/>
  <c r="AE193" i="4"/>
  <c r="AG190" i="3" l="1"/>
  <c r="AC191" i="3"/>
  <c r="AA191" i="3"/>
  <c r="AE190" i="3"/>
  <c r="AB191" i="3"/>
  <c r="AF190" i="3"/>
  <c r="AD195" i="4"/>
  <c r="AE194" i="4"/>
  <c r="AE191" i="3" l="1"/>
  <c r="AA192" i="3"/>
  <c r="AG191" i="3"/>
  <c r="AC192" i="3"/>
  <c r="AB192" i="3"/>
  <c r="AF191" i="3"/>
  <c r="AD196" i="4"/>
  <c r="AE195" i="4"/>
  <c r="AB193" i="3" l="1"/>
  <c r="AF192" i="3"/>
  <c r="AC193" i="3"/>
  <c r="AG192" i="3"/>
  <c r="AA193" i="3"/>
  <c r="AE192" i="3"/>
  <c r="AD197" i="4"/>
  <c r="AE196" i="4"/>
  <c r="AA194" i="3" l="1"/>
  <c r="AE193" i="3"/>
  <c r="AC194" i="3"/>
  <c r="AG193" i="3"/>
  <c r="AF193" i="3"/>
  <c r="AB194" i="3"/>
  <c r="AD198" i="4"/>
  <c r="AE197" i="4"/>
  <c r="AC195" i="3" l="1"/>
  <c r="AG194" i="3"/>
  <c r="AB195" i="3"/>
  <c r="AF194" i="3"/>
  <c r="AA195" i="3"/>
  <c r="AE194" i="3"/>
  <c r="AD199" i="4"/>
  <c r="AE198" i="4"/>
  <c r="AA196" i="3" l="1"/>
  <c r="AE195" i="3"/>
  <c r="AB196" i="3"/>
  <c r="AF195" i="3"/>
  <c r="AC196" i="3"/>
  <c r="AG195" i="3"/>
  <c r="AD200" i="4"/>
  <c r="AE199" i="4"/>
  <c r="AB197" i="3" l="1"/>
  <c r="AF196" i="3"/>
  <c r="AG196" i="3"/>
  <c r="AC197" i="3"/>
  <c r="AA197" i="3"/>
  <c r="AE196" i="3"/>
  <c r="AD201" i="4"/>
  <c r="AE200" i="4"/>
  <c r="AC198" i="3" l="1"/>
  <c r="AG197" i="3"/>
  <c r="AA198" i="3"/>
  <c r="AE197" i="3"/>
  <c r="AB198" i="3"/>
  <c r="AF197" i="3"/>
  <c r="AD202" i="4"/>
  <c r="AE202" i="4"/>
  <c r="AE201" i="4"/>
  <c r="AE198" i="3" l="1"/>
  <c r="AA199" i="3"/>
  <c r="AF198" i="3"/>
  <c r="AB199" i="3"/>
  <c r="AC199" i="3"/>
  <c r="AG198" i="3"/>
  <c r="AA200" i="3" l="1"/>
  <c r="AE199" i="3"/>
  <c r="AG199" i="3"/>
  <c r="AC200" i="3"/>
  <c r="AB200" i="3"/>
  <c r="AF199" i="3"/>
  <c r="AB201" i="3" l="1"/>
  <c r="AF200" i="3"/>
  <c r="AG200" i="3"/>
  <c r="AC201" i="3"/>
  <c r="AE200" i="3"/>
  <c r="AA201" i="3"/>
  <c r="AG201" i="3" l="1"/>
  <c r="AC202" i="3"/>
  <c r="AG202" i="3" s="1"/>
  <c r="AA202" i="3"/>
  <c r="AE202" i="3" s="1"/>
  <c r="AE201" i="3"/>
  <c r="AF201" i="3"/>
  <c r="AB202" i="3"/>
  <c r="AF2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3FB1BE51-4DD3-4B16-AF35-D0064F9EA659}">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B080841F-6060-4576-A723-D3F3490C8131}">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B8F213DD-3960-40EB-B7FD-C5CF4D6566C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BEE97D44-5E9F-4D15-BBA3-64EE827386F8}">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087ABFD9-8AE0-417F-A1CB-8ED85DEBA644}">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6BCB339-265D-4EAF-A606-3D9316285E6F}">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05A9D9C9-9F5E-4D9A-BFB7-9B4B0334ACA1}">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08678F70-43F2-4FFC-AC18-8C751FA11531}">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28" authorId="0" shapeId="0" xr:uid="{6A6EDC0A-C74B-4400-BB19-C3DED4B10AC4}">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30" authorId="0" shapeId="0" xr:uid="{F53856BD-3D3F-412C-AEE5-25B285B6F29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32" authorId="1" shapeId="0" xr:uid="{484FEFFF-49F6-4EBD-9769-014D0499D9C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34"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0" authorId="0" shapeId="0" xr:uid="{B4556355-C459-454C-8DB5-85DA920CBCF9}">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42" authorId="0" shapeId="0" xr:uid="{A16B8286-7101-4056-A67F-8AD4AE7F7A74}">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44" authorId="1" shapeId="0" xr:uid="{F2CB2C59-3906-4A55-AF89-82CEF3738C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sz val="9"/>
            <color indexed="81"/>
            <rFont val="Tahoma"/>
            <family val="2"/>
          </rPr>
          <t xml:space="preserve">Positivo = Compresión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C61" authorId="0" shapeId="0" xr:uid="{4F5A4333-DD47-4EB9-8227-A5A71BE74501}">
      <text>
        <r>
          <rPr>
            <sz val="9"/>
            <color indexed="81"/>
            <rFont val="Tahoma"/>
            <family val="2"/>
          </rPr>
          <t xml:space="preserve">Positivo = Compresión
</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<sst xmlns="http://schemas.openxmlformats.org/spreadsheetml/2006/main" count="251" uniqueCount="145">
  <si>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</si>
  <si>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</si>
  <si>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</si>
  <si>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</si>
  <si>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</si>
  <si>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</si>
  <si>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</si>
  <si>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</si>
  <si>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</si>
  <si>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</si>
  <si>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</si>
  <si>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</si>
  <si>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</si>
  <si>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</si>
  <si>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</si>
  <si>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</si>
  <si>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</si>
  <si>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AL 220</t>
  </si>
  <si>
    <t>ADN 500</t>
  </si>
  <si>
    <t>Propiedades</t>
  </si>
  <si>
    <t>Provisto por Usuario</t>
  </si>
  <si>
    <t>fy: Tensión de Fluencia [MPa]</t>
  </si>
  <si>
    <t>ARMADURAS PASIVAS</t>
  </si>
  <si>
    <t>BARRAS
1050</t>
  </si>
  <si>
    <t>TRENZAS
C1650</t>
  </si>
  <si>
    <t>TRENZAS
C1900</t>
  </si>
  <si>
    <t>fpy: Tensión de Fluencia [MPa]</t>
  </si>
  <si>
    <t>fpu: Tensión de Rotura [MPa]</t>
  </si>
  <si>
    <t>N</t>
  </si>
  <si>
    <t>K</t>
  </si>
  <si>
    <t>Q</t>
  </si>
  <si>
    <t>ARMADURAS ACTIVAS</t>
  </si>
  <si>
    <t>Trenzas C1900</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</si>
  <si>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</si>
  <si>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</si>
  <si>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</si>
  <si>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</si>
  <si>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</si>
  <si>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</si>
  <si>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</si>
  <si>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</si>
  <si>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</si>
  <si>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</si>
  <si>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</si>
  <si>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</si>
  <si>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</si>
  <si>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</si>
  <si>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</si>
  <si>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</si>
  <si>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</si>
  <si>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</si>
  <si>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</si>
  <si>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</si>
  <si>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</si>
  <si>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Región Circular</t>
  </si>
  <si>
    <t>RESULTADOS</t>
  </si>
  <si>
    <t>Diagrama de interacción  con inclinación del plano de carga λ =</t>
  </si>
  <si>
    <t>ΦPn    [KN]</t>
  </si>
  <si>
    <t>ΦMnλ [KNm]</t>
  </si>
  <si>
    <t>Verificar puntos</t>
  </si>
  <si>
    <t>Muλ   [KNm]</t>
  </si>
  <si>
    <t>Φ</t>
  </si>
  <si>
    <t>del tipo "Circular", la discretización del radio</t>
  </si>
  <si>
    <t>Nota: En el caso de ingresar elemento</t>
  </si>
  <si>
    <t>Diámetro [mm]</t>
  </si>
  <si>
    <t>ΔX [cm]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</si>
  <si>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</si>
  <si>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</si>
  <si>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</si>
  <si>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</si>
  <si>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</si>
  <si>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</si>
  <si>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</si>
  <si>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</si>
  <si>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</si>
  <si>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</si>
  <si>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</si>
  <si>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</si>
  <si>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</si>
  <si>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</si>
  <si>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</si>
  <si>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</si>
  <si>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</si>
  <si>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</si>
  <si>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</si>
  <si>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</si>
  <si>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</si>
  <si>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</si>
  <si>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</si>
  <si>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Cantidad de Estados</t>
  </si>
  <si>
    <t>λ [°]</t>
  </si>
  <si>
    <t>Cantidad de Planos de Carga</t>
  </si>
  <si>
    <t>Verificación de Estados</t>
  </si>
  <si>
    <t>SI VERIFICACION DE ESTADOS ES SI Y RESULTADOS EN 2D:</t>
  </si>
  <si>
    <t>SI VERIFICACION DE ESTADOS ES SI Y RESULTADOS EN 3D:</t>
  </si>
  <si>
    <t>Media</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</si>
  <si>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</si>
  <si>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</si>
  <si>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ΔY [cm] =</t>
  </si>
  <si>
    <t xml:space="preserve">se tomará en funciòn de los valores de </t>
  </si>
  <si>
    <t>ΔX y ΔY</t>
  </si>
  <si>
    <t>Δθ [°]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</si>
  <si>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</si>
  <si>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</si>
  <si>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</si>
  <si>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λ= 0.0 °</t>
  </si>
  <si>
    <t>Pegar resultados en planilla</t>
  </si>
  <si>
    <t xml:space="preserve"> BLOQUE BÁSICO DE RESULTADOS 2D:</t>
  </si>
  <si>
    <r>
      <t xml:space="preserve">Los </t>
    </r>
    <r>
      <rPr>
        <b/>
        <sz val="11"/>
        <color theme="1"/>
        <rFont val="Times New Roman"/>
        <family val="1"/>
      </rPr>
      <t xml:space="preserve">requisitos necesarios </t>
    </r>
    <r>
      <rPr>
        <sz val="11"/>
        <color theme="1"/>
        <rFont val="Times New Roman"/>
        <family val="1"/>
      </rPr>
      <t>para correr el programa son:</t>
    </r>
  </si>
  <si>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</si>
  <si>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</si>
  <si>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</si>
  <si>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</si>
  <si>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</si>
  <si>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https://www.youtube.com/playlist?list=PL2vqHDQzjyupe7ISb2vA9EGn0Qr31nW7g</t>
  </si>
  <si>
    <t>2D</t>
  </si>
  <si>
    <t>Pu [kN]</t>
  </si>
  <si>
    <t>Muλ [kNm]</t>
  </si>
  <si>
    <t>Mux [kNm]</t>
  </si>
  <si>
    <t>Muy [kNm]</t>
  </si>
  <si>
    <t>Pu
[KN]</t>
  </si>
  <si>
    <t>E [MPa]</t>
  </si>
  <si>
    <t>Eps [MPa]</t>
  </si>
  <si>
    <t xml:space="preserve"> BLOQUE BÁSICO DE RESULTADOS 3D:</t>
  </si>
  <si>
    <r>
      <rPr>
        <i/>
        <sz val="12"/>
        <color theme="1"/>
        <rFont val="Arial"/>
        <family val="2"/>
      </rPr>
      <t>ϕ</t>
    </r>
    <r>
      <rPr>
        <sz val="11"/>
        <color theme="1"/>
        <rFont val="Arial"/>
        <family val="2"/>
      </rPr>
      <t xml:space="preserve">
Factor de Minoración de Resistencia</t>
    </r>
  </si>
  <si>
    <t>Variable según CIRSOC 201</t>
  </si>
  <si>
    <t>https://chromewebstore.google.com/detail/gofullpage-full-page-scre/fdpohaocaechififmbbbbbknoalclacl</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</si>
  <si>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límites de resistencia frente a flexión oblicua compuesta.</t>
  </si>
  <si>
    <t xml:space="preserve">      Las hipótesis simplifcativos utilizado para los calculos, las ecuaciones constitutivas de los materiales, así como también los factores de reducción de resistencia "ϕ" utilizados en el programa son los correspondientes al reglamento CIRSOC 201 en vigencia, con la opción de introducir otro valor de ϕ constante.</t>
  </si>
  <si>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</si>
  <si>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 xml:space="preserve">       Cada uno de los contornos deberá ser ingresado a través de las coordenadas de sus nodos, expresadas en centímetros en cualquier órden en particular. Si los mismos son circulares, se deberán ingresar los radios externo e interno (si corresponde). Los ejes X e Y, donde se refieren las coordenadas, se pueden colocar en una posición arbitraria. El programa los trasladará al baricentro de la sección de hormigón durante el procesamiento.</t>
  </si>
  <si>
    <t>3. DISCRETIZACIÓN</t>
  </si>
  <si>
    <t>4. RESULTADOS</t>
  </si>
  <si>
    <t>Se trata a continuación los detalles de las distintas secciones que posee esta hoja:</t>
  </si>
  <si>
    <r>
      <t xml:space="preserve"> Si el usuario desea utilizar un material distinto a los anteriores, puede hacerlo eligiendo la opción </t>
    </r>
    <r>
      <rPr>
        <b/>
        <sz val="11"/>
        <color theme="1"/>
        <rFont val="Times New Roman"/>
        <family val="1"/>
      </rPr>
      <t>"Provisto por Usuario"</t>
    </r>
    <r>
      <rPr>
        <sz val="11"/>
        <color theme="1"/>
        <rFont val="Times New Roman"/>
        <family val="1"/>
      </rPr>
      <t xml:space="preserve"> y detallando los valores característicos a utilizar en sus relaciones constitutivas en las hojas "Armaduras Pasivas" o "Armaduras Activas". Para el acero de pretensado debe introducirse además la deformación esperada en la armadura una vez producida las pérdidas de pretensado </t>
    </r>
    <r>
      <rPr>
        <b/>
        <sz val="11"/>
        <color theme="1"/>
        <rFont val="Times New Roman"/>
        <family val="1"/>
      </rPr>
      <t>"Def. efectiva"</t>
    </r>
    <r>
      <rPr>
        <sz val="11"/>
        <color theme="1"/>
        <rFont val="Times New Roman"/>
        <family val="1"/>
      </rPr>
      <t>. Para más detalles referirse al informe.</t>
    </r>
  </si>
  <si>
    <t xml:space="preserve">       Luego se debe proceder con los datos de las armaduras, para lo cual se debe ingresar la cantidad de barras, y para cada una de ellas, las coordenadas X e Y (referidas al mismo sistema de referencia arbitrario elegido en el punto anterior), el diámetro comercial en milímetros (para armaduras pasivas) y el área efectiva en centímetros cuadrados (para armaduras activas).</t>
  </si>
  <si>
    <t xml:space="preserve">       Se entiende por ángulo de inclinación del plano de carga al ángulo tomado respecto al eje Y, en sentido horario, por el cual se desplaza la carga solicitante P generado momentos My y Mx (se recomienda referirse a la primera imagen para una visualización de lo descripto). Por lo tanto, tenemos que λ = arctan(My/Mx) = arctan(ex/ey). Por convención 0°&lt; λ &lt;180°.</t>
  </si>
  <si>
    <r>
      <t xml:space="preserve">       El problema tiene como opciones la generación de diagramas en 2 y 3 dimensiones. Para lo cual se debe seleccionar en la celda </t>
    </r>
    <r>
      <rPr>
        <b/>
        <sz val="11"/>
        <color theme="1"/>
        <rFont val="Times New Roman"/>
        <family val="1"/>
      </rPr>
      <t>"Tipo"</t>
    </r>
    <r>
      <rPr>
        <sz val="11"/>
        <color theme="1"/>
        <rFont val="Times New Roman"/>
        <family val="1"/>
      </rPr>
      <t xml:space="preserve">.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 New Roman"/>
        <family val="1"/>
      </rPr>
      <t xml:space="preserve">"Verificación de Estados", </t>
    </r>
    <r>
      <rPr>
        <sz val="11"/>
        <color theme="1"/>
        <rFont val="Times New Roman"/>
        <family val="1"/>
      </rPr>
      <t xml:space="preserve">para lo cual se habilitará una tabla en donde podrán ingresarse los mismos.
 </t>
    </r>
  </si>
  <si>
    <r>
      <t xml:space="preserve">       Para el caso tridimensional, la solución se calculará para más de un de plano de carga diferente. El diagrama tridimensional tiene coordenadas del tipo (Mx, My, P) y representa el espectro resistivo de la sección a flexocompresión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</si>
  <si>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t xml:space="preserve">       Para guardar los resultados mostrados en el navegador y poder visualizarlos más tarde, el usuario puede presionar la combinación de teclas "Ctrl + S" en el navegador para lo cual se podrá guardar un archivo de extensión .html, que podrá reabrirse posteriormente.
       Para exportar los diagramas individualmente, en la esquina superior de los mismos aparecerá un logo de una cámara el cual puede utilizarse para descargar las imágenes en formato png.
       Para exportar la página de resultados en su totalidad, por ejemplo, para la inclusión en un informe, se recomienda el uso de una extensión de navegador que permita guardar la página .html en .pdf. como la que se encuentra en el siguiente enlace: 
</t>
  </si>
  <si>
    <r>
      <t xml:space="preserve">       Como alternativa numérica, se podrán obtener los valores numéricos de los resultados dentro de la misma planilla. Tildando la opción "</t>
    </r>
    <r>
      <rPr>
        <b/>
        <sz val="11"/>
        <color theme="1"/>
        <rFont val="Times New Roman"/>
        <family val="1"/>
      </rPr>
      <t>Pegar resultados en planilla"</t>
    </r>
    <r>
      <rPr>
        <sz val="11"/>
        <color theme="1"/>
        <rFont val="Times New Roman"/>
        <family val="1"/>
      </rPr>
      <t>, se habilatará así una hoja nueva 'Resultados 2D' o 'Resultados 3D' dependiendo del problema que se busque resolver. En estas hojas se encontrarán los resultados numéricos.</t>
    </r>
  </si>
  <si>
    <t xml:space="preserve">       Finalmente y para más información, se recomienda la visualización de la siguiente lista de reproducción, donde se irán publicando diferentes tutoriales y ejemplos de aplicación sobre el uso del programa:</t>
  </si>
  <si>
    <t>Una vez ingresados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presionar un botón como el siguiente para ejecutar el programa, que se encuentra al final de la hoja 'Ingreso de Datos':</t>
  </si>
  <si>
    <r>
      <t xml:space="preserve">       Los resultados se mostrarán en una ventana emergente que se abrirá en el </t>
    </r>
    <r>
      <rPr>
        <b/>
        <sz val="11"/>
        <color theme="1"/>
        <rFont val="Times New Roman"/>
        <family val="1"/>
      </rPr>
      <t>navegador predeterminado del equipo en donde se corra el programa</t>
    </r>
    <r>
      <rPr>
        <sz val="11"/>
        <color theme="1"/>
        <rFont val="Times New Roman"/>
        <family val="1"/>
      </rPr>
      <t xml:space="preserve"> (por ejemplo Google Chrome, Mozilla Firefox y similares). Este tipo de archivo .html permite una navegación dinámica por los resultados, pudiendo rotar y manipular los diferentes diagramas.
</t>
    </r>
  </si>
  <si>
    <t>Identificador del Estado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</si>
</sst>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8" x14ac:knownFonts="1">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4"/>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sz val="9"/>
      <color indexed="81"/>
      <name val="Tahoma"/>
      <family val="2"/>
    </font>
    <font>
      <b/>
      <sz val="9"/>
      <color indexed="81"/>
      <name val="Tahoma"/>
      <family val="2"/>
    </font>
    <font>
      <sz val="11"/>
      <color rgb="FFFFFFFF"/>
      <name val="Arial"/>
      <family val="2"/>
    </font>
    <font>
      <b/>
      <i/>
      <sz val="11"/>
      <color theme="1"/>
      <name val="Arial"/>
      <family val="2"/>
    </font>
    <font>
      <sz val="11"/>
      <color theme="0"/>
      <name val="Arial"/>
      <family val="2"/>
    </font>
    <font>
      <u/>
      <sz val="11"/>
      <color theme="10"/>
      <name val="Calibri"/>
      <family val="2"/>
      <scheme val="minor"/>
    </font>
    <font>
      <b/>
      <sz val="11"/>
      <color rgb="FF002060"/>
      <name val="Times New Roman"/>
      <family val="1"/>
    </font>
    <font>
      <i/>
      <sz val="12"/>
      <color theme="1"/>
      <name val="Arial"/>
      <family val="2"/>
    </font>
    <font>
      <b/>
      <i/>
      <sz val="9"/>
      <color indexed="81"/>
      <name val="Tahoma"/>
      <family val="2"/>
    </font>
    <font>
      <sz val="11"/>
      <name val="Calibri"/>
      <family val="2"/>
      <scheme val="minor"/>
    </font>
    <font>
      <sz val="11"/>
      <name val="Arial"/>
      <family val="2"/>
    </font>
    <font>
      <i/>
      <u/>
      <sz val="11"/>
      <color theme="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1" fillId="0" borderId="0" applyNumberFormat="0" applyFill="0" applyBorder="0" applyAlignment="0" applyProtection="0"/>
  </cellStyleXfs>
  <cellXfs count="210">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0" fillId="0" borderId="0" xfId="0" applyProtection="1">
      <protection locked="0"/>
    </xf>
    <xf numFmtId="0" fontId="0" fillId="0" borderId="40" xfId="0" applyBorder="1" applyProtection="1">
      <protection locked="0"/>
    </xf>
    <xf numFmtId="0" fontId="10" fillId="0" borderId="0" xfId="0" applyFont="1" applyAlignment="1">
      <alignment vertical="top" wrapText="1"/>
    </xf>
    <xf numFmtId="0" fontId="13"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6" fillId="0" borderId="0" xfId="0" applyFont="1" applyAlignment="1">
      <alignment horizontal="left"/>
    </xf>
    <xf numFmtId="0" fontId="18" fillId="0" borderId="0" xfId="0" applyFont="1" applyAlignment="1">
      <alignment horizontal="left" wrapText="1"/>
    </xf>
    <xf numFmtId="0" fontId="18" fillId="0" borderId="0" xfId="0" applyFont="1" applyAlignment="1">
      <alignment wrapText="1"/>
    </xf>
    <xf numFmtId="0" fontId="18" fillId="0" borderId="0" xfId="0" applyFont="1" applyAlignment="1">
      <alignment vertical="center" wrapText="1"/>
    </xf>
    <xf numFmtId="0" fontId="7" fillId="0" borderId="0" xfId="0" applyFont="1" applyAlignment="1">
      <alignment wrapText="1"/>
    </xf>
    <xf numFmtId="0" fontId="23" fillId="0" borderId="0" xfId="0" applyFont="1" applyAlignment="1">
      <alignment wrapText="1"/>
    </xf>
    <xf numFmtId="0" fontId="22" fillId="0" borderId="0" xfId="0" applyFont="1" applyAlignment="1">
      <alignment horizontal="center" wrapText="1"/>
    </xf>
    <xf numFmtId="0" fontId="18" fillId="0" borderId="0" xfId="0" applyFont="1" applyAlignment="1">
      <alignment horizontal="center" wrapText="1"/>
    </xf>
    <xf numFmtId="0" fontId="18" fillId="0" borderId="0" xfId="0" applyFont="1"/>
    <xf numFmtId="2" fontId="4" fillId="2" borderId="5" xfId="0" applyNumberFormat="1" applyFont="1" applyFill="1" applyBorder="1" applyAlignment="1">
      <alignment horizont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18" fillId="0" borderId="0" xfId="0" applyFont="1" applyAlignment="1">
      <alignment horizontal="justify" vertical="top"/>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12" fillId="0" borderId="42" xfId="0" applyFont="1" applyBorder="1" applyAlignment="1">
      <alignment horizontal="center"/>
    </xf>
    <xf numFmtId="0" fontId="28"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8" fillId="0" borderId="0" xfId="0" applyFont="1" applyAlignment="1">
      <alignment vertical="top" wrapText="1"/>
    </xf>
    <xf numFmtId="49" fontId="18" fillId="0" borderId="0" xfId="0" applyNumberFormat="1" applyFont="1" applyAlignment="1">
      <alignment vertical="top" wrapText="1"/>
    </xf>
    <xf numFmtId="0" fontId="4" fillId="3" borderId="0" xfId="0" applyFont="1" applyFill="1"/>
    <xf numFmtId="0" fontId="28" fillId="0" borderId="2" xfId="0" applyFont="1" applyBorder="1" applyAlignment="1">
      <alignment vertical="center"/>
    </xf>
    <xf numFmtId="0" fontId="30" fillId="0" borderId="1" xfId="0" applyFont="1" applyBorder="1" applyAlignment="1">
      <alignment vertical="center"/>
    </xf>
    <xf numFmtId="2" fontId="4" fillId="2" borderId="41" xfId="0" applyNumberFormat="1" applyFont="1" applyFill="1" applyBorder="1" applyProtection="1">
      <protection locked="0"/>
    </xf>
    <xf numFmtId="2" fontId="4" fillId="0" borderId="0" xfId="0" applyNumberFormat="1" applyFont="1"/>
    <xf numFmtId="0" fontId="4" fillId="2" borderId="28" xfId="0" applyFont="1" applyFill="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Alignment="1">
      <alignment horizontal="center" vertical="center"/>
    </xf>
    <xf numFmtId="0" fontId="4" fillId="0" borderId="34" xfId="0" applyFont="1" applyBorder="1" applyAlignment="1">
      <alignment horizontal="center" vertical="center"/>
    </xf>
    <xf numFmtId="0" fontId="4" fillId="2" borderId="1" xfId="0" applyFont="1" applyFill="1" applyBorder="1" applyAlignment="1">
      <alignment horizontal="center"/>
    </xf>
    <xf numFmtId="0" fontId="4" fillId="0" borderId="4" xfId="0" applyFont="1" applyBorder="1" applyAlignment="1">
      <alignment horizontal="center"/>
    </xf>
    <xf numFmtId="0" fontId="4" fillId="0" borderId="37" xfId="0" applyFont="1" applyBorder="1"/>
    <xf numFmtId="0" fontId="7" fillId="0" borderId="0" xfId="0" applyFont="1"/>
    <xf numFmtId="0" fontId="4" fillId="0" borderId="5" xfId="0" applyFont="1" applyBorder="1" applyAlignment="1">
      <alignment horizontal="left"/>
    </xf>
    <xf numFmtId="0" fontId="4" fillId="0" borderId="32" xfId="0" applyFont="1" applyBorder="1"/>
    <xf numFmtId="165" fontId="4" fillId="2" borderId="1" xfId="0" applyNumberFormat="1" applyFont="1" applyFill="1" applyBorder="1" applyAlignment="1">
      <alignment horizontal="center" vertical="center" wrapText="1"/>
    </xf>
    <xf numFmtId="0" fontId="4" fillId="0" borderId="1" xfId="0"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30" fillId="3" borderId="0" xfId="0" applyFont="1" applyFill="1" applyAlignment="1">
      <alignment horizontal="center" vertical="center"/>
    </xf>
    <xf numFmtId="10" fontId="30" fillId="3" borderId="0" xfId="1" applyNumberFormat="1" applyFont="1" applyFill="1" applyAlignment="1">
      <alignment horizontal="center" vertical="center"/>
    </xf>
    <xf numFmtId="0" fontId="35" fillId="0" borderId="0" xfId="0" applyFont="1"/>
    <xf numFmtId="0" fontId="36" fillId="3" borderId="0" xfId="0" applyFont="1" applyFill="1" applyAlignment="1">
      <alignment horizontal="center" vertical="center"/>
    </xf>
    <xf numFmtId="166" fontId="4" fillId="3" borderId="0" xfId="0" applyNumberFormat="1" applyFont="1" applyFill="1" applyAlignment="1">
      <alignment horizontal="center" vertical="center"/>
    </xf>
    <xf numFmtId="166" fontId="4" fillId="3" borderId="27" xfId="0" applyNumberFormat="1" applyFont="1" applyFill="1" applyBorder="1" applyAlignment="1">
      <alignment horizontal="center" vertical="center"/>
    </xf>
    <xf numFmtId="49" fontId="18" fillId="0" borderId="0" xfId="0" applyNumberFormat="1" applyFont="1" applyAlignment="1">
      <alignment horizontal="center" vertical="top" wrapText="1"/>
    </xf>
    <xf numFmtId="165" fontId="4" fillId="2" borderId="4" xfId="0" applyNumberFormat="1" applyFont="1" applyFill="1" applyBorder="1" applyAlignment="1">
      <alignment horizontal="center"/>
    </xf>
    <xf numFmtId="49" fontId="18" fillId="0" borderId="0" xfId="0" applyNumberFormat="1" applyFont="1" applyAlignment="1">
      <alignment horizontal="left" vertical="center" wrapText="1"/>
    </xf>
    <xf numFmtId="49" fontId="31" fillId="0" borderId="0" xfId="2" applyNumberFormat="1" applyAlignment="1">
      <alignment horizontal="center" vertical="center" wrapText="1"/>
    </xf>
    <xf numFmtId="0" fontId="18" fillId="0" borderId="0" xfId="0" applyFont="1" applyAlignment="1">
      <alignment horizontal="left"/>
    </xf>
    <xf numFmtId="0" fontId="2" fillId="0" borderId="0" xfId="0" applyFont="1"/>
    <xf numFmtId="0" fontId="17" fillId="3" borderId="0" xfId="0" applyFont="1" applyFill="1" applyAlignment="1">
      <alignment horizontal="center"/>
    </xf>
    <xf numFmtId="0" fontId="18" fillId="0" borderId="0" xfId="0" applyFont="1" applyAlignment="1">
      <alignment horizontal="left" vertical="top" wrapText="1"/>
    </xf>
    <xf numFmtId="0" fontId="19" fillId="0" borderId="0" xfId="0" applyFont="1" applyAlignment="1">
      <alignment horizontal="center" wrapText="1"/>
    </xf>
    <xf numFmtId="0" fontId="20" fillId="0" borderId="0" xfId="0" applyFont="1" applyAlignment="1">
      <alignment horizont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vertical="center" wrapText="1"/>
    </xf>
    <xf numFmtId="0" fontId="15" fillId="0" borderId="0" xfId="0" applyFont="1" applyAlignment="1">
      <alignment horizontal="center" vertical="center" wrapText="1"/>
    </xf>
    <xf numFmtId="0" fontId="18" fillId="0" borderId="0" xfId="0" applyFont="1" applyAlignment="1">
      <alignment horizontal="center" wrapText="1"/>
    </xf>
    <xf numFmtId="0" fontId="22" fillId="0" borderId="0" xfId="0" applyFont="1" applyAlignment="1">
      <alignment horizontal="center" wrapText="1"/>
    </xf>
    <xf numFmtId="0" fontId="7" fillId="0" borderId="0" xfId="0" applyFont="1" applyAlignment="1">
      <alignment horizontal="center" wrapText="1"/>
    </xf>
    <xf numFmtId="0" fontId="23" fillId="0" borderId="0" xfId="0" applyFont="1" applyAlignment="1">
      <alignment horizontal="center" wrapText="1"/>
    </xf>
    <xf numFmtId="49" fontId="37" fillId="0" borderId="0" xfId="2" applyNumberFormat="1" applyFont="1" applyAlignment="1">
      <alignment horizontal="center" vertical="top" wrapText="1"/>
    </xf>
    <xf numFmtId="0" fontId="18" fillId="0" borderId="0" xfId="0" applyFont="1" applyAlignment="1">
      <alignment horizontal="left" vertical="center" wrapText="1"/>
    </xf>
    <xf numFmtId="0" fontId="18" fillId="3" borderId="0" xfId="0" applyFont="1" applyFill="1" applyAlignment="1">
      <alignment horizontal="left" wrapText="1"/>
    </xf>
    <xf numFmtId="0" fontId="2" fillId="0" borderId="0" xfId="0" applyFont="1" applyAlignment="1">
      <alignment horizontal="left"/>
    </xf>
    <xf numFmtId="0" fontId="18" fillId="0" borderId="0" xfId="0" applyFont="1" applyAlignment="1">
      <alignment horizontal="left" vertical="top" wrapText="1"/>
    </xf>
    <xf numFmtId="0" fontId="18" fillId="0" borderId="0" xfId="0" applyFont="1" applyAlignment="1">
      <alignment horizontal="justify" vertical="center"/>
    </xf>
    <xf numFmtId="49" fontId="18" fillId="0" borderId="0" xfId="0" applyNumberFormat="1" applyFont="1" applyAlignment="1">
      <alignment horizontal="left" vertical="center" wrapText="1"/>
    </xf>
    <xf numFmtId="2" fontId="18" fillId="0" borderId="0" xfId="0" applyNumberFormat="1" applyFont="1" applyAlignment="1">
      <alignment horizontal="left" vertical="top" wrapText="1"/>
    </xf>
    <xf numFmtId="0" fontId="18" fillId="3" borderId="0" xfId="0" applyFont="1" applyFill="1" applyAlignment="1">
      <alignment horizontal="left" vertical="top" wrapText="1"/>
    </xf>
    <xf numFmtId="49" fontId="18" fillId="0" borderId="0" xfId="0" applyNumberFormat="1" applyFont="1" applyAlignment="1">
      <alignment horizontal="left" vertical="top" wrapText="1"/>
    </xf>
    <xf numFmtId="0" fontId="17" fillId="0" borderId="0" xfId="0" applyFont="1" applyAlignment="1">
      <alignment horizontal="center" wrapText="1"/>
    </xf>
    <xf numFmtId="0" fontId="20" fillId="0" borderId="0" xfId="0" applyFont="1" applyAlignment="1">
      <alignment horizontal="center" vertical="center"/>
    </xf>
    <xf numFmtId="0" fontId="20" fillId="0" borderId="44" xfId="0" applyFont="1" applyBorder="1" applyAlignment="1">
      <alignment horizontal="center" vertical="center"/>
    </xf>
    <xf numFmtId="0" fontId="18" fillId="0" borderId="45" xfId="0" applyFont="1" applyBorder="1" applyAlignment="1">
      <alignment horizontal="left" vertical="center" wrapText="1"/>
    </xf>
    <xf numFmtId="0" fontId="18" fillId="0" borderId="0" xfId="0" applyFont="1" applyAlignment="1">
      <alignment horizontal="center" vertical="center" wrapText="1"/>
    </xf>
    <xf numFmtId="0" fontId="17" fillId="2" borderId="0" xfId="0" applyFont="1" applyFill="1" applyAlignment="1">
      <alignment horizontal="center"/>
    </xf>
    <xf numFmtId="0" fontId="18" fillId="0" borderId="0" xfId="0" applyFont="1" applyAlignment="1">
      <alignment horizontal="left"/>
    </xf>
    <xf numFmtId="0" fontId="2" fillId="0" borderId="0" xfId="0" applyFont="1" applyAlignment="1">
      <alignment horizontal="left" vertical="center"/>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4" fillId="0" borderId="5" xfId="0" applyFont="1" applyBorder="1" applyAlignment="1">
      <alignment horizontal="center"/>
    </xf>
    <xf numFmtId="0" fontId="4" fillId="0" borderId="29" xfId="0" applyFont="1" applyBorder="1" applyAlignment="1">
      <alignment horizontal="center"/>
    </xf>
    <xf numFmtId="0" fontId="4" fillId="0" borderId="6" xfId="0" applyFont="1" applyBorder="1" applyAlignment="1">
      <alignment horizontal="center"/>
    </xf>
    <xf numFmtId="0" fontId="11" fillId="3" borderId="34" xfId="0" applyFont="1" applyFill="1" applyBorder="1" applyAlignment="1" applyProtection="1">
      <alignment horizontal="center"/>
      <protection locked="0"/>
    </xf>
    <xf numFmtId="0" fontId="11" fillId="3" borderId="35" xfId="0" applyFont="1" applyFill="1" applyBorder="1" applyAlignment="1" applyProtection="1">
      <alignment horizontal="center"/>
      <protection locked="0"/>
    </xf>
    <xf numFmtId="0" fontId="11"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 xfId="0" applyFont="1" applyBorder="1" applyAlignment="1">
      <alignment horizont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wrapText="1"/>
    </xf>
    <xf numFmtId="167" fontId="9" fillId="4" borderId="0" xfId="0" applyNumberFormat="1" applyFont="1" applyFill="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2" fillId="0" borderId="0" xfId="0" applyFont="1" applyAlignment="1">
      <alignment horizontal="center" vertical="center"/>
    </xf>
    <xf numFmtId="0" fontId="29" fillId="0" borderId="38" xfId="0" applyFont="1" applyBorder="1" applyAlignment="1">
      <alignment horizontal="center" vertical="center" wrapText="1"/>
    </xf>
    <xf numFmtId="0" fontId="29" fillId="0" borderId="39" xfId="0" applyFont="1" applyBorder="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Pasivo - ACSAHE</a:t>
            </a:r>
          </a:p>
          <a:p>
            <a:pPr>
              <a:defRPr>
                <a:ln>
                  <a:noFill/>
                </a:ln>
                <a:solidFill>
                  <a:schemeClr val="tx1"/>
                </a:solidFill>
              </a:defRPr>
            </a:pPr>
            <a:r>
              <a:rPr lang="en-US" i="1">
                <a:ln>
                  <a:noFill/>
                </a:ln>
                <a:solidFill>
                  <a:schemeClr val="tx1"/>
                </a:solidFill>
              </a:rPr>
              <a:t>Relación Bilineal</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s-419"/>
        </a:p>
      </c:txPr>
    </c:title>
    <c:autoTitleDeleted val="0"/>
    <c:plotArea>
      <c:layout/>
      <c:scatterChart>
        <c:scatterStyle val="lineMarker"/>
        <c:varyColors val="0"/>
        <c:ser>
          <c:idx val="0"/>
          <c:order val="0"/>
          <c:tx>
            <c:strRef>
              <c:f>'Armaduras Pasivas'!$B$2</c:f>
              <c:strCache>
                <c:ptCount val="1"/>
                <c:pt idx="0">
                  <c:v>ADN 420</c:v>
                </c:pt>
              </c:strCache>
            </c:strRef>
          </c:tx>
          <c:spPr>
            <a:ln w="25400" cap="rnd">
              <a:solidFill>
                <a:schemeClr val="accent6"/>
              </a:solidFill>
              <a:round/>
            </a:ln>
            <a:effectLst/>
          </c:spPr>
          <c:marker>
            <c:symbol val="none"/>
          </c:marker>
          <c:xVal>
            <c:numRef>
              <c:f>'Armaduras Pasivas'!$AA$2:$AA$202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Pasivas'!$AE$2:$AE$202</c:f>
              <c:numCache>
                <c:formatCode>General</c:formatCode>
                <c:ptCount val="201"/>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c:v>
                </c:pt>
                <c:pt idx="85">
                  <c:v>420</c:v>
                </c:pt>
                <c:pt idx="86">
                  <c:v>420</c:v>
                </c:pt>
                <c:pt idx="87">
                  <c:v>420</c:v>
                </c:pt>
                <c:pt idx="88">
                  <c:v>420</c:v>
                </c:pt>
                <c:pt idx="89">
                  <c:v>420</c:v>
                </c:pt>
                <c:pt idx="90">
                  <c:v>420</c:v>
                </c:pt>
                <c:pt idx="91">
                  <c:v>420</c:v>
                </c:pt>
                <c:pt idx="92">
                  <c:v>420</c:v>
                </c:pt>
                <c:pt idx="93">
                  <c:v>420</c:v>
                </c:pt>
                <c:pt idx="94">
                  <c:v>420</c:v>
                </c:pt>
                <c:pt idx="95">
                  <c:v>420</c:v>
                </c:pt>
                <c:pt idx="96">
                  <c:v>420</c:v>
                </c:pt>
                <c:pt idx="97">
                  <c:v>420</c:v>
                </c:pt>
                <c:pt idx="98">
                  <c:v>420</c:v>
                </c:pt>
                <c:pt idx="99">
                  <c:v>420</c:v>
                </c:pt>
                <c:pt idx="100">
                  <c:v>420</c:v>
                </c:pt>
                <c:pt idx="101">
                  <c:v>420</c:v>
                </c:pt>
                <c:pt idx="102">
                  <c:v>420</c:v>
                </c:pt>
                <c:pt idx="103">
                  <c:v>420</c:v>
                </c:pt>
                <c:pt idx="104">
                  <c:v>420</c:v>
                </c:pt>
                <c:pt idx="105">
                  <c:v>420</c:v>
                </c:pt>
                <c:pt idx="106">
                  <c:v>420</c:v>
                </c:pt>
                <c:pt idx="107">
                  <c:v>420</c:v>
                </c:pt>
                <c:pt idx="108">
                  <c:v>420</c:v>
                </c:pt>
                <c:pt idx="109">
                  <c:v>420</c:v>
                </c:pt>
                <c:pt idx="110">
                  <c:v>420</c:v>
                </c:pt>
                <c:pt idx="111">
                  <c:v>420</c:v>
                </c:pt>
                <c:pt idx="112">
                  <c:v>420</c:v>
                </c:pt>
                <c:pt idx="113">
                  <c:v>420</c:v>
                </c:pt>
                <c:pt idx="114">
                  <c:v>420</c:v>
                </c:pt>
                <c:pt idx="115">
                  <c:v>420</c:v>
                </c:pt>
                <c:pt idx="116">
                  <c:v>420</c:v>
                </c:pt>
                <c:pt idx="117">
                  <c:v>420</c:v>
                </c:pt>
                <c:pt idx="118">
                  <c:v>420</c:v>
                </c:pt>
                <c:pt idx="119">
                  <c:v>420</c:v>
                </c:pt>
                <c:pt idx="120">
                  <c:v>420</c:v>
                </c:pt>
                <c:pt idx="121">
                  <c:v>420</c:v>
                </c:pt>
                <c:pt idx="122">
                  <c:v>420</c:v>
                </c:pt>
                <c:pt idx="123">
                  <c:v>420</c:v>
                </c:pt>
                <c:pt idx="124">
                  <c:v>420</c:v>
                </c:pt>
                <c:pt idx="125">
                  <c:v>420</c:v>
                </c:pt>
                <c:pt idx="126">
                  <c:v>420</c:v>
                </c:pt>
                <c:pt idx="127">
                  <c:v>420</c:v>
                </c:pt>
                <c:pt idx="128">
                  <c:v>420</c:v>
                </c:pt>
                <c:pt idx="129">
                  <c:v>420</c:v>
                </c:pt>
                <c:pt idx="130">
                  <c:v>420</c:v>
                </c:pt>
                <c:pt idx="131">
                  <c:v>420</c:v>
                </c:pt>
                <c:pt idx="132">
                  <c:v>420</c:v>
                </c:pt>
                <c:pt idx="133">
                  <c:v>420</c:v>
                </c:pt>
                <c:pt idx="134">
                  <c:v>420</c:v>
                </c:pt>
                <c:pt idx="135">
                  <c:v>420</c:v>
                </c:pt>
                <c:pt idx="136">
                  <c:v>420</c:v>
                </c:pt>
                <c:pt idx="137">
                  <c:v>420</c:v>
                </c:pt>
                <c:pt idx="138">
                  <c:v>420</c:v>
                </c:pt>
                <c:pt idx="139">
                  <c:v>420</c:v>
                </c:pt>
                <c:pt idx="140">
                  <c:v>420</c:v>
                </c:pt>
                <c:pt idx="141">
                  <c:v>420</c:v>
                </c:pt>
                <c:pt idx="142">
                  <c:v>420</c:v>
                </c:pt>
                <c:pt idx="143">
                  <c:v>420</c:v>
                </c:pt>
                <c:pt idx="144">
                  <c:v>420</c:v>
                </c:pt>
                <c:pt idx="145">
                  <c:v>420</c:v>
                </c:pt>
                <c:pt idx="146">
                  <c:v>420</c:v>
                </c:pt>
                <c:pt idx="147">
                  <c:v>420</c:v>
                </c:pt>
                <c:pt idx="148">
                  <c:v>420</c:v>
                </c:pt>
                <c:pt idx="149">
                  <c:v>420</c:v>
                </c:pt>
                <c:pt idx="150">
                  <c:v>420</c:v>
                </c:pt>
                <c:pt idx="151">
                  <c:v>420</c:v>
                </c:pt>
                <c:pt idx="152">
                  <c:v>420</c:v>
                </c:pt>
                <c:pt idx="153">
                  <c:v>420</c:v>
                </c:pt>
                <c:pt idx="154">
                  <c:v>420</c:v>
                </c:pt>
                <c:pt idx="155">
                  <c:v>420</c:v>
                </c:pt>
                <c:pt idx="156">
                  <c:v>420</c:v>
                </c:pt>
                <c:pt idx="157">
                  <c:v>420</c:v>
                </c:pt>
                <c:pt idx="158">
                  <c:v>420</c:v>
                </c:pt>
                <c:pt idx="159">
                  <c:v>420</c:v>
                </c:pt>
                <c:pt idx="160">
                  <c:v>420</c:v>
                </c:pt>
                <c:pt idx="161">
                  <c:v>420</c:v>
                </c:pt>
                <c:pt idx="162">
                  <c:v>420</c:v>
                </c:pt>
                <c:pt idx="163">
                  <c:v>420</c:v>
                </c:pt>
                <c:pt idx="164">
                  <c:v>420</c:v>
                </c:pt>
                <c:pt idx="165">
                  <c:v>420</c:v>
                </c:pt>
                <c:pt idx="166">
                  <c:v>420</c:v>
                </c:pt>
                <c:pt idx="167">
                  <c:v>420</c:v>
                </c:pt>
                <c:pt idx="168">
                  <c:v>420</c:v>
                </c:pt>
                <c:pt idx="169">
                  <c:v>420</c:v>
                </c:pt>
                <c:pt idx="170">
                  <c:v>420</c:v>
                </c:pt>
                <c:pt idx="171">
                  <c:v>420</c:v>
                </c:pt>
                <c:pt idx="172">
                  <c:v>420</c:v>
                </c:pt>
                <c:pt idx="173">
                  <c:v>420</c:v>
                </c:pt>
                <c:pt idx="174">
                  <c:v>420</c:v>
                </c:pt>
                <c:pt idx="175">
                  <c:v>420</c:v>
                </c:pt>
                <c:pt idx="176">
                  <c:v>420</c:v>
                </c:pt>
                <c:pt idx="177">
                  <c:v>420</c:v>
                </c:pt>
                <c:pt idx="178">
                  <c:v>420</c:v>
                </c:pt>
                <c:pt idx="179">
                  <c:v>420</c:v>
                </c:pt>
                <c:pt idx="180">
                  <c:v>420</c:v>
                </c:pt>
                <c:pt idx="181">
                  <c:v>420</c:v>
                </c:pt>
                <c:pt idx="182">
                  <c:v>420</c:v>
                </c:pt>
                <c:pt idx="183">
                  <c:v>420</c:v>
                </c:pt>
                <c:pt idx="184">
                  <c:v>420</c:v>
                </c:pt>
                <c:pt idx="185">
                  <c:v>420</c:v>
                </c:pt>
                <c:pt idx="186">
                  <c:v>420</c:v>
                </c:pt>
                <c:pt idx="187">
                  <c:v>420</c:v>
                </c:pt>
                <c:pt idx="188">
                  <c:v>420</c:v>
                </c:pt>
                <c:pt idx="189">
                  <c:v>420</c:v>
                </c:pt>
                <c:pt idx="190">
                  <c:v>420</c:v>
                </c:pt>
                <c:pt idx="191">
                  <c:v>420</c:v>
                </c:pt>
                <c:pt idx="192">
                  <c:v>420</c:v>
                </c:pt>
                <c:pt idx="193">
                  <c:v>420</c:v>
                </c:pt>
                <c:pt idx="194">
                  <c:v>420</c:v>
                </c:pt>
                <c:pt idx="195">
                  <c:v>420</c:v>
                </c:pt>
                <c:pt idx="196">
                  <c:v>420</c:v>
                </c:pt>
                <c:pt idx="197">
                  <c:v>420</c:v>
                </c:pt>
                <c:pt idx="198">
                  <c:v>420</c:v>
                </c:pt>
                <c:pt idx="199">
                  <c:v>420</c:v>
                </c:pt>
                <c:pt idx="200">
                  <c:v>420</c:v>
                </c:pt>
              </c:numCache>
            </c:numRef>
          </c:yVal>
          <c:smooth val="0"/>
          <c:extLst>
            <c:ext xmlns:c16="http://schemas.microsoft.com/office/drawing/2014/chart" uri="{C3380CC4-5D6E-409C-BE32-E72D297353CC}">
              <c16:uniqueId val="{00000000-B0B3-498E-AA0F-1838ED655328}"/>
            </c:ext>
          </c:extLst>
        </c:ser>
        <c:ser>
          <c:idx val="1"/>
          <c:order val="1"/>
          <c:tx>
            <c:strRef>
              <c:f>'Armaduras Pasivas'!$C$2</c:f>
              <c:strCache>
                <c:ptCount val="1"/>
                <c:pt idx="0">
                  <c:v>ADN 500</c:v>
                </c:pt>
              </c:strCache>
            </c:strRef>
          </c:tx>
          <c:spPr>
            <a:ln w="25400" cap="rnd">
              <a:solidFill>
                <a:schemeClr val="accent5"/>
              </a:solidFill>
              <a:round/>
            </a:ln>
            <a:effectLst/>
          </c:spPr>
          <c:marker>
            <c:symbol val="none"/>
          </c:marker>
          <c:xVal>
            <c:numRef>
              <c:f>'Armaduras Pasivas'!$AB$2:$AB$203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Pasivas'!$AF$2:$AF$203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420.00000000000023</c:v>
                </c:pt>
                <c:pt idx="85">
                  <c:v>425.00000000000023</c:v>
                </c:pt>
                <c:pt idx="86">
                  <c:v>430.00000000000017</c:v>
                </c:pt>
                <c:pt idx="87">
                  <c:v>435.00000000000017</c:v>
                </c:pt>
                <c:pt idx="88">
                  <c:v>440.00000000000011</c:v>
                </c:pt>
                <c:pt idx="89">
                  <c:v>445.00000000000006</c:v>
                </c:pt>
                <c:pt idx="90">
                  <c:v>450.00000000000006</c:v>
                </c:pt>
                <c:pt idx="91">
                  <c:v>455</c:v>
                </c:pt>
                <c:pt idx="92">
                  <c:v>460</c:v>
                </c:pt>
                <c:pt idx="93">
                  <c:v>464.99999999999994</c:v>
                </c:pt>
                <c:pt idx="94">
                  <c:v>469.99999999999994</c:v>
                </c:pt>
                <c:pt idx="95">
                  <c:v>474.99999999999989</c:v>
                </c:pt>
                <c:pt idx="96">
                  <c:v>479.99999999999989</c:v>
                </c:pt>
                <c:pt idx="97">
                  <c:v>484.99999999999983</c:v>
                </c:pt>
                <c:pt idx="98">
                  <c:v>489.99999999999983</c:v>
                </c:pt>
                <c:pt idx="99">
                  <c:v>494.99999999999977</c:v>
                </c:pt>
                <c:pt idx="100">
                  <c:v>500</c:v>
                </c:pt>
                <c:pt idx="101">
                  <c:v>500</c:v>
                </c:pt>
                <c:pt idx="102">
                  <c:v>500</c:v>
                </c:pt>
                <c:pt idx="103">
                  <c:v>500</c:v>
                </c:pt>
                <c:pt idx="104">
                  <c:v>500</c:v>
                </c:pt>
                <c:pt idx="105">
                  <c:v>500</c:v>
                </c:pt>
                <c:pt idx="106">
                  <c:v>500</c:v>
                </c:pt>
                <c:pt idx="107">
                  <c:v>500</c:v>
                </c:pt>
                <c:pt idx="108">
                  <c:v>500</c:v>
                </c:pt>
                <c:pt idx="109">
                  <c:v>500</c:v>
                </c:pt>
                <c:pt idx="110">
                  <c:v>500</c:v>
                </c:pt>
                <c:pt idx="111">
                  <c:v>500</c:v>
                </c:pt>
                <c:pt idx="112">
                  <c:v>500</c:v>
                </c:pt>
                <c:pt idx="113">
                  <c:v>500</c:v>
                </c:pt>
                <c:pt idx="114">
                  <c:v>500</c:v>
                </c:pt>
                <c:pt idx="115">
                  <c:v>500</c:v>
                </c:pt>
                <c:pt idx="116">
                  <c:v>500</c:v>
                </c:pt>
                <c:pt idx="117">
                  <c:v>500</c:v>
                </c:pt>
                <c:pt idx="118">
                  <c:v>500</c:v>
                </c:pt>
                <c:pt idx="119">
                  <c:v>500</c:v>
                </c:pt>
                <c:pt idx="120">
                  <c:v>500</c:v>
                </c:pt>
                <c:pt idx="121">
                  <c:v>500</c:v>
                </c:pt>
                <c:pt idx="122">
                  <c:v>500</c:v>
                </c:pt>
                <c:pt idx="123">
                  <c:v>500</c:v>
                </c:pt>
                <c:pt idx="124">
                  <c:v>500</c:v>
                </c:pt>
                <c:pt idx="125">
                  <c:v>500</c:v>
                </c:pt>
                <c:pt idx="126">
                  <c:v>500</c:v>
                </c:pt>
                <c:pt idx="127">
                  <c:v>500</c:v>
                </c:pt>
                <c:pt idx="128">
                  <c:v>500</c:v>
                </c:pt>
                <c:pt idx="129">
                  <c:v>500</c:v>
                </c:pt>
                <c:pt idx="130">
                  <c:v>500</c:v>
                </c:pt>
                <c:pt idx="131">
                  <c:v>500</c:v>
                </c:pt>
                <c:pt idx="132">
                  <c:v>500</c:v>
                </c:pt>
                <c:pt idx="133">
                  <c:v>500</c:v>
                </c:pt>
                <c:pt idx="134">
                  <c:v>500</c:v>
                </c:pt>
                <c:pt idx="135">
                  <c:v>500</c:v>
                </c:pt>
                <c:pt idx="136">
                  <c:v>500</c:v>
                </c:pt>
                <c:pt idx="137">
                  <c:v>500</c:v>
                </c:pt>
                <c:pt idx="138">
                  <c:v>500</c:v>
                </c:pt>
                <c:pt idx="139">
                  <c:v>500</c:v>
                </c:pt>
                <c:pt idx="140">
                  <c:v>500</c:v>
                </c:pt>
                <c:pt idx="141">
                  <c:v>500</c:v>
                </c:pt>
                <c:pt idx="142">
                  <c:v>500</c:v>
                </c:pt>
                <c:pt idx="143">
                  <c:v>500</c:v>
                </c:pt>
                <c:pt idx="144">
                  <c:v>500</c:v>
                </c:pt>
                <c:pt idx="145">
                  <c:v>500</c:v>
                </c:pt>
                <c:pt idx="146">
                  <c:v>500</c:v>
                </c:pt>
                <c:pt idx="147">
                  <c:v>500</c:v>
                </c:pt>
                <c:pt idx="148">
                  <c:v>500</c:v>
                </c:pt>
                <c:pt idx="149">
                  <c:v>500</c:v>
                </c:pt>
                <c:pt idx="150">
                  <c:v>500</c:v>
                </c:pt>
                <c:pt idx="151">
                  <c:v>500</c:v>
                </c:pt>
                <c:pt idx="152">
                  <c:v>500</c:v>
                </c:pt>
                <c:pt idx="153">
                  <c:v>500</c:v>
                </c:pt>
                <c:pt idx="154">
                  <c:v>500</c:v>
                </c:pt>
                <c:pt idx="155">
                  <c:v>500</c:v>
                </c:pt>
                <c:pt idx="156">
                  <c:v>500</c:v>
                </c:pt>
                <c:pt idx="157">
                  <c:v>500</c:v>
                </c:pt>
                <c:pt idx="158">
                  <c:v>500</c:v>
                </c:pt>
                <c:pt idx="159">
                  <c:v>500</c:v>
                </c:pt>
                <c:pt idx="160">
                  <c:v>500</c:v>
                </c:pt>
                <c:pt idx="161">
                  <c:v>500</c:v>
                </c:pt>
                <c:pt idx="162">
                  <c:v>500</c:v>
                </c:pt>
                <c:pt idx="163">
                  <c:v>500</c:v>
                </c:pt>
                <c:pt idx="164">
                  <c:v>500</c:v>
                </c:pt>
                <c:pt idx="165">
                  <c:v>500</c:v>
                </c:pt>
                <c:pt idx="166">
                  <c:v>500</c:v>
                </c:pt>
                <c:pt idx="167">
                  <c:v>500</c:v>
                </c:pt>
                <c:pt idx="168">
                  <c:v>500</c:v>
                </c:pt>
                <c:pt idx="169">
                  <c:v>500</c:v>
                </c:pt>
                <c:pt idx="170">
                  <c:v>500</c:v>
                </c:pt>
                <c:pt idx="171">
                  <c:v>500</c:v>
                </c:pt>
                <c:pt idx="172">
                  <c:v>500</c:v>
                </c:pt>
                <c:pt idx="173">
                  <c:v>500</c:v>
                </c:pt>
                <c:pt idx="174">
                  <c:v>500</c:v>
                </c:pt>
                <c:pt idx="175">
                  <c:v>500</c:v>
                </c:pt>
                <c:pt idx="176">
                  <c:v>500</c:v>
                </c:pt>
                <c:pt idx="177">
                  <c:v>500</c:v>
                </c:pt>
                <c:pt idx="178">
                  <c:v>500</c:v>
                </c:pt>
                <c:pt idx="179">
                  <c:v>500</c:v>
                </c:pt>
                <c:pt idx="180">
                  <c:v>500</c:v>
                </c:pt>
                <c:pt idx="181">
                  <c:v>500</c:v>
                </c:pt>
                <c:pt idx="182">
                  <c:v>500</c:v>
                </c:pt>
                <c:pt idx="183">
                  <c:v>500</c:v>
                </c:pt>
                <c:pt idx="184">
                  <c:v>500</c:v>
                </c:pt>
                <c:pt idx="185">
                  <c:v>500</c:v>
                </c:pt>
                <c:pt idx="186">
                  <c:v>500</c:v>
                </c:pt>
                <c:pt idx="187">
                  <c:v>500</c:v>
                </c:pt>
                <c:pt idx="188">
                  <c:v>500</c:v>
                </c:pt>
                <c:pt idx="189">
                  <c:v>500</c:v>
                </c:pt>
                <c:pt idx="190">
                  <c:v>500</c:v>
                </c:pt>
                <c:pt idx="191">
                  <c:v>500</c:v>
                </c:pt>
                <c:pt idx="192">
                  <c:v>500</c:v>
                </c:pt>
                <c:pt idx="193">
                  <c:v>500</c:v>
                </c:pt>
                <c:pt idx="194">
                  <c:v>500</c:v>
                </c:pt>
                <c:pt idx="195">
                  <c:v>500</c:v>
                </c:pt>
                <c:pt idx="196">
                  <c:v>500</c:v>
                </c:pt>
                <c:pt idx="197">
                  <c:v>500</c:v>
                </c:pt>
                <c:pt idx="198">
                  <c:v>500</c:v>
                </c:pt>
                <c:pt idx="199">
                  <c:v>500</c:v>
                </c:pt>
                <c:pt idx="200">
                  <c:v>500</c:v>
                </c:pt>
              </c:numCache>
            </c:numRef>
          </c:yVal>
          <c:smooth val="0"/>
          <c:extLst>
            <c:ext xmlns:c16="http://schemas.microsoft.com/office/drawing/2014/chart" uri="{C3380CC4-5D6E-409C-BE32-E72D297353CC}">
              <c16:uniqueId val="{00000001-B0B3-498E-AA0F-1838ED655328}"/>
            </c:ext>
          </c:extLst>
        </c:ser>
        <c:ser>
          <c:idx val="2"/>
          <c:order val="2"/>
          <c:tx>
            <c:strRef>
              <c:f>'Armaduras Pasivas'!$D$2</c:f>
              <c:strCache>
                <c:ptCount val="1"/>
                <c:pt idx="0">
                  <c:v>AL 220</c:v>
                </c:pt>
              </c:strCache>
            </c:strRef>
          </c:tx>
          <c:spPr>
            <a:ln w="25400" cap="rnd">
              <a:solidFill>
                <a:schemeClr val="accent4"/>
              </a:solidFill>
              <a:round/>
            </a:ln>
            <a:effectLst/>
          </c:spPr>
          <c:marker>
            <c:symbol val="none"/>
          </c:marker>
          <c:xVal>
            <c:numRef>
              <c:f>'Armaduras Pasivas'!$AC$2:$AC$203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Pasivas'!$AG$2:$AG$203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220</c:v>
                </c:pt>
                <c:pt idx="45">
                  <c:v>220</c:v>
                </c:pt>
                <c:pt idx="46">
                  <c:v>220</c:v>
                </c:pt>
                <c:pt idx="47">
                  <c:v>220</c:v>
                </c:pt>
                <c:pt idx="48">
                  <c:v>220</c:v>
                </c:pt>
                <c:pt idx="49">
                  <c:v>220</c:v>
                </c:pt>
                <c:pt idx="50">
                  <c:v>220</c:v>
                </c:pt>
                <c:pt idx="51">
                  <c:v>220</c:v>
                </c:pt>
                <c:pt idx="52">
                  <c:v>220</c:v>
                </c:pt>
                <c:pt idx="53">
                  <c:v>220</c:v>
                </c:pt>
                <c:pt idx="54">
                  <c:v>220</c:v>
                </c:pt>
                <c:pt idx="55">
                  <c:v>220</c:v>
                </c:pt>
                <c:pt idx="56">
                  <c:v>220</c:v>
                </c:pt>
                <c:pt idx="57">
                  <c:v>220</c:v>
                </c:pt>
                <c:pt idx="58">
                  <c:v>220</c:v>
                </c:pt>
                <c:pt idx="59">
                  <c:v>220</c:v>
                </c:pt>
                <c:pt idx="60">
                  <c:v>220</c:v>
                </c:pt>
                <c:pt idx="61">
                  <c:v>220</c:v>
                </c:pt>
                <c:pt idx="62">
                  <c:v>220</c:v>
                </c:pt>
                <c:pt idx="63">
                  <c:v>220</c:v>
                </c:pt>
                <c:pt idx="64">
                  <c:v>220</c:v>
                </c:pt>
                <c:pt idx="65">
                  <c:v>220</c:v>
                </c:pt>
                <c:pt idx="66">
                  <c:v>220</c:v>
                </c:pt>
                <c:pt idx="67">
                  <c:v>220</c:v>
                </c:pt>
                <c:pt idx="68">
                  <c:v>220</c:v>
                </c:pt>
                <c:pt idx="69">
                  <c:v>220</c:v>
                </c:pt>
                <c:pt idx="70">
                  <c:v>220</c:v>
                </c:pt>
                <c:pt idx="71">
                  <c:v>220</c:v>
                </c:pt>
                <c:pt idx="72">
                  <c:v>220</c:v>
                </c:pt>
                <c:pt idx="73">
                  <c:v>220</c:v>
                </c:pt>
                <c:pt idx="74">
                  <c:v>220</c:v>
                </c:pt>
                <c:pt idx="75">
                  <c:v>220</c:v>
                </c:pt>
                <c:pt idx="76">
                  <c:v>220</c:v>
                </c:pt>
                <c:pt idx="77">
                  <c:v>220</c:v>
                </c:pt>
                <c:pt idx="78">
                  <c:v>220</c:v>
                </c:pt>
                <c:pt idx="79">
                  <c:v>220</c:v>
                </c:pt>
                <c:pt idx="80">
                  <c:v>220</c:v>
                </c:pt>
                <c:pt idx="81">
                  <c:v>220</c:v>
                </c:pt>
                <c:pt idx="82">
                  <c:v>220</c:v>
                </c:pt>
                <c:pt idx="83">
                  <c:v>220</c:v>
                </c:pt>
                <c:pt idx="84">
                  <c:v>220</c:v>
                </c:pt>
                <c:pt idx="85">
                  <c:v>220</c:v>
                </c:pt>
                <c:pt idx="86">
                  <c:v>220</c:v>
                </c:pt>
                <c:pt idx="87">
                  <c:v>220</c:v>
                </c:pt>
                <c:pt idx="88">
                  <c:v>220</c:v>
                </c:pt>
                <c:pt idx="89">
                  <c:v>220</c:v>
                </c:pt>
                <c:pt idx="90">
                  <c:v>220</c:v>
                </c:pt>
                <c:pt idx="91">
                  <c:v>220</c:v>
                </c:pt>
                <c:pt idx="92">
                  <c:v>220</c:v>
                </c:pt>
                <c:pt idx="93">
                  <c:v>220</c:v>
                </c:pt>
                <c:pt idx="94">
                  <c:v>220</c:v>
                </c:pt>
                <c:pt idx="95">
                  <c:v>220</c:v>
                </c:pt>
                <c:pt idx="96">
                  <c:v>220</c:v>
                </c:pt>
                <c:pt idx="97">
                  <c:v>220</c:v>
                </c:pt>
                <c:pt idx="98">
                  <c:v>220</c:v>
                </c:pt>
                <c:pt idx="99">
                  <c:v>220</c:v>
                </c:pt>
                <c:pt idx="100">
                  <c:v>220</c:v>
                </c:pt>
                <c:pt idx="101">
                  <c:v>220</c:v>
                </c:pt>
                <c:pt idx="102">
                  <c:v>220</c:v>
                </c:pt>
                <c:pt idx="103">
                  <c:v>220</c:v>
                </c:pt>
                <c:pt idx="104">
                  <c:v>220</c:v>
                </c:pt>
                <c:pt idx="105">
                  <c:v>220</c:v>
                </c:pt>
                <c:pt idx="106">
                  <c:v>220</c:v>
                </c:pt>
                <c:pt idx="107">
                  <c:v>220</c:v>
                </c:pt>
                <c:pt idx="108">
                  <c:v>220</c:v>
                </c:pt>
                <c:pt idx="109">
                  <c:v>220</c:v>
                </c:pt>
                <c:pt idx="110">
                  <c:v>220</c:v>
                </c:pt>
                <c:pt idx="111">
                  <c:v>220</c:v>
                </c:pt>
                <c:pt idx="112">
                  <c:v>220</c:v>
                </c:pt>
                <c:pt idx="113">
                  <c:v>220</c:v>
                </c:pt>
                <c:pt idx="114">
                  <c:v>220</c:v>
                </c:pt>
                <c:pt idx="115">
                  <c:v>220</c:v>
                </c:pt>
                <c:pt idx="116">
                  <c:v>220</c:v>
                </c:pt>
                <c:pt idx="117">
                  <c:v>220</c:v>
                </c:pt>
                <c:pt idx="118">
                  <c:v>220</c:v>
                </c:pt>
                <c:pt idx="119">
                  <c:v>220</c:v>
                </c:pt>
                <c:pt idx="120">
                  <c:v>220</c:v>
                </c:pt>
                <c:pt idx="121">
                  <c:v>220</c:v>
                </c:pt>
                <c:pt idx="122">
                  <c:v>220</c:v>
                </c:pt>
                <c:pt idx="123">
                  <c:v>220</c:v>
                </c:pt>
                <c:pt idx="124">
                  <c:v>220</c:v>
                </c:pt>
                <c:pt idx="125">
                  <c:v>220</c:v>
                </c:pt>
                <c:pt idx="126">
                  <c:v>220</c:v>
                </c:pt>
                <c:pt idx="127">
                  <c:v>220</c:v>
                </c:pt>
                <c:pt idx="128">
                  <c:v>220</c:v>
                </c:pt>
                <c:pt idx="129">
                  <c:v>220</c:v>
                </c:pt>
                <c:pt idx="130">
                  <c:v>220</c:v>
                </c:pt>
                <c:pt idx="131">
                  <c:v>220</c:v>
                </c:pt>
                <c:pt idx="132">
                  <c:v>220</c:v>
                </c:pt>
                <c:pt idx="133">
                  <c:v>220</c:v>
                </c:pt>
                <c:pt idx="134">
                  <c:v>220</c:v>
                </c:pt>
                <c:pt idx="135">
                  <c:v>220</c:v>
                </c:pt>
                <c:pt idx="136">
                  <c:v>220</c:v>
                </c:pt>
                <c:pt idx="137">
                  <c:v>220</c:v>
                </c:pt>
                <c:pt idx="138">
                  <c:v>220</c:v>
                </c:pt>
                <c:pt idx="139">
                  <c:v>220</c:v>
                </c:pt>
                <c:pt idx="140">
                  <c:v>220</c:v>
                </c:pt>
                <c:pt idx="141">
                  <c:v>220</c:v>
                </c:pt>
                <c:pt idx="142">
                  <c:v>220</c:v>
                </c:pt>
                <c:pt idx="143">
                  <c:v>220</c:v>
                </c:pt>
                <c:pt idx="144">
                  <c:v>220</c:v>
                </c:pt>
                <c:pt idx="145">
                  <c:v>220</c:v>
                </c:pt>
                <c:pt idx="146">
                  <c:v>220</c:v>
                </c:pt>
                <c:pt idx="147">
                  <c:v>220</c:v>
                </c:pt>
                <c:pt idx="148">
                  <c:v>220</c:v>
                </c:pt>
                <c:pt idx="149">
                  <c:v>220</c:v>
                </c:pt>
                <c:pt idx="150">
                  <c:v>220</c:v>
                </c:pt>
                <c:pt idx="151">
                  <c:v>220</c:v>
                </c:pt>
                <c:pt idx="152">
                  <c:v>220</c:v>
                </c:pt>
                <c:pt idx="153">
                  <c:v>220</c:v>
                </c:pt>
                <c:pt idx="154">
                  <c:v>220</c:v>
                </c:pt>
                <c:pt idx="155">
                  <c:v>220</c:v>
                </c:pt>
                <c:pt idx="156">
                  <c:v>220</c:v>
                </c:pt>
                <c:pt idx="157">
                  <c:v>220</c:v>
                </c:pt>
                <c:pt idx="158">
                  <c:v>220</c:v>
                </c:pt>
                <c:pt idx="159">
                  <c:v>220</c:v>
                </c:pt>
                <c:pt idx="160">
                  <c:v>220</c:v>
                </c:pt>
                <c:pt idx="161">
                  <c:v>220</c:v>
                </c:pt>
                <c:pt idx="162">
                  <c:v>220</c:v>
                </c:pt>
                <c:pt idx="163">
                  <c:v>220</c:v>
                </c:pt>
                <c:pt idx="164">
                  <c:v>220</c:v>
                </c:pt>
                <c:pt idx="165">
                  <c:v>220</c:v>
                </c:pt>
                <c:pt idx="166">
                  <c:v>220</c:v>
                </c:pt>
                <c:pt idx="167">
                  <c:v>220</c:v>
                </c:pt>
                <c:pt idx="168">
                  <c:v>220</c:v>
                </c:pt>
                <c:pt idx="169">
                  <c:v>220</c:v>
                </c:pt>
                <c:pt idx="170">
                  <c:v>220</c:v>
                </c:pt>
                <c:pt idx="171">
                  <c:v>220</c:v>
                </c:pt>
                <c:pt idx="172">
                  <c:v>220</c:v>
                </c:pt>
                <c:pt idx="173">
                  <c:v>220</c:v>
                </c:pt>
                <c:pt idx="174">
                  <c:v>220</c:v>
                </c:pt>
                <c:pt idx="175">
                  <c:v>220</c:v>
                </c:pt>
                <c:pt idx="176">
                  <c:v>220</c:v>
                </c:pt>
                <c:pt idx="177">
                  <c:v>220</c:v>
                </c:pt>
                <c:pt idx="178">
                  <c:v>220</c:v>
                </c:pt>
                <c:pt idx="179">
                  <c:v>220</c:v>
                </c:pt>
                <c:pt idx="180">
                  <c:v>220</c:v>
                </c:pt>
                <c:pt idx="181">
                  <c:v>220</c:v>
                </c:pt>
                <c:pt idx="182">
                  <c:v>220</c:v>
                </c:pt>
                <c:pt idx="183">
                  <c:v>220</c:v>
                </c:pt>
                <c:pt idx="184">
                  <c:v>220</c:v>
                </c:pt>
                <c:pt idx="185">
                  <c:v>220</c:v>
                </c:pt>
                <c:pt idx="186">
                  <c:v>220</c:v>
                </c:pt>
                <c:pt idx="187">
                  <c:v>220</c:v>
                </c:pt>
                <c:pt idx="188">
                  <c:v>220</c:v>
                </c:pt>
                <c:pt idx="189">
                  <c:v>220</c:v>
                </c:pt>
                <c:pt idx="190">
                  <c:v>220</c:v>
                </c:pt>
                <c:pt idx="191">
                  <c:v>220</c:v>
                </c:pt>
                <c:pt idx="192">
                  <c:v>220</c:v>
                </c:pt>
                <c:pt idx="193">
                  <c:v>220</c:v>
                </c:pt>
                <c:pt idx="194">
                  <c:v>220</c:v>
                </c:pt>
                <c:pt idx="195">
                  <c:v>220</c:v>
                </c:pt>
                <c:pt idx="196">
                  <c:v>220</c:v>
                </c:pt>
                <c:pt idx="197">
                  <c:v>220</c:v>
                </c:pt>
                <c:pt idx="198">
                  <c:v>220</c:v>
                </c:pt>
                <c:pt idx="199">
                  <c:v>220</c:v>
                </c:pt>
                <c:pt idx="200">
                  <c:v>220</c:v>
                </c:pt>
              </c:numCache>
            </c:numRef>
          </c:yVal>
          <c:smooth val="0"/>
          <c:extLst>
            <c:ext xmlns:c16="http://schemas.microsoft.com/office/drawing/2014/chart" uri="{C3380CC4-5D6E-409C-BE32-E72D297353CC}">
              <c16:uniqueId val="{00000002-B0B3-498E-AA0F-1838ED655328}"/>
            </c:ext>
          </c:extLst>
        </c:ser>
        <c:ser>
          <c:idx val="3"/>
          <c:order val="3"/>
          <c:tx>
            <c:strRef>
              <c:f>'Armaduras Pasivas'!$E$2</c:f>
              <c:strCache>
                <c:ptCount val="1"/>
                <c:pt idx="0">
                  <c:v>Provisto por Usuario</c:v>
                </c:pt>
              </c:strCache>
            </c:strRef>
          </c:tx>
          <c:spPr>
            <a:ln w="19050" cap="rnd">
              <a:solidFill>
                <a:schemeClr val="bg1">
                  <a:lumMod val="50000"/>
                </a:schemeClr>
              </a:solidFill>
              <a:round/>
            </a:ln>
            <a:effectLst/>
          </c:spPr>
          <c:marker>
            <c:symbol val="none"/>
          </c:marker>
          <c:xVal>
            <c:numRef>
              <c:f>'Armaduras Pasivas'!$AD$2:$AD$202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3-B0B3-498E-AA0F-1838ED65532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373289750926642"/>
              <c:y val="0.873637763364685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fs:</a:t>
                </a:r>
                <a:r>
                  <a:rPr lang="en-US" b="0" i="1">
                    <a:solidFill>
                      <a:schemeClr val="tx1"/>
                    </a:solidFill>
                    <a:latin typeface="Arial" panose="020B0604020202020204" pitchFamily="34" charset="0"/>
                    <a:cs typeface="Arial" panose="020B0604020202020204" pitchFamily="34" charset="0"/>
                  </a:rPr>
                  <a:t> </a:t>
                </a:r>
                <a:r>
                  <a:rPr lang="en-US" sz="1000" b="0" i="0" u="none" strike="noStrike" baseline="0">
                    <a:solidFill>
                      <a:schemeClr val="tx1"/>
                    </a:solidFill>
                    <a:effectLst/>
                    <a:latin typeface="Arial" panose="020B0604020202020204" pitchFamily="34" charset="0"/>
                    <a:cs typeface="Arial" panose="020B0604020202020204" pitchFamily="34" charset="0"/>
                  </a:rPr>
                  <a:t>Tensión </a:t>
                </a:r>
                <a:r>
                  <a:rPr lang="en-US" b="0" i="1">
                    <a:solidFill>
                      <a:schemeClr val="tx1"/>
                    </a:solidFill>
                    <a:latin typeface="Arial" panose="020B0604020202020204" pitchFamily="34" charset="0"/>
                    <a:cs typeface="Arial" panose="020B0604020202020204" pitchFamily="34" charset="0"/>
                  </a:rPr>
                  <a:t> </a:t>
                </a:r>
                <a:r>
                  <a:rPr lang="en-US" b="0" i="0">
                    <a:solidFill>
                      <a:schemeClr val="tx1"/>
                    </a:solidFill>
                    <a:latin typeface="Arial" panose="020B0604020202020204" pitchFamily="34" charset="0"/>
                    <a:cs typeface="Arial" panose="020B0604020202020204" pitchFamily="34" charset="0"/>
                  </a:rPr>
                  <a:t>[MPa]</a:t>
                </a:r>
              </a:p>
            </c:rich>
          </c:tx>
          <c:layout>
            <c:manualLayout>
              <c:xMode val="edge"/>
              <c:yMode val="edge"/>
              <c:x val="0.11708657995758508"/>
              <c:y val="0.1506641457051911"/>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5434440671289743"/>
          <c:y val="8.7201014766771195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s-419"/>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de Pretensado - ACSAHE</a:t>
            </a:r>
          </a:p>
          <a:p>
            <a:pPr>
              <a:defRPr>
                <a:ln>
                  <a:noFill/>
                </a:ln>
                <a:solidFill>
                  <a:schemeClr val="tx1"/>
                </a:solidFill>
              </a:defRPr>
            </a:pPr>
            <a:r>
              <a:rPr lang="en-US" i="1">
                <a:ln>
                  <a:noFill/>
                </a:ln>
                <a:solidFill>
                  <a:schemeClr val="tx1"/>
                </a:solidFill>
              </a:rPr>
              <a:t>Ecuación Menegotto y Pinto</a:t>
            </a:r>
            <a:r>
              <a:rPr lang="en-US" i="1" baseline="0">
                <a:ln>
                  <a:noFill/>
                </a:ln>
                <a:solidFill>
                  <a:schemeClr val="tx1"/>
                </a:solidFill>
              </a:rPr>
              <a:t> (1973)</a:t>
            </a:r>
            <a:endParaRPr lang="en-US" i="1">
              <a:ln>
                <a:noFill/>
              </a:l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s-419"/>
        </a:p>
      </c:txPr>
    </c:title>
    <c:autoTitleDeleted val="0"/>
    <c:plotArea>
      <c:layout>
        <c:manualLayout>
          <c:layoutTarget val="inner"/>
          <c:xMode val="edge"/>
          <c:yMode val="edge"/>
          <c:x val="0.10986861685024414"/>
          <c:y val="0.15700694047990923"/>
          <c:w val="0.83703554149748371"/>
          <c:h val="0.74593563629443715"/>
        </c:manualLayout>
      </c:layout>
      <c:scatterChart>
        <c:scatterStyle val="lineMarker"/>
        <c:varyColors val="0"/>
        <c:ser>
          <c:idx val="0"/>
          <c:order val="0"/>
          <c:tx>
            <c:v>BARRAS 1050</c:v>
          </c:tx>
          <c:spPr>
            <a:ln w="25400" cap="rnd">
              <a:solidFill>
                <a:schemeClr val="accent6"/>
              </a:solidFill>
              <a:round/>
            </a:ln>
            <a:effectLst/>
          </c:spPr>
          <c:marker>
            <c:symbol val="none"/>
          </c:marker>
          <c:xVal>
            <c:numRef>
              <c:f>'Armaduras Activas'!$AA$2:$AA$203</c:f>
              <c:numCache>
                <c:formatCode>0.00%</c:formatCode>
                <c:ptCount val="202"/>
                <c:pt idx="0">
                  <c:v>0</c:v>
                </c:pt>
                <c:pt idx="1">
                  <c:v>2.05E-4</c:v>
                </c:pt>
                <c:pt idx="2">
                  <c:v>4.0999999999999999E-4</c:v>
                </c:pt>
                <c:pt idx="3">
                  <c:v>6.1499999999999999E-4</c:v>
                </c:pt>
                <c:pt idx="4">
                  <c:v>8.1999999999999998E-4</c:v>
                </c:pt>
                <c:pt idx="5">
                  <c:v>1.0249999999999999E-3</c:v>
                </c:pt>
                <c:pt idx="6">
                  <c:v>1.2299999999999998E-3</c:v>
                </c:pt>
                <c:pt idx="7">
                  <c:v>1.4349999999999996E-3</c:v>
                </c:pt>
                <c:pt idx="8">
                  <c:v>1.6399999999999995E-3</c:v>
                </c:pt>
                <c:pt idx="9">
                  <c:v>1.8449999999999994E-3</c:v>
                </c:pt>
                <c:pt idx="10">
                  <c:v>2.0499999999999993E-3</c:v>
                </c:pt>
                <c:pt idx="11">
                  <c:v>2.2549999999999992E-3</c:v>
                </c:pt>
                <c:pt idx="12">
                  <c:v>2.4599999999999991E-3</c:v>
                </c:pt>
                <c:pt idx="13">
                  <c:v>2.664999999999999E-3</c:v>
                </c:pt>
                <c:pt idx="14">
                  <c:v>2.8699999999999989E-3</c:v>
                </c:pt>
                <c:pt idx="15">
                  <c:v>3.0749999999999987E-3</c:v>
                </c:pt>
                <c:pt idx="16">
                  <c:v>3.2799999999999986E-3</c:v>
                </c:pt>
                <c:pt idx="17">
                  <c:v>3.4849999999999985E-3</c:v>
                </c:pt>
                <c:pt idx="18">
                  <c:v>3.6899999999999984E-3</c:v>
                </c:pt>
                <c:pt idx="19">
                  <c:v>3.8949999999999983E-3</c:v>
                </c:pt>
                <c:pt idx="20">
                  <c:v>4.0999999999999986E-3</c:v>
                </c:pt>
                <c:pt idx="21">
                  <c:v>4.3049999999999989E-3</c:v>
                </c:pt>
                <c:pt idx="22">
                  <c:v>4.5099999999999993E-3</c:v>
                </c:pt>
                <c:pt idx="23">
                  <c:v>4.7149999999999996E-3</c:v>
                </c:pt>
                <c:pt idx="24">
                  <c:v>4.9199999999999999E-3</c:v>
                </c:pt>
                <c:pt idx="25">
                  <c:v>5.1250000000000002E-3</c:v>
                </c:pt>
                <c:pt idx="26">
                  <c:v>5.3300000000000005E-3</c:v>
                </c:pt>
                <c:pt idx="27">
                  <c:v>5.5350000000000009E-3</c:v>
                </c:pt>
                <c:pt idx="28">
                  <c:v>5.7400000000000012E-3</c:v>
                </c:pt>
                <c:pt idx="29">
                  <c:v>5.9450000000000015E-3</c:v>
                </c:pt>
                <c:pt idx="30">
                  <c:v>6.1500000000000018E-3</c:v>
                </c:pt>
                <c:pt idx="31">
                  <c:v>6.3550000000000021E-3</c:v>
                </c:pt>
                <c:pt idx="32">
                  <c:v>6.5600000000000025E-3</c:v>
                </c:pt>
                <c:pt idx="33">
                  <c:v>6.7650000000000028E-3</c:v>
                </c:pt>
                <c:pt idx="34">
                  <c:v>6.9700000000000031E-3</c:v>
                </c:pt>
                <c:pt idx="35">
                  <c:v>7.1750000000000034E-3</c:v>
                </c:pt>
                <c:pt idx="36">
                  <c:v>7.3800000000000037E-3</c:v>
                </c:pt>
                <c:pt idx="37">
                  <c:v>7.5850000000000041E-3</c:v>
                </c:pt>
                <c:pt idx="38">
                  <c:v>7.7900000000000044E-3</c:v>
                </c:pt>
                <c:pt idx="39">
                  <c:v>7.9950000000000038E-3</c:v>
                </c:pt>
                <c:pt idx="40">
                  <c:v>8.2000000000000042E-3</c:v>
                </c:pt>
                <c:pt idx="41">
                  <c:v>8.4050000000000045E-3</c:v>
                </c:pt>
                <c:pt idx="42">
                  <c:v>8.6100000000000048E-3</c:v>
                </c:pt>
                <c:pt idx="43">
                  <c:v>8.8150000000000051E-3</c:v>
                </c:pt>
                <c:pt idx="44">
                  <c:v>9.0200000000000054E-3</c:v>
                </c:pt>
                <c:pt idx="45">
                  <c:v>9.2250000000000058E-3</c:v>
                </c:pt>
                <c:pt idx="46">
                  <c:v>9.4300000000000061E-3</c:v>
                </c:pt>
                <c:pt idx="47">
                  <c:v>9.6350000000000064E-3</c:v>
                </c:pt>
                <c:pt idx="48">
                  <c:v>9.8400000000000067E-3</c:v>
                </c:pt>
                <c:pt idx="49">
                  <c:v>1.0045000000000007E-2</c:v>
                </c:pt>
                <c:pt idx="50">
                  <c:v>1.0250000000000007E-2</c:v>
                </c:pt>
                <c:pt idx="51">
                  <c:v>1.0455000000000008E-2</c:v>
                </c:pt>
                <c:pt idx="52">
                  <c:v>1.0660000000000008E-2</c:v>
                </c:pt>
                <c:pt idx="53">
                  <c:v>1.0865000000000008E-2</c:v>
                </c:pt>
                <c:pt idx="54">
                  <c:v>1.1070000000000009E-2</c:v>
                </c:pt>
                <c:pt idx="55">
                  <c:v>1.1275000000000009E-2</c:v>
                </c:pt>
                <c:pt idx="56">
                  <c:v>1.1480000000000009E-2</c:v>
                </c:pt>
                <c:pt idx="57">
                  <c:v>1.168500000000001E-2</c:v>
                </c:pt>
                <c:pt idx="58">
                  <c:v>1.189000000000001E-2</c:v>
                </c:pt>
                <c:pt idx="59">
                  <c:v>1.209500000000001E-2</c:v>
                </c:pt>
                <c:pt idx="60">
                  <c:v>1.2300000000000011E-2</c:v>
                </c:pt>
                <c:pt idx="61">
                  <c:v>1.2505000000000011E-2</c:v>
                </c:pt>
                <c:pt idx="62">
                  <c:v>1.2710000000000011E-2</c:v>
                </c:pt>
                <c:pt idx="63">
                  <c:v>1.2915000000000012E-2</c:v>
                </c:pt>
                <c:pt idx="64">
                  <c:v>1.3120000000000012E-2</c:v>
                </c:pt>
                <c:pt idx="65">
                  <c:v>1.3325000000000012E-2</c:v>
                </c:pt>
                <c:pt idx="66">
                  <c:v>1.3530000000000013E-2</c:v>
                </c:pt>
                <c:pt idx="67">
                  <c:v>1.3735000000000013E-2</c:v>
                </c:pt>
                <c:pt idx="68">
                  <c:v>1.3940000000000013E-2</c:v>
                </c:pt>
                <c:pt idx="69">
                  <c:v>1.4145000000000013E-2</c:v>
                </c:pt>
                <c:pt idx="70">
                  <c:v>1.4350000000000014E-2</c:v>
                </c:pt>
                <c:pt idx="71">
                  <c:v>1.4555000000000014E-2</c:v>
                </c:pt>
                <c:pt idx="72">
                  <c:v>1.4760000000000014E-2</c:v>
                </c:pt>
                <c:pt idx="73">
                  <c:v>1.4965000000000015E-2</c:v>
                </c:pt>
                <c:pt idx="74">
                  <c:v>1.5170000000000015E-2</c:v>
                </c:pt>
                <c:pt idx="75">
                  <c:v>1.5375000000000015E-2</c:v>
                </c:pt>
                <c:pt idx="76">
                  <c:v>1.5580000000000016E-2</c:v>
                </c:pt>
                <c:pt idx="77">
                  <c:v>1.5785000000000014E-2</c:v>
                </c:pt>
                <c:pt idx="78">
                  <c:v>1.5990000000000015E-2</c:v>
                </c:pt>
                <c:pt idx="79">
                  <c:v>1.6195000000000015E-2</c:v>
                </c:pt>
                <c:pt idx="80">
                  <c:v>1.6400000000000015E-2</c:v>
                </c:pt>
                <c:pt idx="81">
                  <c:v>1.6605000000000016E-2</c:v>
                </c:pt>
                <c:pt idx="82">
                  <c:v>1.6810000000000016E-2</c:v>
                </c:pt>
                <c:pt idx="83">
                  <c:v>1.7015000000000016E-2</c:v>
                </c:pt>
                <c:pt idx="84">
                  <c:v>1.7220000000000017E-2</c:v>
                </c:pt>
                <c:pt idx="85">
                  <c:v>1.7425000000000017E-2</c:v>
                </c:pt>
                <c:pt idx="86">
                  <c:v>1.7630000000000017E-2</c:v>
                </c:pt>
                <c:pt idx="87">
                  <c:v>1.7835000000000018E-2</c:v>
                </c:pt>
                <c:pt idx="88">
                  <c:v>1.8040000000000018E-2</c:v>
                </c:pt>
                <c:pt idx="89">
                  <c:v>1.8245000000000018E-2</c:v>
                </c:pt>
                <c:pt idx="90">
                  <c:v>1.8450000000000018E-2</c:v>
                </c:pt>
                <c:pt idx="91">
                  <c:v>1.8655000000000019E-2</c:v>
                </c:pt>
                <c:pt idx="92">
                  <c:v>1.8860000000000019E-2</c:v>
                </c:pt>
                <c:pt idx="93">
                  <c:v>1.9065000000000019E-2</c:v>
                </c:pt>
                <c:pt idx="94">
                  <c:v>1.927000000000002E-2</c:v>
                </c:pt>
                <c:pt idx="95">
                  <c:v>1.947500000000002E-2</c:v>
                </c:pt>
                <c:pt idx="96">
                  <c:v>1.968000000000002E-2</c:v>
                </c:pt>
                <c:pt idx="97">
                  <c:v>1.9885000000000021E-2</c:v>
                </c:pt>
                <c:pt idx="98">
                  <c:v>2.0090000000000021E-2</c:v>
                </c:pt>
                <c:pt idx="99">
                  <c:v>2.0295000000000021E-2</c:v>
                </c:pt>
                <c:pt idx="100">
                  <c:v>2.0500000000000022E-2</c:v>
                </c:pt>
                <c:pt idx="101">
                  <c:v>2.0705000000000022E-2</c:v>
                </c:pt>
                <c:pt idx="102">
                  <c:v>2.0910000000000022E-2</c:v>
                </c:pt>
                <c:pt idx="103">
                  <c:v>2.1115000000000023E-2</c:v>
                </c:pt>
                <c:pt idx="104">
                  <c:v>2.1320000000000023E-2</c:v>
                </c:pt>
                <c:pt idx="105">
                  <c:v>2.1525000000000023E-2</c:v>
                </c:pt>
                <c:pt idx="106">
                  <c:v>2.1730000000000024E-2</c:v>
                </c:pt>
                <c:pt idx="107">
                  <c:v>2.1935000000000024E-2</c:v>
                </c:pt>
                <c:pt idx="108">
                  <c:v>2.2140000000000024E-2</c:v>
                </c:pt>
                <c:pt idx="109">
                  <c:v>2.2345000000000025E-2</c:v>
                </c:pt>
                <c:pt idx="110">
                  <c:v>2.2550000000000025E-2</c:v>
                </c:pt>
                <c:pt idx="111">
                  <c:v>2.2755000000000025E-2</c:v>
                </c:pt>
                <c:pt idx="112">
                  <c:v>2.2960000000000026E-2</c:v>
                </c:pt>
                <c:pt idx="113">
                  <c:v>2.3165000000000026E-2</c:v>
                </c:pt>
                <c:pt idx="114">
                  <c:v>2.3370000000000026E-2</c:v>
                </c:pt>
                <c:pt idx="115">
                  <c:v>2.3575000000000026E-2</c:v>
                </c:pt>
                <c:pt idx="116">
                  <c:v>2.3780000000000027E-2</c:v>
                </c:pt>
                <c:pt idx="117">
                  <c:v>2.3985000000000027E-2</c:v>
                </c:pt>
                <c:pt idx="118">
                  <c:v>2.4190000000000027E-2</c:v>
                </c:pt>
                <c:pt idx="119">
                  <c:v>2.4395000000000028E-2</c:v>
                </c:pt>
                <c:pt idx="120">
                  <c:v>2.4600000000000028E-2</c:v>
                </c:pt>
                <c:pt idx="121">
                  <c:v>2.4805000000000028E-2</c:v>
                </c:pt>
                <c:pt idx="122">
                  <c:v>2.5010000000000029E-2</c:v>
                </c:pt>
                <c:pt idx="123">
                  <c:v>2.5215000000000029E-2</c:v>
                </c:pt>
                <c:pt idx="124">
                  <c:v>2.5420000000000029E-2</c:v>
                </c:pt>
                <c:pt idx="125">
                  <c:v>2.562500000000003E-2</c:v>
                </c:pt>
                <c:pt idx="126">
                  <c:v>2.583000000000003E-2</c:v>
                </c:pt>
                <c:pt idx="127">
                  <c:v>2.603500000000003E-2</c:v>
                </c:pt>
                <c:pt idx="128">
                  <c:v>2.6240000000000031E-2</c:v>
                </c:pt>
                <c:pt idx="129">
                  <c:v>2.6445000000000031E-2</c:v>
                </c:pt>
                <c:pt idx="130">
                  <c:v>2.6650000000000031E-2</c:v>
                </c:pt>
                <c:pt idx="131">
                  <c:v>2.6855000000000032E-2</c:v>
                </c:pt>
                <c:pt idx="132">
                  <c:v>2.7060000000000032E-2</c:v>
                </c:pt>
                <c:pt idx="133">
                  <c:v>2.7265000000000032E-2</c:v>
                </c:pt>
                <c:pt idx="134">
                  <c:v>2.7470000000000033E-2</c:v>
                </c:pt>
                <c:pt idx="135">
                  <c:v>2.7675000000000033E-2</c:v>
                </c:pt>
                <c:pt idx="136">
                  <c:v>2.7880000000000033E-2</c:v>
                </c:pt>
                <c:pt idx="137">
                  <c:v>2.8085000000000034E-2</c:v>
                </c:pt>
                <c:pt idx="138">
                  <c:v>2.8290000000000034E-2</c:v>
                </c:pt>
                <c:pt idx="139">
                  <c:v>2.8495000000000034E-2</c:v>
                </c:pt>
                <c:pt idx="140">
                  <c:v>2.8700000000000035E-2</c:v>
                </c:pt>
                <c:pt idx="141">
                  <c:v>2.8905000000000035E-2</c:v>
                </c:pt>
                <c:pt idx="142">
                  <c:v>2.9110000000000035E-2</c:v>
                </c:pt>
                <c:pt idx="143">
                  <c:v>2.9315000000000035E-2</c:v>
                </c:pt>
                <c:pt idx="144">
                  <c:v>2.9520000000000036E-2</c:v>
                </c:pt>
                <c:pt idx="145">
                  <c:v>2.9725000000000036E-2</c:v>
                </c:pt>
                <c:pt idx="146">
                  <c:v>2.9930000000000036E-2</c:v>
                </c:pt>
                <c:pt idx="147">
                  <c:v>3.0135000000000037E-2</c:v>
                </c:pt>
                <c:pt idx="148">
                  <c:v>3.0340000000000037E-2</c:v>
                </c:pt>
                <c:pt idx="149">
                  <c:v>3.0545000000000037E-2</c:v>
                </c:pt>
                <c:pt idx="150">
                  <c:v>3.0750000000000038E-2</c:v>
                </c:pt>
                <c:pt idx="151">
                  <c:v>3.0955000000000038E-2</c:v>
                </c:pt>
                <c:pt idx="152">
                  <c:v>3.1160000000000038E-2</c:v>
                </c:pt>
                <c:pt idx="153">
                  <c:v>3.1365000000000039E-2</c:v>
                </c:pt>
                <c:pt idx="154">
                  <c:v>3.1570000000000036E-2</c:v>
                </c:pt>
                <c:pt idx="155">
                  <c:v>3.1775000000000032E-2</c:v>
                </c:pt>
                <c:pt idx="156">
                  <c:v>3.1980000000000029E-2</c:v>
                </c:pt>
                <c:pt idx="157">
                  <c:v>3.2185000000000026E-2</c:v>
                </c:pt>
                <c:pt idx="158">
                  <c:v>3.2390000000000023E-2</c:v>
                </c:pt>
                <c:pt idx="159">
                  <c:v>3.259500000000002E-2</c:v>
                </c:pt>
                <c:pt idx="160">
                  <c:v>3.2800000000000017E-2</c:v>
                </c:pt>
                <c:pt idx="161">
                  <c:v>3.3005000000000013E-2</c:v>
                </c:pt>
                <c:pt idx="162">
                  <c:v>3.321000000000001E-2</c:v>
                </c:pt>
                <c:pt idx="163">
                  <c:v>3.3415000000000007E-2</c:v>
                </c:pt>
                <c:pt idx="164">
                  <c:v>3.3620000000000004E-2</c:v>
                </c:pt>
                <c:pt idx="165">
                  <c:v>3.3825000000000001E-2</c:v>
                </c:pt>
                <c:pt idx="166">
                  <c:v>3.4029999999999998E-2</c:v>
                </c:pt>
                <c:pt idx="167">
                  <c:v>3.4234999999999995E-2</c:v>
                </c:pt>
                <c:pt idx="168">
                  <c:v>3.4439999999999991E-2</c:v>
                </c:pt>
                <c:pt idx="169">
                  <c:v>3.4644999999999988E-2</c:v>
                </c:pt>
                <c:pt idx="170">
                  <c:v>3.4849999999999985E-2</c:v>
                </c:pt>
                <c:pt idx="171">
                  <c:v>3.5054999999999982E-2</c:v>
                </c:pt>
                <c:pt idx="172">
                  <c:v>3.5259999999999979E-2</c:v>
                </c:pt>
                <c:pt idx="173">
                  <c:v>3.5464999999999976E-2</c:v>
                </c:pt>
                <c:pt idx="174">
                  <c:v>3.5669999999999973E-2</c:v>
                </c:pt>
                <c:pt idx="175">
                  <c:v>3.5874999999999969E-2</c:v>
                </c:pt>
                <c:pt idx="176">
                  <c:v>3.6079999999999966E-2</c:v>
                </c:pt>
                <c:pt idx="177">
                  <c:v>3.6284999999999963E-2</c:v>
                </c:pt>
                <c:pt idx="178">
                  <c:v>3.648999999999996E-2</c:v>
                </c:pt>
                <c:pt idx="179">
                  <c:v>3.6694999999999957E-2</c:v>
                </c:pt>
                <c:pt idx="180">
                  <c:v>3.6899999999999954E-2</c:v>
                </c:pt>
                <c:pt idx="181">
                  <c:v>3.7104999999999951E-2</c:v>
                </c:pt>
                <c:pt idx="182">
                  <c:v>3.7309999999999947E-2</c:v>
                </c:pt>
                <c:pt idx="183">
                  <c:v>3.7514999999999944E-2</c:v>
                </c:pt>
                <c:pt idx="184">
                  <c:v>3.7719999999999941E-2</c:v>
                </c:pt>
                <c:pt idx="185">
                  <c:v>3.7924999999999938E-2</c:v>
                </c:pt>
                <c:pt idx="186">
                  <c:v>3.8129999999999935E-2</c:v>
                </c:pt>
                <c:pt idx="187">
                  <c:v>3.8334999999999932E-2</c:v>
                </c:pt>
                <c:pt idx="188">
                  <c:v>3.8539999999999928E-2</c:v>
                </c:pt>
                <c:pt idx="189">
                  <c:v>3.8744999999999925E-2</c:v>
                </c:pt>
                <c:pt idx="190">
                  <c:v>3.8949999999999922E-2</c:v>
                </c:pt>
                <c:pt idx="191">
                  <c:v>3.9154999999999919E-2</c:v>
                </c:pt>
                <c:pt idx="192">
                  <c:v>3.9359999999999916E-2</c:v>
                </c:pt>
                <c:pt idx="193">
                  <c:v>3.9564999999999913E-2</c:v>
                </c:pt>
                <c:pt idx="194">
                  <c:v>3.976999999999991E-2</c:v>
                </c:pt>
                <c:pt idx="195">
                  <c:v>3.9974999999999906E-2</c:v>
                </c:pt>
                <c:pt idx="196">
                  <c:v>4.0179999999999903E-2</c:v>
                </c:pt>
                <c:pt idx="197">
                  <c:v>4.03849999999999E-2</c:v>
                </c:pt>
                <c:pt idx="198">
                  <c:v>4.0589999999999897E-2</c:v>
                </c:pt>
                <c:pt idx="199">
                  <c:v>4.0794999999999894E-2</c:v>
                </c:pt>
                <c:pt idx="200">
                  <c:v>4.0999999999999891E-2</c:v>
                </c:pt>
              </c:numCache>
            </c:numRef>
          </c:xVal>
          <c:yVal>
            <c:numRef>
              <c:f>'Armaduras Activas'!$AE$2:$AE$203</c:f>
              <c:numCache>
                <c:formatCode>General</c:formatCode>
                <c:ptCount val="202"/>
                <c:pt idx="0">
                  <c:v>0</c:v>
                </c:pt>
                <c:pt idx="1">
                  <c:v>40.999999998894182</c:v>
                </c:pt>
                <c:pt idx="2">
                  <c:v>81.999999696591587</c:v>
                </c:pt>
                <c:pt idx="3">
                  <c:v>122.99999190220655</c:v>
                </c:pt>
                <c:pt idx="4">
                  <c:v>163.9999167527931</c:v>
                </c:pt>
                <c:pt idx="5">
                  <c:v>204.99949261543185</c:v>
                </c:pt>
                <c:pt idx="6">
                  <c:v>245.99777825807894</c:v>
                </c:pt>
                <c:pt idx="7">
                  <c:v>286.99225662179344</c:v>
                </c:pt>
                <c:pt idx="8">
                  <c:v>327.97716563672998</c:v>
                </c:pt>
                <c:pt idx="9">
                  <c:v>368.94074003011985</c:v>
                </c:pt>
                <c:pt idx="10">
                  <c:v>409.86097995575295</c:v>
                </c:pt>
                <c:pt idx="11">
                  <c:v>450.69955016931885</c:v>
                </c:pt>
                <c:pt idx="12">
                  <c:v>491.3934829171767</c:v>
                </c:pt>
                <c:pt idx="13">
                  <c:v>531.84458925683703</c:v>
                </c:pt>
                <c:pt idx="14">
                  <c:v>571.90699882493243</c:v>
                </c:pt>
                <c:pt idx="15">
                  <c:v>611.37418880285213</c:v>
                </c:pt>
                <c:pt idx="16">
                  <c:v>649.96830345159049</c:v>
                </c:pt>
                <c:pt idx="17">
                  <c:v>687.33631679325549</c:v>
                </c:pt>
                <c:pt idx="18">
                  <c:v>723.05891719986323</c:v>
                </c:pt>
                <c:pt idx="19">
                  <c:v>756.67747346865474</c:v>
                </c:pt>
                <c:pt idx="20">
                  <c:v>787.74048560279402</c:v>
                </c:pt>
                <c:pt idx="21">
                  <c:v>815.86331048334011</c:v>
                </c:pt>
                <c:pt idx="22">
                  <c:v>840.78659423097633</c:v>
                </c:pt>
                <c:pt idx="23">
                  <c:v>862.41532698028254</c:v>
                </c:pt>
                <c:pt idx="24">
                  <c:v>880.82585654357763</c:v>
                </c:pt>
                <c:pt idx="25">
                  <c:v>896.2405017410025</c:v>
                </c:pt>
                <c:pt idx="26">
                  <c:v>908.98112090510324</c:v>
                </c:pt>
                <c:pt idx="27">
                  <c:v>919.41757778982208</c:v>
                </c:pt>
                <c:pt idx="28">
                  <c:v>927.92390080208349</c:v>
                </c:pt>
                <c:pt idx="29">
                  <c:v>934.84818624852267</c:v>
                </c:pt>
                <c:pt idx="30">
                  <c:v>940.49634635427196</c:v>
                </c:pt>
                <c:pt idx="31">
                  <c:v>945.12658833918306</c:v>
                </c:pt>
                <c:pt idx="32">
                  <c:v>948.95075643302596</c:v>
                </c:pt>
                <c:pt idx="33">
                  <c:v>952.13927358152966</c:v>
                </c:pt>
                <c:pt idx="34">
                  <c:v>954.82743859515062</c:v>
                </c:pt>
                <c:pt idx="35">
                  <c:v>957.12175906643756</c:v>
                </c:pt>
                <c:pt idx="36">
                  <c:v>959.1056639928147</c:v>
                </c:pt>
                <c:pt idx="37">
                  <c:v>960.844351061515</c:v>
                </c:pt>
                <c:pt idx="38">
                  <c:v>962.38874816927023</c:v>
                </c:pt>
                <c:pt idx="39">
                  <c:v>963.77867461781</c:v>
                </c:pt>
                <c:pt idx="40">
                  <c:v>965.04532537514331</c:v>
                </c:pt>
                <c:pt idx="41">
                  <c:v>966.21320472385582</c:v>
                </c:pt>
                <c:pt idx="42">
                  <c:v>967.301622828159</c:v>
                </c:pt>
                <c:pt idx="43">
                  <c:v>968.32585065475052</c:v>
                </c:pt>
                <c:pt idx="44">
                  <c:v>969.29801040584846</c:v>
                </c:pt>
                <c:pt idx="45">
                  <c:v>970.22776236466916</c:v>
                </c:pt>
                <c:pt idx="46">
                  <c:v>971.1228354988574</c:v>
                </c:pt>
                <c:pt idx="47">
                  <c:v>971.98943828329675</c:v>
                </c:pt>
                <c:pt idx="48">
                  <c:v>972.83257766401903</c:v>
                </c:pt>
                <c:pt idx="49">
                  <c:v>973.65630748156332</c:v>
                </c:pt>
                <c:pt idx="50">
                  <c:v>974.46392261234655</c:v>
                </c:pt>
                <c:pt idx="51">
                  <c:v>975.25811123068547</c:v>
                </c:pt>
                <c:pt idx="52">
                  <c:v>976.04107466414985</c:v>
                </c:pt>
                <c:pt idx="53">
                  <c:v>976.81462209110475</c:v>
                </c:pt>
                <c:pt idx="54">
                  <c:v>977.58024564111554</c:v>
                </c:pt>
                <c:pt idx="55">
                  <c:v>978.33918017591611</c:v>
                </c:pt>
                <c:pt idx="56">
                  <c:v>979.09245105183027</c:v>
                </c:pt>
                <c:pt idx="57">
                  <c:v>979.84091241912643</c:v>
                </c:pt>
                <c:pt idx="58">
                  <c:v>980.5852780434202</c:v>
                </c:pt>
                <c:pt idx="59">
                  <c:v>981.32614619652156</c:v>
                </c:pt>
                <c:pt idx="60">
                  <c:v>982.0640198271592</c:v>
                </c:pt>
                <c:pt idx="61">
                  <c:v>982.79932296175343</c:v>
                </c:pt>
                <c:pt idx="62">
                  <c:v>983.53241408373026</c:v>
                </c:pt>
                <c:pt idx="63">
                  <c:v>984.26359708303767</c:v>
                </c:pt>
                <c:pt idx="64">
                  <c:v>984.99313024517937</c:v>
                </c:pt>
                <c:pt idx="65">
                  <c:v>985.72123365327946</c:v>
                </c:pt>
                <c:pt idx="66">
                  <c:v>986.44809530144778</c:v>
                </c:pt>
                <c:pt idx="67">
                  <c:v>987.17387615840607</c:v>
                </c:pt>
                <c:pt idx="68">
                  <c:v>987.89871437343481</c:v>
                </c:pt>
                <c:pt idx="69">
                  <c:v>988.62272877948419</c:v>
                </c:pt>
                <c:pt idx="70">
                  <c:v>989.34602181868127</c:v>
                </c:pt>
                <c:pt idx="71">
                  <c:v>990.0686819918144</c:v>
                </c:pt>
                <c:pt idx="72">
                  <c:v>990.79078591443545</c:v>
                </c:pt>
                <c:pt idx="73">
                  <c:v>991.51240004700333</c:v>
                </c:pt>
                <c:pt idx="74">
                  <c:v>992.23358215423525</c:v>
                </c:pt>
                <c:pt idx="75">
                  <c:v>992.95438253892144</c:v>
                </c:pt>
                <c:pt idx="76">
                  <c:v>993.67484508743212</c:v>
                </c:pt>
                <c:pt idx="77">
                  <c:v>994.39500815761937</c:v>
                </c:pt>
                <c:pt idx="78">
                  <c:v>995.11490533450092</c:v>
                </c:pt>
                <c:pt idx="79">
                  <c:v>995.83456607477194</c:v>
                </c:pt>
                <c:pt idx="80">
                  <c:v>996.55401625761772</c:v>
                </c:pt>
                <c:pt idx="81">
                  <c:v>997.27327865640689</c:v>
                </c:pt>
                <c:pt idx="82">
                  <c:v>997.99237334340569</c:v>
                </c:pt>
                <c:pt idx="83">
                  <c:v>998.71131803769072</c:v>
                </c:pt>
                <c:pt idx="84">
                  <c:v>999.4301284047915</c:v>
                </c:pt>
                <c:pt idx="85">
                  <c:v>1000.1488183152215</c:v>
                </c:pt>
                <c:pt idx="86">
                  <c:v>1000.8674000679399</c:v>
                </c:pt>
                <c:pt idx="87">
                  <c:v>1001.5858845838288</c:v>
                </c:pt>
                <c:pt idx="88">
                  <c:v>1002.3042815735017</c:v>
                </c:pt>
                <c:pt idx="89">
                  <c:v>1003.0225996830796</c:v>
                </c:pt>
                <c:pt idx="90">
                  <c:v>1003.7408466210389</c:v>
                </c:pt>
                <c:pt idx="91">
                  <c:v>1004.4590292687575</c:v>
                </c:pt>
                <c:pt idx="92">
                  <c:v>1005.1771537770084</c:v>
                </c:pt>
                <c:pt idx="93">
                  <c:v>1005.8952256503106</c:v>
                </c:pt>
                <c:pt idx="94">
                  <c:v>1006.6132498207747</c:v>
                </c:pt>
                <c:pt idx="95">
                  <c:v>1007.331230712844</c:v>
                </c:pt>
                <c:pt idx="96">
                  <c:v>1008.0491723001395</c:v>
                </c:pt>
                <c:pt idx="97">
                  <c:v>1008.7670781554319</c:v>
                </c:pt>
                <c:pt idx="98">
                  <c:v>1009.4849514946392</c:v>
                </c:pt>
                <c:pt idx="99">
                  <c:v>1010.20279521561</c:v>
                </c:pt>
                <c:pt idx="100">
                  <c:v>1010.9206119323584</c:v>
                </c:pt>
                <c:pt idx="101">
                  <c:v>1011.6384040053214</c:v>
                </c:pt>
                <c:pt idx="102">
                  <c:v>1012.3561735681327</c:v>
                </c:pt>
                <c:pt idx="103">
                  <c:v>1013.0739225513458</c:v>
                </c:pt>
                <c:pt idx="104">
                  <c:v>1013.7916527034758</c:v>
                </c:pt>
                <c:pt idx="105">
                  <c:v>1014.5093656096906</c:v>
                </c:pt>
                <c:pt idx="106">
                  <c:v>1015.2270627084229</c:v>
                </c:pt>
                <c:pt idx="107">
                  <c:v>1015.9447453061646</c:v>
                </c:pt>
                <c:pt idx="108">
                  <c:v>1016.6624145906457</c:v>
                </c:pt>
                <c:pt idx="109">
                  <c:v>1017.3800716425908</c:v>
                </c:pt>
                <c:pt idx="110">
                  <c:v>1018.0977174462225</c:v>
                </c:pt>
                <c:pt idx="111">
                  <c:v>1018.8153528986458</c:v>
                </c:pt>
                <c:pt idx="112">
                  <c:v>1019.532978818248</c:v>
                </c:pt>
                <c:pt idx="113">
                  <c:v>1020.2505959522258</c:v>
                </c:pt>
                <c:pt idx="114">
                  <c:v>1020.9682049833333</c:v>
                </c:pt>
                <c:pt idx="115">
                  <c:v>1021.6858065359341</c:v>
                </c:pt>
                <c:pt idx="116">
                  <c:v>1022.4034011814482</c:v>
                </c:pt>
                <c:pt idx="117">
                  <c:v>1023.1209894432413</c:v>
                </c:pt>
                <c:pt idx="118">
                  <c:v>1023.8385718010292</c:v>
                </c:pt>
                <c:pt idx="119">
                  <c:v>1024.5561486948484</c:v>
                </c:pt>
                <c:pt idx="120">
                  <c:v>1025.2737205286301</c:v>
                </c:pt>
                <c:pt idx="121">
                  <c:v>1025.9912876734329</c:v>
                </c:pt>
                <c:pt idx="122">
                  <c:v>1026.7088504703561</c:v>
                </c:pt>
                <c:pt idx="123">
                  <c:v>1027.42640923318</c:v>
                </c:pt>
                <c:pt idx="124">
                  <c:v>1028.1439642507494</c:v>
                </c:pt>
                <c:pt idx="125">
                  <c:v>1028.8615157891354</c:v>
                </c:pt>
                <c:pt idx="126">
                  <c:v>1029.5790640935916</c:v>
                </c:pt>
                <c:pt idx="127">
                  <c:v>1030.2966093903335</c:v>
                </c:pt>
                <c:pt idx="128">
                  <c:v>1031.0141518881464</c:v>
                </c:pt>
                <c:pt idx="129">
                  <c:v>1031.7316917798544</c:v>
                </c:pt>
                <c:pt idx="130">
                  <c:v>1032.4492292436471</c:v>
                </c:pt>
                <c:pt idx="131">
                  <c:v>1033.1667644442939</c:v>
                </c:pt>
                <c:pt idx="132">
                  <c:v>1033.8842975342454</c:v>
                </c:pt>
                <c:pt idx="133">
                  <c:v>1034.6018286546384</c:v>
                </c:pt>
                <c:pt idx="134">
                  <c:v>1035.3193579362126</c:v>
                </c:pt>
                <c:pt idx="135">
                  <c:v>1036.0368855001443</c:v>
                </c:pt>
                <c:pt idx="136">
                  <c:v>1036.7544114588115</c:v>
                </c:pt>
                <c:pt idx="137">
                  <c:v>1037.4719359164903</c:v>
                </c:pt>
                <c:pt idx="138">
                  <c:v>1038.1894589699928</c:v>
                </c:pt>
                <c:pt idx="139">
                  <c:v>1038.9069807092483</c:v>
                </c:pt>
                <c:pt idx="140">
                  <c:v>1039.6245012178404</c:v>
                </c:pt>
                <c:pt idx="141">
                  <c:v>1040.3420205734924</c:v>
                </c:pt>
                <c:pt idx="142">
                  <c:v>1041.0595388485169</c:v>
                </c:pt>
                <c:pt idx="143">
                  <c:v>1041.7770561102291</c:v>
                </c:pt>
                <c:pt idx="144">
                  <c:v>1042.4945724213214</c:v>
                </c:pt>
                <c:pt idx="145">
                  <c:v>1043.2120878402084</c:v>
                </c:pt>
                <c:pt idx="146">
                  <c:v>1043.9296024213502</c:v>
                </c:pt>
                <c:pt idx="147">
                  <c:v>1044.6471162155406</c:v>
                </c:pt>
                <c:pt idx="148">
                  <c:v>1045.3646292701781</c:v>
                </c:pt>
                <c:pt idx="149">
                  <c:v>1046.0821416295139</c:v>
                </c:pt>
                <c:pt idx="150">
                  <c:v>1046.7996533348796</c:v>
                </c:pt>
                <c:pt idx="151">
                  <c:v>1047.5171644248974</c:v>
                </c:pt>
                <c:pt idx="152">
                  <c:v>1048.2346749356748</c:v>
                </c:pt>
                <c:pt idx="153">
                  <c:v>1048.9521849009823</c:v>
                </c:pt>
                <c:pt idx="154">
                  <c:v>1049.6696943524198</c:v>
                </c:pt>
                <c:pt idx="155">
                  <c:v>1050.3872033195676</c:v>
                </c:pt>
                <c:pt idx="156">
                  <c:v>1051.1047118301281</c:v>
                </c:pt>
                <c:pt idx="157">
                  <c:v>1051.8222199100564</c:v>
                </c:pt>
                <c:pt idx="158">
                  <c:v>1052.5397275836804</c:v>
                </c:pt>
                <c:pt idx="159">
                  <c:v>1053.2572348738111</c:v>
                </c:pt>
                <c:pt idx="160">
                  <c:v>1053.9747418018474</c:v>
                </c:pt>
                <c:pt idx="161">
                  <c:v>1054.6922483878716</c:v>
                </c:pt>
                <c:pt idx="162">
                  <c:v>1055.4097546507364</c:v>
                </c:pt>
                <c:pt idx="163">
                  <c:v>1056.1272606081482</c:v>
                </c:pt>
                <c:pt idx="164">
                  <c:v>1056.8447662767437</c:v>
                </c:pt>
                <c:pt idx="165">
                  <c:v>1057.5622716721593</c:v>
                </c:pt>
                <c:pt idx="166">
                  <c:v>1058.2797768090977</c:v>
                </c:pt>
                <c:pt idx="167">
                  <c:v>1058.9972817013886</c:v>
                </c:pt>
                <c:pt idx="168">
                  <c:v>1059.7147863620442</c:v>
                </c:pt>
                <c:pt idx="169">
                  <c:v>1060.4322908033148</c:v>
                </c:pt>
                <c:pt idx="170">
                  <c:v>1061.149795036735</c:v>
                </c:pt>
                <c:pt idx="171">
                  <c:v>1061.8672990731695</c:v>
                </c:pt>
                <c:pt idx="172">
                  <c:v>1062.5848029228569</c:v>
                </c:pt>
                <c:pt idx="173">
                  <c:v>1063.302306595449</c:v>
                </c:pt>
                <c:pt idx="174">
                  <c:v>1064.0198101000458</c:v>
                </c:pt>
                <c:pt idx="175">
                  <c:v>1064.737313445233</c:v>
                </c:pt>
                <c:pt idx="176">
                  <c:v>1065.45481663911</c:v>
                </c:pt>
                <c:pt idx="177">
                  <c:v>1066.1723196893238</c:v>
                </c:pt>
                <c:pt idx="178">
                  <c:v>1066.8898226030933</c:v>
                </c:pt>
                <c:pt idx="179">
                  <c:v>1067.6073253872387</c:v>
                </c:pt>
                <c:pt idx="180">
                  <c:v>1068.3248280482035</c:v>
                </c:pt>
                <c:pt idx="181">
                  <c:v>1069.0423305920742</c:v>
                </c:pt>
                <c:pt idx="182">
                  <c:v>1069.7598330246115</c:v>
                </c:pt>
                <c:pt idx="183">
                  <c:v>1070.4773353512583</c:v>
                </c:pt>
                <c:pt idx="184">
                  <c:v>1071.194837577166</c:v>
                </c:pt>
                <c:pt idx="185">
                  <c:v>1071.9123397072087</c:v>
                </c:pt>
                <c:pt idx="186">
                  <c:v>1072.6298417459996</c:v>
                </c:pt>
                <c:pt idx="187">
                  <c:v>1073.3473436979086</c:v>
                </c:pt>
                <c:pt idx="188">
                  <c:v>1074.0648455670721</c:v>
                </c:pt>
                <c:pt idx="189">
                  <c:v>1074.7823473574108</c:v>
                </c:pt>
                <c:pt idx="190">
                  <c:v>1075.49984907264</c:v>
                </c:pt>
                <c:pt idx="191">
                  <c:v>1076.2173507162822</c:v>
                </c:pt>
                <c:pt idx="192">
                  <c:v>1076.9348522916755</c:v>
                </c:pt>
                <c:pt idx="193">
                  <c:v>1077.6523538019881</c:v>
                </c:pt>
                <c:pt idx="194">
                  <c:v>1078.3698552502246</c:v>
                </c:pt>
                <c:pt idx="195">
                  <c:v>1079.0873566392372</c:v>
                </c:pt>
                <c:pt idx="196">
                  <c:v>1079.8048579717326</c:v>
                </c:pt>
                <c:pt idx="197">
                  <c:v>1080.5223592502828</c:v>
                </c:pt>
                <c:pt idx="198">
                  <c:v>1081.2398604773271</c:v>
                </c:pt>
                <c:pt idx="199">
                  <c:v>1081.957361655187</c:v>
                </c:pt>
                <c:pt idx="200">
                  <c:v>1082.6748627860654</c:v>
                </c:pt>
              </c:numCache>
            </c:numRef>
          </c:yVal>
          <c:smooth val="0"/>
          <c:extLst>
            <c:ext xmlns:c16="http://schemas.microsoft.com/office/drawing/2014/chart" uri="{C3380CC4-5D6E-409C-BE32-E72D297353CC}">
              <c16:uniqueId val="{00000000-A993-436D-83DB-340879555C98}"/>
            </c:ext>
          </c:extLst>
        </c:ser>
        <c:ser>
          <c:idx val="1"/>
          <c:order val="1"/>
          <c:tx>
            <c:strRef>
              <c:f>'Armaduras Activas'!$C$2</c:f>
              <c:strCache>
                <c:ptCount val="1"/>
                <c:pt idx="0">
                  <c:v>TRENZAS
C1650</c:v>
                </c:pt>
              </c:strCache>
            </c:strRef>
          </c:tx>
          <c:spPr>
            <a:ln w="25400" cap="rnd">
              <a:solidFill>
                <a:schemeClr val="accent5"/>
              </a:solidFill>
              <a:round/>
            </a:ln>
            <a:effectLst/>
          </c:spPr>
          <c:marker>
            <c:symbol val="none"/>
          </c:marker>
          <c:xVal>
            <c:numRef>
              <c:f>'Armaduras Activas'!$AB$2:$AB$203</c:f>
              <c:numCache>
                <c:formatCode>0.00%</c:formatCode>
                <c:ptCount val="202"/>
                <c:pt idx="0">
                  <c:v>0</c:v>
                </c:pt>
                <c:pt idx="1">
                  <c:v>4.3499999999999995E-4</c:v>
                </c:pt>
                <c:pt idx="2">
                  <c:v>8.699999999999999E-4</c:v>
                </c:pt>
                <c:pt idx="3">
                  <c:v>1.3049999999999997E-3</c:v>
                </c:pt>
                <c:pt idx="4">
                  <c:v>1.7399999999999998E-3</c:v>
                </c:pt>
                <c:pt idx="5">
                  <c:v>2.1749999999999999E-3</c:v>
                </c:pt>
                <c:pt idx="6">
                  <c:v>2.6099999999999999E-3</c:v>
                </c:pt>
                <c:pt idx="7">
                  <c:v>3.045E-3</c:v>
                </c:pt>
                <c:pt idx="8">
                  <c:v>3.48E-3</c:v>
                </c:pt>
                <c:pt idx="9">
                  <c:v>3.9150000000000001E-3</c:v>
                </c:pt>
                <c:pt idx="10">
                  <c:v>4.3499999999999997E-3</c:v>
                </c:pt>
                <c:pt idx="11">
                  <c:v>4.7849999999999993E-3</c:v>
                </c:pt>
                <c:pt idx="12">
                  <c:v>5.2199999999999989E-3</c:v>
                </c:pt>
                <c:pt idx="13">
                  <c:v>5.6549999999999986E-3</c:v>
                </c:pt>
                <c:pt idx="14">
                  <c:v>6.0899999999999982E-3</c:v>
                </c:pt>
                <c:pt idx="15">
                  <c:v>6.5249999999999978E-3</c:v>
                </c:pt>
                <c:pt idx="16">
                  <c:v>6.9599999999999974E-3</c:v>
                </c:pt>
                <c:pt idx="17">
                  <c:v>7.3949999999999971E-3</c:v>
                </c:pt>
                <c:pt idx="18">
                  <c:v>7.8299999999999967E-3</c:v>
                </c:pt>
                <c:pt idx="19">
                  <c:v>8.2649999999999963E-3</c:v>
                </c:pt>
                <c:pt idx="20">
                  <c:v>8.6999999999999959E-3</c:v>
                </c:pt>
                <c:pt idx="21">
                  <c:v>9.1349999999999956E-3</c:v>
                </c:pt>
                <c:pt idx="22">
                  <c:v>9.5699999999999952E-3</c:v>
                </c:pt>
                <c:pt idx="23">
                  <c:v>1.0004999999999995E-2</c:v>
                </c:pt>
                <c:pt idx="24">
                  <c:v>1.0439999999999994E-2</c:v>
                </c:pt>
                <c:pt idx="25">
                  <c:v>1.0874999999999994E-2</c:v>
                </c:pt>
                <c:pt idx="26">
                  <c:v>1.1309999999999994E-2</c:v>
                </c:pt>
                <c:pt idx="27">
                  <c:v>1.1744999999999993E-2</c:v>
                </c:pt>
                <c:pt idx="28">
                  <c:v>1.2179999999999993E-2</c:v>
                </c:pt>
                <c:pt idx="29">
                  <c:v>1.2614999999999993E-2</c:v>
                </c:pt>
                <c:pt idx="30">
                  <c:v>1.3049999999999992E-2</c:v>
                </c:pt>
                <c:pt idx="31">
                  <c:v>1.3484999999999992E-2</c:v>
                </c:pt>
                <c:pt idx="32">
                  <c:v>1.3919999999999991E-2</c:v>
                </c:pt>
                <c:pt idx="33">
                  <c:v>1.4354999999999991E-2</c:v>
                </c:pt>
                <c:pt idx="34">
                  <c:v>1.4789999999999991E-2</c:v>
                </c:pt>
                <c:pt idx="35">
                  <c:v>1.522499999999999E-2</c:v>
                </c:pt>
                <c:pt idx="36">
                  <c:v>1.565999999999999E-2</c:v>
                </c:pt>
                <c:pt idx="37">
                  <c:v>1.6094999999999991E-2</c:v>
                </c:pt>
                <c:pt idx="38">
                  <c:v>1.6529999999999993E-2</c:v>
                </c:pt>
                <c:pt idx="39">
                  <c:v>1.6964999999999994E-2</c:v>
                </c:pt>
                <c:pt idx="40">
                  <c:v>1.7399999999999995E-2</c:v>
                </c:pt>
                <c:pt idx="41">
                  <c:v>1.7834999999999997E-2</c:v>
                </c:pt>
                <c:pt idx="42">
                  <c:v>1.8269999999999998E-2</c:v>
                </c:pt>
                <c:pt idx="43">
                  <c:v>1.8704999999999999E-2</c:v>
                </c:pt>
                <c:pt idx="44">
                  <c:v>1.9140000000000001E-2</c:v>
                </c:pt>
                <c:pt idx="45">
                  <c:v>1.9575000000000002E-2</c:v>
                </c:pt>
                <c:pt idx="46">
                  <c:v>2.0010000000000003E-2</c:v>
                </c:pt>
                <c:pt idx="47">
                  <c:v>2.0445000000000005E-2</c:v>
                </c:pt>
                <c:pt idx="48">
                  <c:v>2.0880000000000006E-2</c:v>
                </c:pt>
                <c:pt idx="49">
                  <c:v>2.1315000000000008E-2</c:v>
                </c:pt>
                <c:pt idx="50">
                  <c:v>2.1750000000000009E-2</c:v>
                </c:pt>
                <c:pt idx="51">
                  <c:v>2.218500000000001E-2</c:v>
                </c:pt>
                <c:pt idx="52">
                  <c:v>2.2620000000000012E-2</c:v>
                </c:pt>
                <c:pt idx="53">
                  <c:v>2.3055000000000013E-2</c:v>
                </c:pt>
                <c:pt idx="54">
                  <c:v>2.3490000000000014E-2</c:v>
                </c:pt>
                <c:pt idx="55">
                  <c:v>2.3925000000000016E-2</c:v>
                </c:pt>
                <c:pt idx="56">
                  <c:v>2.4360000000000017E-2</c:v>
                </c:pt>
                <c:pt idx="57">
                  <c:v>2.4795000000000018E-2</c:v>
                </c:pt>
                <c:pt idx="58">
                  <c:v>2.523000000000002E-2</c:v>
                </c:pt>
                <c:pt idx="59">
                  <c:v>2.5665000000000021E-2</c:v>
                </c:pt>
                <c:pt idx="60">
                  <c:v>2.6100000000000022E-2</c:v>
                </c:pt>
                <c:pt idx="61">
                  <c:v>2.6535000000000024E-2</c:v>
                </c:pt>
                <c:pt idx="62">
                  <c:v>2.6970000000000025E-2</c:v>
                </c:pt>
                <c:pt idx="63">
                  <c:v>2.7405000000000027E-2</c:v>
                </c:pt>
                <c:pt idx="64">
                  <c:v>2.7840000000000028E-2</c:v>
                </c:pt>
                <c:pt idx="65">
                  <c:v>2.8275000000000029E-2</c:v>
                </c:pt>
                <c:pt idx="66">
                  <c:v>2.8710000000000031E-2</c:v>
                </c:pt>
                <c:pt idx="67">
                  <c:v>2.9145000000000032E-2</c:v>
                </c:pt>
                <c:pt idx="68">
                  <c:v>2.9580000000000033E-2</c:v>
                </c:pt>
                <c:pt idx="69">
                  <c:v>3.0015000000000035E-2</c:v>
                </c:pt>
                <c:pt idx="70">
                  <c:v>3.0450000000000036E-2</c:v>
                </c:pt>
                <c:pt idx="71">
                  <c:v>3.0885000000000037E-2</c:v>
                </c:pt>
                <c:pt idx="72">
                  <c:v>3.1320000000000035E-2</c:v>
                </c:pt>
                <c:pt idx="73">
                  <c:v>3.1755000000000033E-2</c:v>
                </c:pt>
                <c:pt idx="74">
                  <c:v>3.2190000000000031E-2</c:v>
                </c:pt>
                <c:pt idx="75">
                  <c:v>3.2625000000000029E-2</c:v>
                </c:pt>
                <c:pt idx="76">
                  <c:v>3.3060000000000027E-2</c:v>
                </c:pt>
                <c:pt idx="77">
                  <c:v>3.3495000000000025E-2</c:v>
                </c:pt>
                <c:pt idx="78">
                  <c:v>3.3930000000000023E-2</c:v>
                </c:pt>
                <c:pt idx="79">
                  <c:v>3.4365000000000021E-2</c:v>
                </c:pt>
                <c:pt idx="80">
                  <c:v>3.4800000000000018E-2</c:v>
                </c:pt>
                <c:pt idx="81">
                  <c:v>3.5235000000000016E-2</c:v>
                </c:pt>
                <c:pt idx="82">
                  <c:v>3.5670000000000014E-2</c:v>
                </c:pt>
                <c:pt idx="83">
                  <c:v>3.6105000000000012E-2</c:v>
                </c:pt>
                <c:pt idx="84">
                  <c:v>3.654000000000001E-2</c:v>
                </c:pt>
                <c:pt idx="85">
                  <c:v>3.6975000000000008E-2</c:v>
                </c:pt>
                <c:pt idx="86">
                  <c:v>3.7410000000000006E-2</c:v>
                </c:pt>
                <c:pt idx="87">
                  <c:v>3.7845000000000004E-2</c:v>
                </c:pt>
                <c:pt idx="88">
                  <c:v>3.8280000000000002E-2</c:v>
                </c:pt>
                <c:pt idx="89">
                  <c:v>3.8714999999999999E-2</c:v>
                </c:pt>
                <c:pt idx="90">
                  <c:v>3.9149999999999997E-2</c:v>
                </c:pt>
                <c:pt idx="91">
                  <c:v>3.9584999999999995E-2</c:v>
                </c:pt>
                <c:pt idx="92">
                  <c:v>4.0019999999999993E-2</c:v>
                </c:pt>
                <c:pt idx="93">
                  <c:v>4.0454999999999991E-2</c:v>
                </c:pt>
                <c:pt idx="94">
                  <c:v>4.0889999999999989E-2</c:v>
                </c:pt>
                <c:pt idx="95">
                  <c:v>4.1324999999999987E-2</c:v>
                </c:pt>
                <c:pt idx="96">
                  <c:v>4.1759999999999985E-2</c:v>
                </c:pt>
                <c:pt idx="97">
                  <c:v>4.2194999999999983E-2</c:v>
                </c:pt>
                <c:pt idx="98">
                  <c:v>4.262999999999998E-2</c:v>
                </c:pt>
                <c:pt idx="99">
                  <c:v>4.3064999999999978E-2</c:v>
                </c:pt>
                <c:pt idx="100">
                  <c:v>4.3499999999999976E-2</c:v>
                </c:pt>
                <c:pt idx="101">
                  <c:v>4.3934999999999974E-2</c:v>
                </c:pt>
                <c:pt idx="102">
                  <c:v>4.4369999999999972E-2</c:v>
                </c:pt>
                <c:pt idx="103">
                  <c:v>4.480499999999997E-2</c:v>
                </c:pt>
                <c:pt idx="104">
                  <c:v>4.5239999999999968E-2</c:v>
                </c:pt>
                <c:pt idx="105">
                  <c:v>4.5674999999999966E-2</c:v>
                </c:pt>
                <c:pt idx="106">
                  <c:v>4.6109999999999964E-2</c:v>
                </c:pt>
                <c:pt idx="107">
                  <c:v>4.6544999999999961E-2</c:v>
                </c:pt>
                <c:pt idx="108">
                  <c:v>4.6979999999999959E-2</c:v>
                </c:pt>
                <c:pt idx="109">
                  <c:v>4.7414999999999957E-2</c:v>
                </c:pt>
                <c:pt idx="110">
                  <c:v>4.7849999999999955E-2</c:v>
                </c:pt>
                <c:pt idx="111">
                  <c:v>4.8284999999999953E-2</c:v>
                </c:pt>
                <c:pt idx="112">
                  <c:v>4.8719999999999951E-2</c:v>
                </c:pt>
                <c:pt idx="113">
                  <c:v>4.9154999999999949E-2</c:v>
                </c:pt>
                <c:pt idx="114">
                  <c:v>4.9589999999999947E-2</c:v>
                </c:pt>
                <c:pt idx="115">
                  <c:v>5.0024999999999945E-2</c:v>
                </c:pt>
                <c:pt idx="116">
                  <c:v>5.0459999999999942E-2</c:v>
                </c:pt>
                <c:pt idx="117">
                  <c:v>5.089499999999994E-2</c:v>
                </c:pt>
                <c:pt idx="118">
                  <c:v>5.1329999999999938E-2</c:v>
                </c:pt>
                <c:pt idx="119">
                  <c:v>5.1764999999999936E-2</c:v>
                </c:pt>
                <c:pt idx="120">
                  <c:v>5.2199999999999934E-2</c:v>
                </c:pt>
                <c:pt idx="121">
                  <c:v>5.2634999999999932E-2</c:v>
                </c:pt>
                <c:pt idx="122">
                  <c:v>5.306999999999993E-2</c:v>
                </c:pt>
                <c:pt idx="123">
                  <c:v>5.3504999999999928E-2</c:v>
                </c:pt>
                <c:pt idx="124">
                  <c:v>5.3939999999999926E-2</c:v>
                </c:pt>
                <c:pt idx="125">
                  <c:v>5.4374999999999923E-2</c:v>
                </c:pt>
                <c:pt idx="126">
                  <c:v>5.4809999999999921E-2</c:v>
                </c:pt>
                <c:pt idx="127">
                  <c:v>5.5244999999999919E-2</c:v>
                </c:pt>
                <c:pt idx="128">
                  <c:v>5.5679999999999917E-2</c:v>
                </c:pt>
                <c:pt idx="129">
                  <c:v>5.6114999999999915E-2</c:v>
                </c:pt>
                <c:pt idx="130">
                  <c:v>5.6549999999999913E-2</c:v>
                </c:pt>
                <c:pt idx="131">
                  <c:v>5.6984999999999911E-2</c:v>
                </c:pt>
                <c:pt idx="132">
                  <c:v>5.7419999999999909E-2</c:v>
                </c:pt>
                <c:pt idx="133">
                  <c:v>5.7854999999999907E-2</c:v>
                </c:pt>
                <c:pt idx="134">
                  <c:v>5.8289999999999904E-2</c:v>
                </c:pt>
                <c:pt idx="135">
                  <c:v>5.8724999999999902E-2</c:v>
                </c:pt>
                <c:pt idx="136">
                  <c:v>5.91599999999999E-2</c:v>
                </c:pt>
                <c:pt idx="137">
                  <c:v>5.9594999999999898E-2</c:v>
                </c:pt>
                <c:pt idx="138">
                  <c:v>6.0029999999999896E-2</c:v>
                </c:pt>
                <c:pt idx="139">
                  <c:v>6.0464999999999894E-2</c:v>
                </c:pt>
                <c:pt idx="140">
                  <c:v>6.0899999999999892E-2</c:v>
                </c:pt>
                <c:pt idx="141">
                  <c:v>6.133499999999989E-2</c:v>
                </c:pt>
                <c:pt idx="142">
                  <c:v>6.1769999999999887E-2</c:v>
                </c:pt>
                <c:pt idx="143">
                  <c:v>6.2204999999999885E-2</c:v>
                </c:pt>
                <c:pt idx="144">
                  <c:v>6.263999999999989E-2</c:v>
                </c:pt>
                <c:pt idx="145">
                  <c:v>6.3074999999999895E-2</c:v>
                </c:pt>
                <c:pt idx="146">
                  <c:v>6.35099999999999E-2</c:v>
                </c:pt>
                <c:pt idx="147">
                  <c:v>6.3944999999999905E-2</c:v>
                </c:pt>
                <c:pt idx="148">
                  <c:v>6.437999999999991E-2</c:v>
                </c:pt>
                <c:pt idx="149">
                  <c:v>6.4814999999999914E-2</c:v>
                </c:pt>
                <c:pt idx="150">
                  <c:v>6.5249999999999919E-2</c:v>
                </c:pt>
                <c:pt idx="151">
                  <c:v>6.5684999999999924E-2</c:v>
                </c:pt>
                <c:pt idx="152">
                  <c:v>6.6119999999999929E-2</c:v>
                </c:pt>
                <c:pt idx="153">
                  <c:v>6.6554999999999934E-2</c:v>
                </c:pt>
                <c:pt idx="154">
                  <c:v>6.6989999999999938E-2</c:v>
                </c:pt>
                <c:pt idx="155">
                  <c:v>6.7424999999999943E-2</c:v>
                </c:pt>
                <c:pt idx="156">
                  <c:v>6.7859999999999948E-2</c:v>
                </c:pt>
                <c:pt idx="157">
                  <c:v>6.8294999999999953E-2</c:v>
                </c:pt>
                <c:pt idx="158">
                  <c:v>6.8729999999999958E-2</c:v>
                </c:pt>
                <c:pt idx="159">
                  <c:v>6.9164999999999963E-2</c:v>
                </c:pt>
                <c:pt idx="160">
                  <c:v>6.9599999999999967E-2</c:v>
                </c:pt>
                <c:pt idx="161">
                  <c:v>7.0034999999999972E-2</c:v>
                </c:pt>
                <c:pt idx="162">
                  <c:v>7.0469999999999977E-2</c:v>
                </c:pt>
                <c:pt idx="163">
                  <c:v>7.0904999999999982E-2</c:v>
                </c:pt>
                <c:pt idx="164">
                  <c:v>7.1339999999999987E-2</c:v>
                </c:pt>
                <c:pt idx="165">
                  <c:v>7.1774999999999992E-2</c:v>
                </c:pt>
                <c:pt idx="166">
                  <c:v>7.2209999999999996E-2</c:v>
                </c:pt>
                <c:pt idx="167">
                  <c:v>7.2645000000000001E-2</c:v>
                </c:pt>
                <c:pt idx="168">
                  <c:v>7.3080000000000006E-2</c:v>
                </c:pt>
                <c:pt idx="169">
                  <c:v>7.3515000000000011E-2</c:v>
                </c:pt>
                <c:pt idx="170">
                  <c:v>7.3950000000000016E-2</c:v>
                </c:pt>
                <c:pt idx="171">
                  <c:v>7.4385000000000021E-2</c:v>
                </c:pt>
                <c:pt idx="172">
                  <c:v>7.4820000000000025E-2</c:v>
                </c:pt>
                <c:pt idx="173">
                  <c:v>7.525500000000003E-2</c:v>
                </c:pt>
                <c:pt idx="174">
                  <c:v>7.5690000000000035E-2</c:v>
                </c:pt>
                <c:pt idx="175">
                  <c:v>7.612500000000004E-2</c:v>
                </c:pt>
                <c:pt idx="176">
                  <c:v>7.6560000000000045E-2</c:v>
                </c:pt>
                <c:pt idx="177">
                  <c:v>7.699500000000005E-2</c:v>
                </c:pt>
                <c:pt idx="178">
                  <c:v>7.7430000000000054E-2</c:v>
                </c:pt>
                <c:pt idx="179">
                  <c:v>7.7865000000000059E-2</c:v>
                </c:pt>
                <c:pt idx="180">
                  <c:v>7.8300000000000064E-2</c:v>
                </c:pt>
                <c:pt idx="181">
                  <c:v>7.8735000000000069E-2</c:v>
                </c:pt>
                <c:pt idx="182">
                  <c:v>7.9170000000000074E-2</c:v>
                </c:pt>
                <c:pt idx="183">
                  <c:v>7.9605000000000078E-2</c:v>
                </c:pt>
                <c:pt idx="184">
                  <c:v>8.0040000000000083E-2</c:v>
                </c:pt>
                <c:pt idx="185">
                  <c:v>8.0475000000000088E-2</c:v>
                </c:pt>
                <c:pt idx="186">
                  <c:v>8.0910000000000093E-2</c:v>
                </c:pt>
                <c:pt idx="187">
                  <c:v>8.1345000000000098E-2</c:v>
                </c:pt>
                <c:pt idx="188">
                  <c:v>8.1780000000000103E-2</c:v>
                </c:pt>
                <c:pt idx="189">
                  <c:v>8.2215000000000107E-2</c:v>
                </c:pt>
                <c:pt idx="190">
                  <c:v>8.2650000000000112E-2</c:v>
                </c:pt>
                <c:pt idx="191">
                  <c:v>8.3085000000000117E-2</c:v>
                </c:pt>
                <c:pt idx="192">
                  <c:v>8.3520000000000122E-2</c:v>
                </c:pt>
                <c:pt idx="193">
                  <c:v>8.3955000000000127E-2</c:v>
                </c:pt>
                <c:pt idx="194">
                  <c:v>8.4390000000000132E-2</c:v>
                </c:pt>
                <c:pt idx="195">
                  <c:v>8.4825000000000136E-2</c:v>
                </c:pt>
                <c:pt idx="196">
                  <c:v>8.5260000000000141E-2</c:v>
                </c:pt>
                <c:pt idx="197">
                  <c:v>8.5695000000000146E-2</c:v>
                </c:pt>
                <c:pt idx="198">
                  <c:v>8.6130000000000151E-2</c:v>
                </c:pt>
                <c:pt idx="199">
                  <c:v>8.6565000000000156E-2</c:v>
                </c:pt>
                <c:pt idx="200">
                  <c:v>8.7000000000000161E-2</c:v>
                </c:pt>
              </c:numCache>
            </c:numRef>
          </c:xVal>
          <c:yVal>
            <c:numRef>
              <c:f>'Armaduras Activas'!$AF$2:$AF$203</c:f>
              <c:numCache>
                <c:formatCode>General</c:formatCode>
                <c:ptCount val="202"/>
                <c:pt idx="0">
                  <c:v>0</c:v>
                </c:pt>
                <c:pt idx="1">
                  <c:v>86.999999630371462</c:v>
                </c:pt>
                <c:pt idx="2">
                  <c:v>173.99995067843844</c:v>
                </c:pt>
                <c:pt idx="3">
                  <c:v>260.99913655149771</c:v>
                </c:pt>
                <c:pt idx="4">
                  <c:v>347.99341918244039</c:v>
                </c:pt>
                <c:pt idx="5">
                  <c:v>434.96820338092874</c:v>
                </c:pt>
                <c:pt idx="6">
                  <c:v>521.88487410891469</c:v>
                </c:pt>
                <c:pt idx="7">
                  <c:v>608.65857735985071</c:v>
                </c:pt>
                <c:pt idx="8">
                  <c:v>695.1257397868759</c:v>
                </c:pt>
                <c:pt idx="9">
                  <c:v>781.00119638044816</c:v>
                </c:pt>
                <c:pt idx="10">
                  <c:v>865.82809180262234</c:v>
                </c:pt>
                <c:pt idx="11">
                  <c:v>948.92976794734898</c:v>
                </c:pt>
                <c:pt idx="12">
                  <c:v>1029.3815974948031</c:v>
                </c:pt>
                <c:pt idx="13">
                  <c:v>1106.0290831301095</c:v>
                </c:pt>
                <c:pt idx="14">
                  <c:v>1177.5785181697943</c:v>
                </c:pt>
                <c:pt idx="15">
                  <c:v>1242.7676625586503</c:v>
                </c:pt>
                <c:pt idx="16">
                  <c:v>1300.5844653729471</c:v>
                </c:pt>
                <c:pt idx="17">
                  <c:v>1350.461931954233</c:v>
                </c:pt>
                <c:pt idx="18">
                  <c:v>1392.3718394422924</c:v>
                </c:pt>
                <c:pt idx="19">
                  <c:v>1426.7840988270054</c:v>
                </c:pt>
                <c:pt idx="20">
                  <c:v>1454.5225857861851</c:v>
                </c:pt>
                <c:pt idx="21">
                  <c:v>1476.5851830361207</c:v>
                </c:pt>
                <c:pt idx="22">
                  <c:v>1493.9883660813321</c:v>
                </c:pt>
                <c:pt idx="23">
                  <c:v>1507.6648677687979</c:v>
                </c:pt>
                <c:pt idx="24">
                  <c:v>1518.4140146027107</c:v>
                </c:pt>
                <c:pt idx="25">
                  <c:v>1526.8901738076659</c:v>
                </c:pt>
                <c:pt idx="26">
                  <c:v>1533.6129977030303</c:v>
                </c:pt>
                <c:pt idx="27">
                  <c:v>1538.9871246988625</c:v>
                </c:pt>
                <c:pt idx="28">
                  <c:v>1543.3238653782903</c:v>
                </c:pt>
                <c:pt idx="29">
                  <c:v>1546.8611472214488</c:v>
                </c:pt>
                <c:pt idx="30">
                  <c:v>1549.7803069609201</c:v>
                </c:pt>
                <c:pt idx="31">
                  <c:v>1552.2195394822354</c:v>
                </c:pt>
                <c:pt idx="32">
                  <c:v>1554.2843523735944</c:v>
                </c:pt>
                <c:pt idx="33">
                  <c:v>1556.0555484796198</c:v>
                </c:pt>
                <c:pt idx="34">
                  <c:v>1557.5952580436226</c:v>
                </c:pt>
                <c:pt idx="35">
                  <c:v>1558.9514724301023</c:v>
                </c:pt>
                <c:pt idx="36">
                  <c:v>1560.1614447077759</c:v>
                </c:pt>
                <c:pt idx="37">
                  <c:v>1561.2542409989123</c:v>
                </c:pt>
                <c:pt idx="38">
                  <c:v>1562.2526582522805</c:v>
                </c:pt>
                <c:pt idx="39">
                  <c:v>1563.1746700583878</c:v>
                </c:pt>
                <c:pt idx="40">
                  <c:v>1564.0345207140133</c:v>
                </c:pt>
                <c:pt idx="41">
                  <c:v>1564.8435566141513</c:v>
                </c:pt>
                <c:pt idx="42">
                  <c:v>1565.6108609131793</c:v>
                </c:pt>
                <c:pt idx="43">
                  <c:v>1566.3437403080673</c:v>
                </c:pt>
                <c:pt idx="44">
                  <c:v>1567.0481002102833</c:v>
                </c:pt>
                <c:pt idx="45">
                  <c:v>1567.7287353085928</c:v>
                </c:pt>
                <c:pt idx="46">
                  <c:v>1568.3895556985185</c:v>
                </c:pt>
                <c:pt idx="47">
                  <c:v>1569.0337637135026</c:v>
                </c:pt>
                <c:pt idx="48">
                  <c:v>1569.6639928597299</c:v>
                </c:pt>
                <c:pt idx="49">
                  <c:v>1570.2824174822592</c:v>
                </c:pt>
                <c:pt idx="50">
                  <c:v>1570.8908397204057</c:v>
                </c:pt>
                <c:pt idx="51">
                  <c:v>1571.4907587598157</c:v>
                </c:pt>
                <c:pt idx="52">
                  <c:v>1572.0834262222713</c:v>
                </c:pt>
                <c:pt idx="53">
                  <c:v>1572.66989065282</c:v>
                </c:pt>
                <c:pt idx="54">
                  <c:v>1573.2510333949363</c:v>
                </c:pt>
                <c:pt idx="55">
                  <c:v>1573.8275976344462</c:v>
                </c:pt>
                <c:pt idx="56">
                  <c:v>1574.4002120025193</c:v>
                </c:pt>
                <c:pt idx="57">
                  <c:v>1574.9694098277846</c:v>
                </c:pt>
                <c:pt idx="58">
                  <c:v>1575.5356448957432</c:v>
                </c:pt>
                <c:pt idx="59">
                  <c:v>1576.099304393819</c:v>
                </c:pt>
                <c:pt idx="60">
                  <c:v>1576.6607195803442</c:v>
                </c:pt>
                <c:pt idx="61">
                  <c:v>1577.2201746062865</c:v>
                </c:pt>
                <c:pt idx="62">
                  <c:v>1577.7779138325525</c:v>
                </c:pt>
                <c:pt idx="63">
                  <c:v>1578.3341479179908</c:v>
                </c:pt>
                <c:pt idx="64">
                  <c:v>1578.8890588996255</c:v>
                </c:pt>
                <c:pt idx="65">
                  <c:v>1579.4428044441347</c:v>
                </c:pt>
                <c:pt idx="66">
                  <c:v>1579.995521415688</c:v>
                </c:pt>
                <c:pt idx="67">
                  <c:v>1580.5473288781848</c:v>
                </c:pt>
                <c:pt idx="68">
                  <c:v>1581.098330628193</c:v>
                </c:pt>
                <c:pt idx="69">
                  <c:v>1581.6486173373967</c:v>
                </c:pt>
                <c:pt idx="70">
                  <c:v>1582.1982683692436</c:v>
                </c:pt>
                <c:pt idx="71">
                  <c:v>1582.7473533230539</c:v>
                </c:pt>
                <c:pt idx="72">
                  <c:v>1583.2959333495389</c:v>
                </c:pt>
                <c:pt idx="73">
                  <c:v>1583.8440622741234</c:v>
                </c:pt>
                <c:pt idx="74">
                  <c:v>1584.3917875582824</c:v>
                </c:pt>
                <c:pt idx="75">
                  <c:v>1584.9391511240069</c:v>
                </c:pt>
                <c:pt idx="76">
                  <c:v>1585.4861900623835</c:v>
                </c:pt>
                <c:pt idx="77">
                  <c:v>1586.0329372438046</c:v>
                </c:pt>
                <c:pt idx="78">
                  <c:v>1586.579421844523</c:v>
                </c:pt>
                <c:pt idx="79">
                  <c:v>1587.1256698018885</c:v>
                </c:pt>
                <c:pt idx="80">
                  <c:v>1587.6717042086693</c:v>
                </c:pt>
                <c:pt idx="81">
                  <c:v>1588.217545655245</c:v>
                </c:pt>
                <c:pt idx="82">
                  <c:v>1588.7632125270841</c:v>
                </c:pt>
                <c:pt idx="83">
                  <c:v>1589.3087212638068</c:v>
                </c:pt>
                <c:pt idx="84">
                  <c:v>1589.8540865851801</c:v>
                </c:pt>
                <c:pt idx="85">
                  <c:v>1590.3993216885881</c:v>
                </c:pt>
                <c:pt idx="86">
                  <c:v>1590.9444384218616</c:v>
                </c:pt>
                <c:pt idx="87">
                  <c:v>1591.4894474347843</c:v>
                </c:pt>
                <c:pt idx="88">
                  <c:v>1592.034358312105</c:v>
                </c:pt>
                <c:pt idx="89">
                  <c:v>1592.5791796904998</c:v>
                </c:pt>
                <c:pt idx="90">
                  <c:v>1593.1239193615597</c:v>
                </c:pt>
                <c:pt idx="91">
                  <c:v>1593.6685843626187</c:v>
                </c:pt>
                <c:pt idx="92">
                  <c:v>1594.2131810569613</c:v>
                </c:pt>
                <c:pt idx="93">
                  <c:v>1594.7577152047511</c:v>
                </c:pt>
                <c:pt idx="94">
                  <c:v>1595.3021920258448</c:v>
                </c:pt>
                <c:pt idx="95">
                  <c:v>1595.8466162554832</c:v>
                </c:pt>
                <c:pt idx="96">
                  <c:v>1596.3909921937343</c:v>
                </c:pt>
                <c:pt idx="97">
                  <c:v>1596.9353237494579</c:v>
                </c:pt>
                <c:pt idx="98">
                  <c:v>1597.4796144794236</c:v>
                </c:pt>
                <c:pt idx="99">
                  <c:v>1598.0238676231775</c:v>
                </c:pt>
                <c:pt idx="100">
                  <c:v>1598.5680861341477</c:v>
                </c:pt>
                <c:pt idx="101">
                  <c:v>1599.1122727074339</c:v>
                </c:pt>
                <c:pt idx="102">
                  <c:v>1599.6564298046515</c:v>
                </c:pt>
                <c:pt idx="103">
                  <c:v>1600.200559676179</c:v>
                </c:pt>
                <c:pt idx="104">
                  <c:v>1600.7446643810954</c:v>
                </c:pt>
                <c:pt idx="105">
                  <c:v>1601.2887458050673</c:v>
                </c:pt>
                <c:pt idx="106">
                  <c:v>1601.8328056764146</c:v>
                </c:pt>
                <c:pt idx="107">
                  <c:v>1602.3768455805568</c:v>
                </c:pt>
                <c:pt idx="108">
                  <c:v>1602.9208669730124</c:v>
                </c:pt>
                <c:pt idx="109">
                  <c:v>1603.4648711911093</c:v>
                </c:pt>
                <c:pt idx="110">
                  <c:v>1604.0088594645479</c:v>
                </c:pt>
                <c:pt idx="111">
                  <c:v>1604.5528329249323</c:v>
                </c:pt>
                <c:pt idx="112">
                  <c:v>1605.0967926143842</c:v>
                </c:pt>
                <c:pt idx="113">
                  <c:v>1605.6407394933315</c:v>
                </c:pt>
                <c:pt idx="114">
                  <c:v>1606.1846744475554</c:v>
                </c:pt>
                <c:pt idx="115">
                  <c:v>1606.728598294583</c:v>
                </c:pt>
                <c:pt idx="116">
                  <c:v>1607.2725117894704</c:v>
                </c:pt>
                <c:pt idx="117">
                  <c:v>1607.8164156300641</c:v>
                </c:pt>
                <c:pt idx="118">
                  <c:v>1608.3603104617728</c:v>
                </c:pt>
                <c:pt idx="119">
                  <c:v>1608.9041968819035</c:v>
                </c:pt>
                <c:pt idx="120">
                  <c:v>1609.4480754436158</c:v>
                </c:pt>
                <c:pt idx="121">
                  <c:v>1609.9919466595084</c:v>
                </c:pt>
                <c:pt idx="122">
                  <c:v>1610.5358110048994</c:v>
                </c:pt>
                <c:pt idx="123">
                  <c:v>1611.0796689208119</c:v>
                </c:pt>
                <c:pt idx="124">
                  <c:v>1611.6235208166975</c:v>
                </c:pt>
                <c:pt idx="125">
                  <c:v>1612.1673670729322</c:v>
                </c:pt>
                <c:pt idx="126">
                  <c:v>1612.7112080430836</c:v>
                </c:pt>
                <c:pt idx="127">
                  <c:v>1613.2550440559969</c:v>
                </c:pt>
                <c:pt idx="128">
                  <c:v>1613.7988754176993</c:v>
                </c:pt>
                <c:pt idx="129">
                  <c:v>1614.3427024131422</c:v>
                </c:pt>
                <c:pt idx="130">
                  <c:v>1614.8865253078045</c:v>
                </c:pt>
                <c:pt idx="131">
                  <c:v>1615.430344349156</c:v>
                </c:pt>
                <c:pt idx="132">
                  <c:v>1615.9741597680054</c:v>
                </c:pt>
                <c:pt idx="133">
                  <c:v>1616.5179717797339</c:v>
                </c:pt>
                <c:pt idx="134">
                  <c:v>1617.0617805854386</c:v>
                </c:pt>
                <c:pt idx="135">
                  <c:v>1617.6055863729669</c:v>
                </c:pt>
                <c:pt idx="136">
                  <c:v>1618.1493893178865</c:v>
                </c:pt>
                <c:pt idx="137">
                  <c:v>1618.6931895843682</c:v>
                </c:pt>
                <c:pt idx="138">
                  <c:v>1619.2369873259984</c:v>
                </c:pt>
                <c:pt idx="139">
                  <c:v>1619.7807826865371</c:v>
                </c:pt>
                <c:pt idx="140">
                  <c:v>1620.3245758006076</c:v>
                </c:pt>
                <c:pt idx="141">
                  <c:v>1620.8683667943351</c:v>
                </c:pt>
                <c:pt idx="142">
                  <c:v>1621.4121557859426</c:v>
                </c:pt>
                <c:pt idx="143">
                  <c:v>1621.9559428862935</c:v>
                </c:pt>
                <c:pt idx="144">
                  <c:v>1622.4997281993994</c:v>
                </c:pt>
                <c:pt idx="145">
                  <c:v>1623.0435118228825</c:v>
                </c:pt>
                <c:pt idx="146">
                  <c:v>1623.5872938484154</c:v>
                </c:pt>
                <c:pt idx="147">
                  <c:v>1624.1310743621159</c:v>
                </c:pt>
                <c:pt idx="148">
                  <c:v>1624.6748534449175</c:v>
                </c:pt>
                <c:pt idx="149">
                  <c:v>1625.2186311729197</c:v>
                </c:pt>
                <c:pt idx="150">
                  <c:v>1625.7624076176987</c:v>
                </c:pt>
                <c:pt idx="151">
                  <c:v>1626.3061828466095</c:v>
                </c:pt>
                <c:pt idx="152">
                  <c:v>1626.8499569230598</c:v>
                </c:pt>
                <c:pt idx="153">
                  <c:v>1627.3937299067641</c:v>
                </c:pt>
                <c:pt idx="154">
                  <c:v>1627.9375018539799</c:v>
                </c:pt>
                <c:pt idx="155">
                  <c:v>1628.4812728177296</c:v>
                </c:pt>
                <c:pt idx="156">
                  <c:v>1629.0250428480067</c:v>
                </c:pt>
                <c:pt idx="157">
                  <c:v>1629.5688119919678</c:v>
                </c:pt>
                <c:pt idx="158">
                  <c:v>1630.1125802941051</c:v>
                </c:pt>
                <c:pt idx="159">
                  <c:v>1630.6563477964178</c:v>
                </c:pt>
                <c:pt idx="160">
                  <c:v>1631.2001145385641</c:v>
                </c:pt>
                <c:pt idx="161">
                  <c:v>1631.7438805580057</c:v>
                </c:pt>
                <c:pt idx="162">
                  <c:v>1632.2876458901389</c:v>
                </c:pt>
                <c:pt idx="163">
                  <c:v>1632.8314105684287</c:v>
                </c:pt>
                <c:pt idx="164">
                  <c:v>1633.3751746245148</c:v>
                </c:pt>
                <c:pt idx="165">
                  <c:v>1633.9189380883263</c:v>
                </c:pt>
                <c:pt idx="166">
                  <c:v>1634.462700988187</c:v>
                </c:pt>
                <c:pt idx="167">
                  <c:v>1635.0064633509044</c:v>
                </c:pt>
                <c:pt idx="168">
                  <c:v>1635.5502252018628</c:v>
                </c:pt>
                <c:pt idx="169">
                  <c:v>1636.0939865651055</c:v>
                </c:pt>
                <c:pt idx="170">
                  <c:v>1636.6377474634146</c:v>
                </c:pt>
                <c:pt idx="171">
                  <c:v>1637.1815079183821</c:v>
                </c:pt>
                <c:pt idx="172">
                  <c:v>1637.7252679504784</c:v>
                </c:pt>
                <c:pt idx="173">
                  <c:v>1638.2690275791203</c:v>
                </c:pt>
                <c:pt idx="174">
                  <c:v>1638.8127868227245</c:v>
                </c:pt>
                <c:pt idx="175">
                  <c:v>1639.3565456987706</c:v>
                </c:pt>
                <c:pt idx="176">
                  <c:v>1639.9003042238494</c:v>
                </c:pt>
                <c:pt idx="177">
                  <c:v>1640.4440624137185</c:v>
                </c:pt>
                <c:pt idx="178">
                  <c:v>1640.9878202833393</c:v>
                </c:pt>
                <c:pt idx="179">
                  <c:v>1641.5315778469301</c:v>
                </c:pt>
                <c:pt idx="180">
                  <c:v>1642.0753351180026</c:v>
                </c:pt>
                <c:pt idx="181">
                  <c:v>1642.6190921094019</c:v>
                </c:pt>
                <c:pt idx="182">
                  <c:v>1643.1628488333422</c:v>
                </c:pt>
                <c:pt idx="183">
                  <c:v>1643.7066053014412</c:v>
                </c:pt>
                <c:pt idx="184">
                  <c:v>1644.2503615247524</c:v>
                </c:pt>
                <c:pt idx="185">
                  <c:v>1644.7941175137967</c:v>
                </c:pt>
                <c:pt idx="186">
                  <c:v>1645.337873278587</c:v>
                </c:pt>
                <c:pt idx="187">
                  <c:v>1645.8816288286598</c:v>
                </c:pt>
                <c:pt idx="188">
                  <c:v>1646.425384173097</c:v>
                </c:pt>
                <c:pt idx="189">
                  <c:v>1646.9691393205514</c:v>
                </c:pt>
                <c:pt idx="190">
                  <c:v>1647.5128942792674</c:v>
                </c:pt>
                <c:pt idx="191">
                  <c:v>1648.0566490571068</c:v>
                </c:pt>
                <c:pt idx="192">
                  <c:v>1648.6004036615609</c:v>
                </c:pt>
                <c:pt idx="193">
                  <c:v>1649.1441580997782</c:v>
                </c:pt>
                <c:pt idx="194">
                  <c:v>1649.6879123785736</c:v>
                </c:pt>
                <c:pt idx="195">
                  <c:v>1650.2316665044527</c:v>
                </c:pt>
                <c:pt idx="196">
                  <c:v>1650.7754204836237</c:v>
                </c:pt>
                <c:pt idx="197">
                  <c:v>1651.3191743220113</c:v>
                </c:pt>
                <c:pt idx="198">
                  <c:v>1651.8629280252728</c:v>
                </c:pt>
                <c:pt idx="199">
                  <c:v>1652.4066815988133</c:v>
                </c:pt>
                <c:pt idx="200">
                  <c:v>1652.9504350477941</c:v>
                </c:pt>
              </c:numCache>
            </c:numRef>
          </c:yVal>
          <c:smooth val="0"/>
          <c:extLst>
            <c:ext xmlns:c16="http://schemas.microsoft.com/office/drawing/2014/chart" uri="{C3380CC4-5D6E-409C-BE32-E72D297353CC}">
              <c16:uniqueId val="{00000001-A993-436D-83DB-340879555C98}"/>
            </c:ext>
          </c:extLst>
        </c:ser>
        <c:ser>
          <c:idx val="2"/>
          <c:order val="2"/>
          <c:tx>
            <c:strRef>
              <c:f>'Armaduras Activas'!$D$2</c:f>
              <c:strCache>
                <c:ptCount val="1"/>
                <c:pt idx="0">
                  <c:v>TRENZAS
C1900</c:v>
                </c:pt>
              </c:strCache>
            </c:strRef>
          </c:tx>
          <c:spPr>
            <a:ln w="25400" cap="rnd">
              <a:solidFill>
                <a:schemeClr val="accent4"/>
              </a:solidFill>
              <a:round/>
            </a:ln>
            <a:effectLst/>
          </c:spPr>
          <c:marker>
            <c:symbol val="none"/>
          </c:marker>
          <c:xVal>
            <c:numRef>
              <c:f>'Armaduras Activas'!$AC$2:$AC$203</c:f>
              <c:numCache>
                <c:formatCode>0.00%</c:formatCode>
                <c:ptCount val="202"/>
                <c:pt idx="0">
                  <c:v>0</c:v>
                </c:pt>
                <c:pt idx="1">
                  <c:v>3.4500000000000004E-4</c:v>
                </c:pt>
                <c:pt idx="2">
                  <c:v>6.9000000000000008E-4</c:v>
                </c:pt>
                <c:pt idx="3">
                  <c:v>1.0350000000000001E-3</c:v>
                </c:pt>
                <c:pt idx="4">
                  <c:v>1.3800000000000002E-3</c:v>
                </c:pt>
                <c:pt idx="5">
                  <c:v>1.7250000000000002E-3</c:v>
                </c:pt>
                <c:pt idx="6">
                  <c:v>2.0700000000000002E-3</c:v>
                </c:pt>
                <c:pt idx="7">
                  <c:v>2.4150000000000005E-3</c:v>
                </c:pt>
                <c:pt idx="8">
                  <c:v>2.7600000000000003E-3</c:v>
                </c:pt>
                <c:pt idx="9">
                  <c:v>3.1050000000000001E-3</c:v>
                </c:pt>
                <c:pt idx="10">
                  <c:v>3.4499999999999999E-3</c:v>
                </c:pt>
                <c:pt idx="11">
                  <c:v>3.7949999999999998E-3</c:v>
                </c:pt>
                <c:pt idx="12">
                  <c:v>4.1399999999999996E-3</c:v>
                </c:pt>
                <c:pt idx="13">
                  <c:v>4.4849999999999994E-3</c:v>
                </c:pt>
                <c:pt idx="14">
                  <c:v>4.8299999999999992E-3</c:v>
                </c:pt>
                <c:pt idx="15">
                  <c:v>5.174999999999999E-3</c:v>
                </c:pt>
                <c:pt idx="16">
                  <c:v>5.5199999999999989E-3</c:v>
                </c:pt>
                <c:pt idx="17">
                  <c:v>5.8649999999999987E-3</c:v>
                </c:pt>
                <c:pt idx="18">
                  <c:v>6.2099999999999985E-3</c:v>
                </c:pt>
                <c:pt idx="19">
                  <c:v>6.5549999999999983E-3</c:v>
                </c:pt>
                <c:pt idx="20">
                  <c:v>6.8999999999999981E-3</c:v>
                </c:pt>
                <c:pt idx="21">
                  <c:v>7.244999999999998E-3</c:v>
                </c:pt>
                <c:pt idx="22">
                  <c:v>7.5899999999999978E-3</c:v>
                </c:pt>
                <c:pt idx="23">
                  <c:v>7.9349999999999976E-3</c:v>
                </c:pt>
                <c:pt idx="24">
                  <c:v>8.2799999999999974E-3</c:v>
                </c:pt>
                <c:pt idx="25">
                  <c:v>8.6249999999999973E-3</c:v>
                </c:pt>
                <c:pt idx="26">
                  <c:v>8.9699999999999971E-3</c:v>
                </c:pt>
                <c:pt idx="27">
                  <c:v>9.3149999999999969E-3</c:v>
                </c:pt>
                <c:pt idx="28">
                  <c:v>9.6599999999999967E-3</c:v>
                </c:pt>
                <c:pt idx="29">
                  <c:v>1.0004999999999997E-2</c:v>
                </c:pt>
                <c:pt idx="30">
                  <c:v>1.0349999999999996E-2</c:v>
                </c:pt>
                <c:pt idx="31">
                  <c:v>1.0694999999999996E-2</c:v>
                </c:pt>
                <c:pt idx="32">
                  <c:v>1.1039999999999996E-2</c:v>
                </c:pt>
                <c:pt idx="33">
                  <c:v>1.1384999999999996E-2</c:v>
                </c:pt>
                <c:pt idx="34">
                  <c:v>1.1729999999999996E-2</c:v>
                </c:pt>
                <c:pt idx="35">
                  <c:v>1.2074999999999995E-2</c:v>
                </c:pt>
                <c:pt idx="36">
                  <c:v>1.2419999999999995E-2</c:v>
                </c:pt>
                <c:pt idx="37">
                  <c:v>1.2764999999999995E-2</c:v>
                </c:pt>
                <c:pt idx="38">
                  <c:v>1.3109999999999995E-2</c:v>
                </c:pt>
                <c:pt idx="39">
                  <c:v>1.3454999999999995E-2</c:v>
                </c:pt>
                <c:pt idx="40">
                  <c:v>1.3799999999999995E-2</c:v>
                </c:pt>
                <c:pt idx="41">
                  <c:v>1.4144999999999994E-2</c:v>
                </c:pt>
                <c:pt idx="42">
                  <c:v>1.4489999999999994E-2</c:v>
                </c:pt>
                <c:pt idx="43">
                  <c:v>1.4834999999999994E-2</c:v>
                </c:pt>
                <c:pt idx="44">
                  <c:v>1.5179999999999994E-2</c:v>
                </c:pt>
                <c:pt idx="45">
                  <c:v>1.5524999999999994E-2</c:v>
                </c:pt>
                <c:pt idx="46">
                  <c:v>1.5869999999999995E-2</c:v>
                </c:pt>
                <c:pt idx="47">
                  <c:v>1.6214999999999997E-2</c:v>
                </c:pt>
                <c:pt idx="48">
                  <c:v>1.6559999999999998E-2</c:v>
                </c:pt>
                <c:pt idx="49">
                  <c:v>1.6905E-2</c:v>
                </c:pt>
                <c:pt idx="50">
                  <c:v>1.7250000000000001E-2</c:v>
                </c:pt>
                <c:pt idx="51">
                  <c:v>1.7595000000000003E-2</c:v>
                </c:pt>
                <c:pt idx="52">
                  <c:v>1.7940000000000005E-2</c:v>
                </c:pt>
                <c:pt idx="53">
                  <c:v>1.8285000000000006E-2</c:v>
                </c:pt>
                <c:pt idx="54">
                  <c:v>1.8630000000000008E-2</c:v>
                </c:pt>
                <c:pt idx="55">
                  <c:v>1.8975000000000009E-2</c:v>
                </c:pt>
                <c:pt idx="56">
                  <c:v>1.9320000000000011E-2</c:v>
                </c:pt>
                <c:pt idx="57">
                  <c:v>1.9665000000000012E-2</c:v>
                </c:pt>
                <c:pt idx="58">
                  <c:v>2.0010000000000014E-2</c:v>
                </c:pt>
                <c:pt idx="59">
                  <c:v>2.0355000000000015E-2</c:v>
                </c:pt>
                <c:pt idx="60">
                  <c:v>2.0700000000000017E-2</c:v>
                </c:pt>
                <c:pt idx="61">
                  <c:v>2.1045000000000019E-2</c:v>
                </c:pt>
                <c:pt idx="62">
                  <c:v>2.139000000000002E-2</c:v>
                </c:pt>
                <c:pt idx="63">
                  <c:v>2.1735000000000022E-2</c:v>
                </c:pt>
                <c:pt idx="64">
                  <c:v>2.2080000000000023E-2</c:v>
                </c:pt>
                <c:pt idx="65">
                  <c:v>2.2425000000000025E-2</c:v>
                </c:pt>
                <c:pt idx="66">
                  <c:v>2.2770000000000026E-2</c:v>
                </c:pt>
                <c:pt idx="67">
                  <c:v>2.3115000000000028E-2</c:v>
                </c:pt>
                <c:pt idx="68">
                  <c:v>2.3460000000000029E-2</c:v>
                </c:pt>
                <c:pt idx="69">
                  <c:v>2.3805000000000031E-2</c:v>
                </c:pt>
                <c:pt idx="70">
                  <c:v>2.4150000000000033E-2</c:v>
                </c:pt>
                <c:pt idx="71">
                  <c:v>2.4495000000000034E-2</c:v>
                </c:pt>
                <c:pt idx="72">
                  <c:v>2.4840000000000036E-2</c:v>
                </c:pt>
                <c:pt idx="73">
                  <c:v>2.5185000000000037E-2</c:v>
                </c:pt>
                <c:pt idx="74">
                  <c:v>2.5530000000000039E-2</c:v>
                </c:pt>
                <c:pt idx="75">
                  <c:v>2.587500000000004E-2</c:v>
                </c:pt>
                <c:pt idx="76">
                  <c:v>2.6220000000000042E-2</c:v>
                </c:pt>
                <c:pt idx="77">
                  <c:v>2.6565000000000043E-2</c:v>
                </c:pt>
                <c:pt idx="78">
                  <c:v>2.6910000000000045E-2</c:v>
                </c:pt>
                <c:pt idx="79">
                  <c:v>2.7255000000000047E-2</c:v>
                </c:pt>
                <c:pt idx="80">
                  <c:v>2.7600000000000048E-2</c:v>
                </c:pt>
                <c:pt idx="81">
                  <c:v>2.794500000000005E-2</c:v>
                </c:pt>
                <c:pt idx="82">
                  <c:v>2.8290000000000051E-2</c:v>
                </c:pt>
                <c:pt idx="83">
                  <c:v>2.8635000000000053E-2</c:v>
                </c:pt>
                <c:pt idx="84">
                  <c:v>2.8980000000000054E-2</c:v>
                </c:pt>
                <c:pt idx="85">
                  <c:v>2.9325000000000056E-2</c:v>
                </c:pt>
                <c:pt idx="86">
                  <c:v>2.9670000000000057E-2</c:v>
                </c:pt>
                <c:pt idx="87">
                  <c:v>3.0015000000000059E-2</c:v>
                </c:pt>
                <c:pt idx="88">
                  <c:v>3.0360000000000061E-2</c:v>
                </c:pt>
                <c:pt idx="89">
                  <c:v>3.0705000000000062E-2</c:v>
                </c:pt>
                <c:pt idx="90">
                  <c:v>3.1050000000000064E-2</c:v>
                </c:pt>
                <c:pt idx="91">
                  <c:v>3.1395000000000062E-2</c:v>
                </c:pt>
                <c:pt idx="92">
                  <c:v>3.174000000000006E-2</c:v>
                </c:pt>
                <c:pt idx="93">
                  <c:v>3.2085000000000058E-2</c:v>
                </c:pt>
                <c:pt idx="94">
                  <c:v>3.2430000000000056E-2</c:v>
                </c:pt>
                <c:pt idx="95">
                  <c:v>3.2775000000000054E-2</c:v>
                </c:pt>
                <c:pt idx="96">
                  <c:v>3.3120000000000052E-2</c:v>
                </c:pt>
                <c:pt idx="97">
                  <c:v>3.346500000000005E-2</c:v>
                </c:pt>
                <c:pt idx="98">
                  <c:v>3.3810000000000048E-2</c:v>
                </c:pt>
                <c:pt idx="99">
                  <c:v>3.4155000000000046E-2</c:v>
                </c:pt>
                <c:pt idx="100">
                  <c:v>3.4500000000000045E-2</c:v>
                </c:pt>
                <c:pt idx="101">
                  <c:v>3.4845000000000043E-2</c:v>
                </c:pt>
                <c:pt idx="102">
                  <c:v>3.5190000000000041E-2</c:v>
                </c:pt>
                <c:pt idx="103">
                  <c:v>3.5535000000000039E-2</c:v>
                </c:pt>
                <c:pt idx="104">
                  <c:v>3.5880000000000037E-2</c:v>
                </c:pt>
                <c:pt idx="105">
                  <c:v>3.6225000000000035E-2</c:v>
                </c:pt>
                <c:pt idx="106">
                  <c:v>3.6570000000000033E-2</c:v>
                </c:pt>
                <c:pt idx="107">
                  <c:v>3.6915000000000031E-2</c:v>
                </c:pt>
                <c:pt idx="108">
                  <c:v>3.7260000000000029E-2</c:v>
                </c:pt>
                <c:pt idx="109">
                  <c:v>3.7605000000000027E-2</c:v>
                </c:pt>
                <c:pt idx="110">
                  <c:v>3.7950000000000025E-2</c:v>
                </c:pt>
                <c:pt idx="111">
                  <c:v>3.8295000000000023E-2</c:v>
                </c:pt>
                <c:pt idx="112">
                  <c:v>3.8640000000000022E-2</c:v>
                </c:pt>
                <c:pt idx="113">
                  <c:v>3.898500000000002E-2</c:v>
                </c:pt>
                <c:pt idx="114">
                  <c:v>3.9330000000000018E-2</c:v>
                </c:pt>
                <c:pt idx="115">
                  <c:v>3.9675000000000016E-2</c:v>
                </c:pt>
                <c:pt idx="116">
                  <c:v>4.0020000000000014E-2</c:v>
                </c:pt>
                <c:pt idx="117">
                  <c:v>4.0365000000000012E-2</c:v>
                </c:pt>
                <c:pt idx="118">
                  <c:v>4.071000000000001E-2</c:v>
                </c:pt>
                <c:pt idx="119">
                  <c:v>4.1055000000000008E-2</c:v>
                </c:pt>
                <c:pt idx="120">
                  <c:v>4.1400000000000006E-2</c:v>
                </c:pt>
                <c:pt idx="121">
                  <c:v>4.1745000000000004E-2</c:v>
                </c:pt>
                <c:pt idx="122">
                  <c:v>4.2090000000000002E-2</c:v>
                </c:pt>
                <c:pt idx="123">
                  <c:v>4.2435E-2</c:v>
                </c:pt>
                <c:pt idx="124">
                  <c:v>4.2779999999999999E-2</c:v>
                </c:pt>
                <c:pt idx="125">
                  <c:v>4.3124999999999997E-2</c:v>
                </c:pt>
                <c:pt idx="126">
                  <c:v>4.3469999999999995E-2</c:v>
                </c:pt>
                <c:pt idx="127">
                  <c:v>4.3814999999999993E-2</c:v>
                </c:pt>
                <c:pt idx="128">
                  <c:v>4.4159999999999991E-2</c:v>
                </c:pt>
                <c:pt idx="129">
                  <c:v>4.4504999999999989E-2</c:v>
                </c:pt>
                <c:pt idx="130">
                  <c:v>4.4849999999999987E-2</c:v>
                </c:pt>
                <c:pt idx="131">
                  <c:v>4.5194999999999985E-2</c:v>
                </c:pt>
                <c:pt idx="132">
                  <c:v>4.5539999999999983E-2</c:v>
                </c:pt>
                <c:pt idx="133">
                  <c:v>4.5884999999999981E-2</c:v>
                </c:pt>
                <c:pt idx="134">
                  <c:v>4.6229999999999979E-2</c:v>
                </c:pt>
                <c:pt idx="135">
                  <c:v>4.6574999999999978E-2</c:v>
                </c:pt>
                <c:pt idx="136">
                  <c:v>4.6919999999999976E-2</c:v>
                </c:pt>
                <c:pt idx="137">
                  <c:v>4.7264999999999974E-2</c:v>
                </c:pt>
                <c:pt idx="138">
                  <c:v>4.7609999999999972E-2</c:v>
                </c:pt>
                <c:pt idx="139">
                  <c:v>4.795499999999997E-2</c:v>
                </c:pt>
                <c:pt idx="140">
                  <c:v>4.8299999999999968E-2</c:v>
                </c:pt>
                <c:pt idx="141">
                  <c:v>4.8644999999999966E-2</c:v>
                </c:pt>
                <c:pt idx="142">
                  <c:v>4.8989999999999964E-2</c:v>
                </c:pt>
                <c:pt idx="143">
                  <c:v>4.9334999999999962E-2</c:v>
                </c:pt>
                <c:pt idx="144">
                  <c:v>4.967999999999996E-2</c:v>
                </c:pt>
                <c:pt idx="145">
                  <c:v>5.0024999999999958E-2</c:v>
                </c:pt>
                <c:pt idx="146">
                  <c:v>5.0369999999999956E-2</c:v>
                </c:pt>
                <c:pt idx="147">
                  <c:v>5.0714999999999955E-2</c:v>
                </c:pt>
                <c:pt idx="148">
                  <c:v>5.1059999999999953E-2</c:v>
                </c:pt>
                <c:pt idx="149">
                  <c:v>5.1404999999999951E-2</c:v>
                </c:pt>
                <c:pt idx="150">
                  <c:v>5.1749999999999949E-2</c:v>
                </c:pt>
                <c:pt idx="151">
                  <c:v>5.2094999999999947E-2</c:v>
                </c:pt>
                <c:pt idx="152">
                  <c:v>5.2439999999999945E-2</c:v>
                </c:pt>
                <c:pt idx="153">
                  <c:v>5.2784999999999943E-2</c:v>
                </c:pt>
                <c:pt idx="154">
                  <c:v>5.3129999999999941E-2</c:v>
                </c:pt>
                <c:pt idx="155">
                  <c:v>5.3474999999999939E-2</c:v>
                </c:pt>
                <c:pt idx="156">
                  <c:v>5.3819999999999937E-2</c:v>
                </c:pt>
                <c:pt idx="157">
                  <c:v>5.4164999999999935E-2</c:v>
                </c:pt>
                <c:pt idx="158">
                  <c:v>5.4509999999999934E-2</c:v>
                </c:pt>
                <c:pt idx="159">
                  <c:v>5.4854999999999932E-2</c:v>
                </c:pt>
                <c:pt idx="160">
                  <c:v>5.519999999999993E-2</c:v>
                </c:pt>
                <c:pt idx="161">
                  <c:v>5.5544999999999928E-2</c:v>
                </c:pt>
                <c:pt idx="162">
                  <c:v>5.5889999999999926E-2</c:v>
                </c:pt>
                <c:pt idx="163">
                  <c:v>5.6234999999999924E-2</c:v>
                </c:pt>
                <c:pt idx="164">
                  <c:v>5.6579999999999922E-2</c:v>
                </c:pt>
                <c:pt idx="165">
                  <c:v>5.692499999999992E-2</c:v>
                </c:pt>
                <c:pt idx="166">
                  <c:v>5.7269999999999918E-2</c:v>
                </c:pt>
                <c:pt idx="167">
                  <c:v>5.7614999999999916E-2</c:v>
                </c:pt>
                <c:pt idx="168">
                  <c:v>5.7959999999999914E-2</c:v>
                </c:pt>
                <c:pt idx="169">
                  <c:v>5.8304999999999912E-2</c:v>
                </c:pt>
                <c:pt idx="170">
                  <c:v>5.8649999999999911E-2</c:v>
                </c:pt>
                <c:pt idx="171">
                  <c:v>5.8994999999999909E-2</c:v>
                </c:pt>
                <c:pt idx="172">
                  <c:v>5.9339999999999907E-2</c:v>
                </c:pt>
                <c:pt idx="173">
                  <c:v>5.9684999999999905E-2</c:v>
                </c:pt>
                <c:pt idx="174">
                  <c:v>6.0029999999999903E-2</c:v>
                </c:pt>
                <c:pt idx="175">
                  <c:v>6.0374999999999901E-2</c:v>
                </c:pt>
                <c:pt idx="176">
                  <c:v>6.0719999999999899E-2</c:v>
                </c:pt>
                <c:pt idx="177">
                  <c:v>6.1064999999999897E-2</c:v>
                </c:pt>
                <c:pt idx="178">
                  <c:v>6.1409999999999895E-2</c:v>
                </c:pt>
                <c:pt idx="179">
                  <c:v>6.1754999999999893E-2</c:v>
                </c:pt>
                <c:pt idx="180">
                  <c:v>6.2099999999999891E-2</c:v>
                </c:pt>
                <c:pt idx="181">
                  <c:v>6.2444999999999889E-2</c:v>
                </c:pt>
                <c:pt idx="182">
                  <c:v>6.2789999999999888E-2</c:v>
                </c:pt>
                <c:pt idx="183">
                  <c:v>6.3134999999999886E-2</c:v>
                </c:pt>
                <c:pt idx="184">
                  <c:v>6.3479999999999884E-2</c:v>
                </c:pt>
                <c:pt idx="185">
                  <c:v>6.3824999999999882E-2</c:v>
                </c:pt>
                <c:pt idx="186">
                  <c:v>6.416999999999988E-2</c:v>
                </c:pt>
                <c:pt idx="187">
                  <c:v>6.4514999999999878E-2</c:v>
                </c:pt>
                <c:pt idx="188">
                  <c:v>6.4859999999999876E-2</c:v>
                </c:pt>
                <c:pt idx="189">
                  <c:v>6.5204999999999874E-2</c:v>
                </c:pt>
                <c:pt idx="190">
                  <c:v>6.5549999999999872E-2</c:v>
                </c:pt>
                <c:pt idx="191">
                  <c:v>6.589499999999987E-2</c:v>
                </c:pt>
                <c:pt idx="192">
                  <c:v>6.6239999999999868E-2</c:v>
                </c:pt>
                <c:pt idx="193">
                  <c:v>6.6584999999999867E-2</c:v>
                </c:pt>
                <c:pt idx="194">
                  <c:v>6.6929999999999865E-2</c:v>
                </c:pt>
                <c:pt idx="195">
                  <c:v>6.7274999999999863E-2</c:v>
                </c:pt>
                <c:pt idx="196">
                  <c:v>6.7619999999999861E-2</c:v>
                </c:pt>
                <c:pt idx="197">
                  <c:v>6.7964999999999859E-2</c:v>
                </c:pt>
                <c:pt idx="198">
                  <c:v>6.8309999999999857E-2</c:v>
                </c:pt>
                <c:pt idx="199">
                  <c:v>6.8654999999999855E-2</c:v>
                </c:pt>
                <c:pt idx="200">
                  <c:v>6.8999999999999853E-2</c:v>
                </c:pt>
              </c:numCache>
            </c:numRef>
          </c:xVal>
          <c:yVal>
            <c:numRef>
              <c:f>'Armaduras Activas'!$AG$2:$AG$203</c:f>
              <c:numCache>
                <c:formatCode>General</c:formatCode>
                <c:ptCount val="202"/>
                <c:pt idx="0">
                  <c:v>0</c:v>
                </c:pt>
                <c:pt idx="1">
                  <c:v>68.999999999580282</c:v>
                </c:pt>
                <c:pt idx="2">
                  <c:v>137.9999998636153</c:v>
                </c:pt>
                <c:pt idx="3">
                  <c:v>206.99999598143341</c:v>
                </c:pt>
                <c:pt idx="4">
                  <c:v>275.99995568408411</c:v>
                </c:pt>
                <c:pt idx="5">
                  <c:v>344.99971478283612</c:v>
                </c:pt>
                <c:pt idx="6">
                  <c:v>413.99869425098365</c:v>
                </c:pt>
                <c:pt idx="7">
                  <c:v>482.9952744586808</c:v>
                </c:pt>
                <c:pt idx="8">
                  <c:v>551.9856018569136</c:v>
                </c:pt>
                <c:pt idx="9">
                  <c:v>620.96153573936999</c:v>
                </c:pt>
                <c:pt idx="10">
                  <c:v>689.90737562087475</c:v>
                </c:pt>
                <c:pt idx="11">
                  <c:v>758.79495150881428</c:v>
                </c:pt>
                <c:pt idx="12">
                  <c:v>827.57662830155448</c:v>
                </c:pt>
                <c:pt idx="13">
                  <c:v>896.17580763208957</c:v>
                </c:pt>
                <c:pt idx="14">
                  <c:v>964.47466916315432</c:v>
                </c:pt>
                <c:pt idx="15">
                  <c:v>1032.2992782830329</c:v>
                </c:pt>
                <c:pt idx="16">
                  <c:v>1099.4029303622685</c:v>
                </c:pt>
                <c:pt idx="17">
                  <c:v>1165.4498282631612</c:v>
                </c:pt>
                <c:pt idx="18">
                  <c:v>1230.0029080439829</c:v>
                </c:pt>
                <c:pt idx="19">
                  <c:v>1292.521525263207</c:v>
                </c:pt>
                <c:pt idx="20">
                  <c:v>1352.3759139228696</c:v>
                </c:pt>
                <c:pt idx="21">
                  <c:v>1408.8843472933593</c:v>
                </c:pt>
                <c:pt idx="22">
                  <c:v>1461.37425928574</c:v>
                </c:pt>
                <c:pt idx="23">
                  <c:v>1509.2601498499573</c:v>
                </c:pt>
                <c:pt idx="24">
                  <c:v>1552.1217880611598</c:v>
                </c:pt>
                <c:pt idx="25">
                  <c:v>1589.7615278398246</c:v>
                </c:pt>
                <c:pt idx="26">
                  <c:v>1622.223970293541</c:v>
                </c:pt>
                <c:pt idx="27">
                  <c:v>1649.7738267274653</c:v>
                </c:pt>
                <c:pt idx="28">
                  <c:v>1672.841926123697</c:v>
                </c:pt>
                <c:pt idx="29">
                  <c:v>1691.9573858643334</c:v>
                </c:pt>
                <c:pt idx="30">
                  <c:v>1707.6833464675055</c:v>
                </c:pt>
                <c:pt idx="31">
                  <c:v>1720.5672064260295</c:v>
                </c:pt>
                <c:pt idx="32">
                  <c:v>1731.1087808027316</c:v>
                </c:pt>
                <c:pt idx="33">
                  <c:v>1739.7444898058366</c:v>
                </c:pt>
                <c:pt idx="34">
                  <c:v>1746.8433202946919</c:v>
                </c:pt>
                <c:pt idx="35">
                  <c:v>1752.7101202305021</c:v>
                </c:pt>
                <c:pt idx="36">
                  <c:v>1757.5926720422392</c:v>
                </c:pt>
                <c:pt idx="37">
                  <c:v>1761.690130142538</c:v>
                </c:pt>
                <c:pt idx="38">
                  <c:v>1765.1613908559275</c:v>
                </c:pt>
                <c:pt idx="39">
                  <c:v>1768.1326668466766</c:v>
                </c:pt>
                <c:pt idx="40">
                  <c:v>1770.7039823923701</c:v>
                </c:pt>
                <c:pt idx="41">
                  <c:v>1772.9545569621448</c:v>
                </c:pt>
                <c:pt idx="42">
                  <c:v>1774.9471692397458</c:v>
                </c:pt>
                <c:pt idx="43">
                  <c:v>1776.7316431984239</c:v>
                </c:pt>
                <c:pt idx="44">
                  <c:v>1778.3476064320248</c:v>
                </c:pt>
                <c:pt idx="45">
                  <c:v>1779.8266597211959</c:v>
                </c:pt>
                <c:pt idx="46">
                  <c:v>1781.194077740075</c:v>
                </c:pt>
                <c:pt idx="47">
                  <c:v>1782.4701401963405</c:v>
                </c:pt>
                <c:pt idx="48">
                  <c:v>1783.6711735430151</c:v>
                </c:pt>
                <c:pt idx="49">
                  <c:v>1784.810366877482</c:v>
                </c:pt>
                <c:pt idx="50">
                  <c:v>1785.898411987147</c:v>
                </c:pt>
                <c:pt idx="51">
                  <c:v>1786.944006510035</c:v>
                </c:pt>
                <c:pt idx="52">
                  <c:v>1787.9542504818462</c:v>
                </c:pt>
                <c:pt idx="53">
                  <c:v>1788.9349597353216</c:v>
                </c:pt>
                <c:pt idx="54">
                  <c:v>1789.8909143294754</c:v>
                </c:pt>
                <c:pt idx="55">
                  <c:v>1790.826056094701</c:v>
                </c:pt>
                <c:pt idx="56">
                  <c:v>1791.7436462214423</c:v>
                </c:pt>
                <c:pt idx="57">
                  <c:v>1792.6463913844079</c:v>
                </c:pt>
                <c:pt idx="58">
                  <c:v>1793.5365450155764</c:v>
                </c:pt>
                <c:pt idx="59">
                  <c:v>1794.4159888887352</c:v>
                </c:pt>
                <c:pt idx="60">
                  <c:v>1795.2862990567342</c:v>
                </c:pt>
                <c:pt idx="61">
                  <c:v>1796.1487993136996</c:v>
                </c:pt>
                <c:pt idx="62">
                  <c:v>1797.0046046797218</c:v>
                </c:pt>
                <c:pt idx="63">
                  <c:v>1797.8546568802167</c:v>
                </c:pt>
                <c:pt idx="64">
                  <c:v>1798.6997533821877</c:v>
                </c:pt>
                <c:pt idx="65">
                  <c:v>1799.5405712285947</c:v>
                </c:pt>
                <c:pt idx="66">
                  <c:v>1800.377686660094</c:v>
                </c:pt>
                <c:pt idx="67">
                  <c:v>1801.2115913149946</c:v>
                </c:pt>
                <c:pt idx="68">
                  <c:v>1802.0427056415779</c:v>
                </c:pt>
                <c:pt idx="69">
                  <c:v>1802.8713900328112</c:v>
                </c:pt>
                <c:pt idx="70">
                  <c:v>1803.6979540949044</c:v>
                </c:pt>
                <c:pt idx="71">
                  <c:v>1804.5226643825188</c:v>
                </c:pt>
                <c:pt idx="72">
                  <c:v>1805.3457508707256</c:v>
                </c:pt>
                <c:pt idx="73">
                  <c:v>1806.1674123833977</c:v>
                </c:pt>
                <c:pt idx="74">
                  <c:v>1806.987821157323</c:v>
                </c:pt>
                <c:pt idx="75">
                  <c:v>1807.8071266886623</c:v>
                </c:pt>
                <c:pt idx="76">
                  <c:v>1808.6254589820655</c:v>
                </c:pt>
                <c:pt idx="77">
                  <c:v>1809.4429313013381</c:v>
                </c:pt>
                <c:pt idx="78">
                  <c:v>1810.2596425032359</c:v>
                </c:pt>
                <c:pt idx="79">
                  <c:v>1811.0756790217717</c:v>
                </c:pt>
                <c:pt idx="80">
                  <c:v>1811.8911165588941</c:v>
                </c:pt>
                <c:pt idx="81">
                  <c:v>1812.7060215278991</c:v>
                </c:pt>
                <c:pt idx="82">
                  <c:v>1813.5204522881968</c:v>
                </c:pt>
                <c:pt idx="83">
                  <c:v>1814.3344602036127</c:v>
                </c:pt>
                <c:pt idx="84">
                  <c:v>1815.1480905511858</c:v>
                </c:pt>
                <c:pt idx="85">
                  <c:v>1815.9613833029923</c:v>
                </c:pt>
                <c:pt idx="86">
                  <c:v>1816.7743737999731</c:v>
                </c:pt>
                <c:pt idx="87">
                  <c:v>1817.5870933336851</c:v>
                </c:pt>
                <c:pt idx="88">
                  <c:v>1818.3995696494364</c:v>
                </c:pt>
                <c:pt idx="89">
                  <c:v>1819.2118273821513</c:v>
                </c:pt>
                <c:pt idx="90">
                  <c:v>1820.0238884345856</c:v>
                </c:pt>
                <c:pt idx="91">
                  <c:v>1820.8357723060412</c:v>
                </c:pt>
                <c:pt idx="92">
                  <c:v>1821.6474963785088</c:v>
                </c:pt>
                <c:pt idx="93">
                  <c:v>1822.4590761661359</c:v>
                </c:pt>
                <c:pt idx="94">
                  <c:v>1823.2705255330425</c:v>
                </c:pt>
                <c:pt idx="95">
                  <c:v>1824.0818568837899</c:v>
                </c:pt>
                <c:pt idx="96">
                  <c:v>1824.8930813301718</c:v>
                </c:pt>
                <c:pt idx="97">
                  <c:v>1825.7042088374646</c:v>
                </c:pt>
                <c:pt idx="98">
                  <c:v>1826.5152483528705</c:v>
                </c:pt>
                <c:pt idx="99">
                  <c:v>1827.3262079184476</c:v>
                </c:pt>
                <c:pt idx="100">
                  <c:v>1828.1370947705436</c:v>
                </c:pt>
                <c:pt idx="101">
                  <c:v>1828.9479154274679</c:v>
                </c:pt>
                <c:pt idx="102">
                  <c:v>1829.7586757668705</c:v>
                </c:pt>
                <c:pt idx="103">
                  <c:v>1830.5693810941477</c:v>
                </c:pt>
                <c:pt idx="104">
                  <c:v>1831.3800362029588</c:v>
                </c:pt>
                <c:pt idx="105">
                  <c:v>1832.1906454288589</c:v>
                </c:pt>
                <c:pt idx="106">
                  <c:v>1833.0012126968661</c:v>
                </c:pt>
                <c:pt idx="107">
                  <c:v>1833.8117415636971</c:v>
                </c:pt>
                <c:pt idx="108">
                  <c:v>1834.6222352553323</c:v>
                </c:pt>
                <c:pt idx="109">
                  <c:v>1835.4326967004329</c:v>
                </c:pt>
                <c:pt idx="110">
                  <c:v>1836.2431285601288</c:v>
                </c:pt>
                <c:pt idx="111">
                  <c:v>1837.0535332545824</c:v>
                </c:pt>
                <c:pt idx="112">
                  <c:v>1837.863912986709</c:v>
                </c:pt>
                <c:pt idx="113">
                  <c:v>1838.6742697633758</c:v>
                </c:pt>
                <c:pt idx="114">
                  <c:v>1839.4846054143741</c:v>
                </c:pt>
                <c:pt idx="115">
                  <c:v>1840.2949216094064</c:v>
                </c:pt>
                <c:pt idx="116">
                  <c:v>1841.1052198733173</c:v>
                </c:pt>
                <c:pt idx="117">
                  <c:v>1841.9155015997608</c:v>
                </c:pt>
                <c:pt idx="118">
                  <c:v>1842.7257680634746</c:v>
                </c:pt>
                <c:pt idx="119">
                  <c:v>1843.5360204313172</c:v>
                </c:pt>
                <c:pt idx="120">
                  <c:v>1844.3462597721982</c:v>
                </c:pt>
                <c:pt idx="121">
                  <c:v>1845.1564870660231</c:v>
                </c:pt>
                <c:pt idx="122">
                  <c:v>1845.9667032117507</c:v>
                </c:pt>
                <c:pt idx="123">
                  <c:v>1846.776909034676</c:v>
                </c:pt>
                <c:pt idx="124">
                  <c:v>1847.5871052929901</c:v>
                </c:pt>
                <c:pt idx="125">
                  <c:v>1848.3972926837212</c:v>
                </c:pt>
                <c:pt idx="126">
                  <c:v>1849.2074718481028</c:v>
                </c:pt>
                <c:pt idx="127">
                  <c:v>1850.0176433764311</c:v>
                </c:pt>
                <c:pt idx="128">
                  <c:v>1850.8278078124733</c:v>
                </c:pt>
                <c:pt idx="129">
                  <c:v>1851.6379656574538</c:v>
                </c:pt>
                <c:pt idx="130">
                  <c:v>1852.4481173736815</c:v>
                </c:pt>
                <c:pt idx="131">
                  <c:v>1853.2582633878351</c:v>
                </c:pt>
                <c:pt idx="132">
                  <c:v>1854.0684040939561</c:v>
                </c:pt>
                <c:pt idx="133">
                  <c:v>1854.878539856159</c:v>
                </c:pt>
                <c:pt idx="134">
                  <c:v>1855.6886710111146</c:v>
                </c:pt>
                <c:pt idx="135">
                  <c:v>1856.4987978702982</c:v>
                </c:pt>
                <c:pt idx="136">
                  <c:v>1857.3089207220401</c:v>
                </c:pt>
                <c:pt idx="137">
                  <c:v>1858.1190398334008</c:v>
                </c:pt>
                <c:pt idx="138">
                  <c:v>1858.9291554518804</c:v>
                </c:pt>
                <c:pt idx="139">
                  <c:v>1859.739267806975</c:v>
                </c:pt>
                <c:pt idx="140">
                  <c:v>1860.5493771116076</c:v>
                </c:pt>
                <c:pt idx="141">
                  <c:v>1861.3594835634276</c:v>
                </c:pt>
                <c:pt idx="142">
                  <c:v>1862.1695873460071</c:v>
                </c:pt>
                <c:pt idx="143">
                  <c:v>1862.9796886299284</c:v>
                </c:pt>
                <c:pt idx="144">
                  <c:v>1863.7897875737922</c:v>
                </c:pt>
                <c:pt idx="145">
                  <c:v>1864.5998843251266</c:v>
                </c:pt>
                <c:pt idx="146">
                  <c:v>1865.4099790212344</c:v>
                </c:pt>
                <c:pt idx="147">
                  <c:v>1866.2200717899636</c:v>
                </c:pt>
                <c:pt idx="148">
                  <c:v>1867.0301627504159</c:v>
                </c:pt>
                <c:pt idx="149">
                  <c:v>1867.8402520136003</c:v>
                </c:pt>
                <c:pt idx="150">
                  <c:v>1868.6503396830296</c:v>
                </c:pt>
                <c:pt idx="151">
                  <c:v>1869.4604258552745</c:v>
                </c:pt>
                <c:pt idx="152">
                  <c:v>1870.2705106204701</c:v>
                </c:pt>
                <c:pt idx="153">
                  <c:v>1871.0805940627818</c:v>
                </c:pt>
                <c:pt idx="154">
                  <c:v>1871.8906762608383</c:v>
                </c:pt>
                <c:pt idx="155">
                  <c:v>1872.7007572881271</c:v>
                </c:pt>
                <c:pt idx="156">
                  <c:v>1873.5108372133616</c:v>
                </c:pt>
                <c:pt idx="157">
                  <c:v>1874.3209161008169</c:v>
                </c:pt>
                <c:pt idx="158">
                  <c:v>1875.1309940106466</c:v>
                </c:pt>
                <c:pt idx="159">
                  <c:v>1875.9410709991671</c:v>
                </c:pt>
                <c:pt idx="160">
                  <c:v>1876.7511471191258</c:v>
                </c:pt>
                <c:pt idx="161">
                  <c:v>1877.561222419946</c:v>
                </c:pt>
                <c:pt idx="162">
                  <c:v>1878.3712969479595</c:v>
                </c:pt>
                <c:pt idx="163">
                  <c:v>1879.1813707466119</c:v>
                </c:pt>
                <c:pt idx="164">
                  <c:v>1879.9914438566627</c:v>
                </c:pt>
                <c:pt idx="165">
                  <c:v>1880.8015163163634</c:v>
                </c:pt>
                <c:pt idx="166">
                  <c:v>1881.6115881616302</c:v>
                </c:pt>
                <c:pt idx="167">
                  <c:v>1882.4216594261923</c:v>
                </c:pt>
                <c:pt idx="168">
                  <c:v>1883.2317301417443</c:v>
                </c:pt>
                <c:pt idx="169">
                  <c:v>1884.0418003380757</c:v>
                </c:pt>
                <c:pt idx="170">
                  <c:v>1884.8518700431973</c:v>
                </c:pt>
                <c:pt idx="171">
                  <c:v>1885.6619392834582</c:v>
                </c:pt>
                <c:pt idx="172">
                  <c:v>1886.4720080836478</c:v>
                </c:pt>
                <c:pt idx="173">
                  <c:v>1887.2820764671044</c:v>
                </c:pt>
                <c:pt idx="174">
                  <c:v>1888.0921444558019</c:v>
                </c:pt>
                <c:pt idx="175">
                  <c:v>1888.9022120704396</c:v>
                </c:pt>
                <c:pt idx="176">
                  <c:v>1889.7122793305218</c:v>
                </c:pt>
                <c:pt idx="177">
                  <c:v>1890.522346254432</c:v>
                </c:pt>
                <c:pt idx="178">
                  <c:v>1891.3324128595063</c:v>
                </c:pt>
                <c:pt idx="179">
                  <c:v>1892.142479162095</c:v>
                </c:pt>
                <c:pt idx="180">
                  <c:v>1892.9525451776278</c:v>
                </c:pt>
                <c:pt idx="181">
                  <c:v>1893.7626109206642</c:v>
                </c:pt>
                <c:pt idx="182">
                  <c:v>1894.572676404953</c:v>
                </c:pt>
                <c:pt idx="183">
                  <c:v>1895.3827416434785</c:v>
                </c:pt>
                <c:pt idx="184">
                  <c:v>1896.1928066485073</c:v>
                </c:pt>
                <c:pt idx="185">
                  <c:v>1897.0028714316334</c:v>
                </c:pt>
                <c:pt idx="186">
                  <c:v>1897.8129360038165</c:v>
                </c:pt>
                <c:pt idx="187">
                  <c:v>1898.6230003754165</c:v>
                </c:pt>
                <c:pt idx="188">
                  <c:v>1899.4330645562386</c:v>
                </c:pt>
                <c:pt idx="189">
                  <c:v>1900.2431285555563</c:v>
                </c:pt>
                <c:pt idx="190">
                  <c:v>1901.0531923821475</c:v>
                </c:pt>
                <c:pt idx="191">
                  <c:v>1901.8632560443248</c:v>
                </c:pt>
                <c:pt idx="192">
                  <c:v>1902.6733195499576</c:v>
                </c:pt>
                <c:pt idx="193">
                  <c:v>1903.4833829065001</c:v>
                </c:pt>
                <c:pt idx="194">
                  <c:v>1904.2934461210186</c:v>
                </c:pt>
                <c:pt idx="195">
                  <c:v>1905.1035092002064</c:v>
                </c:pt>
                <c:pt idx="196">
                  <c:v>1905.9135721504142</c:v>
                </c:pt>
                <c:pt idx="197">
                  <c:v>1906.7236349776604</c:v>
                </c:pt>
                <c:pt idx="198">
                  <c:v>1907.5336976876556</c:v>
                </c:pt>
                <c:pt idx="199">
                  <c:v>1908.343760285818</c:v>
                </c:pt>
                <c:pt idx="200">
                  <c:v>1909.1538227772901</c:v>
                </c:pt>
              </c:numCache>
            </c:numRef>
          </c:yVal>
          <c:smooth val="0"/>
          <c:extLst>
            <c:ext xmlns:c16="http://schemas.microsoft.com/office/drawing/2014/chart" uri="{C3380CC4-5D6E-409C-BE32-E72D297353CC}">
              <c16:uniqueId val="{00000002-A993-436D-83DB-340879555C98}"/>
            </c:ext>
          </c:extLst>
        </c:ser>
        <c:ser>
          <c:idx val="3"/>
          <c:order val="3"/>
          <c:tx>
            <c:strRef>
              <c:f>'Armaduras Activas'!$E$2</c:f>
              <c:strCache>
                <c:ptCount val="1"/>
                <c:pt idx="0">
                  <c:v>Provisto por Usuario</c:v>
                </c:pt>
              </c:strCache>
            </c:strRef>
          </c:tx>
          <c:spPr>
            <a:ln w="19050" cap="rnd">
              <a:solidFill>
                <a:schemeClr val="bg1">
                  <a:lumMod val="50000"/>
                </a:schemeClr>
              </a:solidFill>
              <a:round/>
            </a:ln>
            <a:effectLst/>
          </c:spPr>
          <c:marker>
            <c:symbol val="none"/>
          </c:marker>
          <c:xVal>
            <c:numRef>
              <c:f>'Armaduras Activas'!$AD$2:$AD$202</c:f>
              <c:numCache>
                <c:formatCode>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'Armaduras Activas'!$AH$2:$AH$202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6-A993-436D-83DB-340879555C9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ps: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74698461837569"/>
              <c:y val="0.869585043319653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fps: </a:t>
                </a:r>
                <a:r>
                  <a:rPr lang="en-US" sz="1000" b="0" i="0" u="none" strike="noStrike" baseline="0">
                    <a:solidFill>
                      <a:schemeClr val="tx1"/>
                    </a:solidFill>
                    <a:effectLst/>
                    <a:latin typeface="Arial" panose="020B0604020202020204" pitchFamily="34" charset="0"/>
                    <a:cs typeface="Arial" panose="020B0604020202020204" pitchFamily="34" charset="0"/>
                  </a:rPr>
                  <a:t>Tensión</a:t>
                </a:r>
                <a:r>
                  <a:rPr lang="en-US" i="1">
                    <a:solidFill>
                      <a:schemeClr val="tx1"/>
                    </a:solidFill>
                    <a:latin typeface="Arial" panose="020B0604020202020204" pitchFamily="34" charset="0"/>
                    <a:cs typeface="Arial" panose="020B0604020202020204" pitchFamily="34" charset="0"/>
                  </a:rPr>
                  <a:t> </a:t>
                </a:r>
                <a:r>
                  <a:rPr lang="en-US" i="0">
                    <a:solidFill>
                      <a:schemeClr val="tx1"/>
                    </a:solidFill>
                    <a:latin typeface="Arial" panose="020B0604020202020204" pitchFamily="34" charset="0"/>
                    <a:cs typeface="Arial" panose="020B0604020202020204" pitchFamily="34" charset="0"/>
                  </a:rPr>
                  <a:t>[MPa]</a:t>
                </a:r>
              </a:p>
            </c:rich>
          </c:tx>
          <c:layout>
            <c:manualLayout>
              <c:xMode val="edge"/>
              <c:yMode val="edge"/>
              <c:x val="0.11585944919278253"/>
              <c:y val="0.1558806653956217"/>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8733053667436869"/>
          <c:y val="9.0457755708033077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s-419"/>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90998029854690754"/>
        </c:manualLayout>
      </c:layout>
      <c:scatterChart>
        <c:scatterStyle val="lineMarker"/>
        <c:varyColors val="0"/>
        <c:ser>
          <c:idx val="0"/>
          <c:order val="0"/>
          <c:spPr>
            <a:ln w="28575">
              <a:noFill/>
            </a:ln>
          </c:spPr>
          <c:xVal>
            <c:numRef>
              <c:f>'Resultados 2D'!$J$3:$J$1048576</c:f>
              <c:numCache>
                <c:formatCode>General</c:formatCode>
                <c:ptCount val="1048574"/>
              </c:numCache>
            </c:numRef>
          </c:xVal>
          <c:yVal>
            <c:numRef>
              <c:f>'Resultados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19050">
              <a:noFill/>
            </a:ln>
          </c:spPr>
          <c:xVal>
            <c:numRef>
              <c:f>'Resultados 2D'!$O$3:$O$1048576</c:f>
              <c:numCache>
                <c:formatCode>0.00</c:formatCode>
                <c:ptCount val="1048574"/>
              </c:numCache>
            </c:numRef>
          </c:xVal>
          <c:yVal>
            <c:numRef>
              <c:f>'Resultados 2D'!$N$3:$N$1048576</c:f>
              <c:numCache>
                <c:formatCode>0.00</c:formatCode>
                <c:ptCount val="104857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96</xdr:row>
      <xdr:rowOff>50801</xdr:rowOff>
    </xdr:from>
    <xdr:to>
      <xdr:col>6</xdr:col>
      <xdr:colOff>436336</xdr:colOff>
      <xdr:row>119</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279400</xdr:colOff>
          <xdr:row>213</xdr:row>
          <xdr:rowOff>165100</xdr:rowOff>
        </xdr:from>
        <xdr:to>
          <xdr:col>4</xdr:col>
          <xdr:colOff>342900</xdr:colOff>
          <xdr:row>216</xdr:row>
          <xdr:rowOff>88900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419" sz="1100" b="1" i="0" u="none" strike="noStrike" baseline="0">
                  <a:solidFill>
                    <a:srgbClr val="000000"/>
                  </a:solidFill>
                  <a:latin typeface="Calibri"/>
                  <a:ea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31750</xdr:rowOff>
        </xdr:from>
        <xdr:to>
          <xdr:col>4</xdr:col>
          <xdr:colOff>107950</xdr:colOff>
          <xdr:row>4</xdr:row>
          <xdr:rowOff>69850</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506338" y="176580"/>
          <a:ext cx="558177" cy="607401"/>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241300</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222250</xdr:colOff>
          <xdr:row>203</xdr:row>
          <xdr:rowOff>165100</xdr:rowOff>
        </xdr:from>
        <xdr:to>
          <xdr:col>5</xdr:col>
          <xdr:colOff>438150</xdr:colOff>
          <xdr:row>207</xdr:row>
          <xdr:rowOff>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419" sz="1100" b="1" i="0" u="none" strike="noStrike" baseline="0">
                  <a:solidFill>
                    <a:srgbClr val="000000"/>
                  </a:solidFill>
                  <a:latin typeface="Calibri"/>
                  <a:ea typeface="Calibri"/>
                  <a:cs typeface="Calibri"/>
                </a:rPr>
                <a:t>Ejecutar ACSAHE</a:t>
              </a:r>
              <a:endParaRPr lang="es-419" sz="1100" b="0" i="0" u="none" strike="noStrike" baseline="0">
                <a:solidFill>
                  <a:srgbClr val="000000"/>
                </a:solidFill>
                <a:latin typeface="Calibri"/>
                <a:ea typeface="Calibri"/>
                <a:cs typeface="Calibri"/>
              </a:endParaRPr>
            </a:p>
            <a:p>
              <a:pPr algn="ctr" rtl="0">
                <a:defRPr sz="1000"/>
              </a:pPr>
              <a:r>
                <a:rPr lang="es-419"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twoCellAnchor editAs="oneCell">
    <xdr:from>
      <xdr:col>3</xdr:col>
      <xdr:colOff>523875</xdr:colOff>
      <xdr:row>40</xdr:row>
      <xdr:rowOff>186836</xdr:rowOff>
    </xdr:from>
    <xdr:to>
      <xdr:col>6</xdr:col>
      <xdr:colOff>14654</xdr:colOff>
      <xdr:row>51</xdr:row>
      <xdr:rowOff>161234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3"/>
        <a:srcRect l="11615" r="8132"/>
        <a:stretch/>
      </xdr:blipFill>
      <xdr:spPr>
        <a:xfrm>
          <a:off x="2905125" y="7660298"/>
          <a:ext cx="1776779" cy="2025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546100</xdr:colOff>
          <xdr:row>1</xdr:row>
          <xdr:rowOff>285750</xdr:rowOff>
        </xdr:from>
        <xdr:to>
          <xdr:col>6</xdr:col>
          <xdr:colOff>774700</xdr:colOff>
          <xdr:row>4</xdr:row>
          <xdr:rowOff>0</xdr:rowOff>
        </xdr:to>
        <xdr:sp macro="" textlink="">
          <xdr:nvSpPr>
            <xdr:cNvPr id="2707" name="Button 659" hidden="1">
              <a:extLst>
                <a:ext uri="{63B3BB69-23CF-44E3-9099-C40C66FF867C}">
                  <a14:compatExt spid="_x0000_s2707"/>
                </a:ext>
                <a:ext uri="{FF2B5EF4-FFF2-40B4-BE49-F238E27FC236}">
                  <a16:creationId xmlns:a16="http://schemas.microsoft.com/office/drawing/2014/main" id="{D7590352-AFEC-43D2-9175-0CE444ADCBB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419"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393700</xdr:colOff>
          <xdr:row>45</xdr:row>
          <xdr:rowOff>76200</xdr:rowOff>
        </xdr:from>
        <xdr:to>
          <xdr:col>6</xdr:col>
          <xdr:colOff>736600</xdr:colOff>
          <xdr:row>48</xdr:row>
          <xdr:rowOff>0</xdr:rowOff>
        </xdr:to>
        <xdr:sp macro="" textlink="">
          <xdr:nvSpPr>
            <xdr:cNvPr id="2708" name="Button 660" hidden="1">
              <a:extLst>
                <a:ext uri="{63B3BB69-23CF-44E3-9099-C40C66FF867C}">
                  <a14:compatExt spid="_x0000_s2708"/>
                </a:ext>
                <a:ext uri="{FF2B5EF4-FFF2-40B4-BE49-F238E27FC236}">
                  <a16:creationId xmlns:a16="http://schemas.microsoft.com/office/drawing/2014/main" id="{0CA4F05E-C903-455C-9338-CF647B3ABC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419" sz="1100" b="1" i="0" u="none" strike="noStrike" baseline="0">
                  <a:solidFill>
                    <a:srgbClr val="000000"/>
                  </a:solidFill>
                  <a:latin typeface="Calibri"/>
                  <a:ea typeface="Calibri"/>
                  <a:cs typeface="Calibri"/>
                </a:rPr>
                <a:t>Ejecutar ACSAHE</a:t>
              </a:r>
              <a:endParaRPr lang="es-419" sz="1100" b="0" i="0" u="none" strike="noStrike" baseline="0">
                <a:solidFill>
                  <a:srgbClr val="000000"/>
                </a:solidFill>
                <a:latin typeface="Calibri"/>
                <a:ea typeface="Calibri"/>
                <a:cs typeface="Calibri"/>
              </a:endParaRPr>
            </a:p>
            <a:p>
              <a:pPr algn="ctr" rtl="0">
                <a:defRPr sz="1000"/>
              </a:pPr>
              <a:r>
                <a:rPr lang="es-419"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9526</xdr:colOff>
      <xdr:row>0</xdr:row>
      <xdr:rowOff>9526</xdr:rowOff>
    </xdr:from>
    <xdr:to>
      <xdr:col>18</xdr:col>
      <xdr:colOff>9525</xdr:colOff>
      <xdr:row>25</xdr:row>
      <xdr:rowOff>123825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27</xdr:row>
      <xdr:rowOff>129590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twoCellAnchor>
    <xdr:from>
      <xdr:col>6</xdr:col>
      <xdr:colOff>590551</xdr:colOff>
      <xdr:row>0</xdr:row>
      <xdr:rowOff>0</xdr:rowOff>
    </xdr:from>
    <xdr:to>
      <xdr:col>17</xdr:col>
      <xdr:colOff>571501</xdr:colOff>
      <xdr:row>26</xdr:row>
      <xdr:rowOff>9525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546100</xdr:colOff>
          <xdr:row>1</xdr:row>
          <xdr:rowOff>285750</xdr:rowOff>
        </xdr:from>
        <xdr:to>
          <xdr:col>6</xdr:col>
          <xdr:colOff>774700</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419"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393700</xdr:colOff>
          <xdr:row>45</xdr:row>
          <xdr:rowOff>76200</xdr:rowOff>
        </xdr:from>
        <xdr:to>
          <xdr:col>6</xdr:col>
          <xdr:colOff>736600</xdr:colOff>
          <xdr:row>48</xdr:row>
          <xdr:rowOff>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600-000039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419" sz="1100" b="1" i="0" u="none" strike="noStrike" baseline="0">
                  <a:solidFill>
                    <a:srgbClr val="000000"/>
                  </a:solidFill>
                  <a:latin typeface="Calibri"/>
                  <a:ea typeface="Calibri"/>
                  <a:cs typeface="Calibri"/>
                </a:rPr>
                <a:t>Ejecutar ACSAHE</a:t>
              </a:r>
              <a:endParaRPr lang="es-419" sz="1100" b="0" i="0" u="none" strike="noStrike" baseline="0">
                <a:solidFill>
                  <a:srgbClr val="000000"/>
                </a:solidFill>
                <a:latin typeface="Calibri"/>
                <a:ea typeface="Calibri"/>
                <a:cs typeface="Calibri"/>
              </a:endParaRPr>
            </a:p>
            <a:p>
              <a:pPr algn="ctr" rtl="0">
                <a:defRPr sz="1000"/>
              </a:pPr>
              <a:r>
                <a:rPr lang="es-419"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2.bin"/><Relationship Id="rId3" Type="http://schemas.openxmlformats.org/officeDocument/2006/relationships/printerSettings" Target="../printerSettings/printerSettings1.bin"/><Relationship Id="rId7" Type="http://schemas.openxmlformats.org/officeDocument/2006/relationships/image" Target="../media/image1.png"/><Relationship Id="rId2" Type="http://schemas.openxmlformats.org/officeDocument/2006/relationships/hyperlink" Target="https://chromewebstore.google.com/detail/gofullpage-full-page-scre/fdpohaocaechififmbbbbbknoalclacl" TargetMode="External"/><Relationship Id="rId1" Type="http://schemas.openxmlformats.org/officeDocument/2006/relationships/hyperlink" Target="https://www.youtube.com/playlist?list=PL2vqHDQzjyupe7ISb2vA9EGn0Qr31nW7g" TargetMode="External"/><Relationship Id="rId6" Type="http://schemas.openxmlformats.org/officeDocument/2006/relationships/oleObject" Target="../embeddings/oleObject1.bin"/><Relationship Id="rId11" Type="http://schemas.openxmlformats.org/officeDocument/2006/relationships/ctrlProp" Target="../ctrlProps/ctrlProp2.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pn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tabColor theme="0"/>
  </sheetPr>
  <dimension ref="A1:I217"/>
  <sheetViews>
    <sheetView showGridLines="0" topLeftCell="A202" zoomScale="130" zoomScaleNormal="130" workbookViewId="0">
      <selection activeCell="E215" sqref="E215"/>
    </sheetView>
  </sheetViews>
  <sheetFormatPr defaultColWidth="11.453125" defaultRowHeight="14" x14ac:dyDescent="0.3"/>
  <cols>
    <col min="1" max="1" width="12.81640625" style="60" customWidth="1"/>
    <col min="2" max="2" width="11.453125" style="60" customWidth="1"/>
    <col min="3" max="16384" width="11.453125" style="60"/>
  </cols>
  <sheetData>
    <row r="1" spans="1:7" x14ac:dyDescent="0.3">
      <c r="A1" s="57"/>
      <c r="B1" s="57"/>
      <c r="C1" s="57"/>
      <c r="D1" s="58"/>
      <c r="E1" s="58"/>
      <c r="F1" s="59"/>
      <c r="G1" s="59"/>
    </row>
    <row r="2" spans="1:7" x14ac:dyDescent="0.3">
      <c r="A2" s="57"/>
      <c r="B2" s="57"/>
      <c r="C2" s="57"/>
      <c r="D2" s="58"/>
      <c r="E2" s="58"/>
      <c r="F2" s="59"/>
      <c r="G2" s="59"/>
    </row>
    <row r="3" spans="1:7" x14ac:dyDescent="0.3">
      <c r="A3" s="57"/>
      <c r="B3" s="57"/>
      <c r="C3" s="57"/>
      <c r="D3" s="58"/>
      <c r="E3" s="58"/>
      <c r="F3" s="59"/>
      <c r="G3" s="59"/>
    </row>
    <row r="4" spans="1:7" x14ac:dyDescent="0.3">
      <c r="A4" s="57"/>
      <c r="B4" s="57"/>
      <c r="C4" s="57"/>
      <c r="D4" s="58"/>
      <c r="E4" s="58"/>
      <c r="F4" s="59"/>
      <c r="G4" s="59"/>
    </row>
    <row r="5" spans="1:7" x14ac:dyDescent="0.3">
      <c r="A5" s="57"/>
      <c r="B5" s="57"/>
      <c r="C5" s="57"/>
      <c r="D5" s="58"/>
      <c r="E5" s="58"/>
      <c r="F5" s="59"/>
      <c r="G5" s="59"/>
    </row>
    <row r="6" spans="1:7" x14ac:dyDescent="0.3">
      <c r="A6" s="57"/>
      <c r="B6" s="57"/>
      <c r="C6" s="57"/>
      <c r="D6" s="58"/>
      <c r="E6" s="58"/>
      <c r="F6" s="59"/>
      <c r="G6" s="59"/>
    </row>
    <row r="7" spans="1:7" x14ac:dyDescent="0.3">
      <c r="A7" s="57"/>
      <c r="B7" s="57"/>
      <c r="C7" s="57"/>
      <c r="D7" s="58"/>
      <c r="E7" s="58"/>
      <c r="F7" s="59"/>
      <c r="G7" s="59"/>
    </row>
    <row r="8" spans="1:7" ht="18" x14ac:dyDescent="0.4">
      <c r="A8" s="139" t="s">
        <v>72</v>
      </c>
      <c r="B8" s="140"/>
      <c r="C8" s="140"/>
      <c r="D8" s="140"/>
      <c r="E8" s="140"/>
      <c r="F8" s="140"/>
      <c r="G8" s="140"/>
    </row>
    <row r="9" spans="1:7" ht="6.65" customHeight="1" x14ac:dyDescent="0.3">
      <c r="A9" s="64"/>
      <c r="B9" s="64"/>
      <c r="C9" s="64"/>
      <c r="D9" s="65"/>
      <c r="E9" s="65"/>
      <c r="F9" s="66"/>
      <c r="G9" s="66"/>
    </row>
    <row r="10" spans="1:7" ht="18" customHeight="1" x14ac:dyDescent="0.3">
      <c r="A10" s="141" t="s">
        <v>73</v>
      </c>
      <c r="B10" s="142"/>
      <c r="C10" s="142"/>
      <c r="D10" s="142"/>
      <c r="E10" s="142"/>
      <c r="F10" s="142"/>
      <c r="G10" s="142"/>
    </row>
    <row r="11" spans="1:7" x14ac:dyDescent="0.3">
      <c r="A11" s="57"/>
      <c r="B11" s="57"/>
      <c r="C11" s="57"/>
      <c r="D11" s="58"/>
      <c r="E11" s="58"/>
      <c r="F11" s="59"/>
      <c r="G11" s="59"/>
    </row>
    <row r="12" spans="1:7" x14ac:dyDescent="0.3">
      <c r="A12" s="57"/>
      <c r="B12" s="57"/>
      <c r="C12" s="57"/>
      <c r="D12" s="58"/>
      <c r="E12" s="58"/>
      <c r="F12" s="59"/>
      <c r="G12" s="59"/>
    </row>
    <row r="13" spans="1:7" x14ac:dyDescent="0.3">
      <c r="A13" s="57"/>
      <c r="B13" s="57"/>
      <c r="C13" s="57"/>
      <c r="D13" s="58"/>
      <c r="E13" s="58"/>
      <c r="F13" s="59"/>
      <c r="G13" s="59"/>
    </row>
    <row r="14" spans="1:7" x14ac:dyDescent="0.3">
      <c r="A14" s="143" t="s">
        <v>67</v>
      </c>
      <c r="B14" s="144"/>
      <c r="C14" s="144"/>
      <c r="D14" s="144"/>
      <c r="E14" s="144"/>
      <c r="F14" s="144"/>
      <c r="G14" s="144"/>
    </row>
    <row r="15" spans="1:7" x14ac:dyDescent="0.3">
      <c r="A15" s="144"/>
      <c r="B15" s="144"/>
      <c r="C15" s="144"/>
      <c r="D15" s="144"/>
      <c r="E15" s="144"/>
      <c r="F15" s="144"/>
      <c r="G15" s="144"/>
    </row>
    <row r="16" spans="1:7" x14ac:dyDescent="0.3">
      <c r="A16" s="144"/>
      <c r="B16" s="144"/>
      <c r="C16" s="144"/>
      <c r="D16" s="144"/>
      <c r="E16" s="144"/>
      <c r="F16" s="144"/>
      <c r="G16" s="144"/>
    </row>
    <row r="17" spans="1:7" ht="15" x14ac:dyDescent="0.4">
      <c r="A17" s="146" t="s">
        <v>74</v>
      </c>
      <c r="B17" s="147"/>
      <c r="C17" s="147"/>
      <c r="D17" s="147"/>
      <c r="E17" s="147"/>
      <c r="F17" s="147"/>
      <c r="G17" s="147"/>
    </row>
    <row r="18" spans="1:7" x14ac:dyDescent="0.3">
      <c r="A18" s="57"/>
      <c r="B18" s="57"/>
      <c r="C18" s="57"/>
      <c r="D18" s="58"/>
      <c r="E18" s="58"/>
      <c r="F18" s="59"/>
      <c r="G18" s="59"/>
    </row>
    <row r="19" spans="1:7" ht="20.5" customHeight="1" x14ac:dyDescent="0.4">
      <c r="A19" s="146" t="s">
        <v>75</v>
      </c>
      <c r="B19" s="146"/>
      <c r="C19" s="146"/>
      <c r="D19" s="146"/>
      <c r="E19" s="146"/>
      <c r="F19" s="146"/>
      <c r="G19" s="146"/>
    </row>
    <row r="20" spans="1:7" ht="14.15" customHeight="1" x14ac:dyDescent="0.3">
      <c r="A20" s="67"/>
      <c r="B20" s="67"/>
      <c r="C20" s="67"/>
      <c r="D20" s="67"/>
      <c r="E20" s="67"/>
      <c r="F20" s="67"/>
      <c r="G20" s="67"/>
    </row>
    <row r="21" spans="1:7" ht="14.15" customHeight="1" x14ac:dyDescent="0.3">
      <c r="A21" s="148" t="s">
        <v>76</v>
      </c>
      <c r="B21" s="148"/>
      <c r="C21" s="148"/>
      <c r="D21" s="148"/>
      <c r="E21" s="148"/>
      <c r="F21" s="148"/>
      <c r="G21" s="148"/>
    </row>
    <row r="22" spans="1:7" ht="14.15" customHeight="1" x14ac:dyDescent="0.3">
      <c r="A22" s="148"/>
      <c r="B22" s="148"/>
      <c r="C22" s="148"/>
      <c r="D22" s="148"/>
      <c r="E22" s="148"/>
      <c r="F22" s="148"/>
      <c r="G22" s="148"/>
    </row>
    <row r="23" spans="1:7" ht="14.15" customHeight="1" x14ac:dyDescent="0.3">
      <c r="A23" s="148"/>
      <c r="B23" s="148"/>
      <c r="C23" s="148"/>
      <c r="D23" s="148"/>
      <c r="E23" s="148"/>
      <c r="F23" s="148"/>
      <c r="G23" s="148"/>
    </row>
    <row r="24" spans="1:7" ht="15.65" customHeight="1" x14ac:dyDescent="0.45">
      <c r="A24" s="68"/>
      <c r="B24" s="68"/>
      <c r="C24" s="68"/>
      <c r="D24" s="68"/>
      <c r="E24" s="68"/>
      <c r="F24" s="68"/>
      <c r="G24" s="68"/>
    </row>
    <row r="25" spans="1:7" ht="15" x14ac:dyDescent="0.4">
      <c r="A25" s="146" t="s">
        <v>77</v>
      </c>
      <c r="B25" s="145"/>
      <c r="C25" s="145"/>
      <c r="D25" s="145"/>
      <c r="E25" s="145"/>
      <c r="F25" s="145"/>
      <c r="G25" s="145"/>
    </row>
    <row r="26" spans="1:7" ht="20" x14ac:dyDescent="0.4">
      <c r="A26" s="69"/>
      <c r="B26" s="70"/>
      <c r="C26" s="70"/>
      <c r="D26" s="70"/>
      <c r="E26" s="70"/>
      <c r="F26" s="70"/>
      <c r="G26" s="70"/>
    </row>
    <row r="27" spans="1:7" x14ac:dyDescent="0.3">
      <c r="A27" s="57"/>
      <c r="B27" s="145" t="s">
        <v>80</v>
      </c>
      <c r="C27" s="145"/>
      <c r="D27" s="145"/>
      <c r="E27" s="145"/>
      <c r="F27" s="145"/>
      <c r="G27" s="59"/>
    </row>
    <row r="28" spans="1:7" x14ac:dyDescent="0.3">
      <c r="A28" s="57"/>
      <c r="B28" s="57"/>
      <c r="C28" s="57"/>
      <c r="D28" s="58"/>
      <c r="E28" s="58"/>
      <c r="F28" s="59"/>
      <c r="G28" s="59"/>
    </row>
    <row r="29" spans="1:7" x14ac:dyDescent="0.3">
      <c r="A29" s="57"/>
      <c r="B29" s="145" t="s">
        <v>79</v>
      </c>
      <c r="C29" s="145"/>
      <c r="D29" s="145"/>
      <c r="E29" s="145"/>
      <c r="F29" s="145"/>
      <c r="G29" s="59"/>
    </row>
    <row r="30" spans="1:7" x14ac:dyDescent="0.3">
      <c r="A30" s="57"/>
      <c r="B30" s="57"/>
      <c r="C30" s="57"/>
      <c r="D30" s="58"/>
      <c r="E30" s="58"/>
      <c r="F30" s="59"/>
      <c r="G30" s="59"/>
    </row>
    <row r="31" spans="1:7" x14ac:dyDescent="0.3">
      <c r="A31" s="57"/>
      <c r="B31" s="57"/>
      <c r="C31" s="159" t="s">
        <v>78</v>
      </c>
      <c r="D31" s="159"/>
      <c r="E31" s="159"/>
      <c r="F31" s="59"/>
      <c r="G31" s="59"/>
    </row>
    <row r="32" spans="1:7" x14ac:dyDescent="0.3">
      <c r="A32" s="57"/>
      <c r="B32" s="57"/>
      <c r="C32" s="61"/>
      <c r="D32" s="61"/>
      <c r="E32" s="61"/>
      <c r="F32" s="59"/>
      <c r="G32" s="59"/>
    </row>
    <row r="33" spans="1:9" ht="14.25" customHeight="1" x14ac:dyDescent="0.3">
      <c r="A33" s="160" t="s">
        <v>68</v>
      </c>
      <c r="B33" s="160"/>
      <c r="C33" s="160"/>
      <c r="D33" s="160"/>
      <c r="E33" s="160"/>
      <c r="F33" s="160"/>
      <c r="G33" s="160"/>
    </row>
    <row r="34" spans="1:9" ht="14.5" thickBot="1" x14ac:dyDescent="0.35">
      <c r="A34" s="161"/>
      <c r="B34" s="161"/>
      <c r="C34" s="161"/>
      <c r="D34" s="161"/>
      <c r="E34" s="161"/>
      <c r="F34" s="161"/>
      <c r="G34" s="161"/>
    </row>
    <row r="35" spans="1:9" ht="14.5" customHeight="1" thickTop="1" x14ac:dyDescent="0.3">
      <c r="A35" s="162" t="s">
        <v>127</v>
      </c>
      <c r="B35" s="162"/>
      <c r="C35" s="162"/>
      <c r="D35" s="162"/>
      <c r="E35" s="162"/>
      <c r="F35" s="162"/>
      <c r="G35" s="162"/>
    </row>
    <row r="36" spans="1:9" x14ac:dyDescent="0.3">
      <c r="A36" s="150"/>
      <c r="B36" s="150"/>
      <c r="C36" s="150"/>
      <c r="D36" s="150"/>
      <c r="E36" s="150"/>
      <c r="F36" s="150"/>
      <c r="G36" s="150"/>
    </row>
    <row r="37" spans="1:9" x14ac:dyDescent="0.3">
      <c r="A37" s="150"/>
      <c r="B37" s="150"/>
      <c r="C37" s="150"/>
      <c r="D37" s="150"/>
      <c r="E37" s="150"/>
      <c r="F37" s="150"/>
      <c r="G37" s="150"/>
    </row>
    <row r="38" spans="1:9" x14ac:dyDescent="0.3">
      <c r="A38" s="150"/>
      <c r="B38" s="150"/>
      <c r="C38" s="150"/>
      <c r="D38" s="150"/>
      <c r="E38" s="150"/>
      <c r="F38" s="150"/>
      <c r="G38" s="150"/>
    </row>
    <row r="39" spans="1:9" x14ac:dyDescent="0.3">
      <c r="A39" s="150"/>
      <c r="B39" s="150"/>
      <c r="C39" s="150"/>
      <c r="D39" s="150"/>
      <c r="E39" s="150"/>
      <c r="F39" s="150"/>
      <c r="G39" s="150"/>
    </row>
    <row r="40" spans="1:9" x14ac:dyDescent="0.3">
      <c r="A40" s="150"/>
      <c r="B40" s="150"/>
      <c r="C40" s="150"/>
      <c r="D40" s="150"/>
      <c r="E40" s="150"/>
      <c r="F40" s="150"/>
      <c r="G40" s="150"/>
    </row>
    <row r="41" spans="1:9" ht="14.5" x14ac:dyDescent="0.35">
      <c r="A41" s="59"/>
      <c r="B41" s="59"/>
      <c r="C41" s="59"/>
      <c r="D41" s="59"/>
      <c r="E41" s="59"/>
      <c r="F41" s="59"/>
      <c r="G41" s="59"/>
      <c r="I41" s="62"/>
    </row>
    <row r="42" spans="1:9" ht="14.5" x14ac:dyDescent="0.35">
      <c r="A42" s="59"/>
      <c r="B42" s="59"/>
      <c r="C42" s="59"/>
      <c r="D42" s="59"/>
      <c r="E42"/>
      <c r="F42" s="59"/>
      <c r="G42" s="59"/>
    </row>
    <row r="43" spans="1:9" x14ac:dyDescent="0.3">
      <c r="A43" s="59"/>
      <c r="B43" s="59"/>
      <c r="C43" s="59"/>
      <c r="D43" s="59"/>
      <c r="E43" s="59"/>
      <c r="F43" s="59"/>
      <c r="G43" s="59"/>
    </row>
    <row r="44" spans="1:9" x14ac:dyDescent="0.3">
      <c r="A44" s="59"/>
      <c r="B44" s="59"/>
      <c r="C44" s="59"/>
      <c r="D44" s="59"/>
      <c r="E44" s="59"/>
      <c r="F44" s="59"/>
      <c r="G44" s="59"/>
    </row>
    <row r="45" spans="1:9" x14ac:dyDescent="0.3">
      <c r="A45" s="59"/>
      <c r="B45" s="59"/>
      <c r="C45" s="59"/>
      <c r="D45" s="59"/>
      <c r="E45" s="59"/>
      <c r="F45" s="59"/>
      <c r="G45" s="59"/>
    </row>
    <row r="46" spans="1:9" x14ac:dyDescent="0.3">
      <c r="A46" s="59"/>
      <c r="B46" s="59"/>
      <c r="C46" s="59"/>
      <c r="D46" s="105"/>
      <c r="E46" s="59"/>
      <c r="F46" s="59"/>
      <c r="G46" s="59"/>
    </row>
    <row r="47" spans="1:9" ht="14.5" x14ac:dyDescent="0.35">
      <c r="A47" s="59"/>
      <c r="B47" s="59"/>
      <c r="C47" s="59"/>
      <c r="D47" s="63" t="s">
        <v>69</v>
      </c>
      <c r="E47" s="59"/>
      <c r="F47"/>
      <c r="G47" s="59"/>
    </row>
    <row r="48" spans="1:9" x14ac:dyDescent="0.3">
      <c r="A48" s="59"/>
      <c r="B48" s="59"/>
      <c r="C48" s="59"/>
      <c r="D48" s="59"/>
      <c r="E48" s="59"/>
      <c r="F48" s="59"/>
      <c r="G48" s="59"/>
    </row>
    <row r="49" spans="1:7" ht="14.5" x14ac:dyDescent="0.35">
      <c r="A49" s="59"/>
      <c r="B49" s="59"/>
      <c r="C49" s="59"/>
      <c r="D49"/>
      <c r="E49" s="59"/>
      <c r="F49" s="59"/>
      <c r="G49" s="59"/>
    </row>
    <row r="50" spans="1:7" ht="14.5" x14ac:dyDescent="0.35">
      <c r="A50" s="59"/>
      <c r="B50" s="59"/>
      <c r="C50" s="59"/>
      <c r="D50"/>
      <c r="E50"/>
      <c r="F50" s="59"/>
      <c r="G50" s="59"/>
    </row>
    <row r="51" spans="1:7" x14ac:dyDescent="0.3">
      <c r="A51" s="59"/>
      <c r="B51" s="59"/>
      <c r="C51" s="59"/>
      <c r="D51" s="59"/>
      <c r="E51" s="59"/>
      <c r="F51" s="59"/>
      <c r="G51" s="59"/>
    </row>
    <row r="52" spans="1:7" x14ac:dyDescent="0.3">
      <c r="A52" s="59"/>
      <c r="B52" s="59"/>
      <c r="C52" s="59"/>
      <c r="D52" s="59"/>
      <c r="E52" s="59"/>
      <c r="F52" s="59"/>
      <c r="G52" s="59"/>
    </row>
    <row r="53" spans="1:7" x14ac:dyDescent="0.3">
      <c r="A53" s="59"/>
      <c r="B53" s="59"/>
      <c r="C53" s="59"/>
      <c r="D53" s="59"/>
      <c r="E53" s="59"/>
      <c r="F53" s="59"/>
      <c r="G53" s="59"/>
    </row>
    <row r="54" spans="1:7" ht="14.15" customHeight="1" x14ac:dyDescent="0.3">
      <c r="A54" s="153" t="s">
        <v>128</v>
      </c>
      <c r="B54" s="153"/>
      <c r="C54" s="153"/>
      <c r="D54" s="153"/>
      <c r="E54" s="153"/>
      <c r="F54" s="153"/>
      <c r="G54" s="153"/>
    </row>
    <row r="55" spans="1:7" x14ac:dyDescent="0.3">
      <c r="A55" s="153"/>
      <c r="B55" s="153"/>
      <c r="C55" s="153"/>
      <c r="D55" s="153"/>
      <c r="E55" s="153"/>
      <c r="F55" s="153"/>
      <c r="G55" s="153"/>
    </row>
    <row r="56" spans="1:7" x14ac:dyDescent="0.3">
      <c r="A56" s="153"/>
      <c r="B56" s="153"/>
      <c r="C56" s="153"/>
      <c r="D56" s="153"/>
      <c r="E56" s="153"/>
      <c r="F56" s="153"/>
      <c r="G56" s="153"/>
    </row>
    <row r="57" spans="1:7" x14ac:dyDescent="0.3">
      <c r="A57" s="153"/>
      <c r="B57" s="153"/>
      <c r="C57" s="153"/>
      <c r="D57" s="153"/>
      <c r="E57" s="153"/>
      <c r="F57" s="153"/>
      <c r="G57" s="153"/>
    </row>
    <row r="58" spans="1:7" ht="14.25" customHeight="1" x14ac:dyDescent="0.3">
      <c r="A58" s="66"/>
      <c r="B58" s="66"/>
      <c r="C58" s="66"/>
      <c r="D58" s="66"/>
      <c r="E58" s="66"/>
      <c r="F58" s="66"/>
      <c r="G58" s="66"/>
    </row>
    <row r="59" spans="1:7" ht="14.5" customHeight="1" x14ac:dyDescent="0.3">
      <c r="A59" s="150" t="s">
        <v>108</v>
      </c>
      <c r="B59" s="150"/>
      <c r="C59" s="150"/>
      <c r="D59" s="150"/>
      <c r="E59" s="150"/>
      <c r="F59" s="150"/>
      <c r="G59" s="150"/>
    </row>
    <row r="60" spans="1:7" ht="14.25" customHeight="1" x14ac:dyDescent="0.3">
      <c r="A60" s="103"/>
      <c r="B60" s="103"/>
      <c r="C60" s="103"/>
      <c r="D60" s="103"/>
      <c r="E60" s="103"/>
      <c r="F60" s="103"/>
      <c r="G60" s="103"/>
    </row>
    <row r="61" spans="1:7" ht="19.5" customHeight="1" x14ac:dyDescent="0.3">
      <c r="A61" s="153" t="s">
        <v>129</v>
      </c>
      <c r="B61" s="153"/>
      <c r="C61" s="153"/>
      <c r="D61" s="153"/>
      <c r="E61" s="153"/>
      <c r="F61" s="153"/>
      <c r="G61" s="153"/>
    </row>
    <row r="62" spans="1:7" ht="14.25" customHeight="1" x14ac:dyDescent="0.3">
      <c r="A62" s="153"/>
      <c r="B62" s="153"/>
      <c r="C62" s="153"/>
      <c r="D62" s="153"/>
      <c r="E62" s="153"/>
      <c r="F62" s="153"/>
      <c r="G62" s="153"/>
    </row>
    <row r="63" spans="1:7" ht="15" customHeight="1" x14ac:dyDescent="0.3">
      <c r="A63" s="153"/>
      <c r="B63" s="153"/>
      <c r="C63" s="153"/>
      <c r="D63" s="153"/>
      <c r="E63" s="153"/>
      <c r="F63" s="153"/>
      <c r="G63" s="153"/>
    </row>
    <row r="64" spans="1:7" ht="14.5" customHeight="1" x14ac:dyDescent="0.3">
      <c r="A64" s="153"/>
      <c r="B64" s="153"/>
      <c r="C64" s="153"/>
      <c r="D64" s="153"/>
      <c r="E64" s="153"/>
      <c r="F64" s="153"/>
      <c r="G64" s="153"/>
    </row>
    <row r="65" spans="1:7" ht="14.25" customHeight="1" x14ac:dyDescent="0.3">
      <c r="A65" s="153"/>
      <c r="B65" s="153"/>
      <c r="C65" s="153"/>
      <c r="D65" s="153"/>
      <c r="E65" s="153"/>
      <c r="F65" s="153"/>
      <c r="G65" s="153"/>
    </row>
    <row r="66" spans="1:7" ht="14.25" customHeight="1" x14ac:dyDescent="0.3">
      <c r="A66" s="160" t="s">
        <v>70</v>
      </c>
      <c r="B66" s="160"/>
      <c r="C66" s="160"/>
      <c r="D66" s="160"/>
      <c r="E66" s="160"/>
      <c r="F66" s="160"/>
      <c r="G66" s="160"/>
    </row>
    <row r="67" spans="1:7" ht="15" customHeight="1" thickBot="1" x14ac:dyDescent="0.35">
      <c r="A67" s="161"/>
      <c r="B67" s="161"/>
      <c r="C67" s="161"/>
      <c r="D67" s="161"/>
      <c r="E67" s="161"/>
      <c r="F67" s="161"/>
      <c r="G67" s="161"/>
    </row>
    <row r="68" spans="1:7" ht="15" customHeight="1" thickTop="1" x14ac:dyDescent="0.3">
      <c r="A68" s="163"/>
      <c r="B68" s="163"/>
      <c r="C68" s="163"/>
      <c r="D68" s="163"/>
      <c r="E68" s="163"/>
      <c r="F68" s="163"/>
      <c r="G68" s="163"/>
    </row>
    <row r="69" spans="1:7" ht="15" customHeight="1" x14ac:dyDescent="0.3">
      <c r="A69" s="150" t="s">
        <v>110</v>
      </c>
      <c r="B69" s="150"/>
      <c r="C69" s="150"/>
      <c r="D69" s="150"/>
      <c r="E69" s="150"/>
      <c r="F69" s="150"/>
      <c r="G69" s="150"/>
    </row>
    <row r="70" spans="1:7" ht="15" customHeight="1" x14ac:dyDescent="0.3">
      <c r="A70" s="150"/>
      <c r="B70" s="150"/>
      <c r="C70" s="150"/>
      <c r="D70" s="150"/>
      <c r="E70" s="150"/>
      <c r="F70" s="150"/>
      <c r="G70" s="150"/>
    </row>
    <row r="71" spans="1:7" ht="15" customHeight="1" x14ac:dyDescent="0.3">
      <c r="A71" s="150"/>
      <c r="B71" s="150"/>
      <c r="C71" s="150"/>
      <c r="D71" s="150"/>
      <c r="E71" s="150"/>
      <c r="F71" s="150"/>
      <c r="G71" s="150"/>
    </row>
    <row r="72" spans="1:7" x14ac:dyDescent="0.3">
      <c r="A72" s="71" t="s">
        <v>81</v>
      </c>
      <c r="B72" s="164" t="s">
        <v>109</v>
      </c>
      <c r="C72" s="164"/>
      <c r="D72" s="165" t="s">
        <v>97</v>
      </c>
      <c r="E72" s="165"/>
      <c r="F72" s="165"/>
      <c r="G72" s="165"/>
    </row>
    <row r="73" spans="1:7" x14ac:dyDescent="0.3">
      <c r="A73" s="71"/>
      <c r="B73" s="137"/>
      <c r="C73" s="137"/>
      <c r="D73" s="135"/>
      <c r="E73" s="135"/>
      <c r="F73" s="135"/>
      <c r="G73" s="135"/>
    </row>
    <row r="74" spans="1:7" x14ac:dyDescent="0.3">
      <c r="A74" s="165" t="s">
        <v>133</v>
      </c>
      <c r="B74" s="165"/>
      <c r="C74" s="165"/>
      <c r="D74" s="165"/>
      <c r="E74" s="165"/>
      <c r="F74" s="165"/>
      <c r="G74" s="165"/>
    </row>
    <row r="75" spans="1:7" ht="15" customHeight="1" x14ac:dyDescent="0.3">
      <c r="A75" s="166" t="s">
        <v>85</v>
      </c>
      <c r="B75" s="166"/>
      <c r="C75" s="166"/>
      <c r="D75" s="166"/>
      <c r="E75" s="166"/>
      <c r="F75" s="166"/>
      <c r="G75" s="166"/>
    </row>
    <row r="76" spans="1:7" ht="14.5" customHeight="1" x14ac:dyDescent="0.3">
      <c r="A76" s="166"/>
      <c r="B76" s="166"/>
      <c r="C76" s="166"/>
      <c r="D76" s="166"/>
      <c r="E76" s="166"/>
      <c r="F76" s="166"/>
      <c r="G76" s="166"/>
    </row>
    <row r="77" spans="1:7" ht="14.25" customHeight="1" x14ac:dyDescent="0.3">
      <c r="A77" s="153" t="s">
        <v>111</v>
      </c>
      <c r="B77" s="153"/>
      <c r="C77" s="153"/>
      <c r="D77" s="153"/>
      <c r="E77" s="153"/>
      <c r="F77" s="153"/>
      <c r="G77" s="153"/>
    </row>
    <row r="78" spans="1:7" ht="14.15" customHeight="1" x14ac:dyDescent="0.3">
      <c r="A78" s="153"/>
      <c r="B78" s="153"/>
      <c r="C78" s="153"/>
      <c r="D78" s="153"/>
      <c r="E78" s="153"/>
      <c r="F78" s="153"/>
      <c r="G78" s="153"/>
    </row>
    <row r="79" spans="1:7" ht="14.25" customHeight="1" x14ac:dyDescent="0.3">
      <c r="A79" s="153"/>
      <c r="B79" s="153"/>
      <c r="C79" s="153"/>
      <c r="D79" s="153"/>
      <c r="E79" s="153"/>
      <c r="F79" s="153"/>
      <c r="G79" s="153"/>
    </row>
    <row r="80" spans="1:7" ht="14.25" customHeight="1" x14ac:dyDescent="0.3">
      <c r="A80" s="153"/>
      <c r="B80" s="153"/>
      <c r="C80" s="153"/>
      <c r="D80" s="153"/>
      <c r="E80" s="153"/>
      <c r="F80" s="153"/>
      <c r="G80" s="153"/>
    </row>
    <row r="81" spans="1:7" ht="14.25" customHeight="1" x14ac:dyDescent="0.3">
      <c r="A81" s="150" t="s">
        <v>134</v>
      </c>
      <c r="B81" s="150"/>
      <c r="C81" s="150"/>
      <c r="D81" s="150"/>
      <c r="E81" s="150"/>
      <c r="F81" s="150"/>
      <c r="G81" s="150"/>
    </row>
    <row r="82" spans="1:7" ht="14.25" customHeight="1" x14ac:dyDescent="0.3">
      <c r="A82" s="150"/>
      <c r="B82" s="150"/>
      <c r="C82" s="150"/>
      <c r="D82" s="150"/>
      <c r="E82" s="150"/>
      <c r="F82" s="150"/>
      <c r="G82" s="150"/>
    </row>
    <row r="83" spans="1:7" ht="14.25" customHeight="1" x14ac:dyDescent="0.3">
      <c r="A83" s="150"/>
      <c r="B83" s="150"/>
      <c r="C83" s="150"/>
      <c r="D83" s="150"/>
      <c r="E83" s="150"/>
      <c r="F83" s="150"/>
      <c r="G83" s="150"/>
    </row>
    <row r="84" spans="1:7" ht="15" customHeight="1" x14ac:dyDescent="0.3">
      <c r="A84" s="150"/>
      <c r="B84" s="150"/>
      <c r="C84" s="150"/>
      <c r="D84" s="150"/>
      <c r="E84" s="150"/>
      <c r="F84" s="150"/>
      <c r="G84" s="150"/>
    </row>
    <row r="85" spans="1:7" ht="15" customHeight="1" x14ac:dyDescent="0.3">
      <c r="A85" s="150"/>
      <c r="B85" s="150"/>
      <c r="C85" s="150"/>
      <c r="D85" s="150"/>
      <c r="E85" s="150"/>
      <c r="F85" s="150"/>
      <c r="G85" s="150"/>
    </row>
    <row r="86" spans="1:7" ht="14.5" customHeight="1" x14ac:dyDescent="0.3">
      <c r="A86" s="152" t="s">
        <v>82</v>
      </c>
      <c r="B86" s="152"/>
      <c r="C86" s="152"/>
      <c r="D86" s="152"/>
      <c r="E86" s="152"/>
      <c r="F86" s="152"/>
      <c r="G86" s="152"/>
    </row>
    <row r="87" spans="1:7" x14ac:dyDescent="0.3">
      <c r="A87" s="152"/>
      <c r="B87" s="152"/>
      <c r="C87" s="152"/>
      <c r="D87" s="152"/>
      <c r="E87" s="152"/>
      <c r="F87" s="152"/>
      <c r="G87" s="152"/>
    </row>
    <row r="88" spans="1:7" ht="15" customHeight="1" x14ac:dyDescent="0.3">
      <c r="A88" s="150" t="s">
        <v>113</v>
      </c>
      <c r="B88" s="150"/>
      <c r="C88" s="150"/>
      <c r="D88" s="150"/>
      <c r="E88" s="150"/>
      <c r="F88" s="150"/>
      <c r="G88" s="150"/>
    </row>
    <row r="89" spans="1:7" ht="14.25" customHeight="1" x14ac:dyDescent="0.3">
      <c r="A89" s="150"/>
      <c r="B89" s="150"/>
      <c r="C89" s="150"/>
      <c r="D89" s="150"/>
      <c r="E89" s="150"/>
      <c r="F89" s="150"/>
      <c r="G89" s="150"/>
    </row>
    <row r="90" spans="1:7" ht="14.25" customHeight="1" x14ac:dyDescent="0.3">
      <c r="A90" s="150"/>
      <c r="B90" s="150"/>
      <c r="C90" s="150"/>
      <c r="D90" s="150"/>
      <c r="E90" s="150"/>
      <c r="F90" s="150"/>
      <c r="G90" s="150"/>
    </row>
    <row r="91" spans="1:7" ht="14.25" customHeight="1" x14ac:dyDescent="0.3">
      <c r="A91" s="150"/>
      <c r="B91" s="150"/>
      <c r="C91" s="150"/>
      <c r="D91" s="150"/>
      <c r="E91" s="150"/>
      <c r="F91" s="150"/>
      <c r="G91" s="150"/>
    </row>
    <row r="92" spans="1:7" ht="14.25" customHeight="1" x14ac:dyDescent="0.3">
      <c r="A92" s="150"/>
      <c r="B92" s="150"/>
      <c r="C92" s="150"/>
      <c r="D92" s="150"/>
      <c r="E92" s="150"/>
      <c r="F92" s="150"/>
      <c r="G92" s="150"/>
    </row>
    <row r="93" spans="1:7" ht="14.25" customHeight="1" x14ac:dyDescent="0.3">
      <c r="A93" s="150"/>
      <c r="B93" s="150"/>
      <c r="C93" s="150"/>
      <c r="D93" s="150"/>
      <c r="E93" s="150"/>
      <c r="F93" s="150"/>
      <c r="G93" s="150"/>
    </row>
    <row r="94" spans="1:7" ht="14.25" customHeight="1" x14ac:dyDescent="0.3">
      <c r="A94" s="150"/>
      <c r="B94" s="150"/>
      <c r="C94" s="150"/>
      <c r="D94" s="150"/>
      <c r="E94" s="150"/>
      <c r="F94" s="150"/>
      <c r="G94" s="150"/>
    </row>
    <row r="95" spans="1:7" x14ac:dyDescent="0.3">
      <c r="A95" s="154" t="s">
        <v>86</v>
      </c>
      <c r="B95" s="154"/>
      <c r="C95" s="154"/>
      <c r="D95" s="154"/>
      <c r="E95" s="154"/>
      <c r="F95" s="154"/>
      <c r="G95" s="154"/>
    </row>
    <row r="96" spans="1:7" x14ac:dyDescent="0.3">
      <c r="A96" s="154"/>
      <c r="B96" s="154"/>
      <c r="C96" s="154"/>
      <c r="D96" s="154"/>
      <c r="E96" s="154"/>
      <c r="F96" s="154"/>
      <c r="G96" s="154"/>
    </row>
    <row r="97" spans="1:7" x14ac:dyDescent="0.3">
      <c r="A97" s="59"/>
      <c r="B97" s="59"/>
      <c r="C97" s="59"/>
      <c r="D97" s="59"/>
      <c r="E97" s="59"/>
      <c r="F97" s="59"/>
      <c r="G97" s="59"/>
    </row>
    <row r="98" spans="1:7" x14ac:dyDescent="0.3">
      <c r="A98" s="59"/>
      <c r="B98" s="59"/>
      <c r="C98" s="59"/>
      <c r="D98" s="59"/>
      <c r="E98" s="59"/>
      <c r="F98" s="59"/>
      <c r="G98" s="59"/>
    </row>
    <row r="99" spans="1:7" x14ac:dyDescent="0.3">
      <c r="A99" s="59"/>
      <c r="B99" s="59"/>
      <c r="C99" s="59"/>
      <c r="D99" s="59"/>
      <c r="E99" s="59"/>
      <c r="F99" s="59"/>
      <c r="G99" s="59"/>
    </row>
    <row r="100" spans="1:7" ht="14.5" x14ac:dyDescent="0.35">
      <c r="A100" s="59"/>
      <c r="B100"/>
      <c r="C100" s="59"/>
      <c r="D100" s="59"/>
      <c r="E100" s="59"/>
      <c r="F100" s="59"/>
      <c r="G100" s="59"/>
    </row>
    <row r="101" spans="1:7" x14ac:dyDescent="0.3">
      <c r="A101" s="59"/>
      <c r="B101" s="59"/>
      <c r="C101" s="59"/>
      <c r="D101" s="59"/>
      <c r="E101" s="59"/>
      <c r="F101" s="59"/>
      <c r="G101" s="59"/>
    </row>
    <row r="102" spans="1:7" x14ac:dyDescent="0.3">
      <c r="A102" s="59"/>
      <c r="B102" s="59"/>
      <c r="C102" s="59"/>
      <c r="D102" s="59"/>
      <c r="E102" s="59"/>
      <c r="F102" s="59"/>
      <c r="G102" s="59"/>
    </row>
    <row r="103" spans="1:7" x14ac:dyDescent="0.3">
      <c r="A103" s="59"/>
      <c r="B103" s="59"/>
      <c r="C103" s="59"/>
      <c r="D103" s="59"/>
      <c r="E103" s="59"/>
      <c r="F103" s="59"/>
      <c r="G103" s="59"/>
    </row>
    <row r="104" spans="1:7" x14ac:dyDescent="0.3">
      <c r="A104" s="59"/>
      <c r="B104" s="59"/>
      <c r="C104" s="59"/>
      <c r="D104" s="59"/>
      <c r="E104" s="59"/>
      <c r="F104" s="59"/>
      <c r="G104" s="59"/>
    </row>
    <row r="105" spans="1:7" x14ac:dyDescent="0.3">
      <c r="A105" s="59"/>
      <c r="B105" s="59"/>
      <c r="C105" s="59"/>
      <c r="D105" s="59"/>
      <c r="E105" s="59"/>
      <c r="F105" s="59"/>
      <c r="G105" s="59"/>
    </row>
    <row r="106" spans="1:7" x14ac:dyDescent="0.3">
      <c r="A106" s="59"/>
      <c r="B106" s="59"/>
      <c r="C106" s="59"/>
      <c r="D106" s="59"/>
      <c r="E106" s="59"/>
      <c r="F106" s="59"/>
      <c r="G106" s="59"/>
    </row>
    <row r="107" spans="1:7" x14ac:dyDescent="0.3">
      <c r="A107" s="59"/>
      <c r="B107" s="59"/>
      <c r="C107" s="59"/>
      <c r="D107" s="59"/>
      <c r="E107" s="59"/>
      <c r="F107" s="59"/>
      <c r="G107" s="59"/>
    </row>
    <row r="108" spans="1:7" x14ac:dyDescent="0.3">
      <c r="A108" s="59"/>
      <c r="B108" s="59"/>
      <c r="C108" s="59"/>
      <c r="D108" s="59"/>
      <c r="E108" s="59"/>
      <c r="F108" s="59"/>
      <c r="G108" s="59"/>
    </row>
    <row r="109" spans="1:7" x14ac:dyDescent="0.3">
      <c r="A109" s="59"/>
      <c r="B109" s="59"/>
      <c r="C109" s="59"/>
      <c r="D109" s="59"/>
      <c r="E109" s="59"/>
      <c r="F109" s="59"/>
      <c r="G109" s="59"/>
    </row>
    <row r="110" spans="1:7" x14ac:dyDescent="0.3">
      <c r="A110" s="59"/>
      <c r="B110" s="59"/>
      <c r="C110" s="59"/>
      <c r="D110" s="59"/>
      <c r="E110" s="59"/>
      <c r="F110" s="59"/>
      <c r="G110" s="59"/>
    </row>
    <row r="111" spans="1:7" x14ac:dyDescent="0.3">
      <c r="A111" s="59"/>
      <c r="B111" s="59"/>
      <c r="C111" s="59"/>
      <c r="D111" s="59"/>
      <c r="E111" s="59"/>
      <c r="F111" s="59"/>
      <c r="G111" s="59"/>
    </row>
    <row r="112" spans="1:7" x14ac:dyDescent="0.3">
      <c r="A112" s="59"/>
      <c r="B112" s="59"/>
      <c r="C112" s="59"/>
      <c r="D112" s="59"/>
      <c r="E112" s="59"/>
      <c r="F112" s="59"/>
      <c r="G112" s="59"/>
    </row>
    <row r="113" spans="1:7" x14ac:dyDescent="0.3">
      <c r="A113" s="59"/>
      <c r="B113" s="59"/>
      <c r="C113" s="59"/>
      <c r="D113" s="59"/>
      <c r="E113" s="59"/>
      <c r="F113" s="59"/>
      <c r="G113" s="59"/>
    </row>
    <row r="114" spans="1:7" x14ac:dyDescent="0.3">
      <c r="A114" s="59"/>
      <c r="B114" s="59"/>
      <c r="C114" s="59"/>
      <c r="D114" s="59"/>
      <c r="E114" s="59"/>
      <c r="F114" s="59"/>
      <c r="G114" s="59"/>
    </row>
    <row r="115" spans="1:7" x14ac:dyDescent="0.3">
      <c r="A115" s="59"/>
      <c r="B115" s="59"/>
      <c r="C115" s="59"/>
      <c r="D115" s="59"/>
      <c r="E115" s="59"/>
      <c r="F115" s="59"/>
      <c r="G115" s="59"/>
    </row>
    <row r="116" spans="1:7" x14ac:dyDescent="0.3">
      <c r="A116" s="59"/>
      <c r="B116" s="59"/>
      <c r="C116" s="59"/>
      <c r="D116" s="59"/>
      <c r="E116" s="59"/>
      <c r="F116" s="59"/>
      <c r="G116" s="59"/>
    </row>
    <row r="117" spans="1:7" x14ac:dyDescent="0.3">
      <c r="A117" s="59"/>
      <c r="B117" s="59"/>
      <c r="C117" s="59"/>
      <c r="D117" s="59"/>
      <c r="E117" s="59"/>
      <c r="F117" s="59"/>
      <c r="G117" s="59"/>
    </row>
    <row r="118" spans="1:7" x14ac:dyDescent="0.3">
      <c r="A118" s="59"/>
      <c r="B118" s="59"/>
      <c r="C118" s="59"/>
      <c r="D118" s="59"/>
      <c r="E118" s="59"/>
      <c r="F118" s="59"/>
      <c r="G118" s="59"/>
    </row>
    <row r="119" spans="1:7" x14ac:dyDescent="0.3">
      <c r="A119" s="59"/>
      <c r="B119" s="59"/>
      <c r="C119" s="59"/>
      <c r="D119" s="59"/>
      <c r="E119" s="59"/>
      <c r="F119" s="59"/>
      <c r="G119" s="59"/>
    </row>
    <row r="120" spans="1:7" x14ac:dyDescent="0.3">
      <c r="A120" s="59"/>
      <c r="B120" s="59"/>
      <c r="C120" s="59"/>
      <c r="D120" s="59"/>
      <c r="E120" s="59"/>
      <c r="F120" s="59"/>
      <c r="G120" s="59"/>
    </row>
    <row r="121" spans="1:7" x14ac:dyDescent="0.3">
      <c r="A121" s="59"/>
      <c r="B121" s="59"/>
      <c r="C121" s="59"/>
      <c r="D121" s="59"/>
      <c r="E121" s="59"/>
      <c r="F121" s="59"/>
      <c r="G121" s="59"/>
    </row>
    <row r="122" spans="1:7" ht="14.15" customHeight="1" x14ac:dyDescent="0.3">
      <c r="A122" s="156" t="s">
        <v>130</v>
      </c>
      <c r="B122" s="156"/>
      <c r="C122" s="156"/>
      <c r="D122" s="156"/>
      <c r="E122" s="156"/>
      <c r="F122" s="156"/>
      <c r="G122" s="156"/>
    </row>
    <row r="123" spans="1:7" ht="14.25" customHeight="1" x14ac:dyDescent="0.3">
      <c r="A123" s="156"/>
      <c r="B123" s="156"/>
      <c r="C123" s="156"/>
      <c r="D123" s="156"/>
      <c r="E123" s="156"/>
      <c r="F123" s="156"/>
      <c r="G123" s="156"/>
    </row>
    <row r="124" spans="1:7" ht="15" customHeight="1" x14ac:dyDescent="0.3">
      <c r="A124" s="156"/>
      <c r="B124" s="156"/>
      <c r="C124" s="156"/>
      <c r="D124" s="156"/>
      <c r="E124" s="156"/>
      <c r="F124" s="156"/>
      <c r="G124" s="156"/>
    </row>
    <row r="125" spans="1:7" ht="15" customHeight="1" x14ac:dyDescent="0.3">
      <c r="A125" s="156"/>
      <c r="B125" s="156"/>
      <c r="C125" s="156"/>
      <c r="D125" s="156"/>
      <c r="E125" s="156"/>
      <c r="F125" s="156"/>
      <c r="G125" s="156"/>
    </row>
    <row r="126" spans="1:7" ht="15" customHeight="1" x14ac:dyDescent="0.3">
      <c r="A126" s="156"/>
      <c r="B126" s="156"/>
      <c r="C126" s="156"/>
      <c r="D126" s="156"/>
      <c r="E126" s="156"/>
      <c r="F126" s="156"/>
      <c r="G126" s="156"/>
    </row>
    <row r="127" spans="1:7" ht="14.15" customHeight="1" x14ac:dyDescent="0.3">
      <c r="A127" s="103"/>
      <c r="B127" s="103"/>
      <c r="C127" s="103"/>
      <c r="D127" s="103"/>
      <c r="E127" s="103"/>
      <c r="F127" s="103"/>
      <c r="G127" s="103"/>
    </row>
    <row r="128" spans="1:7" ht="14.25" customHeight="1" x14ac:dyDescent="0.3">
      <c r="A128" s="153" t="s">
        <v>135</v>
      </c>
      <c r="B128" s="153"/>
      <c r="C128" s="153"/>
      <c r="D128" s="153"/>
      <c r="E128" s="153"/>
      <c r="F128" s="153"/>
      <c r="G128" s="153"/>
    </row>
    <row r="129" spans="1:7" ht="14.25" customHeight="1" x14ac:dyDescent="0.3">
      <c r="A129" s="153"/>
      <c r="B129" s="153"/>
      <c r="C129" s="153"/>
      <c r="D129" s="153"/>
      <c r="E129" s="153"/>
      <c r="F129" s="153"/>
      <c r="G129" s="153"/>
    </row>
    <row r="130" spans="1:7" ht="14.25" customHeight="1" x14ac:dyDescent="0.3">
      <c r="A130" s="153"/>
      <c r="B130" s="153"/>
      <c r="C130" s="153"/>
      <c r="D130" s="153"/>
      <c r="E130" s="153"/>
      <c r="F130" s="153"/>
      <c r="G130" s="153"/>
    </row>
    <row r="131" spans="1:7" ht="15" customHeight="1" x14ac:dyDescent="0.3">
      <c r="A131" s="153"/>
      <c r="B131" s="153"/>
      <c r="C131" s="153"/>
      <c r="D131" s="153"/>
      <c r="E131" s="153"/>
      <c r="F131" s="153"/>
      <c r="G131" s="153"/>
    </row>
    <row r="132" spans="1:7" ht="15" customHeight="1" x14ac:dyDescent="0.3">
      <c r="A132" s="152" t="s">
        <v>131</v>
      </c>
      <c r="B132" s="152"/>
      <c r="C132" s="152"/>
      <c r="D132" s="152"/>
      <c r="E132" s="152"/>
      <c r="F132" s="152"/>
      <c r="G132" s="152"/>
    </row>
    <row r="133" spans="1:7" ht="15" customHeight="1" x14ac:dyDescent="0.3">
      <c r="A133" s="152"/>
      <c r="B133" s="152"/>
      <c r="C133" s="152"/>
      <c r="D133" s="152"/>
      <c r="E133" s="152"/>
      <c r="F133" s="152"/>
      <c r="G133" s="152"/>
    </row>
    <row r="134" spans="1:7" x14ac:dyDescent="0.3">
      <c r="A134" s="59"/>
      <c r="B134" s="59"/>
      <c r="C134" s="59"/>
      <c r="D134" s="59"/>
      <c r="E134" s="59"/>
      <c r="F134" s="59"/>
      <c r="G134" s="59"/>
    </row>
    <row r="135" spans="1:7" x14ac:dyDescent="0.3">
      <c r="A135" s="154" t="s">
        <v>96</v>
      </c>
      <c r="B135" s="154"/>
      <c r="C135" s="154"/>
      <c r="D135" s="154"/>
      <c r="E135" s="154"/>
      <c r="F135" s="154"/>
      <c r="G135" s="154"/>
    </row>
    <row r="136" spans="1:7" x14ac:dyDescent="0.3">
      <c r="A136" s="154"/>
      <c r="B136" s="154"/>
      <c r="C136" s="154"/>
      <c r="D136" s="154"/>
      <c r="E136" s="154"/>
      <c r="F136" s="154"/>
      <c r="G136" s="154"/>
    </row>
    <row r="137" spans="1:7" x14ac:dyDescent="0.3">
      <c r="A137" s="154"/>
      <c r="B137" s="154"/>
      <c r="C137" s="154"/>
      <c r="D137" s="154"/>
      <c r="E137" s="154"/>
      <c r="F137" s="154"/>
      <c r="G137" s="154"/>
    </row>
    <row r="138" spans="1:7" x14ac:dyDescent="0.3">
      <c r="A138" s="154"/>
      <c r="B138" s="154"/>
      <c r="C138" s="154"/>
      <c r="D138" s="154"/>
      <c r="E138" s="154"/>
      <c r="F138" s="154"/>
      <c r="G138" s="154"/>
    </row>
    <row r="139" spans="1:7" x14ac:dyDescent="0.3">
      <c r="A139" s="154"/>
      <c r="B139" s="154"/>
      <c r="C139" s="154"/>
      <c r="D139" s="154"/>
      <c r="E139" s="154"/>
      <c r="F139" s="154"/>
      <c r="G139" s="154"/>
    </row>
    <row r="140" spans="1:7" x14ac:dyDescent="0.3">
      <c r="A140" s="154"/>
      <c r="B140" s="154"/>
      <c r="C140" s="154"/>
      <c r="D140" s="154"/>
      <c r="E140" s="154"/>
      <c r="F140" s="154"/>
      <c r="G140" s="154"/>
    </row>
    <row r="141" spans="1:7" x14ac:dyDescent="0.3">
      <c r="A141" s="59"/>
      <c r="B141" s="59"/>
      <c r="C141" s="59"/>
      <c r="D141" s="59"/>
      <c r="E141" s="59"/>
      <c r="F141" s="59"/>
      <c r="G141" s="59"/>
    </row>
    <row r="142" spans="1:7" ht="14.25" customHeight="1" x14ac:dyDescent="0.3">
      <c r="A142" s="136" t="s">
        <v>132</v>
      </c>
      <c r="B142" s="136"/>
      <c r="C142" s="136"/>
      <c r="D142" s="136"/>
      <c r="E142" s="136"/>
      <c r="F142" s="136"/>
      <c r="G142" s="136"/>
    </row>
    <row r="143" spans="1:7" ht="14.5" customHeight="1" x14ac:dyDescent="0.3">
      <c r="A143" s="136"/>
      <c r="B143" s="136"/>
      <c r="C143" s="136"/>
      <c r="D143" s="136"/>
      <c r="E143" s="136"/>
      <c r="F143" s="136"/>
      <c r="G143" s="136"/>
    </row>
    <row r="144" spans="1:7" ht="19.5" customHeight="1" x14ac:dyDescent="0.3">
      <c r="A144" s="151" t="s">
        <v>136</v>
      </c>
      <c r="B144" s="151"/>
      <c r="C144" s="151"/>
      <c r="D144" s="151"/>
      <c r="E144" s="151"/>
      <c r="F144" s="151"/>
      <c r="G144" s="151"/>
    </row>
    <row r="145" spans="1:7" ht="18.75" customHeight="1" x14ac:dyDescent="0.3">
      <c r="A145" s="151"/>
      <c r="B145" s="151"/>
      <c r="C145" s="151"/>
      <c r="D145" s="151"/>
      <c r="E145" s="151"/>
      <c r="F145" s="151"/>
      <c r="G145" s="151"/>
    </row>
    <row r="146" spans="1:7" ht="18.75" customHeight="1" x14ac:dyDescent="0.3">
      <c r="A146" s="151"/>
      <c r="B146" s="151"/>
      <c r="C146" s="151"/>
      <c r="D146" s="151"/>
      <c r="E146" s="151"/>
      <c r="F146" s="151"/>
      <c r="G146" s="151"/>
    </row>
    <row r="147" spans="1:7" ht="14.15" customHeight="1" x14ac:dyDescent="0.3">
      <c r="A147" s="105"/>
      <c r="B147" s="104"/>
      <c r="C147" s="104"/>
      <c r="D147" s="104"/>
      <c r="E147" s="104"/>
      <c r="F147" s="104"/>
      <c r="G147" s="104"/>
    </row>
    <row r="148" spans="1:7" ht="14.25" customHeight="1" x14ac:dyDescent="0.3">
      <c r="A148" s="157" t="s">
        <v>137</v>
      </c>
      <c r="B148" s="157"/>
      <c r="C148" s="157"/>
      <c r="D148" s="157"/>
      <c r="E148" s="157"/>
      <c r="F148" s="157"/>
      <c r="G148" s="157"/>
    </row>
    <row r="149" spans="1:7" ht="14.25" customHeight="1" x14ac:dyDescent="0.3">
      <c r="A149" s="157"/>
      <c r="B149" s="157"/>
      <c r="C149" s="157"/>
      <c r="D149" s="157"/>
      <c r="E149" s="157"/>
      <c r="F149" s="157"/>
      <c r="G149" s="157"/>
    </row>
    <row r="150" spans="1:7" ht="14.25" customHeight="1" x14ac:dyDescent="0.3">
      <c r="A150" s="157"/>
      <c r="B150" s="157"/>
      <c r="C150" s="157"/>
      <c r="D150" s="157"/>
      <c r="E150" s="157"/>
      <c r="F150" s="157"/>
      <c r="G150" s="157"/>
    </row>
    <row r="151" spans="1:7" ht="14.25" customHeight="1" x14ac:dyDescent="0.3">
      <c r="A151" s="157"/>
      <c r="B151" s="157"/>
      <c r="C151" s="157"/>
      <c r="D151" s="157"/>
      <c r="E151" s="157"/>
      <c r="F151" s="157"/>
      <c r="G151" s="157"/>
    </row>
    <row r="152" spans="1:7" x14ac:dyDescent="0.3">
      <c r="A152" s="157"/>
      <c r="B152" s="157"/>
      <c r="C152" s="157"/>
      <c r="D152" s="157"/>
      <c r="E152" s="157"/>
      <c r="F152" s="157"/>
      <c r="G152" s="157"/>
    </row>
    <row r="153" spans="1:7" x14ac:dyDescent="0.3">
      <c r="A153" s="157"/>
      <c r="B153" s="157"/>
      <c r="C153" s="157"/>
      <c r="D153" s="157"/>
      <c r="E153" s="157"/>
      <c r="F153" s="157"/>
      <c r="G153" s="157"/>
    </row>
    <row r="154" spans="1:7" x14ac:dyDescent="0.3">
      <c r="A154" s="157"/>
      <c r="B154" s="157"/>
      <c r="C154" s="157"/>
      <c r="D154" s="157"/>
      <c r="E154" s="157"/>
      <c r="F154" s="157"/>
      <c r="G154" s="157"/>
    </row>
    <row r="155" spans="1:7" x14ac:dyDescent="0.3">
      <c r="A155" s="157"/>
      <c r="B155" s="157"/>
      <c r="C155" s="157"/>
      <c r="D155" s="157"/>
      <c r="E155" s="157"/>
      <c r="F155" s="157"/>
      <c r="G155" s="157"/>
    </row>
    <row r="156" spans="1:7" ht="14.25" customHeight="1" x14ac:dyDescent="0.3">
      <c r="A156" s="157"/>
      <c r="B156" s="157"/>
      <c r="C156" s="157"/>
      <c r="D156" s="157"/>
      <c r="E156" s="157"/>
      <c r="F156" s="157"/>
      <c r="G156" s="157"/>
    </row>
    <row r="157" spans="1:7" ht="14.15" customHeight="1" x14ac:dyDescent="0.3">
      <c r="A157" s="157"/>
      <c r="B157" s="157"/>
      <c r="C157" s="157"/>
      <c r="D157" s="157"/>
      <c r="E157" s="157"/>
      <c r="F157" s="157"/>
      <c r="G157" s="157"/>
    </row>
    <row r="158" spans="1:7" ht="15" customHeight="1" x14ac:dyDescent="0.3">
      <c r="A158" s="155" t="s">
        <v>138</v>
      </c>
      <c r="B158" s="155"/>
      <c r="C158" s="155"/>
      <c r="D158" s="155"/>
      <c r="E158" s="155"/>
      <c r="F158" s="155"/>
      <c r="G158" s="155"/>
    </row>
    <row r="159" spans="1:7" ht="14.25" customHeight="1" x14ac:dyDescent="0.3">
      <c r="A159" s="155"/>
      <c r="B159" s="155"/>
      <c r="C159" s="155"/>
      <c r="D159" s="155"/>
      <c r="E159" s="155"/>
      <c r="F159" s="155"/>
      <c r="G159" s="155"/>
    </row>
    <row r="160" spans="1:7" ht="14.25" customHeight="1" x14ac:dyDescent="0.3">
      <c r="A160" s="155"/>
      <c r="B160" s="155"/>
      <c r="C160" s="155"/>
      <c r="D160" s="155"/>
      <c r="E160" s="155"/>
      <c r="F160" s="155"/>
      <c r="G160" s="155"/>
    </row>
    <row r="161" spans="1:7" ht="14.25" customHeight="1" x14ac:dyDescent="0.3">
      <c r="A161" s="155"/>
      <c r="B161" s="155"/>
      <c r="C161" s="155"/>
      <c r="D161" s="155"/>
      <c r="E161" s="155"/>
      <c r="F161" s="155"/>
      <c r="G161" s="155"/>
    </row>
    <row r="162" spans="1:7" ht="14.25" customHeight="1" x14ac:dyDescent="0.3">
      <c r="A162" s="155"/>
      <c r="B162" s="155"/>
      <c r="C162" s="155"/>
      <c r="D162" s="155"/>
      <c r="E162" s="155"/>
      <c r="F162" s="155"/>
      <c r="G162" s="155"/>
    </row>
    <row r="163" spans="1:7" ht="14.25" customHeight="1" x14ac:dyDescent="0.3">
      <c r="A163" s="155"/>
      <c r="B163" s="155"/>
      <c r="C163" s="155"/>
      <c r="D163" s="155"/>
      <c r="E163" s="155"/>
      <c r="F163" s="155"/>
      <c r="G163" s="155"/>
    </row>
    <row r="164" spans="1:7" ht="14.25" customHeight="1" x14ac:dyDescent="0.3">
      <c r="A164" s="155"/>
      <c r="B164" s="155"/>
      <c r="C164" s="155"/>
      <c r="D164" s="155"/>
      <c r="E164" s="155"/>
      <c r="F164" s="155"/>
      <c r="G164" s="155"/>
    </row>
    <row r="165" spans="1:7" ht="14.25" customHeight="1" x14ac:dyDescent="0.3">
      <c r="A165" s="155"/>
      <c r="B165" s="155"/>
      <c r="C165" s="155"/>
      <c r="D165" s="155"/>
      <c r="E165" s="155"/>
      <c r="F165" s="155"/>
      <c r="G165" s="155"/>
    </row>
    <row r="166" spans="1:7" ht="14.25" customHeight="1" x14ac:dyDescent="0.3">
      <c r="A166" s="155"/>
      <c r="B166" s="155"/>
      <c r="C166" s="155"/>
      <c r="D166" s="155"/>
      <c r="E166" s="155"/>
      <c r="F166" s="155"/>
      <c r="G166" s="155"/>
    </row>
    <row r="167" spans="1:7" ht="14.25" customHeight="1" x14ac:dyDescent="0.3">
      <c r="A167" s="158" t="s">
        <v>143</v>
      </c>
      <c r="B167" s="158"/>
      <c r="C167" s="158"/>
      <c r="D167" s="158"/>
      <c r="E167" s="158"/>
      <c r="F167" s="158"/>
      <c r="G167" s="158"/>
    </row>
    <row r="168" spans="1:7" ht="14.25" customHeight="1" x14ac:dyDescent="0.3">
      <c r="A168" s="158"/>
      <c r="B168" s="158"/>
      <c r="C168" s="158"/>
      <c r="D168" s="158"/>
      <c r="E168" s="158"/>
      <c r="F168" s="158"/>
      <c r="G168" s="158"/>
    </row>
    <row r="169" spans="1:7" ht="14.25" customHeight="1" x14ac:dyDescent="0.3">
      <c r="A169" s="158"/>
      <c r="B169" s="158"/>
      <c r="C169" s="158"/>
      <c r="D169" s="158"/>
      <c r="E169" s="158"/>
      <c r="F169" s="158"/>
      <c r="G169" s="158"/>
    </row>
    <row r="170" spans="1:7" ht="14.25" customHeight="1" x14ac:dyDescent="0.3">
      <c r="A170" s="158"/>
      <c r="B170" s="158"/>
      <c r="C170" s="158"/>
      <c r="D170" s="158"/>
      <c r="E170" s="158"/>
      <c r="F170" s="158"/>
      <c r="G170" s="158"/>
    </row>
    <row r="171" spans="1:7" ht="14.25" customHeight="1" x14ac:dyDescent="0.3">
      <c r="A171" s="104"/>
      <c r="B171" s="104"/>
      <c r="C171" s="104"/>
      <c r="D171" s="104"/>
      <c r="E171" s="104"/>
      <c r="F171" s="104"/>
      <c r="G171" s="104"/>
    </row>
    <row r="172" spans="1:7" ht="14.25" customHeight="1" x14ac:dyDescent="0.3">
      <c r="A172" s="158" t="s">
        <v>139</v>
      </c>
      <c r="B172" s="158"/>
      <c r="C172" s="158"/>
      <c r="D172" s="158"/>
      <c r="E172" s="158"/>
      <c r="F172" s="158"/>
      <c r="G172" s="158"/>
    </row>
    <row r="173" spans="1:7" ht="14.25" customHeight="1" x14ac:dyDescent="0.3">
      <c r="A173" s="158"/>
      <c r="B173" s="158"/>
      <c r="C173" s="158"/>
      <c r="D173" s="158"/>
      <c r="E173" s="158"/>
      <c r="F173" s="158"/>
      <c r="G173" s="158"/>
    </row>
    <row r="174" spans="1:7" ht="14.25" customHeight="1" x14ac:dyDescent="0.3">
      <c r="A174" s="158"/>
      <c r="B174" s="158"/>
      <c r="C174" s="158"/>
      <c r="D174" s="158"/>
      <c r="E174" s="158"/>
      <c r="F174" s="158"/>
      <c r="G174" s="158"/>
    </row>
    <row r="175" spans="1:7" ht="14.25" customHeight="1" x14ac:dyDescent="0.3">
      <c r="A175" s="158"/>
      <c r="B175" s="158"/>
      <c r="C175" s="158"/>
      <c r="D175" s="158"/>
      <c r="E175" s="158"/>
      <c r="F175" s="158"/>
      <c r="G175" s="158"/>
    </row>
    <row r="176" spans="1:7" ht="14.25" customHeight="1" x14ac:dyDescent="0.3">
      <c r="A176" s="158"/>
      <c r="B176" s="158"/>
      <c r="C176" s="158"/>
      <c r="D176" s="158"/>
      <c r="E176" s="158"/>
      <c r="F176" s="158"/>
      <c r="G176" s="158"/>
    </row>
    <row r="177" spans="1:7" ht="14.25" customHeight="1" x14ac:dyDescent="0.3">
      <c r="A177" s="158"/>
      <c r="B177" s="158"/>
      <c r="C177" s="158"/>
      <c r="D177" s="158"/>
      <c r="E177" s="158"/>
      <c r="F177" s="158"/>
      <c r="G177" s="158"/>
    </row>
    <row r="178" spans="1:7" ht="14.25" customHeight="1" x14ac:dyDescent="0.3">
      <c r="A178" s="158"/>
      <c r="B178" s="158"/>
      <c r="C178" s="158"/>
      <c r="D178" s="158"/>
      <c r="E178" s="158"/>
      <c r="F178" s="158"/>
      <c r="G178" s="158"/>
    </row>
    <row r="179" spans="1:7" ht="14.25" customHeight="1" x14ac:dyDescent="0.3">
      <c r="A179" s="158"/>
      <c r="B179" s="158"/>
      <c r="C179" s="158"/>
      <c r="D179" s="158"/>
      <c r="E179" s="158"/>
      <c r="F179" s="158"/>
      <c r="G179" s="158"/>
    </row>
    <row r="180" spans="1:7" ht="14.25" customHeight="1" x14ac:dyDescent="0.3">
      <c r="A180" s="158"/>
      <c r="B180" s="158"/>
      <c r="C180" s="158"/>
      <c r="D180" s="158"/>
      <c r="E180" s="158"/>
      <c r="F180" s="158"/>
      <c r="G180" s="158"/>
    </row>
    <row r="181" spans="1:7" ht="14.25" customHeight="1" x14ac:dyDescent="0.3">
      <c r="A181" s="158"/>
      <c r="B181" s="158"/>
      <c r="C181" s="158"/>
      <c r="D181" s="158"/>
      <c r="E181" s="158"/>
      <c r="F181" s="158"/>
      <c r="G181" s="158"/>
    </row>
    <row r="182" spans="1:7" ht="28.5" customHeight="1" x14ac:dyDescent="0.3">
      <c r="A182" s="158"/>
      <c r="B182" s="158"/>
      <c r="C182" s="158"/>
      <c r="D182" s="158"/>
      <c r="E182" s="158"/>
      <c r="F182" s="158"/>
      <c r="G182" s="158"/>
    </row>
    <row r="183" spans="1:7" ht="14.25" customHeight="1" x14ac:dyDescent="0.3">
      <c r="A183" s="104"/>
      <c r="B183" s="104"/>
      <c r="C183" s="104"/>
      <c r="D183" s="104"/>
      <c r="E183" s="104"/>
      <c r="F183" s="104"/>
      <c r="G183" s="104"/>
    </row>
    <row r="184" spans="1:7" ht="14.25" customHeight="1" x14ac:dyDescent="0.3">
      <c r="A184" s="149" t="s">
        <v>126</v>
      </c>
      <c r="B184" s="149"/>
      <c r="C184" s="149"/>
      <c r="D184" s="149"/>
      <c r="E184" s="149"/>
      <c r="F184" s="149"/>
      <c r="G184" s="149"/>
    </row>
    <row r="185" spans="1:7" ht="14.25" customHeight="1" x14ac:dyDescent="0.3">
      <c r="A185" s="131"/>
      <c r="B185" s="131"/>
      <c r="C185" s="131"/>
      <c r="D185" s="131"/>
      <c r="E185" s="131"/>
      <c r="F185" s="131"/>
      <c r="G185" s="131"/>
    </row>
    <row r="186" spans="1:7" ht="14.25" customHeight="1" x14ac:dyDescent="0.3">
      <c r="A186" s="155" t="s">
        <v>140</v>
      </c>
      <c r="B186" s="155"/>
      <c r="C186" s="155"/>
      <c r="D186" s="155"/>
      <c r="E186" s="155"/>
      <c r="F186" s="155"/>
      <c r="G186" s="155"/>
    </row>
    <row r="187" spans="1:7" ht="14.25" customHeight="1" x14ac:dyDescent="0.3">
      <c r="A187" s="155"/>
      <c r="B187" s="155"/>
      <c r="C187" s="155"/>
      <c r="D187" s="155"/>
      <c r="E187" s="155"/>
      <c r="F187" s="155"/>
      <c r="G187" s="155"/>
    </row>
    <row r="188" spans="1:7" ht="14.25" customHeight="1" x14ac:dyDescent="0.3">
      <c r="A188" s="155"/>
      <c r="B188" s="155"/>
      <c r="C188" s="155"/>
      <c r="D188" s="155"/>
      <c r="E188" s="155"/>
      <c r="F188" s="155"/>
      <c r="G188" s="155"/>
    </row>
    <row r="189" spans="1:7" ht="14.25" customHeight="1" x14ac:dyDescent="0.3">
      <c r="A189" s="155"/>
      <c r="B189" s="155"/>
      <c r="C189" s="155"/>
      <c r="D189" s="155"/>
      <c r="E189" s="155"/>
      <c r="F189" s="155"/>
      <c r="G189" s="155"/>
    </row>
    <row r="190" spans="1:7" ht="14.25" customHeight="1" x14ac:dyDescent="0.3">
      <c r="A190" s="133"/>
      <c r="B190" s="133"/>
      <c r="C190" s="133"/>
      <c r="D190" s="133"/>
      <c r="E190" s="133"/>
      <c r="F190" s="133"/>
      <c r="G190" s="133"/>
    </row>
    <row r="191" spans="1:7" ht="14.25" customHeight="1" x14ac:dyDescent="0.3">
      <c r="A191" s="160" t="s">
        <v>71</v>
      </c>
      <c r="B191" s="160"/>
      <c r="C191" s="160"/>
      <c r="D191" s="160"/>
      <c r="E191" s="160"/>
      <c r="F191" s="160"/>
      <c r="G191" s="160"/>
    </row>
    <row r="192" spans="1:7" ht="14.15" customHeight="1" thickBot="1" x14ac:dyDescent="0.35">
      <c r="A192" s="161"/>
      <c r="B192" s="161"/>
      <c r="C192" s="161"/>
      <c r="D192" s="161"/>
      <c r="E192" s="161"/>
      <c r="F192" s="161"/>
      <c r="G192" s="161"/>
    </row>
    <row r="193" spans="1:7" ht="14.25" customHeight="1" thickTop="1" x14ac:dyDescent="0.3">
      <c r="A193" s="105"/>
      <c r="B193" s="105"/>
      <c r="C193" s="105"/>
      <c r="D193" s="105"/>
      <c r="E193" s="105"/>
      <c r="F193" s="105"/>
      <c r="G193" s="105"/>
    </row>
    <row r="194" spans="1:7" ht="14.25" customHeight="1" x14ac:dyDescent="0.3">
      <c r="A194" s="153" t="s">
        <v>142</v>
      </c>
      <c r="B194" s="153"/>
      <c r="C194" s="153"/>
      <c r="D194" s="153"/>
      <c r="E194" s="153"/>
      <c r="F194" s="153"/>
      <c r="G194" s="153"/>
    </row>
    <row r="195" spans="1:7" ht="14.25" customHeight="1" x14ac:dyDescent="0.3">
      <c r="A195" s="153"/>
      <c r="B195" s="153"/>
      <c r="C195" s="153"/>
      <c r="D195" s="153"/>
      <c r="E195" s="153"/>
      <c r="F195" s="153"/>
      <c r="G195" s="153"/>
    </row>
    <row r="196" spans="1:7" ht="14.25" customHeight="1" x14ac:dyDescent="0.3">
      <c r="A196" s="153"/>
      <c r="B196" s="153"/>
      <c r="C196" s="153"/>
      <c r="D196" s="153"/>
      <c r="E196" s="153"/>
      <c r="F196" s="153"/>
      <c r="G196" s="153"/>
    </row>
    <row r="197" spans="1:7" ht="14.25" customHeight="1" x14ac:dyDescent="0.3">
      <c r="A197" s="153"/>
      <c r="B197" s="153"/>
      <c r="C197" s="153"/>
      <c r="D197" s="153"/>
      <c r="E197" s="153"/>
      <c r="F197" s="153"/>
      <c r="G197" s="153"/>
    </row>
    <row r="198" spans="1:7" ht="14.25" customHeight="1" x14ac:dyDescent="0.3">
      <c r="A198" s="153"/>
      <c r="B198" s="153"/>
      <c r="C198" s="153"/>
      <c r="D198" s="153"/>
      <c r="E198" s="153"/>
      <c r="F198" s="153"/>
      <c r="G198" s="153"/>
    </row>
    <row r="199" spans="1:7" ht="14.25" customHeight="1" x14ac:dyDescent="0.3">
      <c r="A199" s="153"/>
      <c r="B199" s="153"/>
      <c r="C199" s="153"/>
      <c r="D199" s="153"/>
      <c r="E199" s="153"/>
      <c r="F199" s="153"/>
      <c r="G199" s="153"/>
    </row>
    <row r="200" spans="1:7" ht="14.25" customHeight="1" x14ac:dyDescent="0.3">
      <c r="A200" s="153"/>
      <c r="B200" s="153"/>
      <c r="C200" s="153"/>
      <c r="D200" s="153"/>
      <c r="E200" s="153"/>
      <c r="F200" s="153"/>
      <c r="G200" s="153"/>
    </row>
    <row r="201" spans="1:7" ht="14.25" customHeight="1" x14ac:dyDescent="0.3">
      <c r="A201" s="153"/>
      <c r="B201" s="153"/>
      <c r="C201" s="153"/>
      <c r="D201" s="153"/>
      <c r="E201" s="153"/>
      <c r="F201" s="153"/>
      <c r="G201" s="153"/>
    </row>
    <row r="202" spans="1:7" ht="14.25" customHeight="1" x14ac:dyDescent="0.3">
      <c r="A202" s="153"/>
      <c r="B202" s="153"/>
      <c r="C202" s="153"/>
      <c r="D202" s="153"/>
      <c r="E202" s="153"/>
      <c r="F202" s="153"/>
      <c r="G202" s="153"/>
    </row>
    <row r="203" spans="1:7" ht="14.25" customHeight="1" x14ac:dyDescent="0.3">
      <c r="A203" s="153"/>
      <c r="B203" s="153"/>
      <c r="C203" s="153"/>
      <c r="D203" s="153"/>
      <c r="E203" s="153"/>
      <c r="F203" s="153"/>
      <c r="G203" s="153"/>
    </row>
    <row r="204" spans="1:7" ht="14.25" customHeight="1" x14ac:dyDescent="0.3">
      <c r="A204" s="138"/>
      <c r="B204" s="138"/>
      <c r="C204" s="138"/>
      <c r="D204" s="138"/>
      <c r="E204" s="138"/>
      <c r="F204" s="138"/>
      <c r="G204" s="138"/>
    </row>
    <row r="205" spans="1:7" ht="14.25" customHeight="1" x14ac:dyDescent="0.3">
      <c r="A205" s="76"/>
      <c r="B205" s="76"/>
      <c r="C205" s="76"/>
      <c r="D205" s="76"/>
      <c r="E205" s="76"/>
      <c r="F205" s="76"/>
      <c r="G205" s="76"/>
    </row>
    <row r="206" spans="1:7" ht="14.25" customHeight="1" x14ac:dyDescent="0.3">
      <c r="A206" s="76"/>
      <c r="B206" s="76"/>
      <c r="C206" s="76"/>
      <c r="D206" s="76"/>
      <c r="E206" s="76"/>
      <c r="F206" s="76"/>
      <c r="G206" s="76"/>
    </row>
    <row r="207" spans="1:7" ht="14.25" customHeight="1" x14ac:dyDescent="0.3">
      <c r="A207" s="76"/>
      <c r="B207" s="76"/>
      <c r="C207" s="76"/>
      <c r="D207" s="76"/>
      <c r="E207" s="76"/>
      <c r="F207" s="76"/>
      <c r="G207" s="76"/>
    </row>
    <row r="208" spans="1:7" ht="14.25" customHeight="1" x14ac:dyDescent="0.3">
      <c r="A208" s="76"/>
      <c r="B208" s="76"/>
      <c r="C208" s="76"/>
      <c r="D208" s="76"/>
      <c r="E208" s="76"/>
      <c r="F208" s="76"/>
      <c r="G208" s="76"/>
    </row>
    <row r="209" spans="1:7" ht="14.25" customHeight="1" x14ac:dyDescent="0.3">
      <c r="A209" s="155" t="s">
        <v>141</v>
      </c>
      <c r="B209" s="155"/>
      <c r="C209" s="155"/>
      <c r="D209" s="155"/>
      <c r="E209" s="155"/>
      <c r="F209" s="155"/>
      <c r="G209" s="155"/>
    </row>
    <row r="210" spans="1:7" ht="14.25" customHeight="1" x14ac:dyDescent="0.3">
      <c r="A210" s="155"/>
      <c r="B210" s="155"/>
      <c r="C210" s="155"/>
      <c r="D210" s="155"/>
      <c r="E210" s="155"/>
      <c r="F210" s="155"/>
      <c r="G210" s="155"/>
    </row>
    <row r="211" spans="1:7" ht="14.25" customHeight="1" x14ac:dyDescent="0.3">
      <c r="A211" s="155"/>
      <c r="B211" s="155"/>
      <c r="C211" s="155"/>
      <c r="D211" s="155"/>
      <c r="E211" s="155"/>
      <c r="F211" s="155"/>
      <c r="G211" s="155"/>
    </row>
    <row r="212" spans="1:7" ht="14.25" customHeight="1" x14ac:dyDescent="0.3">
      <c r="A212" s="133"/>
      <c r="B212" s="133"/>
      <c r="C212" s="133"/>
      <c r="D212" s="133"/>
      <c r="E212" s="133"/>
      <c r="F212" s="133"/>
      <c r="G212" s="133"/>
    </row>
    <row r="213" spans="1:7" ht="14.25" customHeight="1" x14ac:dyDescent="0.3">
      <c r="A213" s="149" t="s">
        <v>114</v>
      </c>
      <c r="B213" s="149"/>
      <c r="C213" s="149"/>
      <c r="D213" s="149"/>
      <c r="E213" s="149"/>
      <c r="F213" s="149"/>
      <c r="G213" s="149"/>
    </row>
    <row r="214" spans="1:7" ht="14.25" customHeight="1" x14ac:dyDescent="0.3">
      <c r="A214" s="134"/>
      <c r="B214" s="134"/>
      <c r="C214" s="134"/>
      <c r="D214" s="134"/>
      <c r="E214" s="134"/>
      <c r="F214" s="134"/>
      <c r="G214" s="134"/>
    </row>
    <row r="215" spans="1:7" x14ac:dyDescent="0.3">
      <c r="A215" s="104"/>
      <c r="B215" s="104"/>
      <c r="C215" s="104"/>
      <c r="D215" s="104"/>
      <c r="E215" s="104"/>
      <c r="F215" s="104"/>
      <c r="G215" s="104"/>
    </row>
    <row r="216" spans="1:7" x14ac:dyDescent="0.3">
      <c r="A216" s="104"/>
      <c r="B216" s="104"/>
      <c r="C216" s="104"/>
      <c r="D216" s="104"/>
      <c r="E216" s="104"/>
      <c r="F216" s="104"/>
      <c r="G216" s="104"/>
    </row>
    <row r="217" spans="1:7" x14ac:dyDescent="0.3">
      <c r="A217" s="59"/>
      <c r="B217" s="59"/>
      <c r="C217" s="59"/>
      <c r="D217" s="59"/>
      <c r="E217" s="59"/>
      <c r="F217" s="59"/>
      <c r="G217" s="59"/>
    </row>
  </sheetData>
  <sheetProtection selectLockedCells="1" selectUnlockedCells="1"/>
  <mergeCells count="42">
    <mergeCell ref="A86:G87"/>
    <mergeCell ref="A81:G85"/>
    <mergeCell ref="A172:G182"/>
    <mergeCell ref="A194:G203"/>
    <mergeCell ref="C31:E31"/>
    <mergeCell ref="A33:G34"/>
    <mergeCell ref="A35:G40"/>
    <mergeCell ref="A77:G80"/>
    <mergeCell ref="A66:G67"/>
    <mergeCell ref="A68:G68"/>
    <mergeCell ref="A59:G59"/>
    <mergeCell ref="A61:G65"/>
    <mergeCell ref="A69:G71"/>
    <mergeCell ref="B72:C72"/>
    <mergeCell ref="D72:G72"/>
    <mergeCell ref="A54:G57"/>
    <mergeCell ref="A75:G76"/>
    <mergeCell ref="A74:G74"/>
    <mergeCell ref="A213:G213"/>
    <mergeCell ref="A88:G94"/>
    <mergeCell ref="A144:G146"/>
    <mergeCell ref="A132:G133"/>
    <mergeCell ref="A128:G131"/>
    <mergeCell ref="A135:G140"/>
    <mergeCell ref="A95:G96"/>
    <mergeCell ref="A186:G189"/>
    <mergeCell ref="A209:G211"/>
    <mergeCell ref="A122:G126"/>
    <mergeCell ref="A158:G166"/>
    <mergeCell ref="A148:G157"/>
    <mergeCell ref="A167:G170"/>
    <mergeCell ref="A184:G184"/>
    <mergeCell ref="A191:G192"/>
    <mergeCell ref="A8:G8"/>
    <mergeCell ref="A10:G10"/>
    <mergeCell ref="A14:G16"/>
    <mergeCell ref="B27:F27"/>
    <mergeCell ref="B29:F29"/>
    <mergeCell ref="A17:G17"/>
    <mergeCell ref="A19:G19"/>
    <mergeCell ref="A25:G25"/>
    <mergeCell ref="A21:G23"/>
  </mergeCells>
  <hyperlinks>
    <hyperlink ref="A213" r:id="rId1" xr:uid="{82911C7C-5ECC-46A0-97C3-DCE2C3820957}"/>
    <hyperlink ref="A184" r:id="rId2" xr:uid="{C5E7B103-F42F-4078-815A-5D894518561F}"/>
  </hyperlinks>
  <printOptions horizontalCentered="1"/>
  <pageMargins left="0.70866141732283472" right="0.70866141732283472" top="0.74803149606299213" bottom="0.74803149606299213" header="0.31496062992125984" footer="0.31496062992125984"/>
  <pageSetup paperSize="9" orientation="portrait" r:id="rId3"/>
  <headerFooter>
    <oddHeader>&amp;L&amp;"Arial,Normal"
CÁTEDRA DE HORMIGÓN ARMADO&amp;C&amp;"Arial,Negrita"DIAGRAMAS DE INTERACCIÓN PARA SECCIONES GENÉRICAS DE HORMIGÓN ARMADO&amp;R
&amp;"Arial,Normal"EIC - FCEIA - UNR</oddHeader>
    <oddFooter>&amp;A</oddFooter>
  </headerFooter>
  <drawing r:id="rId4"/>
  <legacyDrawing r:id="rId5"/>
  <oleObjects>
    <mc:AlternateContent xmlns:mc="http://schemas.openxmlformats.org/markup-compatibility/2006">
      <mc:Choice Requires="x14">
        <oleObject progId="Word.Picture.8" shapeId="17410" r:id="rId6">
          <objectPr defaultSize="0" autoPict="0" r:id="rId7">
            <anchor moveWithCells="1" sizeWithCells="1">
              <from>
                <xdr:col>2</xdr:col>
                <xdr:colOff>400050</xdr:colOff>
                <xdr:row>1</xdr:row>
                <xdr:rowOff>31750</xdr:rowOff>
              </from>
              <to>
                <xdr:col>4</xdr:col>
                <xdr:colOff>107950</xdr:colOff>
                <xdr:row>4</xdr:row>
                <xdr:rowOff>69850</xdr:rowOff>
              </to>
            </anchor>
          </objectPr>
        </oleObject>
      </mc:Choice>
      <mc:Fallback>
        <oleObject progId="Word.Picture.8" shapeId="17410" r:id="rId6"/>
      </mc:Fallback>
    </mc:AlternateContent>
    <mc:AlternateContent xmlns:mc="http://schemas.openxmlformats.org/markup-compatibility/2006">
      <mc:Choice Requires="x14">
        <oleObject progId="Word.Picture.8" shapeId="17411" r:id="rId8">
          <objectPr defaultSize="0" autoPict="0" r:id="rId9">
            <anchor moveWithCells="1" sizeWithCells="1">
              <from>
                <xdr:col>0</xdr:col>
                <xdr:colOff>241300</xdr:colOff>
                <xdr:row>0</xdr:row>
                <xdr:rowOff>76200</xdr:rowOff>
              </from>
              <to>
                <xdr:col>1</xdr:col>
                <xdr:colOff>457200</xdr:colOff>
                <xdr:row>5</xdr:row>
                <xdr:rowOff>76200</xdr:rowOff>
              </to>
            </anchor>
          </objectPr>
        </oleObject>
      </mc:Choice>
      <mc:Fallback>
        <oleObject progId="Word.Picture.8" shapeId="17411" r:id="rId8"/>
      </mc:Fallback>
    </mc:AlternateContent>
  </oleObjects>
  <mc:AlternateContent xmlns:mc="http://schemas.openxmlformats.org/markup-compatibility/2006">
    <mc:Choice Requires="x14">
      <controls>
        <mc:AlternateContent xmlns:mc="http://schemas.openxmlformats.org/markup-compatibility/2006">
          <mc:Choice Requires="x14">
            <control shapeId="17409" r:id="rId10" name="Button 1">
              <controlPr defaultSize="0" print="0" autoFill="0" autoPict="0" macro="[0]!Hoja1.Instrucciones">
                <anchor moveWithCells="1" sizeWithCells="1">
                  <from>
                    <xdr:col>2</xdr:col>
                    <xdr:colOff>279400</xdr:colOff>
                    <xdr:row>213</xdr:row>
                    <xdr:rowOff>165100</xdr:rowOff>
                  </from>
                  <to>
                    <xdr:col>4</xdr:col>
                    <xdr:colOff>342900</xdr:colOff>
                    <xdr:row>216</xdr:row>
                    <xdr:rowOff>88900</xdr:rowOff>
                  </to>
                </anchor>
              </controlPr>
            </control>
          </mc:Choice>
        </mc:AlternateContent>
        <mc:AlternateContent xmlns:mc="http://schemas.openxmlformats.org/markup-compatibility/2006">
          <mc:Choice Requires="x14">
            <control shapeId="17412" r:id="rId11" name="Button 4">
              <controlPr defaultSize="0" print="0" autoFill="0" autoPict="0" macro="[0]!Sheet1.NoMacro">
                <anchor moveWithCells="1" sizeWithCells="1">
                  <from>
                    <xdr:col>1</xdr:col>
                    <xdr:colOff>222250</xdr:colOff>
                    <xdr:row>203</xdr:row>
                    <xdr:rowOff>165100</xdr:rowOff>
                  </from>
                  <to>
                    <xdr:col>5</xdr:col>
                    <xdr:colOff>438150</xdr:colOff>
                    <xdr:row>207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58"/>
  <sheetViews>
    <sheetView showGridLines="0" zoomScaleNormal="100" workbookViewId="0">
      <selection activeCell="F5" sqref="F5"/>
    </sheetView>
  </sheetViews>
  <sheetFormatPr defaultColWidth="0" defaultRowHeight="14.5" x14ac:dyDescent="0.35"/>
  <cols>
    <col min="1" max="1" width="21.81640625" customWidth="1"/>
    <col min="2" max="2" width="12.7265625" customWidth="1"/>
    <col min="3" max="3" width="19.7265625" customWidth="1"/>
    <col min="4" max="4" width="12.7265625" customWidth="1"/>
    <col min="5" max="5" width="19.7265625" customWidth="1"/>
    <col min="6" max="6" width="12.7265625" customWidth="1"/>
    <col min="7" max="7" width="11.453125" customWidth="1"/>
    <col min="8" max="8" width="9.54296875" customWidth="1"/>
    <col min="9" max="9" width="100.7265625" hidden="1" customWidth="1"/>
    <col min="10" max="16380" width="9.1796875" hidden="1"/>
    <col min="16381" max="16381" width="7" hidden="1" customWidth="1"/>
    <col min="16382" max="16382" width="5.26953125" hidden="1" customWidth="1"/>
    <col min="16383" max="16383" width="12.1796875" hidden="1" customWidth="1"/>
    <col min="16384" max="16384" width="17.81640625" hidden="1" customWidth="1"/>
  </cols>
  <sheetData>
    <row r="1" spans="1:8" x14ac:dyDescent="0.35">
      <c r="A1" s="82" t="s">
        <v>84</v>
      </c>
      <c r="B1" s="82"/>
      <c r="C1" s="82"/>
      <c r="D1" s="83"/>
      <c r="E1" s="83"/>
      <c r="F1" s="83"/>
      <c r="G1" s="3"/>
      <c r="H1" s="4"/>
    </row>
    <row r="2" spans="1:8" ht="28.5" customHeight="1" x14ac:dyDescent="0.35">
      <c r="A2" s="84"/>
      <c r="B2" s="84"/>
      <c r="C2" s="111" t="s">
        <v>0</v>
      </c>
      <c r="D2" s="85"/>
      <c r="E2" s="86"/>
      <c r="F2" s="85"/>
      <c r="G2" s="86"/>
      <c r="H2" s="4"/>
    </row>
    <row r="3" spans="1:8" x14ac:dyDescent="0.35">
      <c r="A3" s="87"/>
      <c r="B3" s="3"/>
      <c r="C3" s="3"/>
      <c r="D3" s="88"/>
      <c r="E3" s="89"/>
      <c r="F3" s="89"/>
      <c r="G3" s="89"/>
      <c r="H3" s="4"/>
    </row>
    <row r="4" spans="1:8" x14ac:dyDescent="0.35">
      <c r="A4" s="167" t="s">
        <v>1</v>
      </c>
      <c r="B4" s="167"/>
      <c r="C4" s="96">
        <v>25</v>
      </c>
      <c r="D4" s="89"/>
      <c r="E4" s="89"/>
      <c r="F4" s="89"/>
      <c r="G4" s="89"/>
      <c r="H4" s="4"/>
    </row>
    <row r="5" spans="1:8" x14ac:dyDescent="0.35">
      <c r="A5" s="111"/>
      <c r="B5" s="111"/>
      <c r="C5" s="111"/>
      <c r="D5" s="89"/>
      <c r="E5" s="89"/>
      <c r="F5" s="89"/>
      <c r="G5" s="89"/>
      <c r="H5" s="4"/>
    </row>
    <row r="6" spans="1:8" x14ac:dyDescent="0.35">
      <c r="A6" s="167" t="s">
        <v>2</v>
      </c>
      <c r="B6" s="167"/>
      <c r="C6" s="97" t="s">
        <v>3</v>
      </c>
      <c r="D6" s="86"/>
      <c r="E6" s="6"/>
      <c r="F6" s="3"/>
      <c r="G6" s="98"/>
      <c r="H6" s="4"/>
    </row>
    <row r="7" spans="1:8" x14ac:dyDescent="0.35">
      <c r="A7" s="111"/>
      <c r="B7" s="111"/>
      <c r="C7" s="111"/>
      <c r="D7" s="111"/>
      <c r="E7" s="111"/>
      <c r="F7" s="111"/>
      <c r="G7" s="3"/>
      <c r="H7" s="4"/>
    </row>
    <row r="8" spans="1:8" x14ac:dyDescent="0.35">
      <c r="A8" s="167" t="s">
        <v>4</v>
      </c>
      <c r="B8" s="167"/>
      <c r="C8" s="96" t="s">
        <v>32</v>
      </c>
      <c r="D8" s="111" t="s">
        <v>5</v>
      </c>
      <c r="E8" s="99">
        <v>5.21</v>
      </c>
      <c r="F8" s="3" t="s">
        <v>33</v>
      </c>
      <c r="G8" s="3"/>
      <c r="H8" s="4"/>
    </row>
    <row r="9" spans="1:8" x14ac:dyDescent="0.35">
      <c r="A9" s="168"/>
      <c r="B9" s="169"/>
      <c r="C9" s="169"/>
      <c r="D9" s="169"/>
      <c r="E9" s="169"/>
      <c r="F9" s="169"/>
      <c r="G9" s="170"/>
      <c r="H9" s="4"/>
    </row>
    <row r="10" spans="1:8" x14ac:dyDescent="0.35">
      <c r="A10" s="167" t="s">
        <v>83</v>
      </c>
      <c r="B10" s="167"/>
      <c r="C10" s="96" t="s">
        <v>6</v>
      </c>
      <c r="D10" s="4"/>
      <c r="E10" s="90"/>
      <c r="F10" s="90"/>
      <c r="G10" s="4"/>
      <c r="H10" s="4"/>
    </row>
    <row r="11" spans="1:8" x14ac:dyDescent="0.35">
      <c r="A11" s="4"/>
      <c r="B11" s="4"/>
      <c r="C11" s="4"/>
      <c r="D11" s="6"/>
      <c r="E11" s="4"/>
      <c r="F11" s="4"/>
      <c r="G11" s="4"/>
      <c r="H11" s="4"/>
    </row>
    <row r="12" spans="1:8" x14ac:dyDescent="0.35">
      <c r="A12" s="90" t="s">
        <v>7</v>
      </c>
      <c r="B12" s="90"/>
      <c r="C12" s="90"/>
      <c r="D12" s="90"/>
      <c r="E12" s="90"/>
      <c r="F12" s="4"/>
      <c r="G12" s="4"/>
      <c r="H12" s="4"/>
    </row>
    <row r="13" spans="1:8" x14ac:dyDescent="0.35">
      <c r="A13" s="4"/>
      <c r="B13" s="4"/>
      <c r="C13" s="4"/>
      <c r="D13" s="4"/>
      <c r="E13" s="4"/>
      <c r="F13" s="4"/>
      <c r="G13" s="4"/>
      <c r="H13" s="4"/>
    </row>
    <row r="14" spans="1:8" x14ac:dyDescent="0.35">
      <c r="A14" s="171" t="s">
        <v>112</v>
      </c>
      <c r="B14" s="172"/>
      <c r="C14" s="173"/>
      <c r="D14" s="100">
        <v>1</v>
      </c>
      <c r="E14" s="4"/>
      <c r="F14" s="4"/>
      <c r="G14" s="4"/>
      <c r="H14" s="4"/>
    </row>
    <row r="15" spans="1:8" x14ac:dyDescent="0.35">
      <c r="A15" s="123"/>
      <c r="B15" s="4"/>
      <c r="C15" s="124"/>
      <c r="D15" s="4"/>
      <c r="E15" s="4"/>
      <c r="F15" s="4"/>
      <c r="G15" s="4"/>
      <c r="H15" s="4"/>
    </row>
    <row r="16" spans="1:8" ht="28" x14ac:dyDescent="0.35">
      <c r="A16" s="10" t="s">
        <v>51</v>
      </c>
      <c r="B16" s="10" t="s">
        <v>50</v>
      </c>
      <c r="C16" s="1" t="s">
        <v>39</v>
      </c>
      <c r="D16" s="10" t="s">
        <v>49</v>
      </c>
      <c r="E16" s="1" t="s">
        <v>40</v>
      </c>
      <c r="F16" s="37" t="s">
        <v>8</v>
      </c>
      <c r="G16" s="1">
        <v>4</v>
      </c>
      <c r="H16" s="59"/>
    </row>
    <row r="17" spans="1:8" x14ac:dyDescent="0.35">
      <c r="A17" s="38"/>
      <c r="B17" s="38"/>
      <c r="C17" s="38"/>
      <c r="D17" s="38"/>
      <c r="E17" s="39"/>
      <c r="F17" s="40"/>
      <c r="G17" s="40"/>
      <c r="H17" s="4"/>
    </row>
    <row r="18" spans="1:8" x14ac:dyDescent="0.35">
      <c r="A18" s="36" t="s">
        <v>37</v>
      </c>
      <c r="B18" s="33"/>
      <c r="C18" s="35" t="s">
        <v>9</v>
      </c>
      <c r="D18" s="33"/>
      <c r="E18" s="49" t="s">
        <v>10</v>
      </c>
      <c r="F18" s="3"/>
      <c r="G18" s="3"/>
      <c r="H18" s="4"/>
    </row>
    <row r="19" spans="1:8" x14ac:dyDescent="0.35">
      <c r="A19" s="41">
        <v>1</v>
      </c>
      <c r="B19" s="29"/>
      <c r="C19" s="47">
        <v>0</v>
      </c>
      <c r="D19" s="48"/>
      <c r="E19" s="47">
        <v>0</v>
      </c>
      <c r="F19" s="30"/>
      <c r="G19" s="3"/>
      <c r="H19" s="4"/>
    </row>
    <row r="20" spans="1:8" x14ac:dyDescent="0.35">
      <c r="A20" s="42">
        <v>2</v>
      </c>
      <c r="B20" s="29"/>
      <c r="C20" s="47">
        <v>0</v>
      </c>
      <c r="D20" s="48"/>
      <c r="E20" s="47">
        <v>0</v>
      </c>
      <c r="F20" s="30"/>
      <c r="G20" s="3"/>
      <c r="H20" s="4"/>
    </row>
    <row r="21" spans="1:8" x14ac:dyDescent="0.35">
      <c r="A21" s="42">
        <v>3</v>
      </c>
      <c r="B21" s="29"/>
      <c r="C21" s="47">
        <v>0</v>
      </c>
      <c r="D21" s="48"/>
      <c r="E21" s="47">
        <v>0</v>
      </c>
      <c r="F21" s="30"/>
      <c r="G21" s="3"/>
      <c r="H21" s="4"/>
    </row>
    <row r="22" spans="1:8" x14ac:dyDescent="0.35">
      <c r="A22" s="43">
        <f>A21+1</f>
        <v>4</v>
      </c>
      <c r="B22" s="29"/>
      <c r="C22" s="47">
        <v>0</v>
      </c>
      <c r="D22" s="48"/>
      <c r="E22" s="47">
        <v>0</v>
      </c>
      <c r="F22" s="30"/>
      <c r="G22" s="3"/>
      <c r="H22" s="4"/>
    </row>
    <row r="23" spans="1:8" x14ac:dyDescent="0.35">
      <c r="A23" s="3"/>
      <c r="B23" s="3"/>
      <c r="C23" s="4"/>
      <c r="D23" s="3"/>
      <c r="E23" s="3"/>
      <c r="F23" s="3"/>
      <c r="G23" s="3"/>
      <c r="H23" s="4"/>
    </row>
    <row r="24" spans="1:8" x14ac:dyDescent="0.35">
      <c r="A24" s="91" t="s">
        <v>11</v>
      </c>
      <c r="B24" s="92"/>
      <c r="C24" s="93"/>
      <c r="D24" s="4"/>
      <c r="E24" s="4"/>
      <c r="F24" s="4"/>
      <c r="G24" s="4"/>
    </row>
    <row r="25" spans="1:8" x14ac:dyDescent="0.35">
      <c r="A25" s="4"/>
      <c r="B25" s="4"/>
      <c r="C25" s="4"/>
      <c r="D25" s="4"/>
      <c r="E25" s="4"/>
      <c r="F25" s="4"/>
      <c r="G25" s="4"/>
    </row>
    <row r="26" spans="1:8" x14ac:dyDescent="0.35">
      <c r="A26" s="171" t="s">
        <v>12</v>
      </c>
      <c r="B26" s="172"/>
      <c r="C26" s="173"/>
      <c r="D26" s="101">
        <v>0</v>
      </c>
      <c r="E26" s="4"/>
      <c r="F26" s="4"/>
      <c r="G26" s="4"/>
    </row>
    <row r="27" spans="1:8" x14ac:dyDescent="0.35">
      <c r="A27" s="4"/>
      <c r="B27" s="4"/>
      <c r="C27" s="4"/>
      <c r="D27" s="4"/>
      <c r="E27" s="4"/>
      <c r="F27" s="4"/>
      <c r="G27" s="4"/>
    </row>
    <row r="28" spans="1:8" x14ac:dyDescent="0.35">
      <c r="A28" s="122" t="s">
        <v>13</v>
      </c>
      <c r="B28" s="4"/>
      <c r="C28" s="122" t="s">
        <v>9</v>
      </c>
      <c r="D28" s="4"/>
      <c r="E28" s="122" t="s">
        <v>10</v>
      </c>
      <c r="F28" s="4"/>
      <c r="G28" s="94" t="s">
        <v>64</v>
      </c>
    </row>
    <row r="29" spans="1:8" x14ac:dyDescent="0.35">
      <c r="A29" s="174"/>
      <c r="B29" s="175"/>
      <c r="C29" s="175"/>
      <c r="D29" s="175"/>
      <c r="E29" s="175"/>
      <c r="F29" s="175"/>
      <c r="G29" s="176"/>
    </row>
    <row r="30" spans="1:8" x14ac:dyDescent="0.35">
      <c r="A30" s="91" t="s">
        <v>14</v>
      </c>
      <c r="B30" s="92"/>
      <c r="C30" s="93"/>
      <c r="D30" s="6"/>
      <c r="E30" s="4"/>
      <c r="F30" s="6"/>
      <c r="G30" s="6"/>
    </row>
    <row r="31" spans="1:8" x14ac:dyDescent="0.35">
      <c r="A31" s="4"/>
      <c r="B31" s="4"/>
      <c r="C31" s="4"/>
      <c r="D31" s="4"/>
      <c r="E31" s="4"/>
      <c r="F31" s="4"/>
      <c r="G31" s="4"/>
    </row>
    <row r="32" spans="1:8" x14ac:dyDescent="0.35">
      <c r="A32" s="171" t="s">
        <v>12</v>
      </c>
      <c r="B32" s="172"/>
      <c r="C32" s="173"/>
      <c r="D32" s="101">
        <v>0</v>
      </c>
      <c r="E32" s="4"/>
      <c r="F32" s="4"/>
      <c r="G32" s="4"/>
    </row>
    <row r="33" spans="1:8" x14ac:dyDescent="0.35">
      <c r="A33" s="4"/>
      <c r="B33" s="4"/>
      <c r="C33" s="4"/>
      <c r="D33" s="4"/>
      <c r="E33" s="4"/>
      <c r="F33" s="4"/>
      <c r="G33" s="4"/>
    </row>
    <row r="34" spans="1:8" x14ac:dyDescent="0.35">
      <c r="A34" s="122" t="s">
        <v>13</v>
      </c>
      <c r="B34" s="4"/>
      <c r="C34" s="122" t="s">
        <v>9</v>
      </c>
      <c r="D34" s="4"/>
      <c r="E34" s="122" t="s">
        <v>10</v>
      </c>
      <c r="F34" s="4"/>
      <c r="G34" s="94" t="s">
        <v>15</v>
      </c>
    </row>
    <row r="35" spans="1:8" x14ac:dyDescent="0.35">
      <c r="A35" s="3"/>
      <c r="B35" s="3"/>
      <c r="C35" s="33"/>
      <c r="D35" s="3"/>
      <c r="E35" s="33"/>
      <c r="F35" s="3"/>
    </row>
    <row r="36" spans="1:8" x14ac:dyDescent="0.35">
      <c r="A36" s="91" t="s">
        <v>16</v>
      </c>
      <c r="B36" s="92"/>
      <c r="C36" s="4"/>
      <c r="D36" s="4"/>
      <c r="E36" s="4"/>
      <c r="F36" s="4"/>
      <c r="G36" s="4"/>
    </row>
    <row r="37" spans="1:8" x14ac:dyDescent="0.35">
      <c r="A37" s="4"/>
      <c r="B37" s="4"/>
      <c r="C37" s="4"/>
      <c r="D37" s="4"/>
      <c r="E37" s="4"/>
      <c r="F37" s="4"/>
      <c r="G37" s="4"/>
    </row>
    <row r="38" spans="1:8" x14ac:dyDescent="0.35">
      <c r="A38" s="171" t="s">
        <v>52</v>
      </c>
      <c r="B38" s="172"/>
      <c r="C38" s="177" t="s">
        <v>95</v>
      </c>
      <c r="D38" s="177"/>
      <c r="E38" s="102"/>
      <c r="F38" s="4"/>
      <c r="G38" s="4"/>
    </row>
    <row r="39" spans="1:8" x14ac:dyDescent="0.35">
      <c r="A39" s="4"/>
      <c r="B39" s="4"/>
      <c r="C39" s="33"/>
      <c r="D39" s="4"/>
      <c r="E39" s="4"/>
      <c r="F39" s="4"/>
      <c r="G39" s="4"/>
    </row>
    <row r="40" spans="1:8" hidden="1" x14ac:dyDescent="0.35">
      <c r="A40" s="180" t="s">
        <v>65</v>
      </c>
      <c r="B40" s="180"/>
      <c r="C40" s="5">
        <v>2</v>
      </c>
      <c r="D40" s="4"/>
      <c r="E40" s="95" t="s">
        <v>63</v>
      </c>
      <c r="F40" s="95"/>
      <c r="G40" s="95"/>
    </row>
    <row r="41" spans="1:8" hidden="1" x14ac:dyDescent="0.35">
      <c r="A41" s="4"/>
      <c r="B41" s="4"/>
      <c r="C41" s="7"/>
      <c r="D41" s="4"/>
      <c r="E41" s="95" t="s">
        <v>62</v>
      </c>
      <c r="F41" s="95"/>
      <c r="G41" s="95"/>
    </row>
    <row r="42" spans="1:8" hidden="1" x14ac:dyDescent="0.35">
      <c r="A42" s="180" t="s">
        <v>98</v>
      </c>
      <c r="B42" s="180"/>
      <c r="C42" s="5">
        <v>2</v>
      </c>
      <c r="D42" s="4"/>
      <c r="E42" s="95" t="s">
        <v>99</v>
      </c>
      <c r="F42" s="95"/>
      <c r="G42" s="95"/>
    </row>
    <row r="43" spans="1:8" hidden="1" x14ac:dyDescent="0.35">
      <c r="A43" s="3"/>
      <c r="B43" s="3"/>
      <c r="C43" s="33"/>
      <c r="D43" s="3"/>
      <c r="E43" s="106" t="s">
        <v>100</v>
      </c>
      <c r="F43" s="95"/>
      <c r="G43" s="95"/>
    </row>
    <row r="44" spans="1:8" hidden="1" x14ac:dyDescent="0.35">
      <c r="A44" s="180" t="s">
        <v>101</v>
      </c>
      <c r="B44" s="180"/>
      <c r="C44" s="5">
        <v>2</v>
      </c>
      <c r="D44" s="4"/>
      <c r="F44" s="4"/>
      <c r="G44" s="4"/>
    </row>
    <row r="45" spans="1:8" hidden="1" x14ac:dyDescent="0.35">
      <c r="A45" s="3"/>
      <c r="B45" s="3"/>
      <c r="C45" s="33"/>
      <c r="D45" s="4"/>
      <c r="E45" s="4"/>
      <c r="F45" s="4"/>
      <c r="G45" s="4"/>
    </row>
    <row r="46" spans="1:8" x14ac:dyDescent="0.35">
      <c r="A46" s="91" t="s">
        <v>55</v>
      </c>
      <c r="B46" s="4"/>
      <c r="C46" s="4"/>
      <c r="D46" s="4"/>
      <c r="E46" s="4"/>
      <c r="F46" s="4"/>
      <c r="G46" s="4"/>
    </row>
    <row r="47" spans="1:8" x14ac:dyDescent="0.35">
      <c r="A47" s="6"/>
      <c r="B47" s="4"/>
      <c r="C47" s="33"/>
      <c r="D47" s="4"/>
      <c r="E47" s="4"/>
      <c r="F47" s="4"/>
      <c r="G47" s="4"/>
      <c r="H47" s="6"/>
    </row>
    <row r="48" spans="1:8" x14ac:dyDescent="0.35">
      <c r="A48" s="171" t="s">
        <v>49</v>
      </c>
      <c r="B48" s="173"/>
      <c r="C48" s="9" t="s">
        <v>115</v>
      </c>
      <c r="E48" s="4"/>
      <c r="F48" s="4"/>
      <c r="G48" s="4"/>
      <c r="H48" s="6"/>
    </row>
    <row r="50" spans="1:8" ht="28" x14ac:dyDescent="0.35">
      <c r="A50" s="178" t="s">
        <v>124</v>
      </c>
      <c r="B50" s="179"/>
      <c r="C50" s="121" t="s">
        <v>125</v>
      </c>
      <c r="D50" s="119"/>
      <c r="E50" s="4"/>
      <c r="F50" s="59"/>
      <c r="G50" s="59"/>
      <c r="H50" s="59"/>
    </row>
    <row r="51" spans="1:8" x14ac:dyDescent="0.35">
      <c r="A51" s="59"/>
      <c r="B51" s="59"/>
      <c r="C51" s="59"/>
      <c r="D51" s="4"/>
      <c r="E51" s="4"/>
      <c r="F51" s="59"/>
      <c r="G51" s="59"/>
      <c r="H51" s="59"/>
    </row>
    <row r="52" spans="1:8" x14ac:dyDescent="0.35">
      <c r="A52" s="171" t="s">
        <v>92</v>
      </c>
      <c r="B52" s="173"/>
      <c r="C52" s="5" t="s">
        <v>87</v>
      </c>
      <c r="D52" s="59"/>
      <c r="E52" s="4"/>
      <c r="F52" s="59"/>
      <c r="G52" s="59"/>
      <c r="H52" s="59"/>
    </row>
    <row r="53" spans="1:8" x14ac:dyDescent="0.35">
      <c r="A53" s="4"/>
      <c r="B53" s="4"/>
      <c r="C53" s="4"/>
      <c r="D53" s="4"/>
      <c r="E53" s="4"/>
      <c r="F53" s="4"/>
      <c r="G53" s="4"/>
      <c r="H53" s="4"/>
    </row>
    <row r="54" spans="1:8" x14ac:dyDescent="0.35">
      <c r="A54" s="171" t="s">
        <v>106</v>
      </c>
      <c r="B54" s="173"/>
      <c r="C54" s="5" t="s">
        <v>87</v>
      </c>
      <c r="D54" s="4"/>
      <c r="E54" s="4"/>
      <c r="F54" s="4"/>
      <c r="G54" s="4"/>
      <c r="H54" s="4"/>
    </row>
    <row r="55" spans="1:8" x14ac:dyDescent="0.35">
      <c r="A55" s="4"/>
      <c r="B55" s="4"/>
      <c r="C55" s="4"/>
      <c r="D55" s="4"/>
      <c r="E55" s="4"/>
      <c r="F55" s="4"/>
      <c r="G55" s="4"/>
      <c r="H55" s="4"/>
    </row>
    <row r="56" spans="1:8" x14ac:dyDescent="0.35">
      <c r="A56" s="171" t="s">
        <v>53</v>
      </c>
      <c r="B56" s="173"/>
      <c r="C56" s="8">
        <v>0</v>
      </c>
      <c r="D56" s="4"/>
      <c r="E56" s="4"/>
      <c r="F56" s="4"/>
      <c r="G56" s="4"/>
      <c r="H56" s="4"/>
    </row>
    <row r="58" spans="1:8" x14ac:dyDescent="0.35"/>
  </sheetData>
  <dataConsolidate/>
  <mergeCells count="19">
    <mergeCell ref="A54:B54"/>
    <mergeCell ref="A56:B56"/>
    <mergeCell ref="A44:B44"/>
    <mergeCell ref="A48:B48"/>
    <mergeCell ref="A52:B52"/>
    <mergeCell ref="A50:B50"/>
    <mergeCell ref="A14:C14"/>
    <mergeCell ref="A26:C26"/>
    <mergeCell ref="A42:B42"/>
    <mergeCell ref="A29:G29"/>
    <mergeCell ref="A32:C32"/>
    <mergeCell ref="A38:B38"/>
    <mergeCell ref="C38:D38"/>
    <mergeCell ref="A40:B40"/>
    <mergeCell ref="A4:B4"/>
    <mergeCell ref="A6:B6"/>
    <mergeCell ref="A8:B8"/>
    <mergeCell ref="A10:B10"/>
    <mergeCell ref="A9:G9"/>
  </mergeCells>
  <dataValidations count="17">
    <dataValidation type="list" allowBlank="1" showInputMessage="1" showErrorMessage="1" sqref="C8" xr:uid="{73FD78EC-11DA-4892-AAC7-2A21A166DD6E}">
      <formula1>"Barras 1050, Trenzas C1650, Trenzas C1900, Provisto por usuario"</formula1>
    </dataValidation>
    <dataValidation type="list" allowBlank="1" showInputMessage="1" sqref="C4" xr:uid="{094263D1-510E-4CDE-8DB2-35564C5D6925}">
      <formula1>"20,25,30,35,40,45,50,55, 60, Otro(Ingresar en misma Celda)"</formula1>
    </dataValidation>
    <dataValidation type="list" allowBlank="1" showInputMessage="1" showErrorMessage="1" sqref="C10" xr:uid="{D7CD410A-6BF4-4B49-B3A2-AE7DD16F6756}">
      <formula1>"Estribos, Barras Zunchadas"</formula1>
    </dataValidation>
    <dataValidation type="whole" allowBlank="1" showInputMessage="1" showErrorMessage="1" errorTitle="Error" error="El número de nodos debe estar comprendido entre 1 y 500" sqref="A19:A22" xr:uid="{AEAF6D27-32F2-4038-9E5D-A47EBE0151B7}">
      <formula1>1</formula1>
      <formula2>500</formula2>
    </dataValidation>
    <dataValidation type="list" allowBlank="1" showInputMessage="1" showErrorMessage="1" sqref="C16" xr:uid="{8BEC37C7-FEFE-4282-BD58-E660133989C8}">
      <formula1>"Positivo, Negativo"</formula1>
    </dataValidation>
    <dataValidation type="whole" operator="greaterThanOrEqual" allowBlank="1" showInputMessage="1" showErrorMessage="1" errorTitle="Ingreso de Contornos" error="Por lo menos debe ingresar 1 contorno." sqref="D14" xr:uid="{C42EB6B8-C4D7-4726-8695-9D3F59FA6AC6}">
      <formula1>1</formula1>
    </dataValidation>
    <dataValidation type="list" allowBlank="1" showInputMessage="1" showErrorMessage="1" sqref="C38:D38 C44:D44" xr:uid="{D3E417AA-D401-41A2-8476-51C9B5639297}">
      <formula1>"Muy Fina, Fina, Media, Gruesa, Muy Gruesa, Avanzada (Ingreso Manual)"</formula1>
    </dataValidation>
    <dataValidation type="whole" allowBlank="1" showInputMessage="1" showErrorMessage="1" errorTitle="Error" error="El número de barras debe ser mayor o igual a 0." sqref="D32 D26" xr:uid="{C85B9BE0-C4FB-4A3A-8FAA-2FB159AE4A6A}">
      <formula1>0</formula1>
      <formula2>500</formula2>
    </dataValidation>
    <dataValidation type="whole" allowBlank="1" showInputMessage="1" showErrorMessage="1" errorTitle="Error" error="El número de barras debe estar comprendido entre 1 y 500" sqref="A29 A35" xr:uid="{78886977-992A-47D6-8DDB-A329C4F3F763}">
      <formula1>1</formula1>
      <formula2>500</formula2>
    </dataValidation>
    <dataValidation type="list" allowBlank="1" showInputMessage="1" showErrorMessage="1" sqref="C48" xr:uid="{EACC12B5-A516-46FC-BA6C-E194E5147243}">
      <formula1>"2D,3D"</formula1>
    </dataValidation>
    <dataValidation type="list" allowBlank="1" showInputMessage="1" showErrorMessage="1" sqref="C6" xr:uid="{9F067F8F-EDE2-4FF7-A94B-78286D544D1E}">
      <formula1>"ADN 420, ADN 500, AL 220, Provisto por usuario"</formula1>
    </dataValidation>
    <dataValidation type="list" allowBlank="1" showInputMessage="1" showErrorMessage="1" sqref="E16" xr:uid="{F51C7E01-E224-48DC-91DF-896B4A862880}">
      <formula1>"Poligonal, Circular"</formula1>
    </dataValidation>
    <dataValidation type="whole" operator="greaterThanOrEqual" allowBlank="1" showInputMessage="1" showErrorMessage="1" errorTitle="Error" error="El número de nodos debe ser mayor a 3." sqref="G16" xr:uid="{7AC22BC6-E31C-4E53-8616-32A86C295006}">
      <formula1>3</formula1>
    </dataValidation>
    <dataValidation type="list" allowBlank="1" error="Por favor, ingrese únicamente los valores predeterminados." prompt="Ingresar valor" sqref="C50" xr:uid="{0F14BB88-884F-48A9-B427-287692A682F9}">
      <formula1>"Variable según CIRSOC 201, Constante (Ingresar Valor en Celda)"</formula1>
    </dataValidation>
    <dataValidation type="decimal" allowBlank="1" showInputMessage="1" showErrorMessage="1" errorTitle="ERROR" error="El ángulo de inclinación del plano de carga debe estar comprendido entre 0º y 180º" sqref="C56" xr:uid="{81896FF2-0908-4B59-8B55-D468C53BC585}">
      <formula1>0</formula1>
      <formula2>180</formula2>
    </dataValidation>
    <dataValidation type="list" allowBlank="1" showInputMessage="1" showErrorMessage="1" sqref="C54" xr:uid="{7EAB9FAB-72DA-44D6-B832-5006371586B2}">
      <formula1>"Sí, No"</formula1>
    </dataValidation>
    <dataValidation type="list" allowBlank="1" showInputMessage="1" showErrorMessage="1" error="Por favor, ingrese únicamente los valores predeterminados." sqref="C52" xr:uid="{7C0D448D-ADC4-4E22-B3FD-F4C82D44F5C3}">
      <formula1>"No, Sí"</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7" r:id="rId4" name="Button 659">
              <controlPr defaultSize="0" print="0" autoFill="0" autoPict="0" macro="[0]!Sheet1.CopyBackupSheet">
                <anchor moveWithCells="1" sizeWithCells="1">
                  <from>
                    <xdr:col>3</xdr:col>
                    <xdr:colOff>546100</xdr:colOff>
                    <xdr:row>1</xdr:row>
                    <xdr:rowOff>285750</xdr:rowOff>
                  </from>
                  <to>
                    <xdr:col>6</xdr:col>
                    <xdr:colOff>774700</xdr:colOff>
                    <xdr:row>4</xdr:row>
                    <xdr:rowOff>0</xdr:rowOff>
                  </to>
                </anchor>
              </controlPr>
            </control>
          </mc:Choice>
        </mc:AlternateContent>
        <mc:AlternateContent xmlns:mc="http://schemas.openxmlformats.org/markup-compatibility/2006">
          <mc:Choice Requires="x14">
            <control shapeId="2708" r:id="rId5" name="Button 660">
              <controlPr defaultSize="0" print="0" autoFill="0" autoPict="0" macro="[0]!Sheet1.RunPyExe_Click">
                <anchor moveWithCells="1" sizeWithCells="1">
                  <from>
                    <xdr:col>3</xdr:col>
                    <xdr:colOff>393700</xdr:colOff>
                    <xdr:row>45</xdr:row>
                    <xdr:rowOff>76200</xdr:rowOff>
                  </from>
                  <to>
                    <xdr:col>6</xdr:col>
                    <xdr:colOff>736600</xdr:colOff>
                    <xdr:row>48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AH202"/>
  <sheetViews>
    <sheetView showGridLines="0" zoomScaleNormal="100" workbookViewId="0">
      <selection activeCell="E42" sqref="E42"/>
    </sheetView>
  </sheetViews>
  <sheetFormatPr defaultColWidth="9.1796875" defaultRowHeight="14" x14ac:dyDescent="0.35"/>
  <cols>
    <col min="1" max="1" width="21.54296875" style="10" customWidth="1"/>
    <col min="2" max="3" width="14.26953125" style="10" customWidth="1"/>
    <col min="4" max="4" width="13.453125" style="10" customWidth="1"/>
    <col min="5" max="5" width="12.54296875" style="10" customWidth="1"/>
    <col min="6" max="26" width="9.1796875" style="10"/>
    <col min="27" max="27" width="11.1796875" style="125" customWidth="1"/>
    <col min="28" max="28" width="9.1796875" style="125"/>
    <col min="29" max="29" width="11" style="125" bestFit="1" customWidth="1"/>
    <col min="30" max="30" width="11" style="125" customWidth="1"/>
    <col min="31" max="31" width="12.81640625" style="125" bestFit="1" customWidth="1"/>
    <col min="32" max="33" width="9.1796875" style="125"/>
    <col min="34" max="34" width="9.453125" style="125" bestFit="1" customWidth="1"/>
    <col min="35" max="16384" width="9.1796875" style="10"/>
  </cols>
  <sheetData>
    <row r="1" spans="1:34" ht="28.5" customHeight="1" thickBot="1" x14ac:dyDescent="0.4">
      <c r="A1" s="181" t="s">
        <v>22</v>
      </c>
      <c r="B1" s="182"/>
      <c r="C1" s="182"/>
      <c r="D1" s="182"/>
      <c r="E1" s="183"/>
    </row>
    <row r="2" spans="1:34" ht="37.5" customHeight="1" thickBot="1" x14ac:dyDescent="0.4">
      <c r="A2" s="14" t="s">
        <v>19</v>
      </c>
      <c r="B2" s="15" t="s">
        <v>3</v>
      </c>
      <c r="C2" s="15" t="s">
        <v>18</v>
      </c>
      <c r="D2" s="15" t="s">
        <v>17</v>
      </c>
      <c r="E2" s="16" t="s">
        <v>20</v>
      </c>
      <c r="AA2" s="126">
        <v>0</v>
      </c>
      <c r="AB2" s="126">
        <v>0</v>
      </c>
      <c r="AC2" s="126">
        <v>0</v>
      </c>
      <c r="AD2" s="126">
        <v>0</v>
      </c>
      <c r="AE2" s="125">
        <f>IF(AA2&lt;B$6,B$4*AA2,B$3)</f>
        <v>0</v>
      </c>
      <c r="AF2" s="125">
        <f t="shared" ref="AF2:AG2" si="0">IF(AB2&lt;C$6,C$4*AB2,C$3)</f>
        <v>0</v>
      </c>
      <c r="AG2" s="125">
        <f t="shared" si="0"/>
        <v>0</v>
      </c>
      <c r="AH2" s="125" t="str">
        <f>IF(AND(NOT(ISBLANK($E$3)), NOT(ISBLANK($E$4)), NOT(ISBLANK($E$5)), NOT(ISBLANK($E$6))), IF(AD2&lt;E$6,E$4*AD2,E$3), "")</f>
        <v/>
      </c>
    </row>
    <row r="3" spans="1:34" ht="48.75" customHeight="1" x14ac:dyDescent="0.35">
      <c r="A3" s="12" t="s">
        <v>21</v>
      </c>
      <c r="B3" s="10">
        <v>420</v>
      </c>
      <c r="C3" s="10">
        <v>500</v>
      </c>
      <c r="D3" s="10">
        <v>220</v>
      </c>
      <c r="E3" s="13"/>
      <c r="AA3" s="126">
        <f>AA2+MAX($B$6:$E$6)*2/200</f>
        <v>2.5000000000000001E-5</v>
      </c>
      <c r="AB3" s="126">
        <f t="shared" ref="AB3:AD3" si="1">AB2+MAX($B$6:$E$6)*2/200</f>
        <v>2.5000000000000001E-5</v>
      </c>
      <c r="AC3" s="126">
        <f t="shared" si="1"/>
        <v>2.5000000000000001E-5</v>
      </c>
      <c r="AD3" s="126">
        <f t="shared" si="1"/>
        <v>2.5000000000000001E-5</v>
      </c>
      <c r="AE3" s="125">
        <f t="shared" ref="AE3:AE66" si="2">IF(AA3&lt;B$6,B$4*AA3,B$3)</f>
        <v>5</v>
      </c>
      <c r="AF3" s="125">
        <f t="shared" ref="AF3:AF66" si="3">IF(AB3&lt;C$6,C$4*AB3,C$3)</f>
        <v>5</v>
      </c>
      <c r="AG3" s="125">
        <f t="shared" ref="AG3:AG66" si="4">IF(AC3&lt;D$6,D$4*AC3,D$3)</f>
        <v>5</v>
      </c>
      <c r="AH3" s="125" t="str">
        <f t="shared" ref="AH3:AH66" si="5">IF(AND(NOT(ISBLANK($E$3)), NOT(ISBLANK($E$4)), NOT(ISBLANK($E$5)), NOT(ISBLANK($E$6))), IF(AD3&lt;E$6,E$4*AD3,E$3), "")</f>
        <v/>
      </c>
    </row>
    <row r="4" spans="1:34" ht="31.5" customHeight="1" x14ac:dyDescent="0.35">
      <c r="A4" s="11" t="s">
        <v>121</v>
      </c>
      <c r="B4" s="10">
        <v>200000</v>
      </c>
      <c r="C4" s="10">
        <v>200000</v>
      </c>
      <c r="D4" s="10">
        <v>200000</v>
      </c>
      <c r="E4" s="13"/>
      <c r="AA4" s="126">
        <f t="shared" ref="AA4:AA67" si="6">AA3+MAX($B$6:$E$6)*2/200</f>
        <v>5.0000000000000002E-5</v>
      </c>
      <c r="AB4" s="126">
        <f t="shared" ref="AB4:AB67" si="7">AB3+MAX($B$6:$E$6)*2/200</f>
        <v>5.0000000000000002E-5</v>
      </c>
      <c r="AC4" s="126">
        <f t="shared" ref="AC4:AC67" si="8">AC3+MAX($B$6:$E$6)*2/200</f>
        <v>5.0000000000000002E-5</v>
      </c>
      <c r="AD4" s="126">
        <f t="shared" ref="AD4:AD67" si="9">AD3+MAX($B$6:$E$6)*2/200</f>
        <v>5.0000000000000002E-5</v>
      </c>
      <c r="AE4" s="125">
        <f t="shared" si="2"/>
        <v>10</v>
      </c>
      <c r="AF4" s="125">
        <f t="shared" si="3"/>
        <v>10</v>
      </c>
      <c r="AG4" s="125">
        <f t="shared" si="4"/>
        <v>10</v>
      </c>
      <c r="AH4" s="125" t="str">
        <f t="shared" si="5"/>
        <v/>
      </c>
    </row>
    <row r="5" spans="1:34" ht="28" x14ac:dyDescent="0.35">
      <c r="A5" s="12" t="s">
        <v>35</v>
      </c>
      <c r="B5" s="81">
        <v>0.12</v>
      </c>
      <c r="C5" s="81">
        <v>0.12</v>
      </c>
      <c r="D5" s="81">
        <v>0.12</v>
      </c>
      <c r="E5" s="80"/>
      <c r="AA5" s="126">
        <f t="shared" si="6"/>
        <v>7.5000000000000007E-5</v>
      </c>
      <c r="AB5" s="126">
        <f t="shared" si="7"/>
        <v>7.5000000000000007E-5</v>
      </c>
      <c r="AC5" s="126">
        <f t="shared" si="8"/>
        <v>7.5000000000000007E-5</v>
      </c>
      <c r="AD5" s="126">
        <f t="shared" si="9"/>
        <v>7.5000000000000007E-5</v>
      </c>
      <c r="AE5" s="125">
        <f t="shared" si="2"/>
        <v>15.000000000000002</v>
      </c>
      <c r="AF5" s="125">
        <f t="shared" si="3"/>
        <v>15.000000000000002</v>
      </c>
      <c r="AG5" s="125">
        <f t="shared" si="4"/>
        <v>15.000000000000002</v>
      </c>
      <c r="AH5" s="125" t="str">
        <f t="shared" si="5"/>
        <v/>
      </c>
    </row>
    <row r="6" spans="1:34" ht="28.5" thickBot="1" x14ac:dyDescent="0.4">
      <c r="A6" s="77" t="s">
        <v>34</v>
      </c>
      <c r="B6" s="78">
        <f>B3/B4</f>
        <v>2.0999999999999999E-3</v>
      </c>
      <c r="C6" s="78">
        <f>C3/C4</f>
        <v>2.5000000000000001E-3</v>
      </c>
      <c r="D6" s="78">
        <f>D3/D4</f>
        <v>1.1000000000000001E-3</v>
      </c>
      <c r="E6" s="79" t="str">
        <f>IF(E4="","",E3/E4)</f>
        <v/>
      </c>
      <c r="AA6" s="126">
        <f t="shared" si="6"/>
        <v>1E-4</v>
      </c>
      <c r="AB6" s="126">
        <f t="shared" si="7"/>
        <v>1E-4</v>
      </c>
      <c r="AC6" s="126">
        <f t="shared" si="8"/>
        <v>1E-4</v>
      </c>
      <c r="AD6" s="126">
        <f t="shared" si="9"/>
        <v>1E-4</v>
      </c>
      <c r="AE6" s="125">
        <f t="shared" si="2"/>
        <v>20</v>
      </c>
      <c r="AF6" s="125">
        <f t="shared" si="3"/>
        <v>20</v>
      </c>
      <c r="AG6" s="125">
        <f t="shared" si="4"/>
        <v>20</v>
      </c>
      <c r="AH6" s="125" t="str">
        <f t="shared" si="5"/>
        <v/>
      </c>
    </row>
    <row r="7" spans="1:34" x14ac:dyDescent="0.35">
      <c r="AA7" s="126">
        <f t="shared" si="6"/>
        <v>1.25E-4</v>
      </c>
      <c r="AB7" s="126">
        <f t="shared" si="7"/>
        <v>1.25E-4</v>
      </c>
      <c r="AC7" s="126">
        <f t="shared" si="8"/>
        <v>1.25E-4</v>
      </c>
      <c r="AD7" s="126">
        <f t="shared" si="9"/>
        <v>1.25E-4</v>
      </c>
      <c r="AE7" s="125">
        <f t="shared" si="2"/>
        <v>25</v>
      </c>
      <c r="AF7" s="125">
        <f t="shared" si="3"/>
        <v>25</v>
      </c>
      <c r="AG7" s="125">
        <f t="shared" si="4"/>
        <v>25</v>
      </c>
      <c r="AH7" s="125" t="str">
        <f t="shared" si="5"/>
        <v/>
      </c>
    </row>
    <row r="8" spans="1:34" x14ac:dyDescent="0.35">
      <c r="AA8" s="126">
        <f t="shared" si="6"/>
        <v>1.5000000000000001E-4</v>
      </c>
      <c r="AB8" s="126">
        <f t="shared" si="7"/>
        <v>1.5000000000000001E-4</v>
      </c>
      <c r="AC8" s="126">
        <f t="shared" si="8"/>
        <v>1.5000000000000001E-4</v>
      </c>
      <c r="AD8" s="126">
        <f t="shared" si="9"/>
        <v>1.5000000000000001E-4</v>
      </c>
      <c r="AE8" s="125">
        <f t="shared" si="2"/>
        <v>30.000000000000004</v>
      </c>
      <c r="AF8" s="125">
        <f t="shared" si="3"/>
        <v>30.000000000000004</v>
      </c>
      <c r="AG8" s="125">
        <f t="shared" si="4"/>
        <v>30.000000000000004</v>
      </c>
      <c r="AH8" s="125" t="str">
        <f t="shared" si="5"/>
        <v/>
      </c>
    </row>
    <row r="9" spans="1:34" x14ac:dyDescent="0.35">
      <c r="AA9" s="126">
        <f t="shared" si="6"/>
        <v>1.7500000000000003E-4</v>
      </c>
      <c r="AB9" s="126">
        <f t="shared" si="7"/>
        <v>1.7500000000000003E-4</v>
      </c>
      <c r="AC9" s="126">
        <f t="shared" si="8"/>
        <v>1.7500000000000003E-4</v>
      </c>
      <c r="AD9" s="126">
        <f t="shared" si="9"/>
        <v>1.7500000000000003E-4</v>
      </c>
      <c r="AE9" s="125">
        <f t="shared" si="2"/>
        <v>35.000000000000007</v>
      </c>
      <c r="AF9" s="125">
        <f t="shared" si="3"/>
        <v>35.000000000000007</v>
      </c>
      <c r="AG9" s="125">
        <f t="shared" si="4"/>
        <v>35.000000000000007</v>
      </c>
      <c r="AH9" s="125" t="str">
        <f t="shared" si="5"/>
        <v/>
      </c>
    </row>
    <row r="10" spans="1:34" x14ac:dyDescent="0.35">
      <c r="AA10" s="126">
        <f t="shared" si="6"/>
        <v>2.0000000000000004E-4</v>
      </c>
      <c r="AB10" s="126">
        <f t="shared" si="7"/>
        <v>2.0000000000000004E-4</v>
      </c>
      <c r="AC10" s="126">
        <f t="shared" si="8"/>
        <v>2.0000000000000004E-4</v>
      </c>
      <c r="AD10" s="126">
        <f t="shared" si="9"/>
        <v>2.0000000000000004E-4</v>
      </c>
      <c r="AE10" s="125">
        <f t="shared" si="2"/>
        <v>40.000000000000007</v>
      </c>
      <c r="AF10" s="125">
        <f t="shared" si="3"/>
        <v>40.000000000000007</v>
      </c>
      <c r="AG10" s="125">
        <f t="shared" si="4"/>
        <v>40.000000000000007</v>
      </c>
      <c r="AH10" s="125" t="str">
        <f t="shared" si="5"/>
        <v/>
      </c>
    </row>
    <row r="11" spans="1:34" x14ac:dyDescent="0.35">
      <c r="AA11" s="126">
        <f t="shared" si="6"/>
        <v>2.2500000000000005E-4</v>
      </c>
      <c r="AB11" s="126">
        <f t="shared" si="7"/>
        <v>2.2500000000000005E-4</v>
      </c>
      <c r="AC11" s="126">
        <f t="shared" si="8"/>
        <v>2.2500000000000005E-4</v>
      </c>
      <c r="AD11" s="126">
        <f t="shared" si="9"/>
        <v>2.2500000000000005E-4</v>
      </c>
      <c r="AE11" s="125">
        <f t="shared" si="2"/>
        <v>45.000000000000007</v>
      </c>
      <c r="AF11" s="125">
        <f t="shared" si="3"/>
        <v>45.000000000000007</v>
      </c>
      <c r="AG11" s="125">
        <f t="shared" si="4"/>
        <v>45.000000000000007</v>
      </c>
      <c r="AH11" s="125" t="str">
        <f t="shared" si="5"/>
        <v/>
      </c>
    </row>
    <row r="12" spans="1:34" x14ac:dyDescent="0.35">
      <c r="AA12" s="126">
        <f t="shared" si="6"/>
        <v>2.5000000000000006E-4</v>
      </c>
      <c r="AB12" s="126">
        <f t="shared" si="7"/>
        <v>2.5000000000000006E-4</v>
      </c>
      <c r="AC12" s="126">
        <f t="shared" si="8"/>
        <v>2.5000000000000006E-4</v>
      </c>
      <c r="AD12" s="126">
        <f t="shared" si="9"/>
        <v>2.5000000000000006E-4</v>
      </c>
      <c r="AE12" s="125">
        <f t="shared" si="2"/>
        <v>50.000000000000014</v>
      </c>
      <c r="AF12" s="125">
        <f t="shared" si="3"/>
        <v>50.000000000000014</v>
      </c>
      <c r="AG12" s="125">
        <f t="shared" si="4"/>
        <v>50.000000000000014</v>
      </c>
      <c r="AH12" s="125" t="str">
        <f t="shared" si="5"/>
        <v/>
      </c>
    </row>
    <row r="13" spans="1:34" x14ac:dyDescent="0.35">
      <c r="AA13" s="126">
        <f t="shared" si="6"/>
        <v>2.7500000000000007E-4</v>
      </c>
      <c r="AB13" s="126">
        <f t="shared" si="7"/>
        <v>2.7500000000000007E-4</v>
      </c>
      <c r="AC13" s="126">
        <f t="shared" si="8"/>
        <v>2.7500000000000007E-4</v>
      </c>
      <c r="AD13" s="126">
        <f t="shared" si="9"/>
        <v>2.7500000000000007E-4</v>
      </c>
      <c r="AE13" s="125">
        <f t="shared" si="2"/>
        <v>55.000000000000014</v>
      </c>
      <c r="AF13" s="125">
        <f t="shared" si="3"/>
        <v>55.000000000000014</v>
      </c>
      <c r="AG13" s="125">
        <f t="shared" si="4"/>
        <v>55.000000000000014</v>
      </c>
      <c r="AH13" s="125" t="str">
        <f t="shared" si="5"/>
        <v/>
      </c>
    </row>
    <row r="14" spans="1:34" x14ac:dyDescent="0.35">
      <c r="AA14" s="126">
        <f t="shared" si="6"/>
        <v>3.0000000000000008E-4</v>
      </c>
      <c r="AB14" s="126">
        <f t="shared" si="7"/>
        <v>3.0000000000000008E-4</v>
      </c>
      <c r="AC14" s="126">
        <f t="shared" si="8"/>
        <v>3.0000000000000008E-4</v>
      </c>
      <c r="AD14" s="126">
        <f t="shared" si="9"/>
        <v>3.0000000000000008E-4</v>
      </c>
      <c r="AE14" s="125">
        <f t="shared" si="2"/>
        <v>60.000000000000014</v>
      </c>
      <c r="AF14" s="125">
        <f t="shared" si="3"/>
        <v>60.000000000000014</v>
      </c>
      <c r="AG14" s="125">
        <f t="shared" si="4"/>
        <v>60.000000000000014</v>
      </c>
      <c r="AH14" s="125" t="str">
        <f t="shared" si="5"/>
        <v/>
      </c>
    </row>
    <row r="15" spans="1:34" x14ac:dyDescent="0.35">
      <c r="AA15" s="126">
        <f t="shared" si="6"/>
        <v>3.2500000000000009E-4</v>
      </c>
      <c r="AB15" s="126">
        <f t="shared" si="7"/>
        <v>3.2500000000000009E-4</v>
      </c>
      <c r="AC15" s="126">
        <f t="shared" si="8"/>
        <v>3.2500000000000009E-4</v>
      </c>
      <c r="AD15" s="126">
        <f t="shared" si="9"/>
        <v>3.2500000000000009E-4</v>
      </c>
      <c r="AE15" s="125">
        <f t="shared" si="2"/>
        <v>65.000000000000014</v>
      </c>
      <c r="AF15" s="125">
        <f t="shared" si="3"/>
        <v>65.000000000000014</v>
      </c>
      <c r="AG15" s="125">
        <f t="shared" si="4"/>
        <v>65.000000000000014</v>
      </c>
      <c r="AH15" s="125" t="str">
        <f t="shared" si="5"/>
        <v/>
      </c>
    </row>
    <row r="16" spans="1:34" x14ac:dyDescent="0.35">
      <c r="AA16" s="126">
        <f t="shared" si="6"/>
        <v>3.500000000000001E-4</v>
      </c>
      <c r="AB16" s="126">
        <f t="shared" si="7"/>
        <v>3.500000000000001E-4</v>
      </c>
      <c r="AC16" s="126">
        <f t="shared" si="8"/>
        <v>3.500000000000001E-4</v>
      </c>
      <c r="AD16" s="126">
        <f t="shared" si="9"/>
        <v>3.500000000000001E-4</v>
      </c>
      <c r="AE16" s="125">
        <f t="shared" si="2"/>
        <v>70.000000000000014</v>
      </c>
      <c r="AF16" s="125">
        <f t="shared" si="3"/>
        <v>70.000000000000014</v>
      </c>
      <c r="AG16" s="125">
        <f t="shared" si="4"/>
        <v>70.000000000000014</v>
      </c>
      <c r="AH16" s="125" t="str">
        <f t="shared" si="5"/>
        <v/>
      </c>
    </row>
    <row r="17" spans="27:34" x14ac:dyDescent="0.35">
      <c r="AA17" s="126">
        <f t="shared" si="6"/>
        <v>3.7500000000000012E-4</v>
      </c>
      <c r="AB17" s="126">
        <f t="shared" si="7"/>
        <v>3.7500000000000012E-4</v>
      </c>
      <c r="AC17" s="126">
        <f t="shared" si="8"/>
        <v>3.7500000000000012E-4</v>
      </c>
      <c r="AD17" s="126">
        <f t="shared" si="9"/>
        <v>3.7500000000000012E-4</v>
      </c>
      <c r="AE17" s="125">
        <f t="shared" si="2"/>
        <v>75.000000000000028</v>
      </c>
      <c r="AF17" s="125">
        <f t="shared" si="3"/>
        <v>75.000000000000028</v>
      </c>
      <c r="AG17" s="125">
        <f t="shared" si="4"/>
        <v>75.000000000000028</v>
      </c>
      <c r="AH17" s="125" t="str">
        <f t="shared" si="5"/>
        <v/>
      </c>
    </row>
    <row r="18" spans="27:34" x14ac:dyDescent="0.35">
      <c r="AA18" s="126">
        <f t="shared" si="6"/>
        <v>4.0000000000000013E-4</v>
      </c>
      <c r="AB18" s="126">
        <f t="shared" si="7"/>
        <v>4.0000000000000013E-4</v>
      </c>
      <c r="AC18" s="126">
        <f t="shared" si="8"/>
        <v>4.0000000000000013E-4</v>
      </c>
      <c r="AD18" s="126">
        <f t="shared" si="9"/>
        <v>4.0000000000000013E-4</v>
      </c>
      <c r="AE18" s="125">
        <f t="shared" si="2"/>
        <v>80.000000000000028</v>
      </c>
      <c r="AF18" s="125">
        <f t="shared" si="3"/>
        <v>80.000000000000028</v>
      </c>
      <c r="AG18" s="125">
        <f t="shared" si="4"/>
        <v>80.000000000000028</v>
      </c>
      <c r="AH18" s="125" t="str">
        <f t="shared" si="5"/>
        <v/>
      </c>
    </row>
    <row r="19" spans="27:34" x14ac:dyDescent="0.35">
      <c r="AA19" s="126">
        <f t="shared" si="6"/>
        <v>4.2500000000000014E-4</v>
      </c>
      <c r="AB19" s="126">
        <f t="shared" si="7"/>
        <v>4.2500000000000014E-4</v>
      </c>
      <c r="AC19" s="126">
        <f t="shared" si="8"/>
        <v>4.2500000000000014E-4</v>
      </c>
      <c r="AD19" s="126">
        <f t="shared" si="9"/>
        <v>4.2500000000000014E-4</v>
      </c>
      <c r="AE19" s="125">
        <f t="shared" si="2"/>
        <v>85.000000000000028</v>
      </c>
      <c r="AF19" s="125">
        <f t="shared" si="3"/>
        <v>85.000000000000028</v>
      </c>
      <c r="AG19" s="125">
        <f t="shared" si="4"/>
        <v>85.000000000000028</v>
      </c>
      <c r="AH19" s="125" t="str">
        <f t="shared" si="5"/>
        <v/>
      </c>
    </row>
    <row r="20" spans="27:34" x14ac:dyDescent="0.35">
      <c r="AA20" s="126">
        <f t="shared" si="6"/>
        <v>4.5000000000000015E-4</v>
      </c>
      <c r="AB20" s="126">
        <f t="shared" si="7"/>
        <v>4.5000000000000015E-4</v>
      </c>
      <c r="AC20" s="126">
        <f t="shared" si="8"/>
        <v>4.5000000000000015E-4</v>
      </c>
      <c r="AD20" s="126">
        <f t="shared" si="9"/>
        <v>4.5000000000000015E-4</v>
      </c>
      <c r="AE20" s="125">
        <f t="shared" si="2"/>
        <v>90.000000000000028</v>
      </c>
      <c r="AF20" s="125">
        <f t="shared" si="3"/>
        <v>90.000000000000028</v>
      </c>
      <c r="AG20" s="125">
        <f t="shared" si="4"/>
        <v>90.000000000000028</v>
      </c>
      <c r="AH20" s="125" t="str">
        <f t="shared" si="5"/>
        <v/>
      </c>
    </row>
    <row r="21" spans="27:34" x14ac:dyDescent="0.35">
      <c r="AA21" s="126">
        <f t="shared" si="6"/>
        <v>4.7500000000000016E-4</v>
      </c>
      <c r="AB21" s="126">
        <f t="shared" si="7"/>
        <v>4.7500000000000016E-4</v>
      </c>
      <c r="AC21" s="126">
        <f t="shared" si="8"/>
        <v>4.7500000000000016E-4</v>
      </c>
      <c r="AD21" s="126">
        <f t="shared" si="9"/>
        <v>4.7500000000000016E-4</v>
      </c>
      <c r="AE21" s="125">
        <f t="shared" si="2"/>
        <v>95.000000000000028</v>
      </c>
      <c r="AF21" s="125">
        <f t="shared" si="3"/>
        <v>95.000000000000028</v>
      </c>
      <c r="AG21" s="125">
        <f t="shared" si="4"/>
        <v>95.000000000000028</v>
      </c>
      <c r="AH21" s="125" t="str">
        <f t="shared" si="5"/>
        <v/>
      </c>
    </row>
    <row r="22" spans="27:34" x14ac:dyDescent="0.35">
      <c r="AA22" s="126">
        <f t="shared" si="6"/>
        <v>5.0000000000000012E-4</v>
      </c>
      <c r="AB22" s="126">
        <f t="shared" si="7"/>
        <v>5.0000000000000012E-4</v>
      </c>
      <c r="AC22" s="126">
        <f t="shared" si="8"/>
        <v>5.0000000000000012E-4</v>
      </c>
      <c r="AD22" s="126">
        <f t="shared" si="9"/>
        <v>5.0000000000000012E-4</v>
      </c>
      <c r="AE22" s="125">
        <f t="shared" si="2"/>
        <v>100.00000000000003</v>
      </c>
      <c r="AF22" s="125">
        <f t="shared" si="3"/>
        <v>100.00000000000003</v>
      </c>
      <c r="AG22" s="125">
        <f t="shared" si="4"/>
        <v>100.00000000000003</v>
      </c>
      <c r="AH22" s="125" t="str">
        <f t="shared" si="5"/>
        <v/>
      </c>
    </row>
    <row r="23" spans="27:34" x14ac:dyDescent="0.35">
      <c r="AA23" s="126">
        <f t="shared" si="6"/>
        <v>5.2500000000000008E-4</v>
      </c>
      <c r="AB23" s="126">
        <f t="shared" si="7"/>
        <v>5.2500000000000008E-4</v>
      </c>
      <c r="AC23" s="126">
        <f t="shared" si="8"/>
        <v>5.2500000000000008E-4</v>
      </c>
      <c r="AD23" s="126">
        <f t="shared" si="9"/>
        <v>5.2500000000000008E-4</v>
      </c>
      <c r="AE23" s="125">
        <f t="shared" si="2"/>
        <v>105.00000000000001</v>
      </c>
      <c r="AF23" s="125">
        <f t="shared" si="3"/>
        <v>105.00000000000001</v>
      </c>
      <c r="AG23" s="125">
        <f t="shared" si="4"/>
        <v>105.00000000000001</v>
      </c>
      <c r="AH23" s="125" t="str">
        <f t="shared" si="5"/>
        <v/>
      </c>
    </row>
    <row r="24" spans="27:34" x14ac:dyDescent="0.35">
      <c r="AA24" s="126">
        <f t="shared" si="6"/>
        <v>5.5000000000000003E-4</v>
      </c>
      <c r="AB24" s="126">
        <f t="shared" si="7"/>
        <v>5.5000000000000003E-4</v>
      </c>
      <c r="AC24" s="126">
        <f t="shared" si="8"/>
        <v>5.5000000000000003E-4</v>
      </c>
      <c r="AD24" s="126">
        <f t="shared" si="9"/>
        <v>5.5000000000000003E-4</v>
      </c>
      <c r="AE24" s="125">
        <f t="shared" si="2"/>
        <v>110</v>
      </c>
      <c r="AF24" s="125">
        <f t="shared" si="3"/>
        <v>110</v>
      </c>
      <c r="AG24" s="125">
        <f t="shared" si="4"/>
        <v>110</v>
      </c>
      <c r="AH24" s="125" t="str">
        <f t="shared" si="5"/>
        <v/>
      </c>
    </row>
    <row r="25" spans="27:34" x14ac:dyDescent="0.35">
      <c r="AA25" s="126">
        <f t="shared" si="6"/>
        <v>5.7499999999999999E-4</v>
      </c>
      <c r="AB25" s="126">
        <f t="shared" si="7"/>
        <v>5.7499999999999999E-4</v>
      </c>
      <c r="AC25" s="126">
        <f t="shared" si="8"/>
        <v>5.7499999999999999E-4</v>
      </c>
      <c r="AD25" s="126">
        <f t="shared" si="9"/>
        <v>5.7499999999999999E-4</v>
      </c>
      <c r="AE25" s="125">
        <f t="shared" si="2"/>
        <v>115</v>
      </c>
      <c r="AF25" s="125">
        <f t="shared" si="3"/>
        <v>115</v>
      </c>
      <c r="AG25" s="125">
        <f t="shared" si="4"/>
        <v>115</v>
      </c>
      <c r="AH25" s="125" t="str">
        <f t="shared" si="5"/>
        <v/>
      </c>
    </row>
    <row r="26" spans="27:34" x14ac:dyDescent="0.35">
      <c r="AA26" s="126">
        <f t="shared" si="6"/>
        <v>5.9999999999999995E-4</v>
      </c>
      <c r="AB26" s="126">
        <f t="shared" si="7"/>
        <v>5.9999999999999995E-4</v>
      </c>
      <c r="AC26" s="126">
        <f t="shared" si="8"/>
        <v>5.9999999999999995E-4</v>
      </c>
      <c r="AD26" s="126">
        <f t="shared" si="9"/>
        <v>5.9999999999999995E-4</v>
      </c>
      <c r="AE26" s="125">
        <f t="shared" si="2"/>
        <v>119.99999999999999</v>
      </c>
      <c r="AF26" s="125">
        <f t="shared" si="3"/>
        <v>119.99999999999999</v>
      </c>
      <c r="AG26" s="125">
        <f t="shared" si="4"/>
        <v>119.99999999999999</v>
      </c>
      <c r="AH26" s="125" t="str">
        <f t="shared" si="5"/>
        <v/>
      </c>
    </row>
    <row r="27" spans="27:34" x14ac:dyDescent="0.35">
      <c r="AA27" s="126">
        <f t="shared" si="6"/>
        <v>6.249999999999999E-4</v>
      </c>
      <c r="AB27" s="126">
        <f t="shared" si="7"/>
        <v>6.249999999999999E-4</v>
      </c>
      <c r="AC27" s="126">
        <f t="shared" si="8"/>
        <v>6.249999999999999E-4</v>
      </c>
      <c r="AD27" s="126">
        <f t="shared" si="9"/>
        <v>6.249999999999999E-4</v>
      </c>
      <c r="AE27" s="125">
        <f t="shared" si="2"/>
        <v>124.99999999999999</v>
      </c>
      <c r="AF27" s="125">
        <f t="shared" si="3"/>
        <v>124.99999999999999</v>
      </c>
      <c r="AG27" s="125">
        <f t="shared" si="4"/>
        <v>124.99999999999999</v>
      </c>
      <c r="AH27" s="125" t="str">
        <f t="shared" si="5"/>
        <v/>
      </c>
    </row>
    <row r="28" spans="27:34" x14ac:dyDescent="0.35">
      <c r="AA28" s="126">
        <f t="shared" si="6"/>
        <v>6.4999999999999986E-4</v>
      </c>
      <c r="AB28" s="126">
        <f t="shared" si="7"/>
        <v>6.4999999999999986E-4</v>
      </c>
      <c r="AC28" s="126">
        <f t="shared" si="8"/>
        <v>6.4999999999999986E-4</v>
      </c>
      <c r="AD28" s="126">
        <f t="shared" si="9"/>
        <v>6.4999999999999986E-4</v>
      </c>
      <c r="AE28" s="125">
        <f t="shared" si="2"/>
        <v>129.99999999999997</v>
      </c>
      <c r="AF28" s="125">
        <f t="shared" si="3"/>
        <v>129.99999999999997</v>
      </c>
      <c r="AG28" s="125">
        <f t="shared" si="4"/>
        <v>129.99999999999997</v>
      </c>
      <c r="AH28" s="125" t="str">
        <f t="shared" si="5"/>
        <v/>
      </c>
    </row>
    <row r="29" spans="27:34" x14ac:dyDescent="0.35">
      <c r="AA29" s="126">
        <f t="shared" si="6"/>
        <v>6.7499999999999982E-4</v>
      </c>
      <c r="AB29" s="126">
        <f t="shared" si="7"/>
        <v>6.7499999999999982E-4</v>
      </c>
      <c r="AC29" s="126">
        <f t="shared" si="8"/>
        <v>6.7499999999999982E-4</v>
      </c>
      <c r="AD29" s="126">
        <f t="shared" si="9"/>
        <v>6.7499999999999982E-4</v>
      </c>
      <c r="AE29" s="125">
        <f t="shared" si="2"/>
        <v>134.99999999999997</v>
      </c>
      <c r="AF29" s="125">
        <f t="shared" si="3"/>
        <v>134.99999999999997</v>
      </c>
      <c r="AG29" s="125">
        <f t="shared" si="4"/>
        <v>134.99999999999997</v>
      </c>
      <c r="AH29" s="125" t="str">
        <f t="shared" si="5"/>
        <v/>
      </c>
    </row>
    <row r="30" spans="27:34" x14ac:dyDescent="0.35">
      <c r="AA30" s="126">
        <f t="shared" si="6"/>
        <v>6.9999999999999978E-4</v>
      </c>
      <c r="AB30" s="126">
        <f t="shared" si="7"/>
        <v>6.9999999999999978E-4</v>
      </c>
      <c r="AC30" s="126">
        <f t="shared" si="8"/>
        <v>6.9999999999999978E-4</v>
      </c>
      <c r="AD30" s="126">
        <f t="shared" si="9"/>
        <v>6.9999999999999978E-4</v>
      </c>
      <c r="AE30" s="125">
        <f t="shared" si="2"/>
        <v>139.99999999999994</v>
      </c>
      <c r="AF30" s="125">
        <f t="shared" si="3"/>
        <v>139.99999999999994</v>
      </c>
      <c r="AG30" s="125">
        <f t="shared" si="4"/>
        <v>139.99999999999994</v>
      </c>
      <c r="AH30" s="125" t="str">
        <f t="shared" si="5"/>
        <v/>
      </c>
    </row>
    <row r="31" spans="27:34" x14ac:dyDescent="0.35">
      <c r="AA31" s="126">
        <f t="shared" si="6"/>
        <v>7.2499999999999973E-4</v>
      </c>
      <c r="AB31" s="126">
        <f t="shared" si="7"/>
        <v>7.2499999999999973E-4</v>
      </c>
      <c r="AC31" s="126">
        <f t="shared" si="8"/>
        <v>7.2499999999999973E-4</v>
      </c>
      <c r="AD31" s="126">
        <f t="shared" si="9"/>
        <v>7.2499999999999973E-4</v>
      </c>
      <c r="AE31" s="125">
        <f t="shared" si="2"/>
        <v>144.99999999999994</v>
      </c>
      <c r="AF31" s="125">
        <f t="shared" si="3"/>
        <v>144.99999999999994</v>
      </c>
      <c r="AG31" s="125">
        <f t="shared" si="4"/>
        <v>144.99999999999994</v>
      </c>
      <c r="AH31" s="125" t="str">
        <f t="shared" si="5"/>
        <v/>
      </c>
    </row>
    <row r="32" spans="27:34" x14ac:dyDescent="0.35">
      <c r="AA32" s="126">
        <f t="shared" si="6"/>
        <v>7.4999999999999969E-4</v>
      </c>
      <c r="AB32" s="126">
        <f t="shared" si="7"/>
        <v>7.4999999999999969E-4</v>
      </c>
      <c r="AC32" s="126">
        <f t="shared" si="8"/>
        <v>7.4999999999999969E-4</v>
      </c>
      <c r="AD32" s="126">
        <f t="shared" si="9"/>
        <v>7.4999999999999969E-4</v>
      </c>
      <c r="AE32" s="125">
        <f t="shared" si="2"/>
        <v>149.99999999999994</v>
      </c>
      <c r="AF32" s="125">
        <f t="shared" si="3"/>
        <v>149.99999999999994</v>
      </c>
      <c r="AG32" s="125">
        <f t="shared" si="4"/>
        <v>149.99999999999994</v>
      </c>
      <c r="AH32" s="125" t="str">
        <f t="shared" si="5"/>
        <v/>
      </c>
    </row>
    <row r="33" spans="27:34" x14ac:dyDescent="0.35">
      <c r="AA33" s="126">
        <f t="shared" si="6"/>
        <v>7.7499999999999965E-4</v>
      </c>
      <c r="AB33" s="126">
        <f t="shared" si="7"/>
        <v>7.7499999999999965E-4</v>
      </c>
      <c r="AC33" s="126">
        <f t="shared" si="8"/>
        <v>7.7499999999999965E-4</v>
      </c>
      <c r="AD33" s="126">
        <f t="shared" si="9"/>
        <v>7.7499999999999965E-4</v>
      </c>
      <c r="AE33" s="125">
        <f t="shared" si="2"/>
        <v>154.99999999999994</v>
      </c>
      <c r="AF33" s="125">
        <f t="shared" si="3"/>
        <v>154.99999999999994</v>
      </c>
      <c r="AG33" s="125">
        <f t="shared" si="4"/>
        <v>154.99999999999994</v>
      </c>
      <c r="AH33" s="125" t="str">
        <f t="shared" si="5"/>
        <v/>
      </c>
    </row>
    <row r="34" spans="27:34" x14ac:dyDescent="0.35">
      <c r="AA34" s="126">
        <f t="shared" si="6"/>
        <v>7.999999999999996E-4</v>
      </c>
      <c r="AB34" s="126">
        <f t="shared" si="7"/>
        <v>7.999999999999996E-4</v>
      </c>
      <c r="AC34" s="126">
        <f t="shared" si="8"/>
        <v>7.999999999999996E-4</v>
      </c>
      <c r="AD34" s="126">
        <f t="shared" si="9"/>
        <v>7.999999999999996E-4</v>
      </c>
      <c r="AE34" s="125">
        <f t="shared" si="2"/>
        <v>159.99999999999991</v>
      </c>
      <c r="AF34" s="125">
        <f t="shared" si="3"/>
        <v>159.99999999999991</v>
      </c>
      <c r="AG34" s="125">
        <f t="shared" si="4"/>
        <v>159.99999999999991</v>
      </c>
      <c r="AH34" s="125" t="str">
        <f t="shared" si="5"/>
        <v/>
      </c>
    </row>
    <row r="35" spans="27:34" x14ac:dyDescent="0.35">
      <c r="AA35" s="126">
        <f t="shared" si="6"/>
        <v>8.2499999999999956E-4</v>
      </c>
      <c r="AB35" s="126">
        <f t="shared" si="7"/>
        <v>8.2499999999999956E-4</v>
      </c>
      <c r="AC35" s="126">
        <f t="shared" si="8"/>
        <v>8.2499999999999956E-4</v>
      </c>
      <c r="AD35" s="126">
        <f t="shared" si="9"/>
        <v>8.2499999999999956E-4</v>
      </c>
      <c r="AE35" s="125">
        <f t="shared" si="2"/>
        <v>164.99999999999991</v>
      </c>
      <c r="AF35" s="125">
        <f t="shared" si="3"/>
        <v>164.99999999999991</v>
      </c>
      <c r="AG35" s="125">
        <f t="shared" si="4"/>
        <v>164.99999999999991</v>
      </c>
      <c r="AH35" s="125" t="str">
        <f t="shared" si="5"/>
        <v/>
      </c>
    </row>
    <row r="36" spans="27:34" x14ac:dyDescent="0.35">
      <c r="AA36" s="126">
        <f t="shared" si="6"/>
        <v>8.4999999999999952E-4</v>
      </c>
      <c r="AB36" s="126">
        <f t="shared" si="7"/>
        <v>8.4999999999999952E-4</v>
      </c>
      <c r="AC36" s="126">
        <f t="shared" si="8"/>
        <v>8.4999999999999952E-4</v>
      </c>
      <c r="AD36" s="126">
        <f t="shared" si="9"/>
        <v>8.4999999999999952E-4</v>
      </c>
      <c r="AE36" s="125">
        <f t="shared" si="2"/>
        <v>169.99999999999991</v>
      </c>
      <c r="AF36" s="125">
        <f t="shared" si="3"/>
        <v>169.99999999999991</v>
      </c>
      <c r="AG36" s="125">
        <f t="shared" si="4"/>
        <v>169.99999999999991</v>
      </c>
      <c r="AH36" s="125" t="str">
        <f t="shared" si="5"/>
        <v/>
      </c>
    </row>
    <row r="37" spans="27:34" x14ac:dyDescent="0.35">
      <c r="AA37" s="126">
        <f t="shared" si="6"/>
        <v>8.7499999999999948E-4</v>
      </c>
      <c r="AB37" s="126">
        <f t="shared" si="7"/>
        <v>8.7499999999999948E-4</v>
      </c>
      <c r="AC37" s="126">
        <f t="shared" si="8"/>
        <v>8.7499999999999948E-4</v>
      </c>
      <c r="AD37" s="126">
        <f t="shared" si="9"/>
        <v>8.7499999999999948E-4</v>
      </c>
      <c r="AE37" s="125">
        <f t="shared" si="2"/>
        <v>174.99999999999989</v>
      </c>
      <c r="AF37" s="125">
        <f t="shared" si="3"/>
        <v>174.99999999999989</v>
      </c>
      <c r="AG37" s="125">
        <f t="shared" si="4"/>
        <v>174.99999999999989</v>
      </c>
      <c r="AH37" s="125" t="str">
        <f t="shared" si="5"/>
        <v/>
      </c>
    </row>
    <row r="38" spans="27:34" x14ac:dyDescent="0.35">
      <c r="AA38" s="126">
        <f t="shared" si="6"/>
        <v>8.9999999999999943E-4</v>
      </c>
      <c r="AB38" s="126">
        <f t="shared" si="7"/>
        <v>8.9999999999999943E-4</v>
      </c>
      <c r="AC38" s="126">
        <f t="shared" si="8"/>
        <v>8.9999999999999943E-4</v>
      </c>
      <c r="AD38" s="126">
        <f t="shared" si="9"/>
        <v>8.9999999999999943E-4</v>
      </c>
      <c r="AE38" s="125">
        <f t="shared" si="2"/>
        <v>179.99999999999989</v>
      </c>
      <c r="AF38" s="125">
        <f t="shared" si="3"/>
        <v>179.99999999999989</v>
      </c>
      <c r="AG38" s="125">
        <f t="shared" si="4"/>
        <v>179.99999999999989</v>
      </c>
      <c r="AH38" s="125" t="str">
        <f t="shared" si="5"/>
        <v/>
      </c>
    </row>
    <row r="39" spans="27:34" x14ac:dyDescent="0.35">
      <c r="AA39" s="126">
        <f t="shared" si="6"/>
        <v>9.2499999999999939E-4</v>
      </c>
      <c r="AB39" s="126">
        <f t="shared" si="7"/>
        <v>9.2499999999999939E-4</v>
      </c>
      <c r="AC39" s="126">
        <f t="shared" si="8"/>
        <v>9.2499999999999939E-4</v>
      </c>
      <c r="AD39" s="126">
        <f t="shared" si="9"/>
        <v>9.2499999999999939E-4</v>
      </c>
      <c r="AE39" s="125">
        <f t="shared" si="2"/>
        <v>184.99999999999989</v>
      </c>
      <c r="AF39" s="125">
        <f t="shared" si="3"/>
        <v>184.99999999999989</v>
      </c>
      <c r="AG39" s="125">
        <f t="shared" si="4"/>
        <v>184.99999999999989</v>
      </c>
      <c r="AH39" s="125" t="str">
        <f t="shared" si="5"/>
        <v/>
      </c>
    </row>
    <row r="40" spans="27:34" x14ac:dyDescent="0.35">
      <c r="AA40" s="126">
        <f t="shared" si="6"/>
        <v>9.4999999999999935E-4</v>
      </c>
      <c r="AB40" s="126">
        <f t="shared" si="7"/>
        <v>9.4999999999999935E-4</v>
      </c>
      <c r="AC40" s="126">
        <f t="shared" si="8"/>
        <v>9.4999999999999935E-4</v>
      </c>
      <c r="AD40" s="126">
        <f t="shared" si="9"/>
        <v>9.4999999999999935E-4</v>
      </c>
      <c r="AE40" s="125">
        <f t="shared" si="2"/>
        <v>189.99999999999986</v>
      </c>
      <c r="AF40" s="125">
        <f t="shared" si="3"/>
        <v>189.99999999999986</v>
      </c>
      <c r="AG40" s="125">
        <f t="shared" si="4"/>
        <v>189.99999999999986</v>
      </c>
      <c r="AH40" s="125" t="str">
        <f t="shared" si="5"/>
        <v/>
      </c>
    </row>
    <row r="41" spans="27:34" x14ac:dyDescent="0.35">
      <c r="AA41" s="126">
        <f t="shared" si="6"/>
        <v>9.749999999999993E-4</v>
      </c>
      <c r="AB41" s="126">
        <f t="shared" si="7"/>
        <v>9.749999999999993E-4</v>
      </c>
      <c r="AC41" s="126">
        <f t="shared" si="8"/>
        <v>9.749999999999993E-4</v>
      </c>
      <c r="AD41" s="126">
        <f t="shared" si="9"/>
        <v>9.749999999999993E-4</v>
      </c>
      <c r="AE41" s="125">
        <f t="shared" si="2"/>
        <v>194.99999999999986</v>
      </c>
      <c r="AF41" s="125">
        <f t="shared" si="3"/>
        <v>194.99999999999986</v>
      </c>
      <c r="AG41" s="125">
        <f t="shared" si="4"/>
        <v>194.99999999999986</v>
      </c>
      <c r="AH41" s="125" t="str">
        <f t="shared" si="5"/>
        <v/>
      </c>
    </row>
    <row r="42" spans="27:34" x14ac:dyDescent="0.35">
      <c r="AA42" s="126">
        <f t="shared" si="6"/>
        <v>9.9999999999999937E-4</v>
      </c>
      <c r="AB42" s="126">
        <f t="shared" si="7"/>
        <v>9.9999999999999937E-4</v>
      </c>
      <c r="AC42" s="126">
        <f t="shared" si="8"/>
        <v>9.9999999999999937E-4</v>
      </c>
      <c r="AD42" s="126">
        <f t="shared" si="9"/>
        <v>9.9999999999999937E-4</v>
      </c>
      <c r="AE42" s="125">
        <f t="shared" si="2"/>
        <v>199.99999999999989</v>
      </c>
      <c r="AF42" s="125">
        <f t="shared" si="3"/>
        <v>199.99999999999989</v>
      </c>
      <c r="AG42" s="125">
        <f t="shared" si="4"/>
        <v>199.99999999999989</v>
      </c>
      <c r="AH42" s="125" t="str">
        <f t="shared" si="5"/>
        <v/>
      </c>
    </row>
    <row r="43" spans="27:34" x14ac:dyDescent="0.35">
      <c r="AA43" s="126">
        <f t="shared" si="6"/>
        <v>1.0249999999999994E-3</v>
      </c>
      <c r="AB43" s="126">
        <f t="shared" si="7"/>
        <v>1.0249999999999994E-3</v>
      </c>
      <c r="AC43" s="126">
        <f t="shared" si="8"/>
        <v>1.0249999999999994E-3</v>
      </c>
      <c r="AD43" s="126">
        <f t="shared" si="9"/>
        <v>1.0249999999999994E-3</v>
      </c>
      <c r="AE43" s="125">
        <f t="shared" si="2"/>
        <v>204.99999999999989</v>
      </c>
      <c r="AF43" s="125">
        <f t="shared" si="3"/>
        <v>204.99999999999989</v>
      </c>
      <c r="AG43" s="125">
        <f t="shared" si="4"/>
        <v>204.99999999999989</v>
      </c>
      <c r="AH43" s="125" t="str">
        <f t="shared" si="5"/>
        <v/>
      </c>
    </row>
    <row r="44" spans="27:34" x14ac:dyDescent="0.35">
      <c r="AA44" s="126">
        <f t="shared" si="6"/>
        <v>1.0499999999999995E-3</v>
      </c>
      <c r="AB44" s="126">
        <f t="shared" si="7"/>
        <v>1.0499999999999995E-3</v>
      </c>
      <c r="AC44" s="126">
        <f t="shared" si="8"/>
        <v>1.0499999999999995E-3</v>
      </c>
      <c r="AD44" s="126">
        <f t="shared" si="9"/>
        <v>1.0499999999999995E-3</v>
      </c>
      <c r="AE44" s="125">
        <f t="shared" si="2"/>
        <v>209.99999999999989</v>
      </c>
      <c r="AF44" s="125">
        <f t="shared" si="3"/>
        <v>209.99999999999989</v>
      </c>
      <c r="AG44" s="125">
        <f t="shared" si="4"/>
        <v>209.99999999999989</v>
      </c>
      <c r="AH44" s="125" t="str">
        <f t="shared" si="5"/>
        <v/>
      </c>
    </row>
    <row r="45" spans="27:34" x14ac:dyDescent="0.35">
      <c r="AA45" s="126">
        <f t="shared" si="6"/>
        <v>1.0749999999999996E-3</v>
      </c>
      <c r="AB45" s="126">
        <f t="shared" si="7"/>
        <v>1.0749999999999996E-3</v>
      </c>
      <c r="AC45" s="126">
        <f t="shared" si="8"/>
        <v>1.0749999999999996E-3</v>
      </c>
      <c r="AD45" s="126">
        <f t="shared" si="9"/>
        <v>1.0749999999999996E-3</v>
      </c>
      <c r="AE45" s="125">
        <f t="shared" si="2"/>
        <v>214.99999999999991</v>
      </c>
      <c r="AF45" s="125">
        <f t="shared" si="3"/>
        <v>214.99999999999991</v>
      </c>
      <c r="AG45" s="125">
        <f t="shared" si="4"/>
        <v>214.99999999999991</v>
      </c>
      <c r="AH45" s="125" t="str">
        <f t="shared" si="5"/>
        <v/>
      </c>
    </row>
    <row r="46" spans="27:34" x14ac:dyDescent="0.35">
      <c r="AA46" s="126">
        <f t="shared" si="6"/>
        <v>1.0999999999999996E-3</v>
      </c>
      <c r="AB46" s="126">
        <f t="shared" si="7"/>
        <v>1.0999999999999996E-3</v>
      </c>
      <c r="AC46" s="126">
        <f t="shared" si="8"/>
        <v>1.0999999999999996E-3</v>
      </c>
      <c r="AD46" s="126">
        <f t="shared" si="9"/>
        <v>1.0999999999999996E-3</v>
      </c>
      <c r="AE46" s="125">
        <f t="shared" si="2"/>
        <v>219.99999999999991</v>
      </c>
      <c r="AF46" s="125">
        <f t="shared" si="3"/>
        <v>219.99999999999991</v>
      </c>
      <c r="AG46" s="125">
        <f t="shared" si="4"/>
        <v>220</v>
      </c>
      <c r="AH46" s="125" t="str">
        <f t="shared" si="5"/>
        <v/>
      </c>
    </row>
    <row r="47" spans="27:34" x14ac:dyDescent="0.35">
      <c r="AA47" s="126">
        <f t="shared" si="6"/>
        <v>1.1249999999999997E-3</v>
      </c>
      <c r="AB47" s="126">
        <f t="shared" si="7"/>
        <v>1.1249999999999997E-3</v>
      </c>
      <c r="AC47" s="126">
        <f t="shared" si="8"/>
        <v>1.1249999999999997E-3</v>
      </c>
      <c r="AD47" s="126">
        <f t="shared" si="9"/>
        <v>1.1249999999999997E-3</v>
      </c>
      <c r="AE47" s="125">
        <f t="shared" si="2"/>
        <v>224.99999999999994</v>
      </c>
      <c r="AF47" s="125">
        <f t="shared" si="3"/>
        <v>224.99999999999994</v>
      </c>
      <c r="AG47" s="125">
        <f t="shared" si="4"/>
        <v>220</v>
      </c>
      <c r="AH47" s="125" t="str">
        <f t="shared" si="5"/>
        <v/>
      </c>
    </row>
    <row r="48" spans="27:34" x14ac:dyDescent="0.35">
      <c r="AA48" s="126">
        <f t="shared" si="6"/>
        <v>1.1499999999999998E-3</v>
      </c>
      <c r="AB48" s="126">
        <f t="shared" si="7"/>
        <v>1.1499999999999998E-3</v>
      </c>
      <c r="AC48" s="126">
        <f t="shared" si="8"/>
        <v>1.1499999999999998E-3</v>
      </c>
      <c r="AD48" s="126">
        <f t="shared" si="9"/>
        <v>1.1499999999999998E-3</v>
      </c>
      <c r="AE48" s="125">
        <f t="shared" si="2"/>
        <v>229.99999999999994</v>
      </c>
      <c r="AF48" s="125">
        <f t="shared" si="3"/>
        <v>229.99999999999994</v>
      </c>
      <c r="AG48" s="125">
        <f t="shared" si="4"/>
        <v>220</v>
      </c>
      <c r="AH48" s="125" t="str">
        <f t="shared" si="5"/>
        <v/>
      </c>
    </row>
    <row r="49" spans="27:34" x14ac:dyDescent="0.35">
      <c r="AA49" s="126">
        <f t="shared" si="6"/>
        <v>1.1749999999999998E-3</v>
      </c>
      <c r="AB49" s="126">
        <f t="shared" si="7"/>
        <v>1.1749999999999998E-3</v>
      </c>
      <c r="AC49" s="126">
        <f t="shared" si="8"/>
        <v>1.1749999999999998E-3</v>
      </c>
      <c r="AD49" s="126">
        <f t="shared" si="9"/>
        <v>1.1749999999999998E-3</v>
      </c>
      <c r="AE49" s="125">
        <f t="shared" si="2"/>
        <v>234.99999999999997</v>
      </c>
      <c r="AF49" s="125">
        <f t="shared" si="3"/>
        <v>234.99999999999997</v>
      </c>
      <c r="AG49" s="125">
        <f t="shared" si="4"/>
        <v>220</v>
      </c>
      <c r="AH49" s="125" t="str">
        <f t="shared" si="5"/>
        <v/>
      </c>
    </row>
    <row r="50" spans="27:34" x14ac:dyDescent="0.35">
      <c r="AA50" s="126">
        <f t="shared" si="6"/>
        <v>1.1999999999999999E-3</v>
      </c>
      <c r="AB50" s="126">
        <f t="shared" si="7"/>
        <v>1.1999999999999999E-3</v>
      </c>
      <c r="AC50" s="126">
        <f t="shared" si="8"/>
        <v>1.1999999999999999E-3</v>
      </c>
      <c r="AD50" s="126">
        <f t="shared" si="9"/>
        <v>1.1999999999999999E-3</v>
      </c>
      <c r="AE50" s="125">
        <f t="shared" si="2"/>
        <v>239.99999999999997</v>
      </c>
      <c r="AF50" s="125">
        <f t="shared" si="3"/>
        <v>239.99999999999997</v>
      </c>
      <c r="AG50" s="125">
        <f t="shared" si="4"/>
        <v>220</v>
      </c>
      <c r="AH50" s="125" t="str">
        <f t="shared" si="5"/>
        <v/>
      </c>
    </row>
    <row r="51" spans="27:34" x14ac:dyDescent="0.35">
      <c r="AA51" s="126">
        <f t="shared" si="6"/>
        <v>1.225E-3</v>
      </c>
      <c r="AB51" s="126">
        <f t="shared" si="7"/>
        <v>1.225E-3</v>
      </c>
      <c r="AC51" s="126">
        <f t="shared" si="8"/>
        <v>1.225E-3</v>
      </c>
      <c r="AD51" s="126">
        <f t="shared" si="9"/>
        <v>1.225E-3</v>
      </c>
      <c r="AE51" s="125">
        <f t="shared" si="2"/>
        <v>245</v>
      </c>
      <c r="AF51" s="125">
        <f t="shared" si="3"/>
        <v>245</v>
      </c>
      <c r="AG51" s="125">
        <f t="shared" si="4"/>
        <v>220</v>
      </c>
      <c r="AH51" s="125" t="str">
        <f t="shared" si="5"/>
        <v/>
      </c>
    </row>
    <row r="52" spans="27:34" x14ac:dyDescent="0.35">
      <c r="AA52" s="126">
        <f t="shared" si="6"/>
        <v>1.25E-3</v>
      </c>
      <c r="AB52" s="126">
        <f t="shared" si="7"/>
        <v>1.25E-3</v>
      </c>
      <c r="AC52" s="126">
        <f t="shared" si="8"/>
        <v>1.25E-3</v>
      </c>
      <c r="AD52" s="126">
        <f t="shared" si="9"/>
        <v>1.25E-3</v>
      </c>
      <c r="AE52" s="125">
        <f t="shared" si="2"/>
        <v>250</v>
      </c>
      <c r="AF52" s="125">
        <f t="shared" si="3"/>
        <v>250</v>
      </c>
      <c r="AG52" s="125">
        <f t="shared" si="4"/>
        <v>220</v>
      </c>
      <c r="AH52" s="125" t="str">
        <f t="shared" si="5"/>
        <v/>
      </c>
    </row>
    <row r="53" spans="27:34" x14ac:dyDescent="0.35">
      <c r="AA53" s="126">
        <f t="shared" si="6"/>
        <v>1.2750000000000001E-3</v>
      </c>
      <c r="AB53" s="126">
        <f t="shared" si="7"/>
        <v>1.2750000000000001E-3</v>
      </c>
      <c r="AC53" s="126">
        <f t="shared" si="8"/>
        <v>1.2750000000000001E-3</v>
      </c>
      <c r="AD53" s="126">
        <f t="shared" si="9"/>
        <v>1.2750000000000001E-3</v>
      </c>
      <c r="AE53" s="125">
        <f t="shared" si="2"/>
        <v>255.00000000000003</v>
      </c>
      <c r="AF53" s="125">
        <f t="shared" si="3"/>
        <v>255.00000000000003</v>
      </c>
      <c r="AG53" s="125">
        <f t="shared" si="4"/>
        <v>220</v>
      </c>
      <c r="AH53" s="125" t="str">
        <f t="shared" si="5"/>
        <v/>
      </c>
    </row>
    <row r="54" spans="27:34" x14ac:dyDescent="0.35">
      <c r="AA54" s="126">
        <f t="shared" si="6"/>
        <v>1.3000000000000002E-3</v>
      </c>
      <c r="AB54" s="126">
        <f t="shared" si="7"/>
        <v>1.3000000000000002E-3</v>
      </c>
      <c r="AC54" s="126">
        <f t="shared" si="8"/>
        <v>1.3000000000000002E-3</v>
      </c>
      <c r="AD54" s="126">
        <f t="shared" si="9"/>
        <v>1.3000000000000002E-3</v>
      </c>
      <c r="AE54" s="125">
        <f t="shared" si="2"/>
        <v>260.00000000000006</v>
      </c>
      <c r="AF54" s="125">
        <f t="shared" si="3"/>
        <v>260.00000000000006</v>
      </c>
      <c r="AG54" s="125">
        <f t="shared" si="4"/>
        <v>220</v>
      </c>
      <c r="AH54" s="125" t="str">
        <f t="shared" si="5"/>
        <v/>
      </c>
    </row>
    <row r="55" spans="27:34" x14ac:dyDescent="0.35">
      <c r="AA55" s="126">
        <f t="shared" si="6"/>
        <v>1.3250000000000002E-3</v>
      </c>
      <c r="AB55" s="126">
        <f t="shared" si="7"/>
        <v>1.3250000000000002E-3</v>
      </c>
      <c r="AC55" s="126">
        <f t="shared" si="8"/>
        <v>1.3250000000000002E-3</v>
      </c>
      <c r="AD55" s="126">
        <f t="shared" si="9"/>
        <v>1.3250000000000002E-3</v>
      </c>
      <c r="AE55" s="125">
        <f t="shared" si="2"/>
        <v>265.00000000000006</v>
      </c>
      <c r="AF55" s="125">
        <f t="shared" si="3"/>
        <v>265.00000000000006</v>
      </c>
      <c r="AG55" s="125">
        <f t="shared" si="4"/>
        <v>220</v>
      </c>
      <c r="AH55" s="125" t="str">
        <f t="shared" si="5"/>
        <v/>
      </c>
    </row>
    <row r="56" spans="27:34" x14ac:dyDescent="0.35">
      <c r="AA56" s="126">
        <f t="shared" si="6"/>
        <v>1.3500000000000003E-3</v>
      </c>
      <c r="AB56" s="126">
        <f t="shared" si="7"/>
        <v>1.3500000000000003E-3</v>
      </c>
      <c r="AC56" s="126">
        <f t="shared" si="8"/>
        <v>1.3500000000000003E-3</v>
      </c>
      <c r="AD56" s="126">
        <f t="shared" si="9"/>
        <v>1.3500000000000003E-3</v>
      </c>
      <c r="AE56" s="125">
        <f t="shared" si="2"/>
        <v>270.00000000000006</v>
      </c>
      <c r="AF56" s="125">
        <f t="shared" si="3"/>
        <v>270.00000000000006</v>
      </c>
      <c r="AG56" s="125">
        <f t="shared" si="4"/>
        <v>220</v>
      </c>
      <c r="AH56" s="125" t="str">
        <f t="shared" si="5"/>
        <v/>
      </c>
    </row>
    <row r="57" spans="27:34" x14ac:dyDescent="0.35">
      <c r="AA57" s="126">
        <f t="shared" si="6"/>
        <v>1.3750000000000004E-3</v>
      </c>
      <c r="AB57" s="126">
        <f t="shared" si="7"/>
        <v>1.3750000000000004E-3</v>
      </c>
      <c r="AC57" s="126">
        <f t="shared" si="8"/>
        <v>1.3750000000000004E-3</v>
      </c>
      <c r="AD57" s="126">
        <f t="shared" si="9"/>
        <v>1.3750000000000004E-3</v>
      </c>
      <c r="AE57" s="125">
        <f t="shared" si="2"/>
        <v>275.00000000000006</v>
      </c>
      <c r="AF57" s="125">
        <f t="shared" si="3"/>
        <v>275.00000000000006</v>
      </c>
      <c r="AG57" s="125">
        <f t="shared" si="4"/>
        <v>220</v>
      </c>
      <c r="AH57" s="125" t="str">
        <f t="shared" si="5"/>
        <v/>
      </c>
    </row>
    <row r="58" spans="27:34" x14ac:dyDescent="0.35">
      <c r="AA58" s="126">
        <f t="shared" si="6"/>
        <v>1.4000000000000004E-3</v>
      </c>
      <c r="AB58" s="126">
        <f t="shared" si="7"/>
        <v>1.4000000000000004E-3</v>
      </c>
      <c r="AC58" s="126">
        <f t="shared" si="8"/>
        <v>1.4000000000000004E-3</v>
      </c>
      <c r="AD58" s="126">
        <f t="shared" si="9"/>
        <v>1.4000000000000004E-3</v>
      </c>
      <c r="AE58" s="125">
        <f t="shared" si="2"/>
        <v>280.00000000000006</v>
      </c>
      <c r="AF58" s="125">
        <f t="shared" si="3"/>
        <v>280.00000000000006</v>
      </c>
      <c r="AG58" s="125">
        <f t="shared" si="4"/>
        <v>220</v>
      </c>
      <c r="AH58" s="125" t="str">
        <f t="shared" si="5"/>
        <v/>
      </c>
    </row>
    <row r="59" spans="27:34" x14ac:dyDescent="0.35">
      <c r="AA59" s="126">
        <f t="shared" si="6"/>
        <v>1.4250000000000005E-3</v>
      </c>
      <c r="AB59" s="126">
        <f t="shared" si="7"/>
        <v>1.4250000000000005E-3</v>
      </c>
      <c r="AC59" s="126">
        <f t="shared" si="8"/>
        <v>1.4250000000000005E-3</v>
      </c>
      <c r="AD59" s="126">
        <f t="shared" si="9"/>
        <v>1.4250000000000005E-3</v>
      </c>
      <c r="AE59" s="125">
        <f t="shared" si="2"/>
        <v>285.00000000000011</v>
      </c>
      <c r="AF59" s="125">
        <f t="shared" si="3"/>
        <v>285.00000000000011</v>
      </c>
      <c r="AG59" s="125">
        <f t="shared" si="4"/>
        <v>220</v>
      </c>
      <c r="AH59" s="125" t="str">
        <f t="shared" si="5"/>
        <v/>
      </c>
    </row>
    <row r="60" spans="27:34" x14ac:dyDescent="0.35">
      <c r="AA60" s="126">
        <f t="shared" si="6"/>
        <v>1.4500000000000006E-3</v>
      </c>
      <c r="AB60" s="126">
        <f t="shared" si="7"/>
        <v>1.4500000000000006E-3</v>
      </c>
      <c r="AC60" s="126">
        <f t="shared" si="8"/>
        <v>1.4500000000000006E-3</v>
      </c>
      <c r="AD60" s="126">
        <f t="shared" si="9"/>
        <v>1.4500000000000006E-3</v>
      </c>
      <c r="AE60" s="125">
        <f t="shared" si="2"/>
        <v>290.00000000000011</v>
      </c>
      <c r="AF60" s="125">
        <f t="shared" si="3"/>
        <v>290.00000000000011</v>
      </c>
      <c r="AG60" s="125">
        <f t="shared" si="4"/>
        <v>220</v>
      </c>
      <c r="AH60" s="125" t="str">
        <f t="shared" si="5"/>
        <v/>
      </c>
    </row>
    <row r="61" spans="27:34" x14ac:dyDescent="0.35">
      <c r="AA61" s="126">
        <f t="shared" si="6"/>
        <v>1.4750000000000006E-3</v>
      </c>
      <c r="AB61" s="126">
        <f t="shared" si="7"/>
        <v>1.4750000000000006E-3</v>
      </c>
      <c r="AC61" s="126">
        <f t="shared" si="8"/>
        <v>1.4750000000000006E-3</v>
      </c>
      <c r="AD61" s="126">
        <f t="shared" si="9"/>
        <v>1.4750000000000006E-3</v>
      </c>
      <c r="AE61" s="125">
        <f t="shared" si="2"/>
        <v>295.00000000000011</v>
      </c>
      <c r="AF61" s="125">
        <f t="shared" si="3"/>
        <v>295.00000000000011</v>
      </c>
      <c r="AG61" s="125">
        <f t="shared" si="4"/>
        <v>220</v>
      </c>
      <c r="AH61" s="125" t="str">
        <f t="shared" si="5"/>
        <v/>
      </c>
    </row>
    <row r="62" spans="27:34" x14ac:dyDescent="0.35">
      <c r="AA62" s="126">
        <f t="shared" si="6"/>
        <v>1.5000000000000007E-3</v>
      </c>
      <c r="AB62" s="126">
        <f t="shared" si="7"/>
        <v>1.5000000000000007E-3</v>
      </c>
      <c r="AC62" s="126">
        <f t="shared" si="8"/>
        <v>1.5000000000000007E-3</v>
      </c>
      <c r="AD62" s="126">
        <f t="shared" si="9"/>
        <v>1.5000000000000007E-3</v>
      </c>
      <c r="AE62" s="125">
        <f t="shared" si="2"/>
        <v>300.00000000000011</v>
      </c>
      <c r="AF62" s="125">
        <f t="shared" si="3"/>
        <v>300.00000000000011</v>
      </c>
      <c r="AG62" s="125">
        <f t="shared" si="4"/>
        <v>220</v>
      </c>
      <c r="AH62" s="125" t="str">
        <f t="shared" si="5"/>
        <v/>
      </c>
    </row>
    <row r="63" spans="27:34" x14ac:dyDescent="0.35">
      <c r="AA63" s="126">
        <f t="shared" si="6"/>
        <v>1.5250000000000007E-3</v>
      </c>
      <c r="AB63" s="126">
        <f t="shared" si="7"/>
        <v>1.5250000000000007E-3</v>
      </c>
      <c r="AC63" s="126">
        <f t="shared" si="8"/>
        <v>1.5250000000000007E-3</v>
      </c>
      <c r="AD63" s="126">
        <f t="shared" si="9"/>
        <v>1.5250000000000007E-3</v>
      </c>
      <c r="AE63" s="125">
        <f t="shared" si="2"/>
        <v>305.00000000000017</v>
      </c>
      <c r="AF63" s="125">
        <f t="shared" si="3"/>
        <v>305.00000000000017</v>
      </c>
      <c r="AG63" s="125">
        <f t="shared" si="4"/>
        <v>220</v>
      </c>
      <c r="AH63" s="125" t="str">
        <f t="shared" si="5"/>
        <v/>
      </c>
    </row>
    <row r="64" spans="27:34" x14ac:dyDescent="0.35">
      <c r="AA64" s="126">
        <f t="shared" si="6"/>
        <v>1.5500000000000008E-3</v>
      </c>
      <c r="AB64" s="126">
        <f t="shared" si="7"/>
        <v>1.5500000000000008E-3</v>
      </c>
      <c r="AC64" s="126">
        <f t="shared" si="8"/>
        <v>1.5500000000000008E-3</v>
      </c>
      <c r="AD64" s="126">
        <f t="shared" si="9"/>
        <v>1.5500000000000008E-3</v>
      </c>
      <c r="AE64" s="125">
        <f t="shared" si="2"/>
        <v>310.00000000000017</v>
      </c>
      <c r="AF64" s="125">
        <f t="shared" si="3"/>
        <v>310.00000000000017</v>
      </c>
      <c r="AG64" s="125">
        <f t="shared" si="4"/>
        <v>220</v>
      </c>
      <c r="AH64" s="125" t="str">
        <f t="shared" si="5"/>
        <v/>
      </c>
    </row>
    <row r="65" spans="27:34" x14ac:dyDescent="0.35">
      <c r="AA65" s="126">
        <f t="shared" si="6"/>
        <v>1.5750000000000009E-3</v>
      </c>
      <c r="AB65" s="126">
        <f t="shared" si="7"/>
        <v>1.5750000000000009E-3</v>
      </c>
      <c r="AC65" s="126">
        <f t="shared" si="8"/>
        <v>1.5750000000000009E-3</v>
      </c>
      <c r="AD65" s="126">
        <f t="shared" si="9"/>
        <v>1.5750000000000009E-3</v>
      </c>
      <c r="AE65" s="125">
        <f t="shared" si="2"/>
        <v>315.00000000000017</v>
      </c>
      <c r="AF65" s="125">
        <f t="shared" si="3"/>
        <v>315.00000000000017</v>
      </c>
      <c r="AG65" s="125">
        <f t="shared" si="4"/>
        <v>220</v>
      </c>
      <c r="AH65" s="125" t="str">
        <f t="shared" si="5"/>
        <v/>
      </c>
    </row>
    <row r="66" spans="27:34" x14ac:dyDescent="0.35">
      <c r="AA66" s="126">
        <f t="shared" si="6"/>
        <v>1.6000000000000009E-3</v>
      </c>
      <c r="AB66" s="126">
        <f t="shared" si="7"/>
        <v>1.6000000000000009E-3</v>
      </c>
      <c r="AC66" s="126">
        <f t="shared" si="8"/>
        <v>1.6000000000000009E-3</v>
      </c>
      <c r="AD66" s="126">
        <f t="shared" si="9"/>
        <v>1.6000000000000009E-3</v>
      </c>
      <c r="AE66" s="125">
        <f t="shared" si="2"/>
        <v>320.00000000000017</v>
      </c>
      <c r="AF66" s="125">
        <f t="shared" si="3"/>
        <v>320.00000000000017</v>
      </c>
      <c r="AG66" s="125">
        <f t="shared" si="4"/>
        <v>220</v>
      </c>
      <c r="AH66" s="125" t="str">
        <f t="shared" si="5"/>
        <v/>
      </c>
    </row>
    <row r="67" spans="27:34" x14ac:dyDescent="0.35">
      <c r="AA67" s="126">
        <f t="shared" si="6"/>
        <v>1.625000000000001E-3</v>
      </c>
      <c r="AB67" s="126">
        <f t="shared" si="7"/>
        <v>1.625000000000001E-3</v>
      </c>
      <c r="AC67" s="126">
        <f t="shared" si="8"/>
        <v>1.625000000000001E-3</v>
      </c>
      <c r="AD67" s="126">
        <f t="shared" si="9"/>
        <v>1.625000000000001E-3</v>
      </c>
      <c r="AE67" s="125">
        <f t="shared" ref="AE67:AE130" si="10">IF(AA67&lt;B$6,B$4*AA67,B$3)</f>
        <v>325.00000000000023</v>
      </c>
      <c r="AF67" s="125">
        <f t="shared" ref="AF67:AF130" si="11">IF(AB67&lt;C$6,C$4*AB67,C$3)</f>
        <v>325.00000000000023</v>
      </c>
      <c r="AG67" s="125">
        <f t="shared" ref="AG67:AG130" si="12">IF(AC67&lt;D$6,D$4*AC67,D$3)</f>
        <v>220</v>
      </c>
      <c r="AH67" s="125" t="str">
        <f t="shared" ref="AH67:AH130" si="13">IF(AND(NOT(ISBLANK($E$3)), NOT(ISBLANK($E$4)), NOT(ISBLANK($E$5)), NOT(ISBLANK($E$6))), IF(AD67&lt;E$6,E$4*AD67,E$3), "")</f>
        <v/>
      </c>
    </row>
    <row r="68" spans="27:34" x14ac:dyDescent="0.35">
      <c r="AA68" s="126">
        <f t="shared" ref="AA68:AA131" si="14">AA67+MAX($B$6:$E$6)*2/200</f>
        <v>1.6500000000000011E-3</v>
      </c>
      <c r="AB68" s="126">
        <f t="shared" ref="AB68:AB131" si="15">AB67+MAX($B$6:$E$6)*2/200</f>
        <v>1.6500000000000011E-3</v>
      </c>
      <c r="AC68" s="126">
        <f t="shared" ref="AC68:AC131" si="16">AC67+MAX($B$6:$E$6)*2/200</f>
        <v>1.6500000000000011E-3</v>
      </c>
      <c r="AD68" s="126">
        <f t="shared" ref="AD68:AD131" si="17">AD67+MAX($B$6:$E$6)*2/200</f>
        <v>1.6500000000000011E-3</v>
      </c>
      <c r="AE68" s="125">
        <f t="shared" si="10"/>
        <v>330.00000000000023</v>
      </c>
      <c r="AF68" s="125">
        <f t="shared" si="11"/>
        <v>330.00000000000023</v>
      </c>
      <c r="AG68" s="125">
        <f t="shared" si="12"/>
        <v>220</v>
      </c>
      <c r="AH68" s="125" t="str">
        <f t="shared" si="13"/>
        <v/>
      </c>
    </row>
    <row r="69" spans="27:34" x14ac:dyDescent="0.35">
      <c r="AA69" s="126">
        <f t="shared" si="14"/>
        <v>1.6750000000000011E-3</v>
      </c>
      <c r="AB69" s="126">
        <f t="shared" si="15"/>
        <v>1.6750000000000011E-3</v>
      </c>
      <c r="AC69" s="126">
        <f t="shared" si="16"/>
        <v>1.6750000000000011E-3</v>
      </c>
      <c r="AD69" s="126">
        <f t="shared" si="17"/>
        <v>1.6750000000000011E-3</v>
      </c>
      <c r="AE69" s="125">
        <f t="shared" si="10"/>
        <v>335.00000000000023</v>
      </c>
      <c r="AF69" s="125">
        <f t="shared" si="11"/>
        <v>335.00000000000023</v>
      </c>
      <c r="AG69" s="125">
        <f t="shared" si="12"/>
        <v>220</v>
      </c>
      <c r="AH69" s="125" t="str">
        <f t="shared" si="13"/>
        <v/>
      </c>
    </row>
    <row r="70" spans="27:34" x14ac:dyDescent="0.35">
      <c r="AA70" s="126">
        <f t="shared" si="14"/>
        <v>1.7000000000000012E-3</v>
      </c>
      <c r="AB70" s="126">
        <f t="shared" si="15"/>
        <v>1.7000000000000012E-3</v>
      </c>
      <c r="AC70" s="126">
        <f t="shared" si="16"/>
        <v>1.7000000000000012E-3</v>
      </c>
      <c r="AD70" s="126">
        <f t="shared" si="17"/>
        <v>1.7000000000000012E-3</v>
      </c>
      <c r="AE70" s="125">
        <f t="shared" si="10"/>
        <v>340.00000000000023</v>
      </c>
      <c r="AF70" s="125">
        <f t="shared" si="11"/>
        <v>340.00000000000023</v>
      </c>
      <c r="AG70" s="125">
        <f t="shared" si="12"/>
        <v>220</v>
      </c>
      <c r="AH70" s="125" t="str">
        <f t="shared" si="13"/>
        <v/>
      </c>
    </row>
    <row r="71" spans="27:34" x14ac:dyDescent="0.35">
      <c r="AA71" s="126">
        <f t="shared" si="14"/>
        <v>1.7250000000000013E-3</v>
      </c>
      <c r="AB71" s="126">
        <f t="shared" si="15"/>
        <v>1.7250000000000013E-3</v>
      </c>
      <c r="AC71" s="126">
        <f t="shared" si="16"/>
        <v>1.7250000000000013E-3</v>
      </c>
      <c r="AD71" s="126">
        <f t="shared" si="17"/>
        <v>1.7250000000000013E-3</v>
      </c>
      <c r="AE71" s="125">
        <f t="shared" si="10"/>
        <v>345.00000000000023</v>
      </c>
      <c r="AF71" s="125">
        <f t="shared" si="11"/>
        <v>345.00000000000023</v>
      </c>
      <c r="AG71" s="125">
        <f t="shared" si="12"/>
        <v>220</v>
      </c>
      <c r="AH71" s="125" t="str">
        <f t="shared" si="13"/>
        <v/>
      </c>
    </row>
    <row r="72" spans="27:34" x14ac:dyDescent="0.35">
      <c r="AA72" s="126">
        <f t="shared" si="14"/>
        <v>1.7500000000000013E-3</v>
      </c>
      <c r="AB72" s="126">
        <f t="shared" si="15"/>
        <v>1.7500000000000013E-3</v>
      </c>
      <c r="AC72" s="126">
        <f t="shared" si="16"/>
        <v>1.7500000000000013E-3</v>
      </c>
      <c r="AD72" s="126">
        <f t="shared" si="17"/>
        <v>1.7500000000000013E-3</v>
      </c>
      <c r="AE72" s="125">
        <f t="shared" si="10"/>
        <v>350.00000000000028</v>
      </c>
      <c r="AF72" s="125">
        <f t="shared" si="11"/>
        <v>350.00000000000028</v>
      </c>
      <c r="AG72" s="125">
        <f t="shared" si="12"/>
        <v>220</v>
      </c>
      <c r="AH72" s="125" t="str">
        <f t="shared" si="13"/>
        <v/>
      </c>
    </row>
    <row r="73" spans="27:34" x14ac:dyDescent="0.35">
      <c r="AA73" s="126">
        <f t="shared" si="14"/>
        <v>1.7750000000000014E-3</v>
      </c>
      <c r="AB73" s="126">
        <f t="shared" si="15"/>
        <v>1.7750000000000014E-3</v>
      </c>
      <c r="AC73" s="126">
        <f t="shared" si="16"/>
        <v>1.7750000000000014E-3</v>
      </c>
      <c r="AD73" s="126">
        <f t="shared" si="17"/>
        <v>1.7750000000000014E-3</v>
      </c>
      <c r="AE73" s="125">
        <f t="shared" si="10"/>
        <v>355.00000000000028</v>
      </c>
      <c r="AF73" s="125">
        <f t="shared" si="11"/>
        <v>355.00000000000028</v>
      </c>
      <c r="AG73" s="125">
        <f t="shared" si="12"/>
        <v>220</v>
      </c>
      <c r="AH73" s="125" t="str">
        <f t="shared" si="13"/>
        <v/>
      </c>
    </row>
    <row r="74" spans="27:34" x14ac:dyDescent="0.35">
      <c r="AA74" s="126">
        <f t="shared" si="14"/>
        <v>1.8000000000000015E-3</v>
      </c>
      <c r="AB74" s="126">
        <f t="shared" si="15"/>
        <v>1.8000000000000015E-3</v>
      </c>
      <c r="AC74" s="126">
        <f t="shared" si="16"/>
        <v>1.8000000000000015E-3</v>
      </c>
      <c r="AD74" s="126">
        <f t="shared" si="17"/>
        <v>1.8000000000000015E-3</v>
      </c>
      <c r="AE74" s="125">
        <f t="shared" si="10"/>
        <v>360.00000000000028</v>
      </c>
      <c r="AF74" s="125">
        <f t="shared" si="11"/>
        <v>360.00000000000028</v>
      </c>
      <c r="AG74" s="125">
        <f t="shared" si="12"/>
        <v>220</v>
      </c>
      <c r="AH74" s="125" t="str">
        <f t="shared" si="13"/>
        <v/>
      </c>
    </row>
    <row r="75" spans="27:34" x14ac:dyDescent="0.35">
      <c r="AA75" s="126">
        <f t="shared" si="14"/>
        <v>1.8250000000000015E-3</v>
      </c>
      <c r="AB75" s="126">
        <f t="shared" si="15"/>
        <v>1.8250000000000015E-3</v>
      </c>
      <c r="AC75" s="126">
        <f t="shared" si="16"/>
        <v>1.8250000000000015E-3</v>
      </c>
      <c r="AD75" s="126">
        <f t="shared" si="17"/>
        <v>1.8250000000000015E-3</v>
      </c>
      <c r="AE75" s="125">
        <f t="shared" si="10"/>
        <v>365.00000000000028</v>
      </c>
      <c r="AF75" s="125">
        <f t="shared" si="11"/>
        <v>365.00000000000028</v>
      </c>
      <c r="AG75" s="125">
        <f t="shared" si="12"/>
        <v>220</v>
      </c>
      <c r="AH75" s="125" t="str">
        <f t="shared" si="13"/>
        <v/>
      </c>
    </row>
    <row r="76" spans="27:34" x14ac:dyDescent="0.35">
      <c r="AA76" s="126">
        <f t="shared" si="14"/>
        <v>1.8500000000000016E-3</v>
      </c>
      <c r="AB76" s="126">
        <f t="shared" si="15"/>
        <v>1.8500000000000016E-3</v>
      </c>
      <c r="AC76" s="126">
        <f t="shared" si="16"/>
        <v>1.8500000000000016E-3</v>
      </c>
      <c r="AD76" s="126">
        <f t="shared" si="17"/>
        <v>1.8500000000000016E-3</v>
      </c>
      <c r="AE76" s="125">
        <f t="shared" si="10"/>
        <v>370.00000000000034</v>
      </c>
      <c r="AF76" s="125">
        <f t="shared" si="11"/>
        <v>370.00000000000034</v>
      </c>
      <c r="AG76" s="125">
        <f t="shared" si="12"/>
        <v>220</v>
      </c>
      <c r="AH76" s="125" t="str">
        <f t="shared" si="13"/>
        <v/>
      </c>
    </row>
    <row r="77" spans="27:34" x14ac:dyDescent="0.35">
      <c r="AA77" s="126">
        <f t="shared" si="14"/>
        <v>1.8750000000000017E-3</v>
      </c>
      <c r="AB77" s="126">
        <f t="shared" si="15"/>
        <v>1.8750000000000017E-3</v>
      </c>
      <c r="AC77" s="126">
        <f t="shared" si="16"/>
        <v>1.8750000000000017E-3</v>
      </c>
      <c r="AD77" s="126">
        <f t="shared" si="17"/>
        <v>1.8750000000000017E-3</v>
      </c>
      <c r="AE77" s="125">
        <f t="shared" si="10"/>
        <v>375.00000000000034</v>
      </c>
      <c r="AF77" s="125">
        <f t="shared" si="11"/>
        <v>375.00000000000034</v>
      </c>
      <c r="AG77" s="125">
        <f t="shared" si="12"/>
        <v>220</v>
      </c>
      <c r="AH77" s="125" t="str">
        <f t="shared" si="13"/>
        <v/>
      </c>
    </row>
    <row r="78" spans="27:34" x14ac:dyDescent="0.35">
      <c r="AA78" s="126">
        <f t="shared" si="14"/>
        <v>1.9000000000000017E-3</v>
      </c>
      <c r="AB78" s="126">
        <f t="shared" si="15"/>
        <v>1.9000000000000017E-3</v>
      </c>
      <c r="AC78" s="126">
        <f t="shared" si="16"/>
        <v>1.9000000000000017E-3</v>
      </c>
      <c r="AD78" s="126">
        <f t="shared" si="17"/>
        <v>1.9000000000000017E-3</v>
      </c>
      <c r="AE78" s="125">
        <f t="shared" si="10"/>
        <v>380.00000000000034</v>
      </c>
      <c r="AF78" s="125">
        <f t="shared" si="11"/>
        <v>380.00000000000034</v>
      </c>
      <c r="AG78" s="125">
        <f t="shared" si="12"/>
        <v>220</v>
      </c>
      <c r="AH78" s="125" t="str">
        <f t="shared" si="13"/>
        <v/>
      </c>
    </row>
    <row r="79" spans="27:34" x14ac:dyDescent="0.35">
      <c r="AA79" s="126">
        <f t="shared" si="14"/>
        <v>1.9250000000000018E-3</v>
      </c>
      <c r="AB79" s="126">
        <f t="shared" si="15"/>
        <v>1.9250000000000018E-3</v>
      </c>
      <c r="AC79" s="126">
        <f t="shared" si="16"/>
        <v>1.9250000000000018E-3</v>
      </c>
      <c r="AD79" s="126">
        <f t="shared" si="17"/>
        <v>1.9250000000000018E-3</v>
      </c>
      <c r="AE79" s="125">
        <f t="shared" si="10"/>
        <v>385.00000000000034</v>
      </c>
      <c r="AF79" s="125">
        <f t="shared" si="11"/>
        <v>385.00000000000034</v>
      </c>
      <c r="AG79" s="125">
        <f t="shared" si="12"/>
        <v>220</v>
      </c>
      <c r="AH79" s="125" t="str">
        <f t="shared" si="13"/>
        <v/>
      </c>
    </row>
    <row r="80" spans="27:34" x14ac:dyDescent="0.35">
      <c r="AA80" s="126">
        <f t="shared" si="14"/>
        <v>1.9500000000000019E-3</v>
      </c>
      <c r="AB80" s="126">
        <f t="shared" si="15"/>
        <v>1.9500000000000019E-3</v>
      </c>
      <c r="AC80" s="126">
        <f t="shared" si="16"/>
        <v>1.9500000000000019E-3</v>
      </c>
      <c r="AD80" s="126">
        <f t="shared" si="17"/>
        <v>1.9500000000000019E-3</v>
      </c>
      <c r="AE80" s="125">
        <f t="shared" si="10"/>
        <v>390.0000000000004</v>
      </c>
      <c r="AF80" s="125">
        <f t="shared" si="11"/>
        <v>390.0000000000004</v>
      </c>
      <c r="AG80" s="125">
        <f t="shared" si="12"/>
        <v>220</v>
      </c>
      <c r="AH80" s="125" t="str">
        <f t="shared" si="13"/>
        <v/>
      </c>
    </row>
    <row r="81" spans="27:34" x14ac:dyDescent="0.35">
      <c r="AA81" s="126">
        <f t="shared" si="14"/>
        <v>1.9750000000000019E-3</v>
      </c>
      <c r="AB81" s="126">
        <f t="shared" si="15"/>
        <v>1.9750000000000019E-3</v>
      </c>
      <c r="AC81" s="126">
        <f t="shared" si="16"/>
        <v>1.9750000000000019E-3</v>
      </c>
      <c r="AD81" s="126">
        <f t="shared" si="17"/>
        <v>1.9750000000000019E-3</v>
      </c>
      <c r="AE81" s="125">
        <f t="shared" si="10"/>
        <v>395.0000000000004</v>
      </c>
      <c r="AF81" s="125">
        <f t="shared" si="11"/>
        <v>395.0000000000004</v>
      </c>
      <c r="AG81" s="125">
        <f t="shared" si="12"/>
        <v>220</v>
      </c>
      <c r="AH81" s="125" t="str">
        <f t="shared" si="13"/>
        <v/>
      </c>
    </row>
    <row r="82" spans="27:34" x14ac:dyDescent="0.35">
      <c r="AA82" s="126">
        <f t="shared" si="14"/>
        <v>2.0000000000000018E-3</v>
      </c>
      <c r="AB82" s="126">
        <f t="shared" si="15"/>
        <v>2.0000000000000018E-3</v>
      </c>
      <c r="AC82" s="126">
        <f t="shared" si="16"/>
        <v>2.0000000000000018E-3</v>
      </c>
      <c r="AD82" s="126">
        <f t="shared" si="17"/>
        <v>2.0000000000000018E-3</v>
      </c>
      <c r="AE82" s="125">
        <f t="shared" si="10"/>
        <v>400.00000000000034</v>
      </c>
      <c r="AF82" s="125">
        <f t="shared" si="11"/>
        <v>400.00000000000034</v>
      </c>
      <c r="AG82" s="125">
        <f t="shared" si="12"/>
        <v>220</v>
      </c>
      <c r="AH82" s="125" t="str">
        <f t="shared" si="13"/>
        <v/>
      </c>
    </row>
    <row r="83" spans="27:34" x14ac:dyDescent="0.35">
      <c r="AA83" s="126">
        <f t="shared" si="14"/>
        <v>2.0250000000000016E-3</v>
      </c>
      <c r="AB83" s="126">
        <f t="shared" si="15"/>
        <v>2.0250000000000016E-3</v>
      </c>
      <c r="AC83" s="126">
        <f t="shared" si="16"/>
        <v>2.0250000000000016E-3</v>
      </c>
      <c r="AD83" s="126">
        <f t="shared" si="17"/>
        <v>2.0250000000000016E-3</v>
      </c>
      <c r="AE83" s="125">
        <f t="shared" si="10"/>
        <v>405.00000000000034</v>
      </c>
      <c r="AF83" s="125">
        <f t="shared" si="11"/>
        <v>405.00000000000034</v>
      </c>
      <c r="AG83" s="125">
        <f t="shared" si="12"/>
        <v>220</v>
      </c>
      <c r="AH83" s="125" t="str">
        <f t="shared" si="13"/>
        <v/>
      </c>
    </row>
    <row r="84" spans="27:34" x14ac:dyDescent="0.35">
      <c r="AA84" s="126">
        <f t="shared" si="14"/>
        <v>2.0500000000000015E-3</v>
      </c>
      <c r="AB84" s="126">
        <f t="shared" si="15"/>
        <v>2.0500000000000015E-3</v>
      </c>
      <c r="AC84" s="126">
        <f t="shared" si="16"/>
        <v>2.0500000000000015E-3</v>
      </c>
      <c r="AD84" s="126">
        <f t="shared" si="17"/>
        <v>2.0500000000000015E-3</v>
      </c>
      <c r="AE84" s="125">
        <f t="shared" si="10"/>
        <v>410.00000000000028</v>
      </c>
      <c r="AF84" s="125">
        <f t="shared" si="11"/>
        <v>410.00000000000028</v>
      </c>
      <c r="AG84" s="125">
        <f t="shared" si="12"/>
        <v>220</v>
      </c>
      <c r="AH84" s="125" t="str">
        <f t="shared" si="13"/>
        <v/>
      </c>
    </row>
    <row r="85" spans="27:34" x14ac:dyDescent="0.35">
      <c r="AA85" s="126">
        <f t="shared" si="14"/>
        <v>2.0750000000000013E-3</v>
      </c>
      <c r="AB85" s="126">
        <f t="shared" si="15"/>
        <v>2.0750000000000013E-3</v>
      </c>
      <c r="AC85" s="126">
        <f t="shared" si="16"/>
        <v>2.0750000000000013E-3</v>
      </c>
      <c r="AD85" s="126">
        <f t="shared" si="17"/>
        <v>2.0750000000000013E-3</v>
      </c>
      <c r="AE85" s="125">
        <f t="shared" si="10"/>
        <v>415.00000000000028</v>
      </c>
      <c r="AF85" s="125">
        <f t="shared" si="11"/>
        <v>415.00000000000028</v>
      </c>
      <c r="AG85" s="125">
        <f t="shared" si="12"/>
        <v>220</v>
      </c>
      <c r="AH85" s="125" t="str">
        <f t="shared" si="13"/>
        <v/>
      </c>
    </row>
    <row r="86" spans="27:34" x14ac:dyDescent="0.35">
      <c r="AA86" s="126">
        <f t="shared" si="14"/>
        <v>2.1000000000000012E-3</v>
      </c>
      <c r="AB86" s="126">
        <f t="shared" si="15"/>
        <v>2.1000000000000012E-3</v>
      </c>
      <c r="AC86" s="126">
        <f t="shared" si="16"/>
        <v>2.1000000000000012E-3</v>
      </c>
      <c r="AD86" s="126">
        <f t="shared" si="17"/>
        <v>2.1000000000000012E-3</v>
      </c>
      <c r="AE86" s="125">
        <f t="shared" si="10"/>
        <v>420</v>
      </c>
      <c r="AF86" s="125">
        <f t="shared" si="11"/>
        <v>420.00000000000023</v>
      </c>
      <c r="AG86" s="125">
        <f t="shared" si="12"/>
        <v>220</v>
      </c>
      <c r="AH86" s="125" t="str">
        <f t="shared" si="13"/>
        <v/>
      </c>
    </row>
    <row r="87" spans="27:34" x14ac:dyDescent="0.35">
      <c r="AA87" s="126">
        <f t="shared" si="14"/>
        <v>2.125000000000001E-3</v>
      </c>
      <c r="AB87" s="126">
        <f t="shared" si="15"/>
        <v>2.125000000000001E-3</v>
      </c>
      <c r="AC87" s="126">
        <f t="shared" si="16"/>
        <v>2.125000000000001E-3</v>
      </c>
      <c r="AD87" s="126">
        <f t="shared" si="17"/>
        <v>2.125000000000001E-3</v>
      </c>
      <c r="AE87" s="125">
        <f t="shared" si="10"/>
        <v>420</v>
      </c>
      <c r="AF87" s="125">
        <f t="shared" si="11"/>
        <v>425.00000000000023</v>
      </c>
      <c r="AG87" s="125">
        <f t="shared" si="12"/>
        <v>220</v>
      </c>
      <c r="AH87" s="125" t="str">
        <f t="shared" si="13"/>
        <v/>
      </c>
    </row>
    <row r="88" spans="27:34" x14ac:dyDescent="0.35">
      <c r="AA88" s="126">
        <f t="shared" si="14"/>
        <v>2.1500000000000009E-3</v>
      </c>
      <c r="AB88" s="126">
        <f t="shared" si="15"/>
        <v>2.1500000000000009E-3</v>
      </c>
      <c r="AC88" s="126">
        <f t="shared" si="16"/>
        <v>2.1500000000000009E-3</v>
      </c>
      <c r="AD88" s="126">
        <f t="shared" si="17"/>
        <v>2.1500000000000009E-3</v>
      </c>
      <c r="AE88" s="125">
        <f t="shared" si="10"/>
        <v>420</v>
      </c>
      <c r="AF88" s="125">
        <f t="shared" si="11"/>
        <v>430.00000000000017</v>
      </c>
      <c r="AG88" s="125">
        <f t="shared" si="12"/>
        <v>220</v>
      </c>
      <c r="AH88" s="125" t="str">
        <f t="shared" si="13"/>
        <v/>
      </c>
    </row>
    <row r="89" spans="27:34" x14ac:dyDescent="0.35">
      <c r="AA89" s="126">
        <f t="shared" si="14"/>
        <v>2.1750000000000007E-3</v>
      </c>
      <c r="AB89" s="126">
        <f t="shared" si="15"/>
        <v>2.1750000000000007E-3</v>
      </c>
      <c r="AC89" s="126">
        <f t="shared" si="16"/>
        <v>2.1750000000000007E-3</v>
      </c>
      <c r="AD89" s="126">
        <f t="shared" si="17"/>
        <v>2.1750000000000007E-3</v>
      </c>
      <c r="AE89" s="125">
        <f t="shared" si="10"/>
        <v>420</v>
      </c>
      <c r="AF89" s="125">
        <f t="shared" si="11"/>
        <v>435.00000000000017</v>
      </c>
      <c r="AG89" s="125">
        <f t="shared" si="12"/>
        <v>220</v>
      </c>
      <c r="AH89" s="125" t="str">
        <f t="shared" si="13"/>
        <v/>
      </c>
    </row>
    <row r="90" spans="27:34" x14ac:dyDescent="0.35">
      <c r="AA90" s="126">
        <f t="shared" si="14"/>
        <v>2.2000000000000006E-3</v>
      </c>
      <c r="AB90" s="126">
        <f t="shared" si="15"/>
        <v>2.2000000000000006E-3</v>
      </c>
      <c r="AC90" s="126">
        <f t="shared" si="16"/>
        <v>2.2000000000000006E-3</v>
      </c>
      <c r="AD90" s="126">
        <f t="shared" si="17"/>
        <v>2.2000000000000006E-3</v>
      </c>
      <c r="AE90" s="125">
        <f t="shared" si="10"/>
        <v>420</v>
      </c>
      <c r="AF90" s="125">
        <f t="shared" si="11"/>
        <v>440.00000000000011</v>
      </c>
      <c r="AG90" s="125">
        <f t="shared" si="12"/>
        <v>220</v>
      </c>
      <c r="AH90" s="125" t="str">
        <f t="shared" si="13"/>
        <v/>
      </c>
    </row>
    <row r="91" spans="27:34" x14ac:dyDescent="0.35">
      <c r="AA91" s="126">
        <f t="shared" si="14"/>
        <v>2.2250000000000004E-3</v>
      </c>
      <c r="AB91" s="126">
        <f t="shared" si="15"/>
        <v>2.2250000000000004E-3</v>
      </c>
      <c r="AC91" s="126">
        <f t="shared" si="16"/>
        <v>2.2250000000000004E-3</v>
      </c>
      <c r="AD91" s="126">
        <f t="shared" si="17"/>
        <v>2.2250000000000004E-3</v>
      </c>
      <c r="AE91" s="125">
        <f t="shared" si="10"/>
        <v>420</v>
      </c>
      <c r="AF91" s="125">
        <f t="shared" si="11"/>
        <v>445.00000000000006</v>
      </c>
      <c r="AG91" s="125">
        <f t="shared" si="12"/>
        <v>220</v>
      </c>
      <c r="AH91" s="125" t="str">
        <f t="shared" si="13"/>
        <v/>
      </c>
    </row>
    <row r="92" spans="27:34" x14ac:dyDescent="0.35">
      <c r="AA92" s="126">
        <f t="shared" si="14"/>
        <v>2.2500000000000003E-3</v>
      </c>
      <c r="AB92" s="126">
        <f t="shared" si="15"/>
        <v>2.2500000000000003E-3</v>
      </c>
      <c r="AC92" s="126">
        <f t="shared" si="16"/>
        <v>2.2500000000000003E-3</v>
      </c>
      <c r="AD92" s="126">
        <f t="shared" si="17"/>
        <v>2.2500000000000003E-3</v>
      </c>
      <c r="AE92" s="125">
        <f t="shared" si="10"/>
        <v>420</v>
      </c>
      <c r="AF92" s="125">
        <f t="shared" si="11"/>
        <v>450.00000000000006</v>
      </c>
      <c r="AG92" s="125">
        <f t="shared" si="12"/>
        <v>220</v>
      </c>
      <c r="AH92" s="125" t="str">
        <f t="shared" si="13"/>
        <v/>
      </c>
    </row>
    <row r="93" spans="27:34" x14ac:dyDescent="0.35">
      <c r="AA93" s="126">
        <f t="shared" si="14"/>
        <v>2.2750000000000001E-3</v>
      </c>
      <c r="AB93" s="126">
        <f t="shared" si="15"/>
        <v>2.2750000000000001E-3</v>
      </c>
      <c r="AC93" s="126">
        <f t="shared" si="16"/>
        <v>2.2750000000000001E-3</v>
      </c>
      <c r="AD93" s="126">
        <f t="shared" si="17"/>
        <v>2.2750000000000001E-3</v>
      </c>
      <c r="AE93" s="125">
        <f t="shared" si="10"/>
        <v>420</v>
      </c>
      <c r="AF93" s="125">
        <f t="shared" si="11"/>
        <v>455</v>
      </c>
      <c r="AG93" s="125">
        <f t="shared" si="12"/>
        <v>220</v>
      </c>
      <c r="AH93" s="125" t="str">
        <f t="shared" si="13"/>
        <v/>
      </c>
    </row>
    <row r="94" spans="27:34" x14ac:dyDescent="0.35">
      <c r="AA94" s="126">
        <f t="shared" si="14"/>
        <v>2.3E-3</v>
      </c>
      <c r="AB94" s="126">
        <f t="shared" si="15"/>
        <v>2.3E-3</v>
      </c>
      <c r="AC94" s="126">
        <f t="shared" si="16"/>
        <v>2.3E-3</v>
      </c>
      <c r="AD94" s="126">
        <f t="shared" si="17"/>
        <v>2.3E-3</v>
      </c>
      <c r="AE94" s="125">
        <f t="shared" si="10"/>
        <v>420</v>
      </c>
      <c r="AF94" s="125">
        <f t="shared" si="11"/>
        <v>460</v>
      </c>
      <c r="AG94" s="125">
        <f t="shared" si="12"/>
        <v>220</v>
      </c>
      <c r="AH94" s="125" t="str">
        <f t="shared" si="13"/>
        <v/>
      </c>
    </row>
    <row r="95" spans="27:34" x14ac:dyDescent="0.35">
      <c r="AA95" s="126">
        <f t="shared" si="14"/>
        <v>2.3249999999999998E-3</v>
      </c>
      <c r="AB95" s="126">
        <f t="shared" si="15"/>
        <v>2.3249999999999998E-3</v>
      </c>
      <c r="AC95" s="126">
        <f t="shared" si="16"/>
        <v>2.3249999999999998E-3</v>
      </c>
      <c r="AD95" s="126">
        <f t="shared" si="17"/>
        <v>2.3249999999999998E-3</v>
      </c>
      <c r="AE95" s="125">
        <f t="shared" si="10"/>
        <v>420</v>
      </c>
      <c r="AF95" s="125">
        <f t="shared" si="11"/>
        <v>464.99999999999994</v>
      </c>
      <c r="AG95" s="125">
        <f t="shared" si="12"/>
        <v>220</v>
      </c>
      <c r="AH95" s="125" t="str">
        <f t="shared" si="13"/>
        <v/>
      </c>
    </row>
    <row r="96" spans="27:34" x14ac:dyDescent="0.35">
      <c r="AA96" s="126">
        <f t="shared" si="14"/>
        <v>2.3499999999999997E-3</v>
      </c>
      <c r="AB96" s="126">
        <f t="shared" si="15"/>
        <v>2.3499999999999997E-3</v>
      </c>
      <c r="AC96" s="126">
        <f t="shared" si="16"/>
        <v>2.3499999999999997E-3</v>
      </c>
      <c r="AD96" s="126">
        <f t="shared" si="17"/>
        <v>2.3499999999999997E-3</v>
      </c>
      <c r="AE96" s="125">
        <f t="shared" si="10"/>
        <v>420</v>
      </c>
      <c r="AF96" s="125">
        <f t="shared" si="11"/>
        <v>469.99999999999994</v>
      </c>
      <c r="AG96" s="125">
        <f t="shared" si="12"/>
        <v>220</v>
      </c>
      <c r="AH96" s="125" t="str">
        <f t="shared" si="13"/>
        <v/>
      </c>
    </row>
    <row r="97" spans="27:34" x14ac:dyDescent="0.35">
      <c r="AA97" s="126">
        <f t="shared" si="14"/>
        <v>2.3749999999999995E-3</v>
      </c>
      <c r="AB97" s="126">
        <f t="shared" si="15"/>
        <v>2.3749999999999995E-3</v>
      </c>
      <c r="AC97" s="126">
        <f t="shared" si="16"/>
        <v>2.3749999999999995E-3</v>
      </c>
      <c r="AD97" s="126">
        <f t="shared" si="17"/>
        <v>2.3749999999999995E-3</v>
      </c>
      <c r="AE97" s="125">
        <f t="shared" si="10"/>
        <v>420</v>
      </c>
      <c r="AF97" s="125">
        <f t="shared" si="11"/>
        <v>474.99999999999989</v>
      </c>
      <c r="AG97" s="125">
        <f t="shared" si="12"/>
        <v>220</v>
      </c>
      <c r="AH97" s="125" t="str">
        <f t="shared" si="13"/>
        <v/>
      </c>
    </row>
    <row r="98" spans="27:34" x14ac:dyDescent="0.35">
      <c r="AA98" s="126">
        <f t="shared" si="14"/>
        <v>2.3999999999999994E-3</v>
      </c>
      <c r="AB98" s="126">
        <f t="shared" si="15"/>
        <v>2.3999999999999994E-3</v>
      </c>
      <c r="AC98" s="126">
        <f t="shared" si="16"/>
        <v>2.3999999999999994E-3</v>
      </c>
      <c r="AD98" s="126">
        <f t="shared" si="17"/>
        <v>2.3999999999999994E-3</v>
      </c>
      <c r="AE98" s="125">
        <f t="shared" si="10"/>
        <v>420</v>
      </c>
      <c r="AF98" s="125">
        <f t="shared" si="11"/>
        <v>479.99999999999989</v>
      </c>
      <c r="AG98" s="125">
        <f t="shared" si="12"/>
        <v>220</v>
      </c>
      <c r="AH98" s="125" t="str">
        <f t="shared" si="13"/>
        <v/>
      </c>
    </row>
    <row r="99" spans="27:34" x14ac:dyDescent="0.35">
      <c r="AA99" s="126">
        <f t="shared" si="14"/>
        <v>2.4249999999999992E-3</v>
      </c>
      <c r="AB99" s="126">
        <f t="shared" si="15"/>
        <v>2.4249999999999992E-3</v>
      </c>
      <c r="AC99" s="126">
        <f t="shared" si="16"/>
        <v>2.4249999999999992E-3</v>
      </c>
      <c r="AD99" s="126">
        <f t="shared" si="17"/>
        <v>2.4249999999999992E-3</v>
      </c>
      <c r="AE99" s="125">
        <f t="shared" si="10"/>
        <v>420</v>
      </c>
      <c r="AF99" s="125">
        <f t="shared" si="11"/>
        <v>484.99999999999983</v>
      </c>
      <c r="AG99" s="125">
        <f t="shared" si="12"/>
        <v>220</v>
      </c>
      <c r="AH99" s="125" t="str">
        <f t="shared" si="13"/>
        <v/>
      </c>
    </row>
    <row r="100" spans="27:34" x14ac:dyDescent="0.35">
      <c r="AA100" s="126">
        <f t="shared" si="14"/>
        <v>2.4499999999999991E-3</v>
      </c>
      <c r="AB100" s="126">
        <f t="shared" si="15"/>
        <v>2.4499999999999991E-3</v>
      </c>
      <c r="AC100" s="126">
        <f t="shared" si="16"/>
        <v>2.4499999999999991E-3</v>
      </c>
      <c r="AD100" s="126">
        <f t="shared" si="17"/>
        <v>2.4499999999999991E-3</v>
      </c>
      <c r="AE100" s="125">
        <f t="shared" si="10"/>
        <v>420</v>
      </c>
      <c r="AF100" s="125">
        <f t="shared" si="11"/>
        <v>489.99999999999983</v>
      </c>
      <c r="AG100" s="125">
        <f t="shared" si="12"/>
        <v>220</v>
      </c>
      <c r="AH100" s="125" t="str">
        <f t="shared" si="13"/>
        <v/>
      </c>
    </row>
    <row r="101" spans="27:34" x14ac:dyDescent="0.35">
      <c r="AA101" s="126">
        <f t="shared" si="14"/>
        <v>2.4749999999999989E-3</v>
      </c>
      <c r="AB101" s="126">
        <f t="shared" si="15"/>
        <v>2.4749999999999989E-3</v>
      </c>
      <c r="AC101" s="126">
        <f t="shared" si="16"/>
        <v>2.4749999999999989E-3</v>
      </c>
      <c r="AD101" s="126">
        <f t="shared" si="17"/>
        <v>2.4749999999999989E-3</v>
      </c>
      <c r="AE101" s="125">
        <f t="shared" si="10"/>
        <v>420</v>
      </c>
      <c r="AF101" s="125">
        <f t="shared" si="11"/>
        <v>494.99999999999977</v>
      </c>
      <c r="AG101" s="125">
        <f t="shared" si="12"/>
        <v>220</v>
      </c>
      <c r="AH101" s="125" t="str">
        <f t="shared" si="13"/>
        <v/>
      </c>
    </row>
    <row r="102" spans="27:34" x14ac:dyDescent="0.35">
      <c r="AA102" s="126">
        <f t="shared" si="14"/>
        <v>2.4999999999999988E-3</v>
      </c>
      <c r="AB102" s="126">
        <f t="shared" si="15"/>
        <v>2.4999999999999988E-3</v>
      </c>
      <c r="AC102" s="126">
        <f t="shared" si="16"/>
        <v>2.4999999999999988E-3</v>
      </c>
      <c r="AD102" s="126">
        <f t="shared" si="17"/>
        <v>2.4999999999999988E-3</v>
      </c>
      <c r="AE102" s="125">
        <f t="shared" si="10"/>
        <v>420</v>
      </c>
      <c r="AF102" s="125">
        <f t="shared" si="11"/>
        <v>500</v>
      </c>
      <c r="AG102" s="125">
        <f t="shared" si="12"/>
        <v>220</v>
      </c>
      <c r="AH102" s="125" t="str">
        <f t="shared" si="13"/>
        <v/>
      </c>
    </row>
    <row r="103" spans="27:34" x14ac:dyDescent="0.35">
      <c r="AA103" s="126">
        <f t="shared" si="14"/>
        <v>2.5249999999999986E-3</v>
      </c>
      <c r="AB103" s="126">
        <f t="shared" si="15"/>
        <v>2.5249999999999986E-3</v>
      </c>
      <c r="AC103" s="126">
        <f t="shared" si="16"/>
        <v>2.5249999999999986E-3</v>
      </c>
      <c r="AD103" s="126">
        <f t="shared" si="17"/>
        <v>2.5249999999999986E-3</v>
      </c>
      <c r="AE103" s="125">
        <f t="shared" si="10"/>
        <v>420</v>
      </c>
      <c r="AF103" s="125">
        <f t="shared" si="11"/>
        <v>500</v>
      </c>
      <c r="AG103" s="125">
        <f t="shared" si="12"/>
        <v>220</v>
      </c>
      <c r="AH103" s="125" t="str">
        <f t="shared" si="13"/>
        <v/>
      </c>
    </row>
    <row r="104" spans="27:34" x14ac:dyDescent="0.35">
      <c r="AA104" s="126">
        <f t="shared" si="14"/>
        <v>2.5499999999999984E-3</v>
      </c>
      <c r="AB104" s="126">
        <f t="shared" si="15"/>
        <v>2.5499999999999984E-3</v>
      </c>
      <c r="AC104" s="126">
        <f t="shared" si="16"/>
        <v>2.5499999999999984E-3</v>
      </c>
      <c r="AD104" s="126">
        <f t="shared" si="17"/>
        <v>2.5499999999999984E-3</v>
      </c>
      <c r="AE104" s="125">
        <f t="shared" si="10"/>
        <v>420</v>
      </c>
      <c r="AF104" s="125">
        <f t="shared" si="11"/>
        <v>500</v>
      </c>
      <c r="AG104" s="125">
        <f t="shared" si="12"/>
        <v>220</v>
      </c>
      <c r="AH104" s="125" t="str">
        <f t="shared" si="13"/>
        <v/>
      </c>
    </row>
    <row r="105" spans="27:34" x14ac:dyDescent="0.35">
      <c r="AA105" s="126">
        <f t="shared" si="14"/>
        <v>2.5749999999999983E-3</v>
      </c>
      <c r="AB105" s="126">
        <f t="shared" si="15"/>
        <v>2.5749999999999983E-3</v>
      </c>
      <c r="AC105" s="126">
        <f t="shared" si="16"/>
        <v>2.5749999999999983E-3</v>
      </c>
      <c r="AD105" s="126">
        <f t="shared" si="17"/>
        <v>2.5749999999999983E-3</v>
      </c>
      <c r="AE105" s="125">
        <f t="shared" si="10"/>
        <v>420</v>
      </c>
      <c r="AF105" s="125">
        <f t="shared" si="11"/>
        <v>500</v>
      </c>
      <c r="AG105" s="125">
        <f t="shared" si="12"/>
        <v>220</v>
      </c>
      <c r="AH105" s="125" t="str">
        <f t="shared" si="13"/>
        <v/>
      </c>
    </row>
    <row r="106" spans="27:34" x14ac:dyDescent="0.35">
      <c r="AA106" s="126">
        <f t="shared" si="14"/>
        <v>2.5999999999999981E-3</v>
      </c>
      <c r="AB106" s="126">
        <f t="shared" si="15"/>
        <v>2.5999999999999981E-3</v>
      </c>
      <c r="AC106" s="126">
        <f t="shared" si="16"/>
        <v>2.5999999999999981E-3</v>
      </c>
      <c r="AD106" s="126">
        <f t="shared" si="17"/>
        <v>2.5999999999999981E-3</v>
      </c>
      <c r="AE106" s="125">
        <f t="shared" si="10"/>
        <v>420</v>
      </c>
      <c r="AF106" s="125">
        <f t="shared" si="11"/>
        <v>500</v>
      </c>
      <c r="AG106" s="125">
        <f t="shared" si="12"/>
        <v>220</v>
      </c>
      <c r="AH106" s="125" t="str">
        <f t="shared" si="13"/>
        <v/>
      </c>
    </row>
    <row r="107" spans="27:34" x14ac:dyDescent="0.35">
      <c r="AA107" s="126">
        <f t="shared" si="14"/>
        <v>2.624999999999998E-3</v>
      </c>
      <c r="AB107" s="126">
        <f t="shared" si="15"/>
        <v>2.624999999999998E-3</v>
      </c>
      <c r="AC107" s="126">
        <f t="shared" si="16"/>
        <v>2.624999999999998E-3</v>
      </c>
      <c r="AD107" s="126">
        <f t="shared" si="17"/>
        <v>2.624999999999998E-3</v>
      </c>
      <c r="AE107" s="125">
        <f t="shared" si="10"/>
        <v>420</v>
      </c>
      <c r="AF107" s="125">
        <f t="shared" si="11"/>
        <v>500</v>
      </c>
      <c r="AG107" s="125">
        <f t="shared" si="12"/>
        <v>220</v>
      </c>
      <c r="AH107" s="125" t="str">
        <f t="shared" si="13"/>
        <v/>
      </c>
    </row>
    <row r="108" spans="27:34" x14ac:dyDescent="0.35">
      <c r="AA108" s="126">
        <f t="shared" si="14"/>
        <v>2.6499999999999978E-3</v>
      </c>
      <c r="AB108" s="126">
        <f t="shared" si="15"/>
        <v>2.6499999999999978E-3</v>
      </c>
      <c r="AC108" s="126">
        <f t="shared" si="16"/>
        <v>2.6499999999999978E-3</v>
      </c>
      <c r="AD108" s="126">
        <f t="shared" si="17"/>
        <v>2.6499999999999978E-3</v>
      </c>
      <c r="AE108" s="125">
        <f t="shared" si="10"/>
        <v>420</v>
      </c>
      <c r="AF108" s="125">
        <f t="shared" si="11"/>
        <v>500</v>
      </c>
      <c r="AG108" s="125">
        <f t="shared" si="12"/>
        <v>220</v>
      </c>
      <c r="AH108" s="125" t="str">
        <f t="shared" si="13"/>
        <v/>
      </c>
    </row>
    <row r="109" spans="27:34" x14ac:dyDescent="0.35">
      <c r="AA109" s="126">
        <f t="shared" si="14"/>
        <v>2.6749999999999977E-3</v>
      </c>
      <c r="AB109" s="126">
        <f t="shared" si="15"/>
        <v>2.6749999999999977E-3</v>
      </c>
      <c r="AC109" s="126">
        <f t="shared" si="16"/>
        <v>2.6749999999999977E-3</v>
      </c>
      <c r="AD109" s="126">
        <f t="shared" si="17"/>
        <v>2.6749999999999977E-3</v>
      </c>
      <c r="AE109" s="125">
        <f t="shared" si="10"/>
        <v>420</v>
      </c>
      <c r="AF109" s="125">
        <f t="shared" si="11"/>
        <v>500</v>
      </c>
      <c r="AG109" s="125">
        <f t="shared" si="12"/>
        <v>220</v>
      </c>
      <c r="AH109" s="125" t="str">
        <f t="shared" si="13"/>
        <v/>
      </c>
    </row>
    <row r="110" spans="27:34" x14ac:dyDescent="0.35">
      <c r="AA110" s="126">
        <f t="shared" si="14"/>
        <v>2.6999999999999975E-3</v>
      </c>
      <c r="AB110" s="126">
        <f t="shared" si="15"/>
        <v>2.6999999999999975E-3</v>
      </c>
      <c r="AC110" s="126">
        <f t="shared" si="16"/>
        <v>2.6999999999999975E-3</v>
      </c>
      <c r="AD110" s="126">
        <f t="shared" si="17"/>
        <v>2.6999999999999975E-3</v>
      </c>
      <c r="AE110" s="125">
        <f t="shared" si="10"/>
        <v>420</v>
      </c>
      <c r="AF110" s="125">
        <f t="shared" si="11"/>
        <v>500</v>
      </c>
      <c r="AG110" s="125">
        <f t="shared" si="12"/>
        <v>220</v>
      </c>
      <c r="AH110" s="125" t="str">
        <f t="shared" si="13"/>
        <v/>
      </c>
    </row>
    <row r="111" spans="27:34" x14ac:dyDescent="0.35">
      <c r="AA111" s="126">
        <f t="shared" si="14"/>
        <v>2.7249999999999974E-3</v>
      </c>
      <c r="AB111" s="126">
        <f t="shared" si="15"/>
        <v>2.7249999999999974E-3</v>
      </c>
      <c r="AC111" s="126">
        <f t="shared" si="16"/>
        <v>2.7249999999999974E-3</v>
      </c>
      <c r="AD111" s="126">
        <f t="shared" si="17"/>
        <v>2.7249999999999974E-3</v>
      </c>
      <c r="AE111" s="125">
        <f t="shared" si="10"/>
        <v>420</v>
      </c>
      <c r="AF111" s="125">
        <f t="shared" si="11"/>
        <v>500</v>
      </c>
      <c r="AG111" s="125">
        <f t="shared" si="12"/>
        <v>220</v>
      </c>
      <c r="AH111" s="125" t="str">
        <f t="shared" si="13"/>
        <v/>
      </c>
    </row>
    <row r="112" spans="27:34" x14ac:dyDescent="0.35">
      <c r="AA112" s="126">
        <f t="shared" si="14"/>
        <v>2.7499999999999972E-3</v>
      </c>
      <c r="AB112" s="126">
        <f t="shared" si="15"/>
        <v>2.7499999999999972E-3</v>
      </c>
      <c r="AC112" s="126">
        <f t="shared" si="16"/>
        <v>2.7499999999999972E-3</v>
      </c>
      <c r="AD112" s="126">
        <f t="shared" si="17"/>
        <v>2.7499999999999972E-3</v>
      </c>
      <c r="AE112" s="125">
        <f t="shared" si="10"/>
        <v>420</v>
      </c>
      <c r="AF112" s="125">
        <f t="shared" si="11"/>
        <v>500</v>
      </c>
      <c r="AG112" s="125">
        <f t="shared" si="12"/>
        <v>220</v>
      </c>
      <c r="AH112" s="125" t="str">
        <f t="shared" si="13"/>
        <v/>
      </c>
    </row>
    <row r="113" spans="27:34" x14ac:dyDescent="0.35">
      <c r="AA113" s="126">
        <f t="shared" si="14"/>
        <v>2.7749999999999971E-3</v>
      </c>
      <c r="AB113" s="126">
        <f t="shared" si="15"/>
        <v>2.7749999999999971E-3</v>
      </c>
      <c r="AC113" s="126">
        <f t="shared" si="16"/>
        <v>2.7749999999999971E-3</v>
      </c>
      <c r="AD113" s="126">
        <f t="shared" si="17"/>
        <v>2.7749999999999971E-3</v>
      </c>
      <c r="AE113" s="125">
        <f t="shared" si="10"/>
        <v>420</v>
      </c>
      <c r="AF113" s="125">
        <f t="shared" si="11"/>
        <v>500</v>
      </c>
      <c r="AG113" s="125">
        <f t="shared" si="12"/>
        <v>220</v>
      </c>
      <c r="AH113" s="125" t="str">
        <f t="shared" si="13"/>
        <v/>
      </c>
    </row>
    <row r="114" spans="27:34" x14ac:dyDescent="0.35">
      <c r="AA114" s="126">
        <f t="shared" si="14"/>
        <v>2.7999999999999969E-3</v>
      </c>
      <c r="AB114" s="126">
        <f t="shared" si="15"/>
        <v>2.7999999999999969E-3</v>
      </c>
      <c r="AC114" s="126">
        <f t="shared" si="16"/>
        <v>2.7999999999999969E-3</v>
      </c>
      <c r="AD114" s="126">
        <f t="shared" si="17"/>
        <v>2.7999999999999969E-3</v>
      </c>
      <c r="AE114" s="125">
        <f t="shared" si="10"/>
        <v>420</v>
      </c>
      <c r="AF114" s="125">
        <f t="shared" si="11"/>
        <v>500</v>
      </c>
      <c r="AG114" s="125">
        <f t="shared" si="12"/>
        <v>220</v>
      </c>
      <c r="AH114" s="125" t="str">
        <f t="shared" si="13"/>
        <v/>
      </c>
    </row>
    <row r="115" spans="27:34" x14ac:dyDescent="0.35">
      <c r="AA115" s="126">
        <f t="shared" si="14"/>
        <v>2.8249999999999968E-3</v>
      </c>
      <c r="AB115" s="126">
        <f t="shared" si="15"/>
        <v>2.8249999999999968E-3</v>
      </c>
      <c r="AC115" s="126">
        <f t="shared" si="16"/>
        <v>2.8249999999999968E-3</v>
      </c>
      <c r="AD115" s="126">
        <f t="shared" si="17"/>
        <v>2.8249999999999968E-3</v>
      </c>
      <c r="AE115" s="125">
        <f t="shared" si="10"/>
        <v>420</v>
      </c>
      <c r="AF115" s="125">
        <f t="shared" si="11"/>
        <v>500</v>
      </c>
      <c r="AG115" s="125">
        <f t="shared" si="12"/>
        <v>220</v>
      </c>
      <c r="AH115" s="125" t="str">
        <f t="shared" si="13"/>
        <v/>
      </c>
    </row>
    <row r="116" spans="27:34" x14ac:dyDescent="0.35">
      <c r="AA116" s="126">
        <f t="shared" si="14"/>
        <v>2.8499999999999966E-3</v>
      </c>
      <c r="AB116" s="126">
        <f t="shared" si="15"/>
        <v>2.8499999999999966E-3</v>
      </c>
      <c r="AC116" s="126">
        <f t="shared" si="16"/>
        <v>2.8499999999999966E-3</v>
      </c>
      <c r="AD116" s="126">
        <f t="shared" si="17"/>
        <v>2.8499999999999966E-3</v>
      </c>
      <c r="AE116" s="125">
        <f t="shared" si="10"/>
        <v>420</v>
      </c>
      <c r="AF116" s="125">
        <f t="shared" si="11"/>
        <v>500</v>
      </c>
      <c r="AG116" s="125">
        <f t="shared" si="12"/>
        <v>220</v>
      </c>
      <c r="AH116" s="125" t="str">
        <f t="shared" si="13"/>
        <v/>
      </c>
    </row>
    <row r="117" spans="27:34" x14ac:dyDescent="0.35">
      <c r="AA117" s="126">
        <f t="shared" si="14"/>
        <v>2.8749999999999965E-3</v>
      </c>
      <c r="AB117" s="126">
        <f t="shared" si="15"/>
        <v>2.8749999999999965E-3</v>
      </c>
      <c r="AC117" s="126">
        <f t="shared" si="16"/>
        <v>2.8749999999999965E-3</v>
      </c>
      <c r="AD117" s="126">
        <f t="shared" si="17"/>
        <v>2.8749999999999965E-3</v>
      </c>
      <c r="AE117" s="125">
        <f t="shared" si="10"/>
        <v>420</v>
      </c>
      <c r="AF117" s="125">
        <f t="shared" si="11"/>
        <v>500</v>
      </c>
      <c r="AG117" s="125">
        <f t="shared" si="12"/>
        <v>220</v>
      </c>
      <c r="AH117" s="125" t="str">
        <f t="shared" si="13"/>
        <v/>
      </c>
    </row>
    <row r="118" spans="27:34" x14ac:dyDescent="0.35">
      <c r="AA118" s="126">
        <f t="shared" si="14"/>
        <v>2.8999999999999963E-3</v>
      </c>
      <c r="AB118" s="126">
        <f t="shared" si="15"/>
        <v>2.8999999999999963E-3</v>
      </c>
      <c r="AC118" s="126">
        <f t="shared" si="16"/>
        <v>2.8999999999999963E-3</v>
      </c>
      <c r="AD118" s="126">
        <f t="shared" si="17"/>
        <v>2.8999999999999963E-3</v>
      </c>
      <c r="AE118" s="125">
        <f t="shared" si="10"/>
        <v>420</v>
      </c>
      <c r="AF118" s="125">
        <f t="shared" si="11"/>
        <v>500</v>
      </c>
      <c r="AG118" s="125">
        <f t="shared" si="12"/>
        <v>220</v>
      </c>
      <c r="AH118" s="125" t="str">
        <f t="shared" si="13"/>
        <v/>
      </c>
    </row>
    <row r="119" spans="27:34" x14ac:dyDescent="0.35">
      <c r="AA119" s="126">
        <f t="shared" si="14"/>
        <v>2.9249999999999962E-3</v>
      </c>
      <c r="AB119" s="126">
        <f t="shared" si="15"/>
        <v>2.9249999999999962E-3</v>
      </c>
      <c r="AC119" s="126">
        <f t="shared" si="16"/>
        <v>2.9249999999999962E-3</v>
      </c>
      <c r="AD119" s="126">
        <f t="shared" si="17"/>
        <v>2.9249999999999962E-3</v>
      </c>
      <c r="AE119" s="125">
        <f t="shared" si="10"/>
        <v>420</v>
      </c>
      <c r="AF119" s="125">
        <f t="shared" si="11"/>
        <v>500</v>
      </c>
      <c r="AG119" s="125">
        <f t="shared" si="12"/>
        <v>220</v>
      </c>
      <c r="AH119" s="125" t="str">
        <f t="shared" si="13"/>
        <v/>
      </c>
    </row>
    <row r="120" spans="27:34" x14ac:dyDescent="0.35">
      <c r="AA120" s="126">
        <f t="shared" si="14"/>
        <v>2.949999999999996E-3</v>
      </c>
      <c r="AB120" s="126">
        <f t="shared" si="15"/>
        <v>2.949999999999996E-3</v>
      </c>
      <c r="AC120" s="126">
        <f t="shared" si="16"/>
        <v>2.949999999999996E-3</v>
      </c>
      <c r="AD120" s="126">
        <f t="shared" si="17"/>
        <v>2.949999999999996E-3</v>
      </c>
      <c r="AE120" s="125">
        <f t="shared" si="10"/>
        <v>420</v>
      </c>
      <c r="AF120" s="125">
        <f t="shared" si="11"/>
        <v>500</v>
      </c>
      <c r="AG120" s="125">
        <f t="shared" si="12"/>
        <v>220</v>
      </c>
      <c r="AH120" s="125" t="str">
        <f t="shared" si="13"/>
        <v/>
      </c>
    </row>
    <row r="121" spans="27:34" x14ac:dyDescent="0.35">
      <c r="AA121" s="126">
        <f t="shared" si="14"/>
        <v>2.9749999999999959E-3</v>
      </c>
      <c r="AB121" s="126">
        <f t="shared" si="15"/>
        <v>2.9749999999999959E-3</v>
      </c>
      <c r="AC121" s="126">
        <f t="shared" si="16"/>
        <v>2.9749999999999959E-3</v>
      </c>
      <c r="AD121" s="126">
        <f t="shared" si="17"/>
        <v>2.9749999999999959E-3</v>
      </c>
      <c r="AE121" s="125">
        <f t="shared" si="10"/>
        <v>420</v>
      </c>
      <c r="AF121" s="125">
        <f t="shared" si="11"/>
        <v>500</v>
      </c>
      <c r="AG121" s="125">
        <f t="shared" si="12"/>
        <v>220</v>
      </c>
      <c r="AH121" s="125" t="str">
        <f t="shared" si="13"/>
        <v/>
      </c>
    </row>
    <row r="122" spans="27:34" x14ac:dyDescent="0.35">
      <c r="AA122" s="126">
        <f t="shared" si="14"/>
        <v>2.9999999999999957E-3</v>
      </c>
      <c r="AB122" s="126">
        <f t="shared" si="15"/>
        <v>2.9999999999999957E-3</v>
      </c>
      <c r="AC122" s="126">
        <f t="shared" si="16"/>
        <v>2.9999999999999957E-3</v>
      </c>
      <c r="AD122" s="126">
        <f t="shared" si="17"/>
        <v>2.9999999999999957E-3</v>
      </c>
      <c r="AE122" s="125">
        <f t="shared" si="10"/>
        <v>420</v>
      </c>
      <c r="AF122" s="125">
        <f t="shared" si="11"/>
        <v>500</v>
      </c>
      <c r="AG122" s="125">
        <f t="shared" si="12"/>
        <v>220</v>
      </c>
      <c r="AH122" s="125" t="str">
        <f t="shared" si="13"/>
        <v/>
      </c>
    </row>
    <row r="123" spans="27:34" x14ac:dyDescent="0.35">
      <c r="AA123" s="126">
        <f t="shared" si="14"/>
        <v>3.0249999999999956E-3</v>
      </c>
      <c r="AB123" s="126">
        <f t="shared" si="15"/>
        <v>3.0249999999999956E-3</v>
      </c>
      <c r="AC123" s="126">
        <f t="shared" si="16"/>
        <v>3.0249999999999956E-3</v>
      </c>
      <c r="AD123" s="126">
        <f t="shared" si="17"/>
        <v>3.0249999999999956E-3</v>
      </c>
      <c r="AE123" s="125">
        <f t="shared" si="10"/>
        <v>420</v>
      </c>
      <c r="AF123" s="125">
        <f t="shared" si="11"/>
        <v>500</v>
      </c>
      <c r="AG123" s="125">
        <f t="shared" si="12"/>
        <v>220</v>
      </c>
      <c r="AH123" s="125" t="str">
        <f t="shared" si="13"/>
        <v/>
      </c>
    </row>
    <row r="124" spans="27:34" x14ac:dyDescent="0.35">
      <c r="AA124" s="126">
        <f t="shared" si="14"/>
        <v>3.0499999999999954E-3</v>
      </c>
      <c r="AB124" s="126">
        <f t="shared" si="15"/>
        <v>3.0499999999999954E-3</v>
      </c>
      <c r="AC124" s="126">
        <f t="shared" si="16"/>
        <v>3.0499999999999954E-3</v>
      </c>
      <c r="AD124" s="126">
        <f t="shared" si="17"/>
        <v>3.0499999999999954E-3</v>
      </c>
      <c r="AE124" s="125">
        <f t="shared" si="10"/>
        <v>420</v>
      </c>
      <c r="AF124" s="125">
        <f t="shared" si="11"/>
        <v>500</v>
      </c>
      <c r="AG124" s="125">
        <f t="shared" si="12"/>
        <v>220</v>
      </c>
      <c r="AH124" s="125" t="str">
        <f t="shared" si="13"/>
        <v/>
      </c>
    </row>
    <row r="125" spans="27:34" x14ac:dyDescent="0.35">
      <c r="AA125" s="126">
        <f t="shared" si="14"/>
        <v>3.0749999999999953E-3</v>
      </c>
      <c r="AB125" s="126">
        <f t="shared" si="15"/>
        <v>3.0749999999999953E-3</v>
      </c>
      <c r="AC125" s="126">
        <f t="shared" si="16"/>
        <v>3.0749999999999953E-3</v>
      </c>
      <c r="AD125" s="126">
        <f t="shared" si="17"/>
        <v>3.0749999999999953E-3</v>
      </c>
      <c r="AE125" s="125">
        <f t="shared" si="10"/>
        <v>420</v>
      </c>
      <c r="AF125" s="125">
        <f t="shared" si="11"/>
        <v>500</v>
      </c>
      <c r="AG125" s="125">
        <f t="shared" si="12"/>
        <v>220</v>
      </c>
      <c r="AH125" s="125" t="str">
        <f t="shared" si="13"/>
        <v/>
      </c>
    </row>
    <row r="126" spans="27:34" x14ac:dyDescent="0.35">
      <c r="AA126" s="126">
        <f t="shared" si="14"/>
        <v>3.0999999999999951E-3</v>
      </c>
      <c r="AB126" s="126">
        <f t="shared" si="15"/>
        <v>3.0999999999999951E-3</v>
      </c>
      <c r="AC126" s="126">
        <f t="shared" si="16"/>
        <v>3.0999999999999951E-3</v>
      </c>
      <c r="AD126" s="126">
        <f t="shared" si="17"/>
        <v>3.0999999999999951E-3</v>
      </c>
      <c r="AE126" s="125">
        <f t="shared" si="10"/>
        <v>420</v>
      </c>
      <c r="AF126" s="125">
        <f t="shared" si="11"/>
        <v>500</v>
      </c>
      <c r="AG126" s="125">
        <f t="shared" si="12"/>
        <v>220</v>
      </c>
      <c r="AH126" s="125" t="str">
        <f t="shared" si="13"/>
        <v/>
      </c>
    </row>
    <row r="127" spans="27:34" x14ac:dyDescent="0.35">
      <c r="AA127" s="126">
        <f t="shared" si="14"/>
        <v>3.124999999999995E-3</v>
      </c>
      <c r="AB127" s="126">
        <f t="shared" si="15"/>
        <v>3.124999999999995E-3</v>
      </c>
      <c r="AC127" s="126">
        <f t="shared" si="16"/>
        <v>3.124999999999995E-3</v>
      </c>
      <c r="AD127" s="126">
        <f t="shared" si="17"/>
        <v>3.124999999999995E-3</v>
      </c>
      <c r="AE127" s="125">
        <f t="shared" si="10"/>
        <v>420</v>
      </c>
      <c r="AF127" s="125">
        <f t="shared" si="11"/>
        <v>500</v>
      </c>
      <c r="AG127" s="125">
        <f t="shared" si="12"/>
        <v>220</v>
      </c>
      <c r="AH127" s="125" t="str">
        <f t="shared" si="13"/>
        <v/>
      </c>
    </row>
    <row r="128" spans="27:34" x14ac:dyDescent="0.35">
      <c r="AA128" s="126">
        <f t="shared" si="14"/>
        <v>3.1499999999999948E-3</v>
      </c>
      <c r="AB128" s="126">
        <f t="shared" si="15"/>
        <v>3.1499999999999948E-3</v>
      </c>
      <c r="AC128" s="126">
        <f t="shared" si="16"/>
        <v>3.1499999999999948E-3</v>
      </c>
      <c r="AD128" s="126">
        <f t="shared" si="17"/>
        <v>3.1499999999999948E-3</v>
      </c>
      <c r="AE128" s="125">
        <f t="shared" si="10"/>
        <v>420</v>
      </c>
      <c r="AF128" s="125">
        <f t="shared" si="11"/>
        <v>500</v>
      </c>
      <c r="AG128" s="125">
        <f t="shared" si="12"/>
        <v>220</v>
      </c>
      <c r="AH128" s="125" t="str">
        <f t="shared" si="13"/>
        <v/>
      </c>
    </row>
    <row r="129" spans="27:34" x14ac:dyDescent="0.35">
      <c r="AA129" s="126">
        <f t="shared" si="14"/>
        <v>3.1749999999999947E-3</v>
      </c>
      <c r="AB129" s="126">
        <f t="shared" si="15"/>
        <v>3.1749999999999947E-3</v>
      </c>
      <c r="AC129" s="126">
        <f t="shared" si="16"/>
        <v>3.1749999999999947E-3</v>
      </c>
      <c r="AD129" s="126">
        <f t="shared" si="17"/>
        <v>3.1749999999999947E-3</v>
      </c>
      <c r="AE129" s="125">
        <f t="shared" si="10"/>
        <v>420</v>
      </c>
      <c r="AF129" s="125">
        <f t="shared" si="11"/>
        <v>500</v>
      </c>
      <c r="AG129" s="125">
        <f t="shared" si="12"/>
        <v>220</v>
      </c>
      <c r="AH129" s="125" t="str">
        <f t="shared" si="13"/>
        <v/>
      </c>
    </row>
    <row r="130" spans="27:34" x14ac:dyDescent="0.35">
      <c r="AA130" s="126">
        <f t="shared" si="14"/>
        <v>3.1999999999999945E-3</v>
      </c>
      <c r="AB130" s="126">
        <f t="shared" si="15"/>
        <v>3.1999999999999945E-3</v>
      </c>
      <c r="AC130" s="126">
        <f t="shared" si="16"/>
        <v>3.1999999999999945E-3</v>
      </c>
      <c r="AD130" s="126">
        <f t="shared" si="17"/>
        <v>3.1999999999999945E-3</v>
      </c>
      <c r="AE130" s="125">
        <f t="shared" si="10"/>
        <v>420</v>
      </c>
      <c r="AF130" s="125">
        <f t="shared" si="11"/>
        <v>500</v>
      </c>
      <c r="AG130" s="125">
        <f t="shared" si="12"/>
        <v>220</v>
      </c>
      <c r="AH130" s="125" t="str">
        <f t="shared" si="13"/>
        <v/>
      </c>
    </row>
    <row r="131" spans="27:34" x14ac:dyDescent="0.35">
      <c r="AA131" s="126">
        <f t="shared" si="14"/>
        <v>3.2249999999999944E-3</v>
      </c>
      <c r="AB131" s="126">
        <f t="shared" si="15"/>
        <v>3.2249999999999944E-3</v>
      </c>
      <c r="AC131" s="126">
        <f t="shared" si="16"/>
        <v>3.2249999999999944E-3</v>
      </c>
      <c r="AD131" s="126">
        <f t="shared" si="17"/>
        <v>3.2249999999999944E-3</v>
      </c>
      <c r="AE131" s="125">
        <f t="shared" ref="AE131:AE194" si="18">IF(AA131&lt;B$6,B$4*AA131,B$3)</f>
        <v>420</v>
      </c>
      <c r="AF131" s="125">
        <f t="shared" ref="AF131:AF194" si="19">IF(AB131&lt;C$6,C$4*AB131,C$3)</f>
        <v>500</v>
      </c>
      <c r="AG131" s="125">
        <f t="shared" ref="AG131:AG194" si="20">IF(AC131&lt;D$6,D$4*AC131,D$3)</f>
        <v>220</v>
      </c>
      <c r="AH131" s="125" t="str">
        <f t="shared" ref="AH131:AH194" si="21">IF(AND(NOT(ISBLANK($E$3)), NOT(ISBLANK($E$4)), NOT(ISBLANK($E$5)), NOT(ISBLANK($E$6))), IF(AD131&lt;E$6,E$4*AD131,E$3), "")</f>
        <v/>
      </c>
    </row>
    <row r="132" spans="27:34" x14ac:dyDescent="0.35">
      <c r="AA132" s="126">
        <f t="shared" ref="AA132:AA195" si="22">AA131+MAX($B$6:$E$6)*2/200</f>
        <v>3.2499999999999942E-3</v>
      </c>
      <c r="AB132" s="126">
        <f t="shared" ref="AB132:AB195" si="23">AB131+MAX($B$6:$E$6)*2/200</f>
        <v>3.2499999999999942E-3</v>
      </c>
      <c r="AC132" s="126">
        <f t="shared" ref="AC132:AC195" si="24">AC131+MAX($B$6:$E$6)*2/200</f>
        <v>3.2499999999999942E-3</v>
      </c>
      <c r="AD132" s="126">
        <f t="shared" ref="AD132:AD195" si="25">AD131+MAX($B$6:$E$6)*2/200</f>
        <v>3.2499999999999942E-3</v>
      </c>
      <c r="AE132" s="125">
        <f t="shared" si="18"/>
        <v>420</v>
      </c>
      <c r="AF132" s="125">
        <f t="shared" si="19"/>
        <v>500</v>
      </c>
      <c r="AG132" s="125">
        <f t="shared" si="20"/>
        <v>220</v>
      </c>
      <c r="AH132" s="125" t="str">
        <f t="shared" si="21"/>
        <v/>
      </c>
    </row>
    <row r="133" spans="27:34" x14ac:dyDescent="0.35">
      <c r="AA133" s="126">
        <f t="shared" si="22"/>
        <v>3.2749999999999941E-3</v>
      </c>
      <c r="AB133" s="126">
        <f t="shared" si="23"/>
        <v>3.2749999999999941E-3</v>
      </c>
      <c r="AC133" s="126">
        <f t="shared" si="24"/>
        <v>3.2749999999999941E-3</v>
      </c>
      <c r="AD133" s="126">
        <f t="shared" si="25"/>
        <v>3.2749999999999941E-3</v>
      </c>
      <c r="AE133" s="125">
        <f t="shared" si="18"/>
        <v>420</v>
      </c>
      <c r="AF133" s="125">
        <f t="shared" si="19"/>
        <v>500</v>
      </c>
      <c r="AG133" s="125">
        <f t="shared" si="20"/>
        <v>220</v>
      </c>
      <c r="AH133" s="125" t="str">
        <f t="shared" si="21"/>
        <v/>
      </c>
    </row>
    <row r="134" spans="27:34" x14ac:dyDescent="0.35">
      <c r="AA134" s="126">
        <f t="shared" si="22"/>
        <v>3.2999999999999939E-3</v>
      </c>
      <c r="AB134" s="126">
        <f t="shared" si="23"/>
        <v>3.2999999999999939E-3</v>
      </c>
      <c r="AC134" s="126">
        <f t="shared" si="24"/>
        <v>3.2999999999999939E-3</v>
      </c>
      <c r="AD134" s="126">
        <f t="shared" si="25"/>
        <v>3.2999999999999939E-3</v>
      </c>
      <c r="AE134" s="125">
        <f t="shared" si="18"/>
        <v>420</v>
      </c>
      <c r="AF134" s="125">
        <f t="shared" si="19"/>
        <v>500</v>
      </c>
      <c r="AG134" s="125">
        <f t="shared" si="20"/>
        <v>220</v>
      </c>
      <c r="AH134" s="125" t="str">
        <f t="shared" si="21"/>
        <v/>
      </c>
    </row>
    <row r="135" spans="27:34" x14ac:dyDescent="0.35">
      <c r="AA135" s="126">
        <f t="shared" si="22"/>
        <v>3.3249999999999938E-3</v>
      </c>
      <c r="AB135" s="126">
        <f t="shared" si="23"/>
        <v>3.3249999999999938E-3</v>
      </c>
      <c r="AC135" s="126">
        <f t="shared" si="24"/>
        <v>3.3249999999999938E-3</v>
      </c>
      <c r="AD135" s="126">
        <f t="shared" si="25"/>
        <v>3.3249999999999938E-3</v>
      </c>
      <c r="AE135" s="125">
        <f t="shared" si="18"/>
        <v>420</v>
      </c>
      <c r="AF135" s="125">
        <f t="shared" si="19"/>
        <v>500</v>
      </c>
      <c r="AG135" s="125">
        <f t="shared" si="20"/>
        <v>220</v>
      </c>
      <c r="AH135" s="125" t="str">
        <f t="shared" si="21"/>
        <v/>
      </c>
    </row>
    <row r="136" spans="27:34" x14ac:dyDescent="0.35">
      <c r="AA136" s="126">
        <f t="shared" si="22"/>
        <v>3.3499999999999936E-3</v>
      </c>
      <c r="AB136" s="126">
        <f t="shared" si="23"/>
        <v>3.3499999999999936E-3</v>
      </c>
      <c r="AC136" s="126">
        <f t="shared" si="24"/>
        <v>3.3499999999999936E-3</v>
      </c>
      <c r="AD136" s="126">
        <f t="shared" si="25"/>
        <v>3.3499999999999936E-3</v>
      </c>
      <c r="AE136" s="125">
        <f t="shared" si="18"/>
        <v>420</v>
      </c>
      <c r="AF136" s="125">
        <f t="shared" si="19"/>
        <v>500</v>
      </c>
      <c r="AG136" s="125">
        <f t="shared" si="20"/>
        <v>220</v>
      </c>
      <c r="AH136" s="125" t="str">
        <f t="shared" si="21"/>
        <v/>
      </c>
    </row>
    <row r="137" spans="27:34" x14ac:dyDescent="0.35">
      <c r="AA137" s="126">
        <f t="shared" si="22"/>
        <v>3.3749999999999935E-3</v>
      </c>
      <c r="AB137" s="126">
        <f t="shared" si="23"/>
        <v>3.3749999999999935E-3</v>
      </c>
      <c r="AC137" s="126">
        <f t="shared" si="24"/>
        <v>3.3749999999999935E-3</v>
      </c>
      <c r="AD137" s="126">
        <f t="shared" si="25"/>
        <v>3.3749999999999935E-3</v>
      </c>
      <c r="AE137" s="125">
        <f t="shared" si="18"/>
        <v>420</v>
      </c>
      <c r="AF137" s="125">
        <f t="shared" si="19"/>
        <v>500</v>
      </c>
      <c r="AG137" s="125">
        <f t="shared" si="20"/>
        <v>220</v>
      </c>
      <c r="AH137" s="125" t="str">
        <f t="shared" si="21"/>
        <v/>
      </c>
    </row>
    <row r="138" spans="27:34" x14ac:dyDescent="0.35">
      <c r="AA138" s="126">
        <f t="shared" si="22"/>
        <v>3.3999999999999933E-3</v>
      </c>
      <c r="AB138" s="126">
        <f t="shared" si="23"/>
        <v>3.3999999999999933E-3</v>
      </c>
      <c r="AC138" s="126">
        <f t="shared" si="24"/>
        <v>3.3999999999999933E-3</v>
      </c>
      <c r="AD138" s="126">
        <f t="shared" si="25"/>
        <v>3.3999999999999933E-3</v>
      </c>
      <c r="AE138" s="125">
        <f t="shared" si="18"/>
        <v>420</v>
      </c>
      <c r="AF138" s="125">
        <f t="shared" si="19"/>
        <v>500</v>
      </c>
      <c r="AG138" s="125">
        <f t="shared" si="20"/>
        <v>220</v>
      </c>
      <c r="AH138" s="125" t="str">
        <f t="shared" si="21"/>
        <v/>
      </c>
    </row>
    <row r="139" spans="27:34" x14ac:dyDescent="0.35">
      <c r="AA139" s="126">
        <f t="shared" si="22"/>
        <v>3.4249999999999932E-3</v>
      </c>
      <c r="AB139" s="126">
        <f t="shared" si="23"/>
        <v>3.4249999999999932E-3</v>
      </c>
      <c r="AC139" s="126">
        <f t="shared" si="24"/>
        <v>3.4249999999999932E-3</v>
      </c>
      <c r="AD139" s="126">
        <f t="shared" si="25"/>
        <v>3.4249999999999932E-3</v>
      </c>
      <c r="AE139" s="125">
        <f t="shared" si="18"/>
        <v>420</v>
      </c>
      <c r="AF139" s="125">
        <f t="shared" si="19"/>
        <v>500</v>
      </c>
      <c r="AG139" s="125">
        <f t="shared" si="20"/>
        <v>220</v>
      </c>
      <c r="AH139" s="125" t="str">
        <f t="shared" si="21"/>
        <v/>
      </c>
    </row>
    <row r="140" spans="27:34" x14ac:dyDescent="0.35">
      <c r="AA140" s="126">
        <f t="shared" si="22"/>
        <v>3.449999999999993E-3</v>
      </c>
      <c r="AB140" s="126">
        <f t="shared" si="23"/>
        <v>3.449999999999993E-3</v>
      </c>
      <c r="AC140" s="126">
        <f t="shared" si="24"/>
        <v>3.449999999999993E-3</v>
      </c>
      <c r="AD140" s="126">
        <f t="shared" si="25"/>
        <v>3.449999999999993E-3</v>
      </c>
      <c r="AE140" s="125">
        <f t="shared" si="18"/>
        <v>420</v>
      </c>
      <c r="AF140" s="125">
        <f t="shared" si="19"/>
        <v>500</v>
      </c>
      <c r="AG140" s="125">
        <f t="shared" si="20"/>
        <v>220</v>
      </c>
      <c r="AH140" s="125" t="str">
        <f t="shared" si="21"/>
        <v/>
      </c>
    </row>
    <row r="141" spans="27:34" x14ac:dyDescent="0.35">
      <c r="AA141" s="126">
        <f t="shared" si="22"/>
        <v>3.4749999999999929E-3</v>
      </c>
      <c r="AB141" s="126">
        <f t="shared" si="23"/>
        <v>3.4749999999999929E-3</v>
      </c>
      <c r="AC141" s="126">
        <f t="shared" si="24"/>
        <v>3.4749999999999929E-3</v>
      </c>
      <c r="AD141" s="126">
        <f t="shared" si="25"/>
        <v>3.4749999999999929E-3</v>
      </c>
      <c r="AE141" s="125">
        <f t="shared" si="18"/>
        <v>420</v>
      </c>
      <c r="AF141" s="125">
        <f t="shared" si="19"/>
        <v>500</v>
      </c>
      <c r="AG141" s="125">
        <f t="shared" si="20"/>
        <v>220</v>
      </c>
      <c r="AH141" s="125" t="str">
        <f t="shared" si="21"/>
        <v/>
      </c>
    </row>
    <row r="142" spans="27:34" x14ac:dyDescent="0.35">
      <c r="AA142" s="126">
        <f t="shared" si="22"/>
        <v>3.4999999999999927E-3</v>
      </c>
      <c r="AB142" s="126">
        <f t="shared" si="23"/>
        <v>3.4999999999999927E-3</v>
      </c>
      <c r="AC142" s="126">
        <f t="shared" si="24"/>
        <v>3.4999999999999927E-3</v>
      </c>
      <c r="AD142" s="126">
        <f t="shared" si="25"/>
        <v>3.4999999999999927E-3</v>
      </c>
      <c r="AE142" s="125">
        <f t="shared" si="18"/>
        <v>420</v>
      </c>
      <c r="AF142" s="125">
        <f t="shared" si="19"/>
        <v>500</v>
      </c>
      <c r="AG142" s="125">
        <f t="shared" si="20"/>
        <v>220</v>
      </c>
      <c r="AH142" s="125" t="str">
        <f t="shared" si="21"/>
        <v/>
      </c>
    </row>
    <row r="143" spans="27:34" x14ac:dyDescent="0.35">
      <c r="AA143" s="126">
        <f t="shared" si="22"/>
        <v>3.5249999999999925E-3</v>
      </c>
      <c r="AB143" s="126">
        <f t="shared" si="23"/>
        <v>3.5249999999999925E-3</v>
      </c>
      <c r="AC143" s="126">
        <f t="shared" si="24"/>
        <v>3.5249999999999925E-3</v>
      </c>
      <c r="AD143" s="126">
        <f t="shared" si="25"/>
        <v>3.5249999999999925E-3</v>
      </c>
      <c r="AE143" s="125">
        <f t="shared" si="18"/>
        <v>420</v>
      </c>
      <c r="AF143" s="125">
        <f t="shared" si="19"/>
        <v>500</v>
      </c>
      <c r="AG143" s="125">
        <f t="shared" si="20"/>
        <v>220</v>
      </c>
      <c r="AH143" s="125" t="str">
        <f t="shared" si="21"/>
        <v/>
      </c>
    </row>
    <row r="144" spans="27:34" x14ac:dyDescent="0.35">
      <c r="AA144" s="126">
        <f t="shared" si="22"/>
        <v>3.5499999999999924E-3</v>
      </c>
      <c r="AB144" s="126">
        <f t="shared" si="23"/>
        <v>3.5499999999999924E-3</v>
      </c>
      <c r="AC144" s="126">
        <f t="shared" si="24"/>
        <v>3.5499999999999924E-3</v>
      </c>
      <c r="AD144" s="126">
        <f t="shared" si="25"/>
        <v>3.5499999999999924E-3</v>
      </c>
      <c r="AE144" s="125">
        <f t="shared" si="18"/>
        <v>420</v>
      </c>
      <c r="AF144" s="125">
        <f t="shared" si="19"/>
        <v>500</v>
      </c>
      <c r="AG144" s="125">
        <f t="shared" si="20"/>
        <v>220</v>
      </c>
      <c r="AH144" s="125" t="str">
        <f t="shared" si="21"/>
        <v/>
      </c>
    </row>
    <row r="145" spans="27:34" x14ac:dyDescent="0.35">
      <c r="AA145" s="126">
        <f t="shared" si="22"/>
        <v>3.5749999999999922E-3</v>
      </c>
      <c r="AB145" s="126">
        <f t="shared" si="23"/>
        <v>3.5749999999999922E-3</v>
      </c>
      <c r="AC145" s="126">
        <f t="shared" si="24"/>
        <v>3.5749999999999922E-3</v>
      </c>
      <c r="AD145" s="126">
        <f t="shared" si="25"/>
        <v>3.5749999999999922E-3</v>
      </c>
      <c r="AE145" s="125">
        <f t="shared" si="18"/>
        <v>420</v>
      </c>
      <c r="AF145" s="125">
        <f t="shared" si="19"/>
        <v>500</v>
      </c>
      <c r="AG145" s="125">
        <f t="shared" si="20"/>
        <v>220</v>
      </c>
      <c r="AH145" s="125" t="str">
        <f t="shared" si="21"/>
        <v/>
      </c>
    </row>
    <row r="146" spans="27:34" x14ac:dyDescent="0.35">
      <c r="AA146" s="126">
        <f t="shared" si="22"/>
        <v>3.5999999999999921E-3</v>
      </c>
      <c r="AB146" s="126">
        <f t="shared" si="23"/>
        <v>3.5999999999999921E-3</v>
      </c>
      <c r="AC146" s="126">
        <f t="shared" si="24"/>
        <v>3.5999999999999921E-3</v>
      </c>
      <c r="AD146" s="126">
        <f t="shared" si="25"/>
        <v>3.5999999999999921E-3</v>
      </c>
      <c r="AE146" s="125">
        <f t="shared" si="18"/>
        <v>420</v>
      </c>
      <c r="AF146" s="125">
        <f t="shared" si="19"/>
        <v>500</v>
      </c>
      <c r="AG146" s="125">
        <f t="shared" si="20"/>
        <v>220</v>
      </c>
      <c r="AH146" s="125" t="str">
        <f t="shared" si="21"/>
        <v/>
      </c>
    </row>
    <row r="147" spans="27:34" x14ac:dyDescent="0.35">
      <c r="AA147" s="126">
        <f t="shared" si="22"/>
        <v>3.6249999999999919E-3</v>
      </c>
      <c r="AB147" s="126">
        <f t="shared" si="23"/>
        <v>3.6249999999999919E-3</v>
      </c>
      <c r="AC147" s="126">
        <f t="shared" si="24"/>
        <v>3.6249999999999919E-3</v>
      </c>
      <c r="AD147" s="126">
        <f t="shared" si="25"/>
        <v>3.6249999999999919E-3</v>
      </c>
      <c r="AE147" s="125">
        <f t="shared" si="18"/>
        <v>420</v>
      </c>
      <c r="AF147" s="125">
        <f t="shared" si="19"/>
        <v>500</v>
      </c>
      <c r="AG147" s="125">
        <f t="shared" si="20"/>
        <v>220</v>
      </c>
      <c r="AH147" s="125" t="str">
        <f t="shared" si="21"/>
        <v/>
      </c>
    </row>
    <row r="148" spans="27:34" x14ac:dyDescent="0.35">
      <c r="AA148" s="126">
        <f t="shared" si="22"/>
        <v>3.6499999999999918E-3</v>
      </c>
      <c r="AB148" s="126">
        <f t="shared" si="23"/>
        <v>3.6499999999999918E-3</v>
      </c>
      <c r="AC148" s="126">
        <f t="shared" si="24"/>
        <v>3.6499999999999918E-3</v>
      </c>
      <c r="AD148" s="126">
        <f t="shared" si="25"/>
        <v>3.6499999999999918E-3</v>
      </c>
      <c r="AE148" s="125">
        <f t="shared" si="18"/>
        <v>420</v>
      </c>
      <c r="AF148" s="125">
        <f t="shared" si="19"/>
        <v>500</v>
      </c>
      <c r="AG148" s="125">
        <f t="shared" si="20"/>
        <v>220</v>
      </c>
      <c r="AH148" s="125" t="str">
        <f t="shared" si="21"/>
        <v/>
      </c>
    </row>
    <row r="149" spans="27:34" x14ac:dyDescent="0.35">
      <c r="AA149" s="126">
        <f t="shared" si="22"/>
        <v>3.6749999999999916E-3</v>
      </c>
      <c r="AB149" s="126">
        <f t="shared" si="23"/>
        <v>3.6749999999999916E-3</v>
      </c>
      <c r="AC149" s="126">
        <f t="shared" si="24"/>
        <v>3.6749999999999916E-3</v>
      </c>
      <c r="AD149" s="126">
        <f t="shared" si="25"/>
        <v>3.6749999999999916E-3</v>
      </c>
      <c r="AE149" s="125">
        <f t="shared" si="18"/>
        <v>420</v>
      </c>
      <c r="AF149" s="125">
        <f t="shared" si="19"/>
        <v>500</v>
      </c>
      <c r="AG149" s="125">
        <f t="shared" si="20"/>
        <v>220</v>
      </c>
      <c r="AH149" s="125" t="str">
        <f t="shared" si="21"/>
        <v/>
      </c>
    </row>
    <row r="150" spans="27:34" x14ac:dyDescent="0.35">
      <c r="AA150" s="126">
        <f t="shared" si="22"/>
        <v>3.6999999999999915E-3</v>
      </c>
      <c r="AB150" s="126">
        <f t="shared" si="23"/>
        <v>3.6999999999999915E-3</v>
      </c>
      <c r="AC150" s="126">
        <f t="shared" si="24"/>
        <v>3.6999999999999915E-3</v>
      </c>
      <c r="AD150" s="126">
        <f t="shared" si="25"/>
        <v>3.6999999999999915E-3</v>
      </c>
      <c r="AE150" s="125">
        <f t="shared" si="18"/>
        <v>420</v>
      </c>
      <c r="AF150" s="125">
        <f t="shared" si="19"/>
        <v>500</v>
      </c>
      <c r="AG150" s="125">
        <f t="shared" si="20"/>
        <v>220</v>
      </c>
      <c r="AH150" s="125" t="str">
        <f t="shared" si="21"/>
        <v/>
      </c>
    </row>
    <row r="151" spans="27:34" x14ac:dyDescent="0.35">
      <c r="AA151" s="126">
        <f t="shared" si="22"/>
        <v>3.7249999999999913E-3</v>
      </c>
      <c r="AB151" s="126">
        <f t="shared" si="23"/>
        <v>3.7249999999999913E-3</v>
      </c>
      <c r="AC151" s="126">
        <f t="shared" si="24"/>
        <v>3.7249999999999913E-3</v>
      </c>
      <c r="AD151" s="126">
        <f t="shared" si="25"/>
        <v>3.7249999999999913E-3</v>
      </c>
      <c r="AE151" s="125">
        <f t="shared" si="18"/>
        <v>420</v>
      </c>
      <c r="AF151" s="125">
        <f t="shared" si="19"/>
        <v>500</v>
      </c>
      <c r="AG151" s="125">
        <f t="shared" si="20"/>
        <v>220</v>
      </c>
      <c r="AH151" s="125" t="str">
        <f t="shared" si="21"/>
        <v/>
      </c>
    </row>
    <row r="152" spans="27:34" x14ac:dyDescent="0.35">
      <c r="AA152" s="126">
        <f t="shared" si="22"/>
        <v>3.7499999999999912E-3</v>
      </c>
      <c r="AB152" s="126">
        <f t="shared" si="23"/>
        <v>3.7499999999999912E-3</v>
      </c>
      <c r="AC152" s="126">
        <f t="shared" si="24"/>
        <v>3.7499999999999912E-3</v>
      </c>
      <c r="AD152" s="126">
        <f t="shared" si="25"/>
        <v>3.7499999999999912E-3</v>
      </c>
      <c r="AE152" s="125">
        <f t="shared" si="18"/>
        <v>420</v>
      </c>
      <c r="AF152" s="125">
        <f t="shared" si="19"/>
        <v>500</v>
      </c>
      <c r="AG152" s="125">
        <f t="shared" si="20"/>
        <v>220</v>
      </c>
      <c r="AH152" s="125" t="str">
        <f t="shared" si="21"/>
        <v/>
      </c>
    </row>
    <row r="153" spans="27:34" x14ac:dyDescent="0.35">
      <c r="AA153" s="126">
        <f t="shared" si="22"/>
        <v>3.774999999999991E-3</v>
      </c>
      <c r="AB153" s="126">
        <f t="shared" si="23"/>
        <v>3.774999999999991E-3</v>
      </c>
      <c r="AC153" s="126">
        <f t="shared" si="24"/>
        <v>3.774999999999991E-3</v>
      </c>
      <c r="AD153" s="126">
        <f t="shared" si="25"/>
        <v>3.774999999999991E-3</v>
      </c>
      <c r="AE153" s="125">
        <f t="shared" si="18"/>
        <v>420</v>
      </c>
      <c r="AF153" s="125">
        <f t="shared" si="19"/>
        <v>500</v>
      </c>
      <c r="AG153" s="125">
        <f t="shared" si="20"/>
        <v>220</v>
      </c>
      <c r="AH153" s="125" t="str">
        <f t="shared" si="21"/>
        <v/>
      </c>
    </row>
    <row r="154" spans="27:34" x14ac:dyDescent="0.35">
      <c r="AA154" s="126">
        <f t="shared" si="22"/>
        <v>3.7999999999999909E-3</v>
      </c>
      <c r="AB154" s="126">
        <f t="shared" si="23"/>
        <v>3.7999999999999909E-3</v>
      </c>
      <c r="AC154" s="126">
        <f t="shared" si="24"/>
        <v>3.7999999999999909E-3</v>
      </c>
      <c r="AD154" s="126">
        <f t="shared" si="25"/>
        <v>3.7999999999999909E-3</v>
      </c>
      <c r="AE154" s="125">
        <f t="shared" si="18"/>
        <v>420</v>
      </c>
      <c r="AF154" s="125">
        <f t="shared" si="19"/>
        <v>500</v>
      </c>
      <c r="AG154" s="125">
        <f t="shared" si="20"/>
        <v>220</v>
      </c>
      <c r="AH154" s="125" t="str">
        <f t="shared" si="21"/>
        <v/>
      </c>
    </row>
    <row r="155" spans="27:34" x14ac:dyDescent="0.35">
      <c r="AA155" s="126">
        <f t="shared" si="22"/>
        <v>3.8249999999999907E-3</v>
      </c>
      <c r="AB155" s="126">
        <f t="shared" si="23"/>
        <v>3.8249999999999907E-3</v>
      </c>
      <c r="AC155" s="126">
        <f t="shared" si="24"/>
        <v>3.8249999999999907E-3</v>
      </c>
      <c r="AD155" s="126">
        <f t="shared" si="25"/>
        <v>3.8249999999999907E-3</v>
      </c>
      <c r="AE155" s="125">
        <f t="shared" si="18"/>
        <v>420</v>
      </c>
      <c r="AF155" s="125">
        <f t="shared" si="19"/>
        <v>500</v>
      </c>
      <c r="AG155" s="125">
        <f t="shared" si="20"/>
        <v>220</v>
      </c>
      <c r="AH155" s="125" t="str">
        <f t="shared" si="21"/>
        <v/>
      </c>
    </row>
    <row r="156" spans="27:34" x14ac:dyDescent="0.35">
      <c r="AA156" s="126">
        <f t="shared" si="22"/>
        <v>3.8499999999999906E-3</v>
      </c>
      <c r="AB156" s="126">
        <f t="shared" si="23"/>
        <v>3.8499999999999906E-3</v>
      </c>
      <c r="AC156" s="126">
        <f t="shared" si="24"/>
        <v>3.8499999999999906E-3</v>
      </c>
      <c r="AD156" s="126">
        <f t="shared" si="25"/>
        <v>3.8499999999999906E-3</v>
      </c>
      <c r="AE156" s="125">
        <f t="shared" si="18"/>
        <v>420</v>
      </c>
      <c r="AF156" s="125">
        <f t="shared" si="19"/>
        <v>500</v>
      </c>
      <c r="AG156" s="125">
        <f t="shared" si="20"/>
        <v>220</v>
      </c>
      <c r="AH156" s="125" t="str">
        <f t="shared" si="21"/>
        <v/>
      </c>
    </row>
    <row r="157" spans="27:34" x14ac:dyDescent="0.35">
      <c r="AA157" s="126">
        <f t="shared" si="22"/>
        <v>3.8749999999999904E-3</v>
      </c>
      <c r="AB157" s="126">
        <f t="shared" si="23"/>
        <v>3.8749999999999904E-3</v>
      </c>
      <c r="AC157" s="126">
        <f t="shared" si="24"/>
        <v>3.8749999999999904E-3</v>
      </c>
      <c r="AD157" s="126">
        <f t="shared" si="25"/>
        <v>3.8749999999999904E-3</v>
      </c>
      <c r="AE157" s="125">
        <f t="shared" si="18"/>
        <v>420</v>
      </c>
      <c r="AF157" s="125">
        <f t="shared" si="19"/>
        <v>500</v>
      </c>
      <c r="AG157" s="125">
        <f t="shared" si="20"/>
        <v>220</v>
      </c>
      <c r="AH157" s="125" t="str">
        <f t="shared" si="21"/>
        <v/>
      </c>
    </row>
    <row r="158" spans="27:34" x14ac:dyDescent="0.35">
      <c r="AA158" s="126">
        <f t="shared" si="22"/>
        <v>3.8999999999999903E-3</v>
      </c>
      <c r="AB158" s="126">
        <f t="shared" si="23"/>
        <v>3.8999999999999903E-3</v>
      </c>
      <c r="AC158" s="126">
        <f t="shared" si="24"/>
        <v>3.8999999999999903E-3</v>
      </c>
      <c r="AD158" s="126">
        <f t="shared" si="25"/>
        <v>3.8999999999999903E-3</v>
      </c>
      <c r="AE158" s="125">
        <f t="shared" si="18"/>
        <v>420</v>
      </c>
      <c r="AF158" s="125">
        <f t="shared" si="19"/>
        <v>500</v>
      </c>
      <c r="AG158" s="125">
        <f t="shared" si="20"/>
        <v>220</v>
      </c>
      <c r="AH158" s="125" t="str">
        <f t="shared" si="21"/>
        <v/>
      </c>
    </row>
    <row r="159" spans="27:34" x14ac:dyDescent="0.35">
      <c r="AA159" s="126">
        <f t="shared" si="22"/>
        <v>3.9249999999999901E-3</v>
      </c>
      <c r="AB159" s="126">
        <f t="shared" si="23"/>
        <v>3.9249999999999901E-3</v>
      </c>
      <c r="AC159" s="126">
        <f t="shared" si="24"/>
        <v>3.9249999999999901E-3</v>
      </c>
      <c r="AD159" s="126">
        <f t="shared" si="25"/>
        <v>3.9249999999999901E-3</v>
      </c>
      <c r="AE159" s="125">
        <f t="shared" si="18"/>
        <v>420</v>
      </c>
      <c r="AF159" s="125">
        <f t="shared" si="19"/>
        <v>500</v>
      </c>
      <c r="AG159" s="125">
        <f t="shared" si="20"/>
        <v>220</v>
      </c>
      <c r="AH159" s="125" t="str">
        <f t="shared" si="21"/>
        <v/>
      </c>
    </row>
    <row r="160" spans="27:34" x14ac:dyDescent="0.35">
      <c r="AA160" s="126">
        <f t="shared" si="22"/>
        <v>3.94999999999999E-3</v>
      </c>
      <c r="AB160" s="126">
        <f t="shared" si="23"/>
        <v>3.94999999999999E-3</v>
      </c>
      <c r="AC160" s="126">
        <f t="shared" si="24"/>
        <v>3.94999999999999E-3</v>
      </c>
      <c r="AD160" s="126">
        <f t="shared" si="25"/>
        <v>3.94999999999999E-3</v>
      </c>
      <c r="AE160" s="125">
        <f t="shared" si="18"/>
        <v>420</v>
      </c>
      <c r="AF160" s="125">
        <f t="shared" si="19"/>
        <v>500</v>
      </c>
      <c r="AG160" s="125">
        <f t="shared" si="20"/>
        <v>220</v>
      </c>
      <c r="AH160" s="125" t="str">
        <f t="shared" si="21"/>
        <v/>
      </c>
    </row>
    <row r="161" spans="27:34" x14ac:dyDescent="0.35">
      <c r="AA161" s="126">
        <f t="shared" si="22"/>
        <v>3.9749999999999898E-3</v>
      </c>
      <c r="AB161" s="126">
        <f t="shared" si="23"/>
        <v>3.9749999999999898E-3</v>
      </c>
      <c r="AC161" s="126">
        <f t="shared" si="24"/>
        <v>3.9749999999999898E-3</v>
      </c>
      <c r="AD161" s="126">
        <f t="shared" si="25"/>
        <v>3.9749999999999898E-3</v>
      </c>
      <c r="AE161" s="125">
        <f t="shared" si="18"/>
        <v>420</v>
      </c>
      <c r="AF161" s="125">
        <f t="shared" si="19"/>
        <v>500</v>
      </c>
      <c r="AG161" s="125">
        <f t="shared" si="20"/>
        <v>220</v>
      </c>
      <c r="AH161" s="125" t="str">
        <f t="shared" si="21"/>
        <v/>
      </c>
    </row>
    <row r="162" spans="27:34" x14ac:dyDescent="0.35">
      <c r="AA162" s="126">
        <f t="shared" si="22"/>
        <v>3.9999999999999897E-3</v>
      </c>
      <c r="AB162" s="126">
        <f t="shared" si="23"/>
        <v>3.9999999999999897E-3</v>
      </c>
      <c r="AC162" s="126">
        <f t="shared" si="24"/>
        <v>3.9999999999999897E-3</v>
      </c>
      <c r="AD162" s="126">
        <f t="shared" si="25"/>
        <v>3.9999999999999897E-3</v>
      </c>
      <c r="AE162" s="125">
        <f t="shared" si="18"/>
        <v>420</v>
      </c>
      <c r="AF162" s="125">
        <f t="shared" si="19"/>
        <v>500</v>
      </c>
      <c r="AG162" s="125">
        <f t="shared" si="20"/>
        <v>220</v>
      </c>
      <c r="AH162" s="125" t="str">
        <f t="shared" si="21"/>
        <v/>
      </c>
    </row>
    <row r="163" spans="27:34" x14ac:dyDescent="0.35">
      <c r="AA163" s="126">
        <f t="shared" si="22"/>
        <v>4.0249999999999895E-3</v>
      </c>
      <c r="AB163" s="126">
        <f t="shared" si="23"/>
        <v>4.0249999999999895E-3</v>
      </c>
      <c r="AC163" s="126">
        <f t="shared" si="24"/>
        <v>4.0249999999999895E-3</v>
      </c>
      <c r="AD163" s="126">
        <f t="shared" si="25"/>
        <v>4.0249999999999895E-3</v>
      </c>
      <c r="AE163" s="125">
        <f t="shared" si="18"/>
        <v>420</v>
      </c>
      <c r="AF163" s="125">
        <f t="shared" si="19"/>
        <v>500</v>
      </c>
      <c r="AG163" s="125">
        <f t="shared" si="20"/>
        <v>220</v>
      </c>
      <c r="AH163" s="125" t="str">
        <f t="shared" si="21"/>
        <v/>
      </c>
    </row>
    <row r="164" spans="27:34" x14ac:dyDescent="0.35">
      <c r="AA164" s="126">
        <f t="shared" si="22"/>
        <v>4.0499999999999894E-3</v>
      </c>
      <c r="AB164" s="126">
        <f t="shared" si="23"/>
        <v>4.0499999999999894E-3</v>
      </c>
      <c r="AC164" s="126">
        <f t="shared" si="24"/>
        <v>4.0499999999999894E-3</v>
      </c>
      <c r="AD164" s="126">
        <f t="shared" si="25"/>
        <v>4.0499999999999894E-3</v>
      </c>
      <c r="AE164" s="125">
        <f t="shared" si="18"/>
        <v>420</v>
      </c>
      <c r="AF164" s="125">
        <f t="shared" si="19"/>
        <v>500</v>
      </c>
      <c r="AG164" s="125">
        <f t="shared" si="20"/>
        <v>220</v>
      </c>
      <c r="AH164" s="125" t="str">
        <f t="shared" si="21"/>
        <v/>
      </c>
    </row>
    <row r="165" spans="27:34" x14ac:dyDescent="0.35">
      <c r="AA165" s="126">
        <f t="shared" si="22"/>
        <v>4.0749999999999892E-3</v>
      </c>
      <c r="AB165" s="126">
        <f t="shared" si="23"/>
        <v>4.0749999999999892E-3</v>
      </c>
      <c r="AC165" s="126">
        <f t="shared" si="24"/>
        <v>4.0749999999999892E-3</v>
      </c>
      <c r="AD165" s="126">
        <f t="shared" si="25"/>
        <v>4.0749999999999892E-3</v>
      </c>
      <c r="AE165" s="125">
        <f t="shared" si="18"/>
        <v>420</v>
      </c>
      <c r="AF165" s="125">
        <f t="shared" si="19"/>
        <v>500</v>
      </c>
      <c r="AG165" s="125">
        <f t="shared" si="20"/>
        <v>220</v>
      </c>
      <c r="AH165" s="125" t="str">
        <f t="shared" si="21"/>
        <v/>
      </c>
    </row>
    <row r="166" spans="27:34" x14ac:dyDescent="0.35">
      <c r="AA166" s="126">
        <f t="shared" si="22"/>
        <v>4.0999999999999891E-3</v>
      </c>
      <c r="AB166" s="126">
        <f t="shared" si="23"/>
        <v>4.0999999999999891E-3</v>
      </c>
      <c r="AC166" s="126">
        <f t="shared" si="24"/>
        <v>4.0999999999999891E-3</v>
      </c>
      <c r="AD166" s="126">
        <f t="shared" si="25"/>
        <v>4.0999999999999891E-3</v>
      </c>
      <c r="AE166" s="125">
        <f t="shared" si="18"/>
        <v>420</v>
      </c>
      <c r="AF166" s="125">
        <f t="shared" si="19"/>
        <v>500</v>
      </c>
      <c r="AG166" s="125">
        <f t="shared" si="20"/>
        <v>220</v>
      </c>
      <c r="AH166" s="125" t="str">
        <f t="shared" si="21"/>
        <v/>
      </c>
    </row>
    <row r="167" spans="27:34" x14ac:dyDescent="0.35">
      <c r="AA167" s="126">
        <f t="shared" si="22"/>
        <v>4.1249999999999889E-3</v>
      </c>
      <c r="AB167" s="126">
        <f t="shared" si="23"/>
        <v>4.1249999999999889E-3</v>
      </c>
      <c r="AC167" s="126">
        <f t="shared" si="24"/>
        <v>4.1249999999999889E-3</v>
      </c>
      <c r="AD167" s="126">
        <f t="shared" si="25"/>
        <v>4.1249999999999889E-3</v>
      </c>
      <c r="AE167" s="125">
        <f t="shared" si="18"/>
        <v>420</v>
      </c>
      <c r="AF167" s="125">
        <f t="shared" si="19"/>
        <v>500</v>
      </c>
      <c r="AG167" s="125">
        <f t="shared" si="20"/>
        <v>220</v>
      </c>
      <c r="AH167" s="125" t="str">
        <f t="shared" si="21"/>
        <v/>
      </c>
    </row>
    <row r="168" spans="27:34" x14ac:dyDescent="0.35">
      <c r="AA168" s="126">
        <f t="shared" si="22"/>
        <v>4.1499999999999888E-3</v>
      </c>
      <c r="AB168" s="126">
        <f t="shared" si="23"/>
        <v>4.1499999999999888E-3</v>
      </c>
      <c r="AC168" s="126">
        <f t="shared" si="24"/>
        <v>4.1499999999999888E-3</v>
      </c>
      <c r="AD168" s="126">
        <f t="shared" si="25"/>
        <v>4.1499999999999888E-3</v>
      </c>
      <c r="AE168" s="125">
        <f t="shared" si="18"/>
        <v>420</v>
      </c>
      <c r="AF168" s="125">
        <f t="shared" si="19"/>
        <v>500</v>
      </c>
      <c r="AG168" s="125">
        <f t="shared" si="20"/>
        <v>220</v>
      </c>
      <c r="AH168" s="125" t="str">
        <f t="shared" si="21"/>
        <v/>
      </c>
    </row>
    <row r="169" spans="27:34" x14ac:dyDescent="0.35">
      <c r="AA169" s="126">
        <f t="shared" si="22"/>
        <v>4.1749999999999886E-3</v>
      </c>
      <c r="AB169" s="126">
        <f t="shared" si="23"/>
        <v>4.1749999999999886E-3</v>
      </c>
      <c r="AC169" s="126">
        <f t="shared" si="24"/>
        <v>4.1749999999999886E-3</v>
      </c>
      <c r="AD169" s="126">
        <f t="shared" si="25"/>
        <v>4.1749999999999886E-3</v>
      </c>
      <c r="AE169" s="125">
        <f t="shared" si="18"/>
        <v>420</v>
      </c>
      <c r="AF169" s="125">
        <f t="shared" si="19"/>
        <v>500</v>
      </c>
      <c r="AG169" s="125">
        <f t="shared" si="20"/>
        <v>220</v>
      </c>
      <c r="AH169" s="125" t="str">
        <f t="shared" si="21"/>
        <v/>
      </c>
    </row>
    <row r="170" spans="27:34" x14ac:dyDescent="0.35">
      <c r="AA170" s="126">
        <f t="shared" si="22"/>
        <v>4.1999999999999885E-3</v>
      </c>
      <c r="AB170" s="126">
        <f t="shared" si="23"/>
        <v>4.1999999999999885E-3</v>
      </c>
      <c r="AC170" s="126">
        <f t="shared" si="24"/>
        <v>4.1999999999999885E-3</v>
      </c>
      <c r="AD170" s="126">
        <f t="shared" si="25"/>
        <v>4.1999999999999885E-3</v>
      </c>
      <c r="AE170" s="125">
        <f t="shared" si="18"/>
        <v>420</v>
      </c>
      <c r="AF170" s="125">
        <f t="shared" si="19"/>
        <v>500</v>
      </c>
      <c r="AG170" s="125">
        <f t="shared" si="20"/>
        <v>220</v>
      </c>
      <c r="AH170" s="125" t="str">
        <f t="shared" si="21"/>
        <v/>
      </c>
    </row>
    <row r="171" spans="27:34" x14ac:dyDescent="0.35">
      <c r="AA171" s="126">
        <f t="shared" si="22"/>
        <v>4.2249999999999883E-3</v>
      </c>
      <c r="AB171" s="126">
        <f t="shared" si="23"/>
        <v>4.2249999999999883E-3</v>
      </c>
      <c r="AC171" s="126">
        <f t="shared" si="24"/>
        <v>4.2249999999999883E-3</v>
      </c>
      <c r="AD171" s="126">
        <f t="shared" si="25"/>
        <v>4.2249999999999883E-3</v>
      </c>
      <c r="AE171" s="125">
        <f t="shared" si="18"/>
        <v>420</v>
      </c>
      <c r="AF171" s="125">
        <f t="shared" si="19"/>
        <v>500</v>
      </c>
      <c r="AG171" s="125">
        <f t="shared" si="20"/>
        <v>220</v>
      </c>
      <c r="AH171" s="125" t="str">
        <f t="shared" si="21"/>
        <v/>
      </c>
    </row>
    <row r="172" spans="27:34" x14ac:dyDescent="0.35">
      <c r="AA172" s="126">
        <f t="shared" si="22"/>
        <v>4.2499999999999882E-3</v>
      </c>
      <c r="AB172" s="126">
        <f t="shared" si="23"/>
        <v>4.2499999999999882E-3</v>
      </c>
      <c r="AC172" s="126">
        <f t="shared" si="24"/>
        <v>4.2499999999999882E-3</v>
      </c>
      <c r="AD172" s="126">
        <f t="shared" si="25"/>
        <v>4.2499999999999882E-3</v>
      </c>
      <c r="AE172" s="125">
        <f t="shared" si="18"/>
        <v>420</v>
      </c>
      <c r="AF172" s="125">
        <f t="shared" si="19"/>
        <v>500</v>
      </c>
      <c r="AG172" s="125">
        <f t="shared" si="20"/>
        <v>220</v>
      </c>
      <c r="AH172" s="125" t="str">
        <f t="shared" si="21"/>
        <v/>
      </c>
    </row>
    <row r="173" spans="27:34" x14ac:dyDescent="0.35">
      <c r="AA173" s="126">
        <f t="shared" si="22"/>
        <v>4.274999999999988E-3</v>
      </c>
      <c r="AB173" s="126">
        <f t="shared" si="23"/>
        <v>4.274999999999988E-3</v>
      </c>
      <c r="AC173" s="126">
        <f t="shared" si="24"/>
        <v>4.274999999999988E-3</v>
      </c>
      <c r="AD173" s="126">
        <f t="shared" si="25"/>
        <v>4.274999999999988E-3</v>
      </c>
      <c r="AE173" s="125">
        <f t="shared" si="18"/>
        <v>420</v>
      </c>
      <c r="AF173" s="125">
        <f t="shared" si="19"/>
        <v>500</v>
      </c>
      <c r="AG173" s="125">
        <f t="shared" si="20"/>
        <v>220</v>
      </c>
      <c r="AH173" s="125" t="str">
        <f t="shared" si="21"/>
        <v/>
      </c>
    </row>
    <row r="174" spans="27:34" x14ac:dyDescent="0.35">
      <c r="AA174" s="126">
        <f t="shared" si="22"/>
        <v>4.2999999999999879E-3</v>
      </c>
      <c r="AB174" s="126">
        <f t="shared" si="23"/>
        <v>4.2999999999999879E-3</v>
      </c>
      <c r="AC174" s="126">
        <f t="shared" si="24"/>
        <v>4.2999999999999879E-3</v>
      </c>
      <c r="AD174" s="126">
        <f t="shared" si="25"/>
        <v>4.2999999999999879E-3</v>
      </c>
      <c r="AE174" s="125">
        <f t="shared" si="18"/>
        <v>420</v>
      </c>
      <c r="AF174" s="125">
        <f t="shared" si="19"/>
        <v>500</v>
      </c>
      <c r="AG174" s="125">
        <f t="shared" si="20"/>
        <v>220</v>
      </c>
      <c r="AH174" s="125" t="str">
        <f t="shared" si="21"/>
        <v/>
      </c>
    </row>
    <row r="175" spans="27:34" x14ac:dyDescent="0.35">
      <c r="AA175" s="126">
        <f t="shared" si="22"/>
        <v>4.3249999999999877E-3</v>
      </c>
      <c r="AB175" s="126">
        <f t="shared" si="23"/>
        <v>4.3249999999999877E-3</v>
      </c>
      <c r="AC175" s="126">
        <f t="shared" si="24"/>
        <v>4.3249999999999877E-3</v>
      </c>
      <c r="AD175" s="126">
        <f t="shared" si="25"/>
        <v>4.3249999999999877E-3</v>
      </c>
      <c r="AE175" s="125">
        <f t="shared" si="18"/>
        <v>420</v>
      </c>
      <c r="AF175" s="125">
        <f t="shared" si="19"/>
        <v>500</v>
      </c>
      <c r="AG175" s="125">
        <f t="shared" si="20"/>
        <v>220</v>
      </c>
      <c r="AH175" s="125" t="str">
        <f t="shared" si="21"/>
        <v/>
      </c>
    </row>
    <row r="176" spans="27:34" x14ac:dyDescent="0.35">
      <c r="AA176" s="126">
        <f t="shared" si="22"/>
        <v>4.3499999999999876E-3</v>
      </c>
      <c r="AB176" s="126">
        <f t="shared" si="23"/>
        <v>4.3499999999999876E-3</v>
      </c>
      <c r="AC176" s="126">
        <f t="shared" si="24"/>
        <v>4.3499999999999876E-3</v>
      </c>
      <c r="AD176" s="126">
        <f t="shared" si="25"/>
        <v>4.3499999999999876E-3</v>
      </c>
      <c r="AE176" s="125">
        <f t="shared" si="18"/>
        <v>420</v>
      </c>
      <c r="AF176" s="125">
        <f t="shared" si="19"/>
        <v>500</v>
      </c>
      <c r="AG176" s="125">
        <f t="shared" si="20"/>
        <v>220</v>
      </c>
      <c r="AH176" s="125" t="str">
        <f t="shared" si="21"/>
        <v/>
      </c>
    </row>
    <row r="177" spans="27:34" x14ac:dyDescent="0.35">
      <c r="AA177" s="126">
        <f t="shared" si="22"/>
        <v>4.3749999999999874E-3</v>
      </c>
      <c r="AB177" s="126">
        <f t="shared" si="23"/>
        <v>4.3749999999999874E-3</v>
      </c>
      <c r="AC177" s="126">
        <f t="shared" si="24"/>
        <v>4.3749999999999874E-3</v>
      </c>
      <c r="AD177" s="126">
        <f t="shared" si="25"/>
        <v>4.3749999999999874E-3</v>
      </c>
      <c r="AE177" s="125">
        <f t="shared" si="18"/>
        <v>420</v>
      </c>
      <c r="AF177" s="125">
        <f t="shared" si="19"/>
        <v>500</v>
      </c>
      <c r="AG177" s="125">
        <f t="shared" si="20"/>
        <v>220</v>
      </c>
      <c r="AH177" s="125" t="str">
        <f t="shared" si="21"/>
        <v/>
      </c>
    </row>
    <row r="178" spans="27:34" x14ac:dyDescent="0.35">
      <c r="AA178" s="126">
        <f t="shared" si="22"/>
        <v>4.3999999999999873E-3</v>
      </c>
      <c r="AB178" s="126">
        <f t="shared" si="23"/>
        <v>4.3999999999999873E-3</v>
      </c>
      <c r="AC178" s="126">
        <f t="shared" si="24"/>
        <v>4.3999999999999873E-3</v>
      </c>
      <c r="AD178" s="126">
        <f t="shared" si="25"/>
        <v>4.3999999999999873E-3</v>
      </c>
      <c r="AE178" s="125">
        <f t="shared" si="18"/>
        <v>420</v>
      </c>
      <c r="AF178" s="125">
        <f t="shared" si="19"/>
        <v>500</v>
      </c>
      <c r="AG178" s="125">
        <f t="shared" si="20"/>
        <v>220</v>
      </c>
      <c r="AH178" s="125" t="str">
        <f t="shared" si="21"/>
        <v/>
      </c>
    </row>
    <row r="179" spans="27:34" x14ac:dyDescent="0.35">
      <c r="AA179" s="126">
        <f t="shared" si="22"/>
        <v>4.4249999999999871E-3</v>
      </c>
      <c r="AB179" s="126">
        <f t="shared" si="23"/>
        <v>4.4249999999999871E-3</v>
      </c>
      <c r="AC179" s="126">
        <f t="shared" si="24"/>
        <v>4.4249999999999871E-3</v>
      </c>
      <c r="AD179" s="126">
        <f t="shared" si="25"/>
        <v>4.4249999999999871E-3</v>
      </c>
      <c r="AE179" s="125">
        <f t="shared" si="18"/>
        <v>420</v>
      </c>
      <c r="AF179" s="125">
        <f t="shared" si="19"/>
        <v>500</v>
      </c>
      <c r="AG179" s="125">
        <f t="shared" si="20"/>
        <v>220</v>
      </c>
      <c r="AH179" s="125" t="str">
        <f t="shared" si="21"/>
        <v/>
      </c>
    </row>
    <row r="180" spans="27:34" x14ac:dyDescent="0.35">
      <c r="AA180" s="126">
        <f t="shared" si="22"/>
        <v>4.449999999999987E-3</v>
      </c>
      <c r="AB180" s="126">
        <f t="shared" si="23"/>
        <v>4.449999999999987E-3</v>
      </c>
      <c r="AC180" s="126">
        <f t="shared" si="24"/>
        <v>4.449999999999987E-3</v>
      </c>
      <c r="AD180" s="126">
        <f t="shared" si="25"/>
        <v>4.449999999999987E-3</v>
      </c>
      <c r="AE180" s="125">
        <f t="shared" si="18"/>
        <v>420</v>
      </c>
      <c r="AF180" s="125">
        <f t="shared" si="19"/>
        <v>500</v>
      </c>
      <c r="AG180" s="125">
        <f t="shared" si="20"/>
        <v>220</v>
      </c>
      <c r="AH180" s="125" t="str">
        <f t="shared" si="21"/>
        <v/>
      </c>
    </row>
    <row r="181" spans="27:34" x14ac:dyDescent="0.35">
      <c r="AA181" s="126">
        <f t="shared" si="22"/>
        <v>4.4749999999999868E-3</v>
      </c>
      <c r="AB181" s="126">
        <f t="shared" si="23"/>
        <v>4.4749999999999868E-3</v>
      </c>
      <c r="AC181" s="126">
        <f t="shared" si="24"/>
        <v>4.4749999999999868E-3</v>
      </c>
      <c r="AD181" s="126">
        <f t="shared" si="25"/>
        <v>4.4749999999999868E-3</v>
      </c>
      <c r="AE181" s="125">
        <f t="shared" si="18"/>
        <v>420</v>
      </c>
      <c r="AF181" s="125">
        <f t="shared" si="19"/>
        <v>500</v>
      </c>
      <c r="AG181" s="125">
        <f t="shared" si="20"/>
        <v>220</v>
      </c>
      <c r="AH181" s="125" t="str">
        <f t="shared" si="21"/>
        <v/>
      </c>
    </row>
    <row r="182" spans="27:34" x14ac:dyDescent="0.35">
      <c r="AA182" s="126">
        <f t="shared" si="22"/>
        <v>4.4999999999999866E-3</v>
      </c>
      <c r="AB182" s="126">
        <f t="shared" si="23"/>
        <v>4.4999999999999866E-3</v>
      </c>
      <c r="AC182" s="126">
        <f t="shared" si="24"/>
        <v>4.4999999999999866E-3</v>
      </c>
      <c r="AD182" s="126">
        <f t="shared" si="25"/>
        <v>4.4999999999999866E-3</v>
      </c>
      <c r="AE182" s="125">
        <f t="shared" si="18"/>
        <v>420</v>
      </c>
      <c r="AF182" s="125">
        <f t="shared" si="19"/>
        <v>500</v>
      </c>
      <c r="AG182" s="125">
        <f t="shared" si="20"/>
        <v>220</v>
      </c>
      <c r="AH182" s="125" t="str">
        <f t="shared" si="21"/>
        <v/>
      </c>
    </row>
    <row r="183" spans="27:34" x14ac:dyDescent="0.35">
      <c r="AA183" s="126">
        <f t="shared" si="22"/>
        <v>4.5249999999999865E-3</v>
      </c>
      <c r="AB183" s="126">
        <f t="shared" si="23"/>
        <v>4.5249999999999865E-3</v>
      </c>
      <c r="AC183" s="126">
        <f t="shared" si="24"/>
        <v>4.5249999999999865E-3</v>
      </c>
      <c r="AD183" s="126">
        <f t="shared" si="25"/>
        <v>4.5249999999999865E-3</v>
      </c>
      <c r="AE183" s="125">
        <f t="shared" si="18"/>
        <v>420</v>
      </c>
      <c r="AF183" s="125">
        <f t="shared" si="19"/>
        <v>500</v>
      </c>
      <c r="AG183" s="125">
        <f t="shared" si="20"/>
        <v>220</v>
      </c>
      <c r="AH183" s="125" t="str">
        <f t="shared" si="21"/>
        <v/>
      </c>
    </row>
    <row r="184" spans="27:34" x14ac:dyDescent="0.35">
      <c r="AA184" s="126">
        <f t="shared" si="22"/>
        <v>4.5499999999999863E-3</v>
      </c>
      <c r="AB184" s="126">
        <f t="shared" si="23"/>
        <v>4.5499999999999863E-3</v>
      </c>
      <c r="AC184" s="126">
        <f t="shared" si="24"/>
        <v>4.5499999999999863E-3</v>
      </c>
      <c r="AD184" s="126">
        <f t="shared" si="25"/>
        <v>4.5499999999999863E-3</v>
      </c>
      <c r="AE184" s="125">
        <f t="shared" si="18"/>
        <v>420</v>
      </c>
      <c r="AF184" s="125">
        <f t="shared" si="19"/>
        <v>500</v>
      </c>
      <c r="AG184" s="125">
        <f t="shared" si="20"/>
        <v>220</v>
      </c>
      <c r="AH184" s="125" t="str">
        <f t="shared" si="21"/>
        <v/>
      </c>
    </row>
    <row r="185" spans="27:34" x14ac:dyDescent="0.35">
      <c r="AA185" s="126">
        <f t="shared" si="22"/>
        <v>4.5749999999999862E-3</v>
      </c>
      <c r="AB185" s="126">
        <f t="shared" si="23"/>
        <v>4.5749999999999862E-3</v>
      </c>
      <c r="AC185" s="126">
        <f t="shared" si="24"/>
        <v>4.5749999999999862E-3</v>
      </c>
      <c r="AD185" s="126">
        <f t="shared" si="25"/>
        <v>4.5749999999999862E-3</v>
      </c>
      <c r="AE185" s="125">
        <f t="shared" si="18"/>
        <v>420</v>
      </c>
      <c r="AF185" s="125">
        <f t="shared" si="19"/>
        <v>500</v>
      </c>
      <c r="AG185" s="125">
        <f t="shared" si="20"/>
        <v>220</v>
      </c>
      <c r="AH185" s="125" t="str">
        <f t="shared" si="21"/>
        <v/>
      </c>
    </row>
    <row r="186" spans="27:34" x14ac:dyDescent="0.35">
      <c r="AA186" s="126">
        <f t="shared" si="22"/>
        <v>4.599999999999986E-3</v>
      </c>
      <c r="AB186" s="126">
        <f t="shared" si="23"/>
        <v>4.599999999999986E-3</v>
      </c>
      <c r="AC186" s="126">
        <f t="shared" si="24"/>
        <v>4.599999999999986E-3</v>
      </c>
      <c r="AD186" s="126">
        <f t="shared" si="25"/>
        <v>4.599999999999986E-3</v>
      </c>
      <c r="AE186" s="125">
        <f t="shared" si="18"/>
        <v>420</v>
      </c>
      <c r="AF186" s="125">
        <f t="shared" si="19"/>
        <v>500</v>
      </c>
      <c r="AG186" s="125">
        <f t="shared" si="20"/>
        <v>220</v>
      </c>
      <c r="AH186" s="125" t="str">
        <f t="shared" si="21"/>
        <v/>
      </c>
    </row>
    <row r="187" spans="27:34" x14ac:dyDescent="0.35">
      <c r="AA187" s="126">
        <f t="shared" si="22"/>
        <v>4.6249999999999859E-3</v>
      </c>
      <c r="AB187" s="126">
        <f t="shared" si="23"/>
        <v>4.6249999999999859E-3</v>
      </c>
      <c r="AC187" s="126">
        <f t="shared" si="24"/>
        <v>4.6249999999999859E-3</v>
      </c>
      <c r="AD187" s="126">
        <f t="shared" si="25"/>
        <v>4.6249999999999859E-3</v>
      </c>
      <c r="AE187" s="125">
        <f t="shared" si="18"/>
        <v>420</v>
      </c>
      <c r="AF187" s="125">
        <f t="shared" si="19"/>
        <v>500</v>
      </c>
      <c r="AG187" s="125">
        <f t="shared" si="20"/>
        <v>220</v>
      </c>
      <c r="AH187" s="125" t="str">
        <f t="shared" si="21"/>
        <v/>
      </c>
    </row>
    <row r="188" spans="27:34" x14ac:dyDescent="0.35">
      <c r="AA188" s="126">
        <f t="shared" si="22"/>
        <v>4.6499999999999857E-3</v>
      </c>
      <c r="AB188" s="126">
        <f t="shared" si="23"/>
        <v>4.6499999999999857E-3</v>
      </c>
      <c r="AC188" s="126">
        <f t="shared" si="24"/>
        <v>4.6499999999999857E-3</v>
      </c>
      <c r="AD188" s="126">
        <f t="shared" si="25"/>
        <v>4.6499999999999857E-3</v>
      </c>
      <c r="AE188" s="125">
        <f t="shared" si="18"/>
        <v>420</v>
      </c>
      <c r="AF188" s="125">
        <f t="shared" si="19"/>
        <v>500</v>
      </c>
      <c r="AG188" s="125">
        <f t="shared" si="20"/>
        <v>220</v>
      </c>
      <c r="AH188" s="125" t="str">
        <f t="shared" si="21"/>
        <v/>
      </c>
    </row>
    <row r="189" spans="27:34" x14ac:dyDescent="0.35">
      <c r="AA189" s="126">
        <f t="shared" si="22"/>
        <v>4.6749999999999856E-3</v>
      </c>
      <c r="AB189" s="126">
        <f t="shared" si="23"/>
        <v>4.6749999999999856E-3</v>
      </c>
      <c r="AC189" s="126">
        <f t="shared" si="24"/>
        <v>4.6749999999999856E-3</v>
      </c>
      <c r="AD189" s="126">
        <f t="shared" si="25"/>
        <v>4.6749999999999856E-3</v>
      </c>
      <c r="AE189" s="125">
        <f t="shared" si="18"/>
        <v>420</v>
      </c>
      <c r="AF189" s="125">
        <f t="shared" si="19"/>
        <v>500</v>
      </c>
      <c r="AG189" s="125">
        <f t="shared" si="20"/>
        <v>220</v>
      </c>
      <c r="AH189" s="125" t="str">
        <f t="shared" si="21"/>
        <v/>
      </c>
    </row>
    <row r="190" spans="27:34" x14ac:dyDescent="0.35">
      <c r="AA190" s="126">
        <f t="shared" si="22"/>
        <v>4.6999999999999854E-3</v>
      </c>
      <c r="AB190" s="126">
        <f t="shared" si="23"/>
        <v>4.6999999999999854E-3</v>
      </c>
      <c r="AC190" s="126">
        <f t="shared" si="24"/>
        <v>4.6999999999999854E-3</v>
      </c>
      <c r="AD190" s="126">
        <f t="shared" si="25"/>
        <v>4.6999999999999854E-3</v>
      </c>
      <c r="AE190" s="125">
        <f t="shared" si="18"/>
        <v>420</v>
      </c>
      <c r="AF190" s="125">
        <f t="shared" si="19"/>
        <v>500</v>
      </c>
      <c r="AG190" s="125">
        <f t="shared" si="20"/>
        <v>220</v>
      </c>
      <c r="AH190" s="125" t="str">
        <f t="shared" si="21"/>
        <v/>
      </c>
    </row>
    <row r="191" spans="27:34" x14ac:dyDescent="0.35">
      <c r="AA191" s="126">
        <f t="shared" si="22"/>
        <v>4.7249999999999853E-3</v>
      </c>
      <c r="AB191" s="126">
        <f t="shared" si="23"/>
        <v>4.7249999999999853E-3</v>
      </c>
      <c r="AC191" s="126">
        <f t="shared" si="24"/>
        <v>4.7249999999999853E-3</v>
      </c>
      <c r="AD191" s="126">
        <f t="shared" si="25"/>
        <v>4.7249999999999853E-3</v>
      </c>
      <c r="AE191" s="125">
        <f t="shared" si="18"/>
        <v>420</v>
      </c>
      <c r="AF191" s="125">
        <f t="shared" si="19"/>
        <v>500</v>
      </c>
      <c r="AG191" s="125">
        <f t="shared" si="20"/>
        <v>220</v>
      </c>
      <c r="AH191" s="125" t="str">
        <f t="shared" si="21"/>
        <v/>
      </c>
    </row>
    <row r="192" spans="27:34" x14ac:dyDescent="0.35">
      <c r="AA192" s="126">
        <f t="shared" si="22"/>
        <v>4.7499999999999851E-3</v>
      </c>
      <c r="AB192" s="126">
        <f t="shared" si="23"/>
        <v>4.7499999999999851E-3</v>
      </c>
      <c r="AC192" s="126">
        <f t="shared" si="24"/>
        <v>4.7499999999999851E-3</v>
      </c>
      <c r="AD192" s="126">
        <f t="shared" si="25"/>
        <v>4.7499999999999851E-3</v>
      </c>
      <c r="AE192" s="125">
        <f t="shared" si="18"/>
        <v>420</v>
      </c>
      <c r="AF192" s="125">
        <f t="shared" si="19"/>
        <v>500</v>
      </c>
      <c r="AG192" s="125">
        <f t="shared" si="20"/>
        <v>220</v>
      </c>
      <c r="AH192" s="125" t="str">
        <f t="shared" si="21"/>
        <v/>
      </c>
    </row>
    <row r="193" spans="27:34" x14ac:dyDescent="0.35">
      <c r="AA193" s="126">
        <f t="shared" si="22"/>
        <v>4.774999999999985E-3</v>
      </c>
      <c r="AB193" s="126">
        <f t="shared" si="23"/>
        <v>4.774999999999985E-3</v>
      </c>
      <c r="AC193" s="126">
        <f t="shared" si="24"/>
        <v>4.774999999999985E-3</v>
      </c>
      <c r="AD193" s="126">
        <f t="shared" si="25"/>
        <v>4.774999999999985E-3</v>
      </c>
      <c r="AE193" s="125">
        <f t="shared" si="18"/>
        <v>420</v>
      </c>
      <c r="AF193" s="125">
        <f t="shared" si="19"/>
        <v>500</v>
      </c>
      <c r="AG193" s="125">
        <f t="shared" si="20"/>
        <v>220</v>
      </c>
      <c r="AH193" s="125" t="str">
        <f t="shared" si="21"/>
        <v/>
      </c>
    </row>
    <row r="194" spans="27:34" x14ac:dyDescent="0.35">
      <c r="AA194" s="126">
        <f t="shared" si="22"/>
        <v>4.7999999999999848E-3</v>
      </c>
      <c r="AB194" s="126">
        <f t="shared" si="23"/>
        <v>4.7999999999999848E-3</v>
      </c>
      <c r="AC194" s="126">
        <f t="shared" si="24"/>
        <v>4.7999999999999848E-3</v>
      </c>
      <c r="AD194" s="126">
        <f t="shared" si="25"/>
        <v>4.7999999999999848E-3</v>
      </c>
      <c r="AE194" s="125">
        <f t="shared" si="18"/>
        <v>420</v>
      </c>
      <c r="AF194" s="125">
        <f t="shared" si="19"/>
        <v>500</v>
      </c>
      <c r="AG194" s="125">
        <f t="shared" si="20"/>
        <v>220</v>
      </c>
      <c r="AH194" s="125" t="str">
        <f t="shared" si="21"/>
        <v/>
      </c>
    </row>
    <row r="195" spans="27:34" x14ac:dyDescent="0.35">
      <c r="AA195" s="126">
        <f t="shared" si="22"/>
        <v>4.8249999999999847E-3</v>
      </c>
      <c r="AB195" s="126">
        <f t="shared" si="23"/>
        <v>4.8249999999999847E-3</v>
      </c>
      <c r="AC195" s="126">
        <f t="shared" si="24"/>
        <v>4.8249999999999847E-3</v>
      </c>
      <c r="AD195" s="126">
        <f t="shared" si="25"/>
        <v>4.8249999999999847E-3</v>
      </c>
      <c r="AE195" s="125">
        <f t="shared" ref="AE195:AE202" si="26">IF(AA195&lt;B$6,B$4*AA195,B$3)</f>
        <v>420</v>
      </c>
      <c r="AF195" s="125">
        <f t="shared" ref="AF195:AF202" si="27">IF(AB195&lt;C$6,C$4*AB195,C$3)</f>
        <v>500</v>
      </c>
      <c r="AG195" s="125">
        <f t="shared" ref="AG195:AG202" si="28">IF(AC195&lt;D$6,D$4*AC195,D$3)</f>
        <v>220</v>
      </c>
      <c r="AH195" s="125" t="str">
        <f t="shared" ref="AH195:AH202" si="29">IF(AND(NOT(ISBLANK($E$3)), NOT(ISBLANK($E$4)), NOT(ISBLANK($E$5)), NOT(ISBLANK($E$6))), IF(AD195&lt;E$6,E$4*AD195,E$3), "")</f>
        <v/>
      </c>
    </row>
    <row r="196" spans="27:34" x14ac:dyDescent="0.35">
      <c r="AA196" s="126">
        <f t="shared" ref="AA196:AA202" si="30">AA195+MAX($B$6:$E$6)*2/200</f>
        <v>4.8499999999999845E-3</v>
      </c>
      <c r="AB196" s="126">
        <f t="shared" ref="AB196:AB202" si="31">AB195+MAX($B$6:$E$6)*2/200</f>
        <v>4.8499999999999845E-3</v>
      </c>
      <c r="AC196" s="126">
        <f t="shared" ref="AC196:AC202" si="32">AC195+MAX($B$6:$E$6)*2/200</f>
        <v>4.8499999999999845E-3</v>
      </c>
      <c r="AD196" s="126">
        <f t="shared" ref="AD196:AD202" si="33">AD195+MAX($B$6:$E$6)*2/200</f>
        <v>4.8499999999999845E-3</v>
      </c>
      <c r="AE196" s="125">
        <f t="shared" si="26"/>
        <v>420</v>
      </c>
      <c r="AF196" s="125">
        <f t="shared" si="27"/>
        <v>500</v>
      </c>
      <c r="AG196" s="125">
        <f t="shared" si="28"/>
        <v>220</v>
      </c>
      <c r="AH196" s="125" t="str">
        <f t="shared" si="29"/>
        <v/>
      </c>
    </row>
    <row r="197" spans="27:34" x14ac:dyDescent="0.35">
      <c r="AA197" s="126">
        <f t="shared" si="30"/>
        <v>4.8749999999999844E-3</v>
      </c>
      <c r="AB197" s="126">
        <f t="shared" si="31"/>
        <v>4.8749999999999844E-3</v>
      </c>
      <c r="AC197" s="126">
        <f t="shared" si="32"/>
        <v>4.8749999999999844E-3</v>
      </c>
      <c r="AD197" s="126">
        <f t="shared" si="33"/>
        <v>4.8749999999999844E-3</v>
      </c>
      <c r="AE197" s="125">
        <f t="shared" si="26"/>
        <v>420</v>
      </c>
      <c r="AF197" s="125">
        <f t="shared" si="27"/>
        <v>500</v>
      </c>
      <c r="AG197" s="125">
        <f t="shared" si="28"/>
        <v>220</v>
      </c>
      <c r="AH197" s="125" t="str">
        <f t="shared" si="29"/>
        <v/>
      </c>
    </row>
    <row r="198" spans="27:34" x14ac:dyDescent="0.35">
      <c r="AA198" s="126">
        <f t="shared" si="30"/>
        <v>4.8999999999999842E-3</v>
      </c>
      <c r="AB198" s="126">
        <f t="shared" si="31"/>
        <v>4.8999999999999842E-3</v>
      </c>
      <c r="AC198" s="126">
        <f t="shared" si="32"/>
        <v>4.8999999999999842E-3</v>
      </c>
      <c r="AD198" s="126">
        <f t="shared" si="33"/>
        <v>4.8999999999999842E-3</v>
      </c>
      <c r="AE198" s="125">
        <f t="shared" si="26"/>
        <v>420</v>
      </c>
      <c r="AF198" s="125">
        <f t="shared" si="27"/>
        <v>500</v>
      </c>
      <c r="AG198" s="125">
        <f t="shared" si="28"/>
        <v>220</v>
      </c>
      <c r="AH198" s="125" t="str">
        <f t="shared" si="29"/>
        <v/>
      </c>
    </row>
    <row r="199" spans="27:34" x14ac:dyDescent="0.35">
      <c r="AA199" s="126">
        <f t="shared" si="30"/>
        <v>4.9249999999999841E-3</v>
      </c>
      <c r="AB199" s="126">
        <f t="shared" si="31"/>
        <v>4.9249999999999841E-3</v>
      </c>
      <c r="AC199" s="126">
        <f t="shared" si="32"/>
        <v>4.9249999999999841E-3</v>
      </c>
      <c r="AD199" s="126">
        <f t="shared" si="33"/>
        <v>4.9249999999999841E-3</v>
      </c>
      <c r="AE199" s="125">
        <f t="shared" si="26"/>
        <v>420</v>
      </c>
      <c r="AF199" s="125">
        <f t="shared" si="27"/>
        <v>500</v>
      </c>
      <c r="AG199" s="125">
        <f t="shared" si="28"/>
        <v>220</v>
      </c>
      <c r="AH199" s="125" t="str">
        <f t="shared" si="29"/>
        <v/>
      </c>
    </row>
    <row r="200" spans="27:34" x14ac:dyDescent="0.35">
      <c r="AA200" s="126">
        <f t="shared" si="30"/>
        <v>4.9499999999999839E-3</v>
      </c>
      <c r="AB200" s="126">
        <f t="shared" si="31"/>
        <v>4.9499999999999839E-3</v>
      </c>
      <c r="AC200" s="126">
        <f t="shared" si="32"/>
        <v>4.9499999999999839E-3</v>
      </c>
      <c r="AD200" s="126">
        <f t="shared" si="33"/>
        <v>4.9499999999999839E-3</v>
      </c>
      <c r="AE200" s="125">
        <f t="shared" si="26"/>
        <v>420</v>
      </c>
      <c r="AF200" s="125">
        <f t="shared" si="27"/>
        <v>500</v>
      </c>
      <c r="AG200" s="125">
        <f t="shared" si="28"/>
        <v>220</v>
      </c>
      <c r="AH200" s="125" t="str">
        <f t="shared" si="29"/>
        <v/>
      </c>
    </row>
    <row r="201" spans="27:34" x14ac:dyDescent="0.35">
      <c r="AA201" s="126">
        <f t="shared" si="30"/>
        <v>4.9749999999999838E-3</v>
      </c>
      <c r="AB201" s="126">
        <f t="shared" si="31"/>
        <v>4.9749999999999838E-3</v>
      </c>
      <c r="AC201" s="126">
        <f t="shared" si="32"/>
        <v>4.9749999999999838E-3</v>
      </c>
      <c r="AD201" s="126">
        <f t="shared" si="33"/>
        <v>4.9749999999999838E-3</v>
      </c>
      <c r="AE201" s="125">
        <f t="shared" si="26"/>
        <v>420</v>
      </c>
      <c r="AF201" s="125">
        <f t="shared" si="27"/>
        <v>500</v>
      </c>
      <c r="AG201" s="125">
        <f t="shared" si="28"/>
        <v>220</v>
      </c>
      <c r="AH201" s="125" t="str">
        <f t="shared" si="29"/>
        <v/>
      </c>
    </row>
    <row r="202" spans="27:34" x14ac:dyDescent="0.35">
      <c r="AA202" s="126">
        <f t="shared" si="30"/>
        <v>4.9999999999999836E-3</v>
      </c>
      <c r="AB202" s="126">
        <f t="shared" si="31"/>
        <v>4.9999999999999836E-3</v>
      </c>
      <c r="AC202" s="126">
        <f t="shared" si="32"/>
        <v>4.9999999999999836E-3</v>
      </c>
      <c r="AD202" s="126">
        <f t="shared" si="33"/>
        <v>4.9999999999999836E-3</v>
      </c>
      <c r="AE202" s="125">
        <f t="shared" si="26"/>
        <v>420</v>
      </c>
      <c r="AF202" s="125">
        <f t="shared" si="27"/>
        <v>500</v>
      </c>
      <c r="AG202" s="125">
        <f t="shared" si="28"/>
        <v>220</v>
      </c>
      <c r="AH202" s="125" t="str">
        <f t="shared" si="29"/>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AL202"/>
  <sheetViews>
    <sheetView showGridLines="0" tabSelected="1" zoomScaleNormal="100" workbookViewId="0">
      <selection activeCell="D46" sqref="D46"/>
    </sheetView>
  </sheetViews>
  <sheetFormatPr defaultColWidth="9.1796875" defaultRowHeight="14.5" x14ac:dyDescent="0.35"/>
  <cols>
    <col min="1" max="1" width="21.54296875" style="10" customWidth="1"/>
    <col min="2" max="3" width="14.26953125" style="10" customWidth="1"/>
    <col min="4" max="4" width="13.453125" style="10" customWidth="1"/>
    <col min="5" max="5" width="12.54296875" style="10" customWidth="1"/>
    <col min="6" max="9" width="9.1796875" style="10"/>
    <col min="18" max="18" width="9.1796875" style="10"/>
    <col min="24" max="26" width="9.1796875" style="127"/>
    <col min="27" max="27" width="11.1796875" style="125" customWidth="1"/>
    <col min="28" max="28" width="9.1796875" style="125"/>
    <col min="29" max="29" width="11" style="125" bestFit="1" customWidth="1"/>
    <col min="30" max="30" width="11" style="125" customWidth="1"/>
    <col min="31" max="31" width="12.81640625" style="125" bestFit="1" customWidth="1"/>
    <col min="32" max="33" width="9.1796875" style="125"/>
    <col min="34" max="34" width="9.453125" style="128" bestFit="1" customWidth="1"/>
    <col min="35" max="38" width="9.1796875" style="128"/>
    <col min="39" max="16384" width="9.1796875" style="10"/>
  </cols>
  <sheetData>
    <row r="1" spans="1:34" ht="28.5" customHeight="1" thickBot="1" x14ac:dyDescent="0.4">
      <c r="A1" s="184" t="s">
        <v>31</v>
      </c>
      <c r="B1" s="185"/>
      <c r="C1" s="185"/>
      <c r="D1" s="185"/>
      <c r="E1" s="186"/>
    </row>
    <row r="2" spans="1:34" ht="37.5" customHeight="1" thickTop="1" thickBot="1" x14ac:dyDescent="0.4">
      <c r="A2" s="20" t="s">
        <v>19</v>
      </c>
      <c r="B2" s="18" t="s">
        <v>23</v>
      </c>
      <c r="C2" s="18" t="s">
        <v>24</v>
      </c>
      <c r="D2" s="18" t="s">
        <v>25</v>
      </c>
      <c r="E2" s="21" t="s">
        <v>20</v>
      </c>
      <c r="AA2" s="126">
        <v>0</v>
      </c>
      <c r="AB2" s="126">
        <v>0</v>
      </c>
      <c r="AC2" s="126">
        <v>0</v>
      </c>
      <c r="AD2" s="126">
        <v>0</v>
      </c>
      <c r="AE2" s="125">
        <f t="shared" ref="AE2:AE65" si="0">B$3 * AA2 * (B$9 + (1-B$9)/(POWER(1+POWER(B$3*ABS(AA2)/(B$8*B$4), B$7), 1/B$7)))</f>
        <v>0</v>
      </c>
      <c r="AF2" s="125">
        <f t="shared" ref="AF2:AF65" si="1">C$3 * AB2 * (C$9 + (1-C$9)/(POWER(1+POWER(C$3*ABS(AB2)/(C$8*C$4), C$7), 1/C$7)))</f>
        <v>0</v>
      </c>
      <c r="AG2" s="125">
        <f t="shared" ref="AG2:AG65" si="2">D$3 * AC2 * (D$9 + (1-D$9)/(POWER(1+POWER(D$3*ABS(AC2)/(D$8*D$4), D$7), 1/D$7)))</f>
        <v>0</v>
      </c>
      <c r="AH2" s="128" t="str">
        <f>IF(AND(NOT(ISBLANK($E$3)), NOT(ISBLANK($E$4)), NOT(ISBLANK($E$5)), NOT(ISBLANK($E$6)), NOT(ISBLANK($E$7)), NOT(ISBLANK($E$8)), NOT(ISBLANK($E$9))), $E$3 * AD2 * ($E$9 + (1-$E$9)/(POWER(1+POWER($E$3*ABS(AD2)/($E$8*$E$4), $E$7), 1/$E$7))), "")</f>
        <v/>
      </c>
    </row>
    <row r="3" spans="1:34" ht="37.5" customHeight="1" thickTop="1" x14ac:dyDescent="0.35">
      <c r="A3" s="22" t="s">
        <v>122</v>
      </c>
      <c r="B3" s="10">
        <v>200000</v>
      </c>
      <c r="C3" s="10">
        <v>200000</v>
      </c>
      <c r="D3" s="10">
        <v>200000</v>
      </c>
      <c r="E3" s="23"/>
      <c r="AA3" s="126">
        <f t="shared" ref="AA3:AA34" si="3">AA2+B$6/200</f>
        <v>2.05E-4</v>
      </c>
      <c r="AB3" s="126">
        <f t="shared" ref="AB3:AB34" si="4">AB2+C$6/200</f>
        <v>4.3499999999999995E-4</v>
      </c>
      <c r="AC3" s="126">
        <f t="shared" ref="AC3:AC34" si="5">AC2+D$6/200</f>
        <v>3.4500000000000004E-4</v>
      </c>
      <c r="AD3" s="126">
        <f t="shared" ref="AD3:AD34" si="6">AD2+E$6/200</f>
        <v>0</v>
      </c>
      <c r="AE3" s="125">
        <f t="shared" si="0"/>
        <v>40.999999998894182</v>
      </c>
      <c r="AF3" s="125">
        <f t="shared" si="1"/>
        <v>86.999999630371462</v>
      </c>
      <c r="AG3" s="125">
        <f t="shared" si="2"/>
        <v>68.999999999580282</v>
      </c>
      <c r="AH3" s="128" t="str">
        <f t="shared" ref="AH3:AH66" si="7">IF(AND(NOT(ISBLANK($E$3)), NOT(ISBLANK($E$4)), NOT(ISBLANK($E$5)), NOT(ISBLANK($E$6)), NOT(ISBLANK($E$7)), NOT(ISBLANK($E$8)), NOT(ISBLANK($E$9))), $E$3 * AD3 * ($E$9 + (1-$E$9)/(POWER(1+POWER($E$3*ABS(AD3)/($E$8*$E$4), $E$7), 1/$E$7))), "")</f>
        <v/>
      </c>
    </row>
    <row r="4" spans="1:34" ht="48.75" customHeight="1" x14ac:dyDescent="0.35">
      <c r="A4" s="24" t="s">
        <v>26</v>
      </c>
      <c r="B4" s="10">
        <v>952</v>
      </c>
      <c r="C4" s="10">
        <v>1505</v>
      </c>
      <c r="D4" s="10">
        <v>1665</v>
      </c>
      <c r="E4" s="25"/>
      <c r="AA4" s="126">
        <f t="shared" si="3"/>
        <v>4.0999999999999999E-4</v>
      </c>
      <c r="AB4" s="126">
        <f t="shared" si="4"/>
        <v>8.699999999999999E-4</v>
      </c>
      <c r="AC4" s="126">
        <f t="shared" si="5"/>
        <v>6.9000000000000008E-4</v>
      </c>
      <c r="AD4" s="126">
        <f t="shared" si="6"/>
        <v>0</v>
      </c>
      <c r="AE4" s="125">
        <f t="shared" si="0"/>
        <v>81.999999696591587</v>
      </c>
      <c r="AF4" s="125">
        <f t="shared" si="1"/>
        <v>173.99995067843844</v>
      </c>
      <c r="AG4" s="125">
        <f t="shared" si="2"/>
        <v>137.9999998636153</v>
      </c>
      <c r="AH4" s="128" t="str">
        <f t="shared" si="7"/>
        <v/>
      </c>
    </row>
    <row r="5" spans="1:34" ht="31.5" customHeight="1" x14ac:dyDescent="0.35">
      <c r="A5" s="24" t="s">
        <v>27</v>
      </c>
      <c r="B5" s="10">
        <v>1050</v>
      </c>
      <c r="C5" s="10">
        <v>1650</v>
      </c>
      <c r="D5" s="10">
        <v>1860</v>
      </c>
      <c r="E5" s="25"/>
      <c r="AA5" s="126">
        <f t="shared" si="3"/>
        <v>6.1499999999999999E-4</v>
      </c>
      <c r="AB5" s="126">
        <f t="shared" si="4"/>
        <v>1.3049999999999997E-3</v>
      </c>
      <c r="AC5" s="126">
        <f t="shared" si="5"/>
        <v>1.0350000000000001E-3</v>
      </c>
      <c r="AD5" s="126">
        <f t="shared" si="6"/>
        <v>0</v>
      </c>
      <c r="AE5" s="125">
        <f t="shared" si="0"/>
        <v>122.99999190220655</v>
      </c>
      <c r="AF5" s="125">
        <f t="shared" si="1"/>
        <v>260.99913655149771</v>
      </c>
      <c r="AG5" s="125">
        <f t="shared" si="2"/>
        <v>206.99999598143341</v>
      </c>
      <c r="AH5" s="128" t="str">
        <f t="shared" si="7"/>
        <v/>
      </c>
    </row>
    <row r="6" spans="1:34" ht="31.5" customHeight="1" x14ac:dyDescent="0.35">
      <c r="A6" s="26" t="s">
        <v>36</v>
      </c>
      <c r="B6" s="19">
        <v>4.1000000000000002E-2</v>
      </c>
      <c r="C6" s="19">
        <v>8.6999999999999994E-2</v>
      </c>
      <c r="D6" s="19">
        <v>6.9000000000000006E-2</v>
      </c>
      <c r="E6" s="27"/>
      <c r="AA6" s="126">
        <f t="shared" si="3"/>
        <v>8.1999999999999998E-4</v>
      </c>
      <c r="AB6" s="126">
        <f t="shared" si="4"/>
        <v>1.7399999999999998E-3</v>
      </c>
      <c r="AC6" s="126">
        <f t="shared" si="5"/>
        <v>1.3800000000000002E-3</v>
      </c>
      <c r="AD6" s="126">
        <f t="shared" si="6"/>
        <v>0</v>
      </c>
      <c r="AE6" s="125">
        <f t="shared" si="0"/>
        <v>163.9999167527931</v>
      </c>
      <c r="AF6" s="125">
        <f t="shared" si="1"/>
        <v>347.99341918244039</v>
      </c>
      <c r="AG6" s="125">
        <f t="shared" si="2"/>
        <v>275.99995568408411</v>
      </c>
      <c r="AH6" s="128" t="str">
        <f t="shared" si="7"/>
        <v/>
      </c>
    </row>
    <row r="7" spans="1:34" ht="31.5" customHeight="1" x14ac:dyDescent="0.35">
      <c r="A7" s="24" t="s">
        <v>28</v>
      </c>
      <c r="B7" s="129">
        <v>7.1</v>
      </c>
      <c r="C7" s="129">
        <v>6.06</v>
      </c>
      <c r="D7" s="129">
        <v>7.3440000000000003</v>
      </c>
      <c r="E7" s="25"/>
      <c r="AA7" s="126">
        <f t="shared" si="3"/>
        <v>1.0249999999999999E-3</v>
      </c>
      <c r="AB7" s="126">
        <f t="shared" si="4"/>
        <v>2.1749999999999999E-3</v>
      </c>
      <c r="AC7" s="126">
        <f t="shared" si="5"/>
        <v>1.7250000000000002E-3</v>
      </c>
      <c r="AD7" s="126">
        <f t="shared" si="6"/>
        <v>0</v>
      </c>
      <c r="AE7" s="125">
        <f t="shared" si="0"/>
        <v>204.99949261543185</v>
      </c>
      <c r="AF7" s="125">
        <f t="shared" si="1"/>
        <v>434.96820338092874</v>
      </c>
      <c r="AG7" s="125">
        <f t="shared" si="2"/>
        <v>344.99971478283612</v>
      </c>
      <c r="AH7" s="128" t="str">
        <f t="shared" si="7"/>
        <v/>
      </c>
    </row>
    <row r="8" spans="1:34" x14ac:dyDescent="0.35">
      <c r="A8" s="24" t="s">
        <v>29</v>
      </c>
      <c r="B8" s="17">
        <v>1.0041</v>
      </c>
      <c r="C8" s="17">
        <v>1.0325</v>
      </c>
      <c r="D8" s="17">
        <v>1.0618000000000001</v>
      </c>
      <c r="E8" s="25"/>
      <c r="AA8" s="126">
        <f t="shared" si="3"/>
        <v>1.2299999999999998E-3</v>
      </c>
      <c r="AB8" s="126">
        <f t="shared" si="4"/>
        <v>2.6099999999999999E-3</v>
      </c>
      <c r="AC8" s="126">
        <f t="shared" si="5"/>
        <v>2.0700000000000002E-3</v>
      </c>
      <c r="AD8" s="126">
        <f t="shared" si="6"/>
        <v>0</v>
      </c>
      <c r="AE8" s="125">
        <f t="shared" si="0"/>
        <v>245.99777825807894</v>
      </c>
      <c r="AF8" s="125">
        <f t="shared" si="1"/>
        <v>521.88487410891469</v>
      </c>
      <c r="AG8" s="125">
        <f t="shared" si="2"/>
        <v>413.99869425098365</v>
      </c>
      <c r="AH8" s="128" t="str">
        <f t="shared" si="7"/>
        <v/>
      </c>
    </row>
    <row r="9" spans="1:34" ht="30.75" customHeight="1" thickBot="1" x14ac:dyDescent="0.4">
      <c r="A9" s="28" t="s">
        <v>30</v>
      </c>
      <c r="B9" s="130">
        <v>1.7500000000000002E-2</v>
      </c>
      <c r="C9" s="130">
        <v>6.2500000000000003E-3</v>
      </c>
      <c r="D9" s="130">
        <v>1.174E-2</v>
      </c>
      <c r="E9" s="110"/>
      <c r="AA9" s="126">
        <f t="shared" si="3"/>
        <v>1.4349999999999996E-3</v>
      </c>
      <c r="AB9" s="126">
        <f t="shared" si="4"/>
        <v>3.045E-3</v>
      </c>
      <c r="AC9" s="126">
        <f t="shared" si="5"/>
        <v>2.4150000000000005E-3</v>
      </c>
      <c r="AD9" s="126">
        <f t="shared" si="6"/>
        <v>0</v>
      </c>
      <c r="AE9" s="125">
        <f t="shared" si="0"/>
        <v>286.99225662179344</v>
      </c>
      <c r="AF9" s="125">
        <f t="shared" si="1"/>
        <v>608.65857735985071</v>
      </c>
      <c r="AG9" s="125">
        <f t="shared" si="2"/>
        <v>482.9952744586808</v>
      </c>
      <c r="AH9" s="128" t="str">
        <f t="shared" si="7"/>
        <v/>
      </c>
    </row>
    <row r="10" spans="1:34" x14ac:dyDescent="0.35">
      <c r="AA10" s="126">
        <f t="shared" si="3"/>
        <v>1.6399999999999995E-3</v>
      </c>
      <c r="AB10" s="126">
        <f t="shared" si="4"/>
        <v>3.48E-3</v>
      </c>
      <c r="AC10" s="126">
        <f t="shared" si="5"/>
        <v>2.7600000000000003E-3</v>
      </c>
      <c r="AD10" s="126">
        <f t="shared" si="6"/>
        <v>0</v>
      </c>
      <c r="AE10" s="125">
        <f t="shared" si="0"/>
        <v>327.97716563672998</v>
      </c>
      <c r="AF10" s="125">
        <f t="shared" si="1"/>
        <v>695.1257397868759</v>
      </c>
      <c r="AG10" s="125">
        <f t="shared" si="2"/>
        <v>551.9856018569136</v>
      </c>
      <c r="AH10" s="128" t="str">
        <f t="shared" si="7"/>
        <v/>
      </c>
    </row>
    <row r="11" spans="1:34" x14ac:dyDescent="0.35">
      <c r="A11"/>
      <c r="AA11" s="126">
        <f t="shared" si="3"/>
        <v>1.8449999999999994E-3</v>
      </c>
      <c r="AB11" s="126">
        <f t="shared" si="4"/>
        <v>3.9150000000000001E-3</v>
      </c>
      <c r="AC11" s="126">
        <f t="shared" si="5"/>
        <v>3.1050000000000001E-3</v>
      </c>
      <c r="AD11" s="126">
        <f t="shared" si="6"/>
        <v>0</v>
      </c>
      <c r="AE11" s="125">
        <f t="shared" si="0"/>
        <v>368.94074003011985</v>
      </c>
      <c r="AF11" s="125">
        <f t="shared" si="1"/>
        <v>781.00119638044816</v>
      </c>
      <c r="AG11" s="125">
        <f t="shared" si="2"/>
        <v>620.96153573936999</v>
      </c>
      <c r="AH11" s="128" t="str">
        <f t="shared" si="7"/>
        <v/>
      </c>
    </row>
    <row r="12" spans="1:34" x14ac:dyDescent="0.35">
      <c r="AA12" s="126">
        <f t="shared" si="3"/>
        <v>2.0499999999999993E-3</v>
      </c>
      <c r="AB12" s="126">
        <f t="shared" si="4"/>
        <v>4.3499999999999997E-3</v>
      </c>
      <c r="AC12" s="126">
        <f t="shared" si="5"/>
        <v>3.4499999999999999E-3</v>
      </c>
      <c r="AD12" s="126">
        <f t="shared" si="6"/>
        <v>0</v>
      </c>
      <c r="AE12" s="125">
        <f t="shared" si="0"/>
        <v>409.86097995575295</v>
      </c>
      <c r="AF12" s="125">
        <f t="shared" si="1"/>
        <v>865.82809180262234</v>
      </c>
      <c r="AG12" s="125">
        <f t="shared" si="2"/>
        <v>689.90737562087475</v>
      </c>
      <c r="AH12" s="128" t="str">
        <f t="shared" si="7"/>
        <v/>
      </c>
    </row>
    <row r="13" spans="1:34" x14ac:dyDescent="0.35">
      <c r="AA13" s="126">
        <f t="shared" si="3"/>
        <v>2.2549999999999992E-3</v>
      </c>
      <c r="AB13" s="126">
        <f t="shared" si="4"/>
        <v>4.7849999999999993E-3</v>
      </c>
      <c r="AC13" s="126">
        <f t="shared" si="5"/>
        <v>3.7949999999999998E-3</v>
      </c>
      <c r="AD13" s="126">
        <f t="shared" si="6"/>
        <v>0</v>
      </c>
      <c r="AE13" s="125">
        <f t="shared" si="0"/>
        <v>450.69955016931885</v>
      </c>
      <c r="AF13" s="125">
        <f t="shared" si="1"/>
        <v>948.92976794734898</v>
      </c>
      <c r="AG13" s="125">
        <f t="shared" si="2"/>
        <v>758.79495150881428</v>
      </c>
      <c r="AH13" s="128" t="str">
        <f t="shared" si="7"/>
        <v/>
      </c>
    </row>
    <row r="14" spans="1:34" x14ac:dyDescent="0.35">
      <c r="AA14" s="126">
        <f t="shared" si="3"/>
        <v>2.4599999999999991E-3</v>
      </c>
      <c r="AB14" s="126">
        <f t="shared" si="4"/>
        <v>5.2199999999999989E-3</v>
      </c>
      <c r="AC14" s="126">
        <f t="shared" si="5"/>
        <v>4.1399999999999996E-3</v>
      </c>
      <c r="AD14" s="126">
        <f t="shared" si="6"/>
        <v>0</v>
      </c>
      <c r="AE14" s="125">
        <f t="shared" si="0"/>
        <v>491.3934829171767</v>
      </c>
      <c r="AF14" s="125">
        <f t="shared" si="1"/>
        <v>1029.3815974948031</v>
      </c>
      <c r="AG14" s="125">
        <f t="shared" si="2"/>
        <v>827.57662830155448</v>
      </c>
      <c r="AH14" s="128" t="str">
        <f t="shared" si="7"/>
        <v/>
      </c>
    </row>
    <row r="15" spans="1:34" x14ac:dyDescent="0.35">
      <c r="AA15" s="126">
        <f t="shared" si="3"/>
        <v>2.664999999999999E-3</v>
      </c>
      <c r="AB15" s="126">
        <f t="shared" si="4"/>
        <v>5.6549999999999986E-3</v>
      </c>
      <c r="AC15" s="126">
        <f t="shared" si="5"/>
        <v>4.4849999999999994E-3</v>
      </c>
      <c r="AD15" s="126">
        <f t="shared" si="6"/>
        <v>0</v>
      </c>
      <c r="AE15" s="125">
        <f t="shared" si="0"/>
        <v>531.84458925683703</v>
      </c>
      <c r="AF15" s="125">
        <f t="shared" si="1"/>
        <v>1106.0290831301095</v>
      </c>
      <c r="AG15" s="125">
        <f t="shared" si="2"/>
        <v>896.17580763208957</v>
      </c>
      <c r="AH15" s="128" t="str">
        <f t="shared" si="7"/>
        <v/>
      </c>
    </row>
    <row r="16" spans="1:34" x14ac:dyDescent="0.35">
      <c r="AA16" s="126">
        <f t="shared" si="3"/>
        <v>2.8699999999999989E-3</v>
      </c>
      <c r="AB16" s="126">
        <f t="shared" si="4"/>
        <v>6.0899999999999982E-3</v>
      </c>
      <c r="AC16" s="126">
        <f t="shared" si="5"/>
        <v>4.8299999999999992E-3</v>
      </c>
      <c r="AD16" s="126">
        <f t="shared" si="6"/>
        <v>0</v>
      </c>
      <c r="AE16" s="125">
        <f t="shared" si="0"/>
        <v>571.90699882493243</v>
      </c>
      <c r="AF16" s="125">
        <f t="shared" si="1"/>
        <v>1177.5785181697943</v>
      </c>
      <c r="AG16" s="125">
        <f t="shared" si="2"/>
        <v>964.47466916315432</v>
      </c>
      <c r="AH16" s="128" t="str">
        <f t="shared" si="7"/>
        <v/>
      </c>
    </row>
    <row r="17" spans="27:34" x14ac:dyDescent="0.35">
      <c r="AA17" s="126">
        <f t="shared" si="3"/>
        <v>3.0749999999999987E-3</v>
      </c>
      <c r="AB17" s="126">
        <f t="shared" si="4"/>
        <v>6.5249999999999978E-3</v>
      </c>
      <c r="AC17" s="126">
        <f t="shared" si="5"/>
        <v>5.174999999999999E-3</v>
      </c>
      <c r="AD17" s="126">
        <f t="shared" si="6"/>
        <v>0</v>
      </c>
      <c r="AE17" s="125">
        <f t="shared" si="0"/>
        <v>611.37418880285213</v>
      </c>
      <c r="AF17" s="125">
        <f t="shared" si="1"/>
        <v>1242.7676625586503</v>
      </c>
      <c r="AG17" s="125">
        <f t="shared" si="2"/>
        <v>1032.2992782830329</v>
      </c>
      <c r="AH17" s="128" t="str">
        <f t="shared" si="7"/>
        <v/>
      </c>
    </row>
    <row r="18" spans="27:34" x14ac:dyDescent="0.35">
      <c r="AA18" s="126">
        <f t="shared" si="3"/>
        <v>3.2799999999999986E-3</v>
      </c>
      <c r="AB18" s="126">
        <f t="shared" si="4"/>
        <v>6.9599999999999974E-3</v>
      </c>
      <c r="AC18" s="126">
        <f t="shared" si="5"/>
        <v>5.5199999999999989E-3</v>
      </c>
      <c r="AD18" s="126">
        <f t="shared" si="6"/>
        <v>0</v>
      </c>
      <c r="AE18" s="125">
        <f t="shared" si="0"/>
        <v>649.96830345159049</v>
      </c>
      <c r="AF18" s="125">
        <f t="shared" si="1"/>
        <v>1300.5844653729471</v>
      </c>
      <c r="AG18" s="125">
        <f t="shared" si="2"/>
        <v>1099.4029303622685</v>
      </c>
      <c r="AH18" s="128" t="str">
        <f t="shared" si="7"/>
        <v/>
      </c>
    </row>
    <row r="19" spans="27:34" x14ac:dyDescent="0.35">
      <c r="AA19" s="126">
        <f t="shared" si="3"/>
        <v>3.4849999999999985E-3</v>
      </c>
      <c r="AB19" s="126">
        <f t="shared" si="4"/>
        <v>7.3949999999999971E-3</v>
      </c>
      <c r="AC19" s="126">
        <f t="shared" si="5"/>
        <v>5.8649999999999987E-3</v>
      </c>
      <c r="AD19" s="126">
        <f t="shared" si="6"/>
        <v>0</v>
      </c>
      <c r="AE19" s="125">
        <f t="shared" si="0"/>
        <v>687.33631679325549</v>
      </c>
      <c r="AF19" s="125">
        <f t="shared" si="1"/>
        <v>1350.461931954233</v>
      </c>
      <c r="AG19" s="125">
        <f t="shared" si="2"/>
        <v>1165.4498282631612</v>
      </c>
      <c r="AH19" s="128" t="str">
        <f t="shared" si="7"/>
        <v/>
      </c>
    </row>
    <row r="20" spans="27:34" x14ac:dyDescent="0.35">
      <c r="AA20" s="126">
        <f t="shared" si="3"/>
        <v>3.6899999999999984E-3</v>
      </c>
      <c r="AB20" s="126">
        <f t="shared" si="4"/>
        <v>7.8299999999999967E-3</v>
      </c>
      <c r="AC20" s="126">
        <f t="shared" si="5"/>
        <v>6.2099999999999985E-3</v>
      </c>
      <c r="AD20" s="126">
        <f t="shared" si="6"/>
        <v>0</v>
      </c>
      <c r="AE20" s="125">
        <f t="shared" si="0"/>
        <v>723.05891719986323</v>
      </c>
      <c r="AF20" s="125">
        <f t="shared" si="1"/>
        <v>1392.3718394422924</v>
      </c>
      <c r="AG20" s="125">
        <f t="shared" si="2"/>
        <v>1230.0029080439829</v>
      </c>
      <c r="AH20" s="128" t="str">
        <f t="shared" si="7"/>
        <v/>
      </c>
    </row>
    <row r="21" spans="27:34" x14ac:dyDescent="0.35">
      <c r="AA21" s="126">
        <f t="shared" si="3"/>
        <v>3.8949999999999983E-3</v>
      </c>
      <c r="AB21" s="126">
        <f t="shared" si="4"/>
        <v>8.2649999999999963E-3</v>
      </c>
      <c r="AC21" s="126">
        <f t="shared" si="5"/>
        <v>6.5549999999999983E-3</v>
      </c>
      <c r="AD21" s="126">
        <f t="shared" si="6"/>
        <v>0</v>
      </c>
      <c r="AE21" s="125">
        <f t="shared" si="0"/>
        <v>756.67747346865474</v>
      </c>
      <c r="AF21" s="125">
        <f t="shared" si="1"/>
        <v>1426.7840988270054</v>
      </c>
      <c r="AG21" s="125">
        <f t="shared" si="2"/>
        <v>1292.521525263207</v>
      </c>
      <c r="AH21" s="128" t="str">
        <f t="shared" si="7"/>
        <v/>
      </c>
    </row>
    <row r="22" spans="27:34" x14ac:dyDescent="0.35">
      <c r="AA22" s="126">
        <f t="shared" si="3"/>
        <v>4.0999999999999986E-3</v>
      </c>
      <c r="AB22" s="126">
        <f t="shared" si="4"/>
        <v>8.6999999999999959E-3</v>
      </c>
      <c r="AC22" s="126">
        <f t="shared" si="5"/>
        <v>6.8999999999999981E-3</v>
      </c>
      <c r="AD22" s="126">
        <f t="shared" si="6"/>
        <v>0</v>
      </c>
      <c r="AE22" s="125">
        <f t="shared" si="0"/>
        <v>787.74048560279402</v>
      </c>
      <c r="AF22" s="125">
        <f t="shared" si="1"/>
        <v>1454.5225857861851</v>
      </c>
      <c r="AG22" s="125">
        <f t="shared" si="2"/>
        <v>1352.3759139228696</v>
      </c>
      <c r="AH22" s="128" t="str">
        <f t="shared" si="7"/>
        <v/>
      </c>
    </row>
    <row r="23" spans="27:34" x14ac:dyDescent="0.35">
      <c r="AA23" s="126">
        <f t="shared" si="3"/>
        <v>4.3049999999999989E-3</v>
      </c>
      <c r="AB23" s="126">
        <f t="shared" si="4"/>
        <v>9.1349999999999956E-3</v>
      </c>
      <c r="AC23" s="126">
        <f t="shared" si="5"/>
        <v>7.244999999999998E-3</v>
      </c>
      <c r="AD23" s="126">
        <f t="shared" si="6"/>
        <v>0</v>
      </c>
      <c r="AE23" s="125">
        <f t="shared" si="0"/>
        <v>815.86331048334011</v>
      </c>
      <c r="AF23" s="125">
        <f t="shared" si="1"/>
        <v>1476.5851830361207</v>
      </c>
      <c r="AG23" s="125">
        <f t="shared" si="2"/>
        <v>1408.8843472933593</v>
      </c>
      <c r="AH23" s="128" t="str">
        <f t="shared" si="7"/>
        <v/>
      </c>
    </row>
    <row r="24" spans="27:34" x14ac:dyDescent="0.35">
      <c r="AA24" s="126">
        <f t="shared" si="3"/>
        <v>4.5099999999999993E-3</v>
      </c>
      <c r="AB24" s="126">
        <f t="shared" si="4"/>
        <v>9.5699999999999952E-3</v>
      </c>
      <c r="AC24" s="126">
        <f t="shared" si="5"/>
        <v>7.5899999999999978E-3</v>
      </c>
      <c r="AD24" s="126">
        <f t="shared" si="6"/>
        <v>0</v>
      </c>
      <c r="AE24" s="125">
        <f t="shared" si="0"/>
        <v>840.78659423097633</v>
      </c>
      <c r="AF24" s="125">
        <f t="shared" si="1"/>
        <v>1493.9883660813321</v>
      </c>
      <c r="AG24" s="125">
        <f t="shared" si="2"/>
        <v>1461.37425928574</v>
      </c>
      <c r="AH24" s="128" t="str">
        <f t="shared" si="7"/>
        <v/>
      </c>
    </row>
    <row r="25" spans="27:34" x14ac:dyDescent="0.35">
      <c r="AA25" s="126">
        <f t="shared" si="3"/>
        <v>4.7149999999999996E-3</v>
      </c>
      <c r="AB25" s="126">
        <f t="shared" si="4"/>
        <v>1.0004999999999995E-2</v>
      </c>
      <c r="AC25" s="126">
        <f t="shared" si="5"/>
        <v>7.9349999999999976E-3</v>
      </c>
      <c r="AD25" s="126">
        <f t="shared" si="6"/>
        <v>0</v>
      </c>
      <c r="AE25" s="125">
        <f t="shared" si="0"/>
        <v>862.41532698028254</v>
      </c>
      <c r="AF25" s="125">
        <f t="shared" si="1"/>
        <v>1507.6648677687979</v>
      </c>
      <c r="AG25" s="125">
        <f t="shared" si="2"/>
        <v>1509.2601498499573</v>
      </c>
      <c r="AH25" s="128" t="str">
        <f t="shared" si="7"/>
        <v/>
      </c>
    </row>
    <row r="26" spans="27:34" x14ac:dyDescent="0.35">
      <c r="AA26" s="126">
        <f t="shared" si="3"/>
        <v>4.9199999999999999E-3</v>
      </c>
      <c r="AB26" s="126">
        <f t="shared" si="4"/>
        <v>1.0439999999999994E-2</v>
      </c>
      <c r="AC26" s="126">
        <f t="shared" si="5"/>
        <v>8.2799999999999974E-3</v>
      </c>
      <c r="AD26" s="126">
        <f t="shared" si="6"/>
        <v>0</v>
      </c>
      <c r="AE26" s="125">
        <f t="shared" si="0"/>
        <v>880.82585654357763</v>
      </c>
      <c r="AF26" s="125">
        <f t="shared" si="1"/>
        <v>1518.4140146027107</v>
      </c>
      <c r="AG26" s="125">
        <f t="shared" si="2"/>
        <v>1552.1217880611598</v>
      </c>
      <c r="AH26" s="128" t="str">
        <f t="shared" si="7"/>
        <v/>
      </c>
    </row>
    <row r="27" spans="27:34" x14ac:dyDescent="0.35">
      <c r="AA27" s="126">
        <f t="shared" si="3"/>
        <v>5.1250000000000002E-3</v>
      </c>
      <c r="AB27" s="126">
        <f t="shared" si="4"/>
        <v>1.0874999999999994E-2</v>
      </c>
      <c r="AC27" s="126">
        <f t="shared" si="5"/>
        <v>8.6249999999999973E-3</v>
      </c>
      <c r="AD27" s="126">
        <f t="shared" si="6"/>
        <v>0</v>
      </c>
      <c r="AE27" s="125">
        <f t="shared" si="0"/>
        <v>896.2405017410025</v>
      </c>
      <c r="AF27" s="125">
        <f t="shared" si="1"/>
        <v>1526.8901738076659</v>
      </c>
      <c r="AG27" s="125">
        <f t="shared" si="2"/>
        <v>1589.7615278398246</v>
      </c>
      <c r="AH27" s="128" t="str">
        <f t="shared" si="7"/>
        <v/>
      </c>
    </row>
    <row r="28" spans="27:34" x14ac:dyDescent="0.35">
      <c r="AA28" s="126">
        <f t="shared" si="3"/>
        <v>5.3300000000000005E-3</v>
      </c>
      <c r="AB28" s="126">
        <f t="shared" si="4"/>
        <v>1.1309999999999994E-2</v>
      </c>
      <c r="AC28" s="126">
        <f t="shared" si="5"/>
        <v>8.9699999999999971E-3</v>
      </c>
      <c r="AD28" s="126">
        <f t="shared" si="6"/>
        <v>0</v>
      </c>
      <c r="AE28" s="125">
        <f t="shared" si="0"/>
        <v>908.98112090510324</v>
      </c>
      <c r="AF28" s="125">
        <f t="shared" si="1"/>
        <v>1533.6129977030303</v>
      </c>
      <c r="AG28" s="125">
        <f t="shared" si="2"/>
        <v>1622.223970293541</v>
      </c>
      <c r="AH28" s="128" t="str">
        <f t="shared" si="7"/>
        <v/>
      </c>
    </row>
    <row r="29" spans="27:34" x14ac:dyDescent="0.35">
      <c r="AA29" s="126">
        <f t="shared" si="3"/>
        <v>5.5350000000000009E-3</v>
      </c>
      <c r="AB29" s="126">
        <f t="shared" si="4"/>
        <v>1.1744999999999993E-2</v>
      </c>
      <c r="AC29" s="126">
        <f t="shared" si="5"/>
        <v>9.3149999999999969E-3</v>
      </c>
      <c r="AD29" s="126">
        <f t="shared" si="6"/>
        <v>0</v>
      </c>
      <c r="AE29" s="125">
        <f t="shared" si="0"/>
        <v>919.41757778982208</v>
      </c>
      <c r="AF29" s="125">
        <f t="shared" si="1"/>
        <v>1538.9871246988625</v>
      </c>
      <c r="AG29" s="125">
        <f t="shared" si="2"/>
        <v>1649.7738267274653</v>
      </c>
      <c r="AH29" s="128" t="str">
        <f t="shared" si="7"/>
        <v/>
      </c>
    </row>
    <row r="30" spans="27:34" x14ac:dyDescent="0.35">
      <c r="AA30" s="126">
        <f t="shared" si="3"/>
        <v>5.7400000000000012E-3</v>
      </c>
      <c r="AB30" s="126">
        <f t="shared" si="4"/>
        <v>1.2179999999999993E-2</v>
      </c>
      <c r="AC30" s="126">
        <f t="shared" si="5"/>
        <v>9.6599999999999967E-3</v>
      </c>
      <c r="AD30" s="126">
        <f t="shared" si="6"/>
        <v>0</v>
      </c>
      <c r="AE30" s="125">
        <f t="shared" si="0"/>
        <v>927.92390080208349</v>
      </c>
      <c r="AF30" s="125">
        <f t="shared" si="1"/>
        <v>1543.3238653782903</v>
      </c>
      <c r="AG30" s="125">
        <f t="shared" si="2"/>
        <v>1672.841926123697</v>
      </c>
      <c r="AH30" s="128" t="str">
        <f t="shared" si="7"/>
        <v/>
      </c>
    </row>
    <row r="31" spans="27:34" x14ac:dyDescent="0.35">
      <c r="AA31" s="126">
        <f t="shared" si="3"/>
        <v>5.9450000000000015E-3</v>
      </c>
      <c r="AB31" s="126">
        <f t="shared" si="4"/>
        <v>1.2614999999999993E-2</v>
      </c>
      <c r="AC31" s="126">
        <f t="shared" si="5"/>
        <v>1.0004999999999997E-2</v>
      </c>
      <c r="AD31" s="126">
        <f t="shared" si="6"/>
        <v>0</v>
      </c>
      <c r="AE31" s="125">
        <f t="shared" si="0"/>
        <v>934.84818624852267</v>
      </c>
      <c r="AF31" s="125">
        <f t="shared" si="1"/>
        <v>1546.8611472214488</v>
      </c>
      <c r="AG31" s="125">
        <f t="shared" si="2"/>
        <v>1691.9573858643334</v>
      </c>
      <c r="AH31" s="128" t="str">
        <f t="shared" si="7"/>
        <v/>
      </c>
    </row>
    <row r="32" spans="27:34" x14ac:dyDescent="0.35">
      <c r="AA32" s="126">
        <f t="shared" si="3"/>
        <v>6.1500000000000018E-3</v>
      </c>
      <c r="AB32" s="126">
        <f t="shared" si="4"/>
        <v>1.3049999999999992E-2</v>
      </c>
      <c r="AC32" s="126">
        <f t="shared" si="5"/>
        <v>1.0349999999999996E-2</v>
      </c>
      <c r="AD32" s="126">
        <f t="shared" si="6"/>
        <v>0</v>
      </c>
      <c r="AE32" s="125">
        <f t="shared" si="0"/>
        <v>940.49634635427196</v>
      </c>
      <c r="AF32" s="125">
        <f t="shared" si="1"/>
        <v>1549.7803069609201</v>
      </c>
      <c r="AG32" s="125">
        <f t="shared" si="2"/>
        <v>1707.6833464675055</v>
      </c>
      <c r="AH32" s="128" t="str">
        <f t="shared" si="7"/>
        <v/>
      </c>
    </row>
    <row r="33" spans="27:34" x14ac:dyDescent="0.35">
      <c r="AA33" s="126">
        <f t="shared" si="3"/>
        <v>6.3550000000000021E-3</v>
      </c>
      <c r="AB33" s="126">
        <f t="shared" si="4"/>
        <v>1.3484999999999992E-2</v>
      </c>
      <c r="AC33" s="126">
        <f t="shared" si="5"/>
        <v>1.0694999999999996E-2</v>
      </c>
      <c r="AD33" s="126">
        <f t="shared" si="6"/>
        <v>0</v>
      </c>
      <c r="AE33" s="125">
        <f t="shared" si="0"/>
        <v>945.12658833918306</v>
      </c>
      <c r="AF33" s="125">
        <f t="shared" si="1"/>
        <v>1552.2195394822354</v>
      </c>
      <c r="AG33" s="125">
        <f t="shared" si="2"/>
        <v>1720.5672064260295</v>
      </c>
      <c r="AH33" s="128" t="str">
        <f t="shared" si="7"/>
        <v/>
      </c>
    </row>
    <row r="34" spans="27:34" x14ac:dyDescent="0.35">
      <c r="AA34" s="126">
        <f t="shared" si="3"/>
        <v>6.5600000000000025E-3</v>
      </c>
      <c r="AB34" s="126">
        <f t="shared" si="4"/>
        <v>1.3919999999999991E-2</v>
      </c>
      <c r="AC34" s="126">
        <f t="shared" si="5"/>
        <v>1.1039999999999996E-2</v>
      </c>
      <c r="AD34" s="126">
        <f t="shared" si="6"/>
        <v>0</v>
      </c>
      <c r="AE34" s="125">
        <f t="shared" si="0"/>
        <v>948.95075643302596</v>
      </c>
      <c r="AF34" s="125">
        <f t="shared" si="1"/>
        <v>1554.2843523735944</v>
      </c>
      <c r="AG34" s="125">
        <f t="shared" si="2"/>
        <v>1731.1087808027316</v>
      </c>
      <c r="AH34" s="128" t="str">
        <f t="shared" si="7"/>
        <v/>
      </c>
    </row>
    <row r="35" spans="27:34" x14ac:dyDescent="0.35">
      <c r="AA35" s="126">
        <f t="shared" ref="AA35:AA66" si="8">AA34+B$6/200</f>
        <v>6.7650000000000028E-3</v>
      </c>
      <c r="AB35" s="126">
        <f t="shared" ref="AB35:AB66" si="9">AB34+C$6/200</f>
        <v>1.4354999999999991E-2</v>
      </c>
      <c r="AC35" s="126">
        <f t="shared" ref="AC35:AC66" si="10">AC34+D$6/200</f>
        <v>1.1384999999999996E-2</v>
      </c>
      <c r="AD35" s="126">
        <f t="shared" ref="AD35:AD66" si="11">AD34+E$6/200</f>
        <v>0</v>
      </c>
      <c r="AE35" s="125">
        <f t="shared" si="0"/>
        <v>952.13927358152966</v>
      </c>
      <c r="AF35" s="125">
        <f t="shared" si="1"/>
        <v>1556.0555484796198</v>
      </c>
      <c r="AG35" s="125">
        <f t="shared" si="2"/>
        <v>1739.7444898058366</v>
      </c>
      <c r="AH35" s="128" t="str">
        <f t="shared" si="7"/>
        <v/>
      </c>
    </row>
    <row r="36" spans="27:34" x14ac:dyDescent="0.35">
      <c r="AA36" s="126">
        <f t="shared" si="8"/>
        <v>6.9700000000000031E-3</v>
      </c>
      <c r="AB36" s="126">
        <f t="shared" si="9"/>
        <v>1.4789999999999991E-2</v>
      </c>
      <c r="AC36" s="126">
        <f t="shared" si="10"/>
        <v>1.1729999999999996E-2</v>
      </c>
      <c r="AD36" s="126">
        <f t="shared" si="11"/>
        <v>0</v>
      </c>
      <c r="AE36" s="125">
        <f t="shared" si="0"/>
        <v>954.82743859515062</v>
      </c>
      <c r="AF36" s="125">
        <f t="shared" si="1"/>
        <v>1557.5952580436226</v>
      </c>
      <c r="AG36" s="125">
        <f t="shared" si="2"/>
        <v>1746.8433202946919</v>
      </c>
      <c r="AH36" s="128" t="str">
        <f t="shared" si="7"/>
        <v/>
      </c>
    </row>
    <row r="37" spans="27:34" x14ac:dyDescent="0.35">
      <c r="AA37" s="126">
        <f t="shared" si="8"/>
        <v>7.1750000000000034E-3</v>
      </c>
      <c r="AB37" s="126">
        <f t="shared" si="9"/>
        <v>1.522499999999999E-2</v>
      </c>
      <c r="AC37" s="126">
        <f t="shared" si="10"/>
        <v>1.2074999999999995E-2</v>
      </c>
      <c r="AD37" s="126">
        <f t="shared" si="11"/>
        <v>0</v>
      </c>
      <c r="AE37" s="125">
        <f t="shared" si="0"/>
        <v>957.12175906643756</v>
      </c>
      <c r="AF37" s="125">
        <f t="shared" si="1"/>
        <v>1558.9514724301023</v>
      </c>
      <c r="AG37" s="125">
        <f t="shared" si="2"/>
        <v>1752.7101202305021</v>
      </c>
      <c r="AH37" s="128" t="str">
        <f t="shared" si="7"/>
        <v/>
      </c>
    </row>
    <row r="38" spans="27:34" x14ac:dyDescent="0.35">
      <c r="AA38" s="126">
        <f t="shared" si="8"/>
        <v>7.3800000000000037E-3</v>
      </c>
      <c r="AB38" s="126">
        <f t="shared" si="9"/>
        <v>1.565999999999999E-2</v>
      </c>
      <c r="AC38" s="126">
        <f t="shared" si="10"/>
        <v>1.2419999999999995E-2</v>
      </c>
      <c r="AD38" s="126">
        <f t="shared" si="11"/>
        <v>0</v>
      </c>
      <c r="AE38" s="125">
        <f t="shared" si="0"/>
        <v>959.1056639928147</v>
      </c>
      <c r="AF38" s="125">
        <f t="shared" si="1"/>
        <v>1560.1614447077759</v>
      </c>
      <c r="AG38" s="125">
        <f t="shared" si="2"/>
        <v>1757.5926720422392</v>
      </c>
      <c r="AH38" s="128" t="str">
        <f t="shared" si="7"/>
        <v/>
      </c>
    </row>
    <row r="39" spans="27:34" x14ac:dyDescent="0.35">
      <c r="AA39" s="126">
        <f t="shared" si="8"/>
        <v>7.5850000000000041E-3</v>
      </c>
      <c r="AB39" s="126">
        <f t="shared" si="9"/>
        <v>1.6094999999999991E-2</v>
      </c>
      <c r="AC39" s="126">
        <f t="shared" si="10"/>
        <v>1.2764999999999995E-2</v>
      </c>
      <c r="AD39" s="126">
        <f t="shared" si="11"/>
        <v>0</v>
      </c>
      <c r="AE39" s="125">
        <f t="shared" si="0"/>
        <v>960.844351061515</v>
      </c>
      <c r="AF39" s="125">
        <f t="shared" si="1"/>
        <v>1561.2542409989123</v>
      </c>
      <c r="AG39" s="125">
        <f t="shared" si="2"/>
        <v>1761.690130142538</v>
      </c>
      <c r="AH39" s="128" t="str">
        <f t="shared" si="7"/>
        <v/>
      </c>
    </row>
    <row r="40" spans="27:34" x14ac:dyDescent="0.35">
      <c r="AA40" s="126">
        <f t="shared" si="8"/>
        <v>7.7900000000000044E-3</v>
      </c>
      <c r="AB40" s="126">
        <f t="shared" si="9"/>
        <v>1.6529999999999993E-2</v>
      </c>
      <c r="AC40" s="126">
        <f t="shared" si="10"/>
        <v>1.3109999999999995E-2</v>
      </c>
      <c r="AD40" s="126">
        <f t="shared" si="11"/>
        <v>0</v>
      </c>
      <c r="AE40" s="125">
        <f t="shared" si="0"/>
        <v>962.38874816927023</v>
      </c>
      <c r="AF40" s="125">
        <f t="shared" si="1"/>
        <v>1562.2526582522805</v>
      </c>
      <c r="AG40" s="125">
        <f t="shared" si="2"/>
        <v>1765.1613908559275</v>
      </c>
      <c r="AH40" s="128" t="str">
        <f t="shared" si="7"/>
        <v/>
      </c>
    </row>
    <row r="41" spans="27:34" x14ac:dyDescent="0.35">
      <c r="AA41" s="126">
        <f t="shared" si="8"/>
        <v>7.9950000000000038E-3</v>
      </c>
      <c r="AB41" s="126">
        <f t="shared" si="9"/>
        <v>1.6964999999999994E-2</v>
      </c>
      <c r="AC41" s="126">
        <f t="shared" si="10"/>
        <v>1.3454999999999995E-2</v>
      </c>
      <c r="AD41" s="126">
        <f t="shared" si="11"/>
        <v>0</v>
      </c>
      <c r="AE41" s="125">
        <f t="shared" si="0"/>
        <v>963.77867461781</v>
      </c>
      <c r="AF41" s="125">
        <f t="shared" si="1"/>
        <v>1563.1746700583878</v>
      </c>
      <c r="AG41" s="125">
        <f t="shared" si="2"/>
        <v>1768.1326668466766</v>
      </c>
      <c r="AH41" s="128" t="str">
        <f t="shared" si="7"/>
        <v/>
      </c>
    </row>
    <row r="42" spans="27:34" x14ac:dyDescent="0.35">
      <c r="AA42" s="126">
        <f t="shared" si="8"/>
        <v>8.2000000000000042E-3</v>
      </c>
      <c r="AB42" s="126">
        <f t="shared" si="9"/>
        <v>1.7399999999999995E-2</v>
      </c>
      <c r="AC42" s="126">
        <f t="shared" si="10"/>
        <v>1.3799999999999995E-2</v>
      </c>
      <c r="AD42" s="126">
        <f t="shared" si="11"/>
        <v>0</v>
      </c>
      <c r="AE42" s="125">
        <f t="shared" si="0"/>
        <v>965.04532537514331</v>
      </c>
      <c r="AF42" s="125">
        <f t="shared" si="1"/>
        <v>1564.0345207140133</v>
      </c>
      <c r="AG42" s="125">
        <f t="shared" si="2"/>
        <v>1770.7039823923701</v>
      </c>
      <c r="AH42" s="128" t="str">
        <f t="shared" si="7"/>
        <v/>
      </c>
    </row>
    <row r="43" spans="27:34" x14ac:dyDescent="0.35">
      <c r="AA43" s="126">
        <f t="shared" si="8"/>
        <v>8.4050000000000045E-3</v>
      </c>
      <c r="AB43" s="126">
        <f t="shared" si="9"/>
        <v>1.7834999999999997E-2</v>
      </c>
      <c r="AC43" s="126">
        <f t="shared" si="10"/>
        <v>1.4144999999999994E-2</v>
      </c>
      <c r="AD43" s="126">
        <f t="shared" si="11"/>
        <v>0</v>
      </c>
      <c r="AE43" s="125">
        <f t="shared" si="0"/>
        <v>966.21320472385582</v>
      </c>
      <c r="AF43" s="125">
        <f t="shared" si="1"/>
        <v>1564.8435566141513</v>
      </c>
      <c r="AG43" s="125">
        <f t="shared" si="2"/>
        <v>1772.9545569621448</v>
      </c>
      <c r="AH43" s="128" t="str">
        <f t="shared" si="7"/>
        <v/>
      </c>
    </row>
    <row r="44" spans="27:34" x14ac:dyDescent="0.35">
      <c r="AA44" s="126">
        <f t="shared" si="8"/>
        <v>8.6100000000000048E-3</v>
      </c>
      <c r="AB44" s="126">
        <f t="shared" si="9"/>
        <v>1.8269999999999998E-2</v>
      </c>
      <c r="AC44" s="126">
        <f t="shared" si="10"/>
        <v>1.4489999999999994E-2</v>
      </c>
      <c r="AD44" s="126">
        <f t="shared" si="11"/>
        <v>0</v>
      </c>
      <c r="AE44" s="125">
        <f t="shared" si="0"/>
        <v>967.301622828159</v>
      </c>
      <c r="AF44" s="125">
        <f t="shared" si="1"/>
        <v>1565.6108609131793</v>
      </c>
      <c r="AG44" s="125">
        <f t="shared" si="2"/>
        <v>1774.9471692397458</v>
      </c>
      <c r="AH44" s="128" t="str">
        <f t="shared" si="7"/>
        <v/>
      </c>
    </row>
    <row r="45" spans="27:34" x14ac:dyDescent="0.35">
      <c r="AA45" s="126">
        <f t="shared" si="8"/>
        <v>8.8150000000000051E-3</v>
      </c>
      <c r="AB45" s="126">
        <f t="shared" si="9"/>
        <v>1.8704999999999999E-2</v>
      </c>
      <c r="AC45" s="126">
        <f t="shared" si="10"/>
        <v>1.4834999999999994E-2</v>
      </c>
      <c r="AD45" s="126">
        <f t="shared" si="11"/>
        <v>0</v>
      </c>
      <c r="AE45" s="125">
        <f t="shared" si="0"/>
        <v>968.32585065475052</v>
      </c>
      <c r="AF45" s="125">
        <f t="shared" si="1"/>
        <v>1566.3437403080673</v>
      </c>
      <c r="AG45" s="125">
        <f t="shared" si="2"/>
        <v>1776.7316431984239</v>
      </c>
      <c r="AH45" s="128" t="str">
        <f t="shared" si="7"/>
        <v/>
      </c>
    </row>
    <row r="46" spans="27:34" x14ac:dyDescent="0.35">
      <c r="AA46" s="126">
        <f t="shared" si="8"/>
        <v>9.0200000000000054E-3</v>
      </c>
      <c r="AB46" s="126">
        <f t="shared" si="9"/>
        <v>1.9140000000000001E-2</v>
      </c>
      <c r="AC46" s="126">
        <f t="shared" si="10"/>
        <v>1.5179999999999994E-2</v>
      </c>
      <c r="AD46" s="126">
        <f t="shared" si="11"/>
        <v>0</v>
      </c>
      <c r="AE46" s="125">
        <f t="shared" si="0"/>
        <v>969.29801040584846</v>
      </c>
      <c r="AF46" s="125">
        <f t="shared" si="1"/>
        <v>1567.0481002102833</v>
      </c>
      <c r="AG46" s="125">
        <f t="shared" si="2"/>
        <v>1778.3476064320248</v>
      </c>
      <c r="AH46" s="128" t="str">
        <f t="shared" si="7"/>
        <v/>
      </c>
    </row>
    <row r="47" spans="27:34" x14ac:dyDescent="0.35">
      <c r="AA47" s="126">
        <f t="shared" si="8"/>
        <v>9.2250000000000058E-3</v>
      </c>
      <c r="AB47" s="126">
        <f t="shared" si="9"/>
        <v>1.9575000000000002E-2</v>
      </c>
      <c r="AC47" s="126">
        <f t="shared" si="10"/>
        <v>1.5524999999999994E-2</v>
      </c>
      <c r="AD47" s="126">
        <f t="shared" si="11"/>
        <v>0</v>
      </c>
      <c r="AE47" s="125">
        <f t="shared" si="0"/>
        <v>970.22776236466916</v>
      </c>
      <c r="AF47" s="125">
        <f t="shared" si="1"/>
        <v>1567.7287353085928</v>
      </c>
      <c r="AG47" s="125">
        <f t="shared" si="2"/>
        <v>1779.8266597211959</v>
      </c>
      <c r="AH47" s="128" t="str">
        <f t="shared" si="7"/>
        <v/>
      </c>
    </row>
    <row r="48" spans="27:34" x14ac:dyDescent="0.35">
      <c r="AA48" s="126">
        <f t="shared" si="8"/>
        <v>9.4300000000000061E-3</v>
      </c>
      <c r="AB48" s="126">
        <f t="shared" si="9"/>
        <v>2.0010000000000003E-2</v>
      </c>
      <c r="AC48" s="126">
        <f t="shared" si="10"/>
        <v>1.5869999999999995E-2</v>
      </c>
      <c r="AD48" s="126">
        <f t="shared" si="11"/>
        <v>0</v>
      </c>
      <c r="AE48" s="125">
        <f t="shared" si="0"/>
        <v>971.1228354988574</v>
      </c>
      <c r="AF48" s="125">
        <f t="shared" si="1"/>
        <v>1568.3895556985185</v>
      </c>
      <c r="AG48" s="125">
        <f t="shared" si="2"/>
        <v>1781.194077740075</v>
      </c>
      <c r="AH48" s="128" t="str">
        <f t="shared" si="7"/>
        <v/>
      </c>
    </row>
    <row r="49" spans="27:34" x14ac:dyDescent="0.35">
      <c r="AA49" s="126">
        <f t="shared" si="8"/>
        <v>9.6350000000000064E-3</v>
      </c>
      <c r="AB49" s="126">
        <f t="shared" si="9"/>
        <v>2.0445000000000005E-2</v>
      </c>
      <c r="AC49" s="126">
        <f t="shared" si="10"/>
        <v>1.6214999999999997E-2</v>
      </c>
      <c r="AD49" s="126">
        <f t="shared" si="11"/>
        <v>0</v>
      </c>
      <c r="AE49" s="125">
        <f t="shared" si="0"/>
        <v>971.98943828329675</v>
      </c>
      <c r="AF49" s="125">
        <f t="shared" si="1"/>
        <v>1569.0337637135026</v>
      </c>
      <c r="AG49" s="125">
        <f t="shared" si="2"/>
        <v>1782.4701401963405</v>
      </c>
      <c r="AH49" s="128" t="str">
        <f t="shared" si="7"/>
        <v/>
      </c>
    </row>
    <row r="50" spans="27:34" x14ac:dyDescent="0.35">
      <c r="AA50" s="126">
        <f t="shared" si="8"/>
        <v>9.8400000000000067E-3</v>
      </c>
      <c r="AB50" s="126">
        <f t="shared" si="9"/>
        <v>2.0880000000000006E-2</v>
      </c>
      <c r="AC50" s="126">
        <f t="shared" si="10"/>
        <v>1.6559999999999998E-2</v>
      </c>
      <c r="AD50" s="126">
        <f t="shared" si="11"/>
        <v>0</v>
      </c>
      <c r="AE50" s="125">
        <f t="shared" si="0"/>
        <v>972.83257766401903</v>
      </c>
      <c r="AF50" s="125">
        <f t="shared" si="1"/>
        <v>1569.6639928597299</v>
      </c>
      <c r="AG50" s="125">
        <f t="shared" si="2"/>
        <v>1783.6711735430151</v>
      </c>
      <c r="AH50" s="128" t="str">
        <f t="shared" si="7"/>
        <v/>
      </c>
    </row>
    <row r="51" spans="27:34" x14ac:dyDescent="0.35">
      <c r="AA51" s="126">
        <f t="shared" si="8"/>
        <v>1.0045000000000007E-2</v>
      </c>
      <c r="AB51" s="126">
        <f t="shared" si="9"/>
        <v>2.1315000000000008E-2</v>
      </c>
      <c r="AC51" s="126">
        <f t="shared" si="10"/>
        <v>1.6905E-2</v>
      </c>
      <c r="AD51" s="126">
        <f t="shared" si="11"/>
        <v>0</v>
      </c>
      <c r="AE51" s="125">
        <f t="shared" si="0"/>
        <v>973.65630748156332</v>
      </c>
      <c r="AF51" s="125">
        <f t="shared" si="1"/>
        <v>1570.2824174822592</v>
      </c>
      <c r="AG51" s="125">
        <f t="shared" si="2"/>
        <v>1784.810366877482</v>
      </c>
      <c r="AH51" s="128" t="str">
        <f t="shared" si="7"/>
        <v/>
      </c>
    </row>
    <row r="52" spans="27:34" x14ac:dyDescent="0.35">
      <c r="AA52" s="126">
        <f t="shared" si="8"/>
        <v>1.0250000000000007E-2</v>
      </c>
      <c r="AB52" s="126">
        <f t="shared" si="9"/>
        <v>2.1750000000000009E-2</v>
      </c>
      <c r="AC52" s="126">
        <f t="shared" si="10"/>
        <v>1.7250000000000001E-2</v>
      </c>
      <c r="AD52" s="126">
        <f t="shared" si="11"/>
        <v>0</v>
      </c>
      <c r="AE52" s="125">
        <f t="shared" si="0"/>
        <v>974.46392261234655</v>
      </c>
      <c r="AF52" s="125">
        <f t="shared" si="1"/>
        <v>1570.8908397204057</v>
      </c>
      <c r="AG52" s="125">
        <f t="shared" si="2"/>
        <v>1785.898411987147</v>
      </c>
      <c r="AH52" s="128" t="str">
        <f t="shared" si="7"/>
        <v/>
      </c>
    </row>
    <row r="53" spans="27:34" x14ac:dyDescent="0.35">
      <c r="AA53" s="126">
        <f t="shared" si="8"/>
        <v>1.0455000000000008E-2</v>
      </c>
      <c r="AB53" s="126">
        <f t="shared" si="9"/>
        <v>2.218500000000001E-2</v>
      </c>
      <c r="AC53" s="126">
        <f t="shared" si="10"/>
        <v>1.7595000000000003E-2</v>
      </c>
      <c r="AD53" s="126">
        <f t="shared" si="11"/>
        <v>0</v>
      </c>
      <c r="AE53" s="125">
        <f t="shared" si="0"/>
        <v>975.25811123068547</v>
      </c>
      <c r="AF53" s="125">
        <f t="shared" si="1"/>
        <v>1571.4907587598157</v>
      </c>
      <c r="AG53" s="125">
        <f t="shared" si="2"/>
        <v>1786.944006510035</v>
      </c>
      <c r="AH53" s="128" t="str">
        <f t="shared" si="7"/>
        <v/>
      </c>
    </row>
    <row r="54" spans="27:34" x14ac:dyDescent="0.35">
      <c r="AA54" s="126">
        <f t="shared" si="8"/>
        <v>1.0660000000000008E-2</v>
      </c>
      <c r="AB54" s="126">
        <f t="shared" si="9"/>
        <v>2.2620000000000012E-2</v>
      </c>
      <c r="AC54" s="126">
        <f t="shared" si="10"/>
        <v>1.7940000000000005E-2</v>
      </c>
      <c r="AD54" s="126">
        <f t="shared" si="11"/>
        <v>0</v>
      </c>
      <c r="AE54" s="125">
        <f t="shared" si="0"/>
        <v>976.04107466414985</v>
      </c>
      <c r="AF54" s="125">
        <f t="shared" si="1"/>
        <v>1572.0834262222713</v>
      </c>
      <c r="AG54" s="125">
        <f t="shared" si="2"/>
        <v>1787.9542504818462</v>
      </c>
      <c r="AH54" s="128" t="str">
        <f t="shared" si="7"/>
        <v/>
      </c>
    </row>
    <row r="55" spans="27:34" x14ac:dyDescent="0.35">
      <c r="AA55" s="126">
        <f t="shared" si="8"/>
        <v>1.0865000000000008E-2</v>
      </c>
      <c r="AB55" s="126">
        <f t="shared" si="9"/>
        <v>2.3055000000000013E-2</v>
      </c>
      <c r="AC55" s="126">
        <f t="shared" si="10"/>
        <v>1.8285000000000006E-2</v>
      </c>
      <c r="AD55" s="126">
        <f t="shared" si="11"/>
        <v>0</v>
      </c>
      <c r="AE55" s="125">
        <f t="shared" si="0"/>
        <v>976.81462209110475</v>
      </c>
      <c r="AF55" s="125">
        <f t="shared" si="1"/>
        <v>1572.66989065282</v>
      </c>
      <c r="AG55" s="125">
        <f t="shared" si="2"/>
        <v>1788.9349597353216</v>
      </c>
      <c r="AH55" s="128" t="str">
        <f t="shared" si="7"/>
        <v/>
      </c>
    </row>
    <row r="56" spans="27:34" x14ac:dyDescent="0.35">
      <c r="AA56" s="126">
        <f t="shared" si="8"/>
        <v>1.1070000000000009E-2</v>
      </c>
      <c r="AB56" s="126">
        <f t="shared" si="9"/>
        <v>2.3490000000000014E-2</v>
      </c>
      <c r="AC56" s="126">
        <f t="shared" si="10"/>
        <v>1.8630000000000008E-2</v>
      </c>
      <c r="AD56" s="126">
        <f t="shared" si="11"/>
        <v>0</v>
      </c>
      <c r="AE56" s="125">
        <f t="shared" si="0"/>
        <v>977.58024564111554</v>
      </c>
      <c r="AF56" s="125">
        <f t="shared" si="1"/>
        <v>1573.2510333949363</v>
      </c>
      <c r="AG56" s="125">
        <f t="shared" si="2"/>
        <v>1789.8909143294754</v>
      </c>
      <c r="AH56" s="128" t="str">
        <f t="shared" si="7"/>
        <v/>
      </c>
    </row>
    <row r="57" spans="27:34" x14ac:dyDescent="0.35">
      <c r="AA57" s="126">
        <f t="shared" si="8"/>
        <v>1.1275000000000009E-2</v>
      </c>
      <c r="AB57" s="126">
        <f t="shared" si="9"/>
        <v>2.3925000000000016E-2</v>
      </c>
      <c r="AC57" s="126">
        <f t="shared" si="10"/>
        <v>1.8975000000000009E-2</v>
      </c>
      <c r="AD57" s="126">
        <f t="shared" si="11"/>
        <v>0</v>
      </c>
      <c r="AE57" s="125">
        <f t="shared" si="0"/>
        <v>978.33918017591611</v>
      </c>
      <c r="AF57" s="125">
        <f t="shared" si="1"/>
        <v>1573.8275976344462</v>
      </c>
      <c r="AG57" s="125">
        <f t="shared" si="2"/>
        <v>1790.826056094701</v>
      </c>
      <c r="AH57" s="128" t="str">
        <f t="shared" si="7"/>
        <v/>
      </c>
    </row>
    <row r="58" spans="27:34" x14ac:dyDescent="0.35">
      <c r="AA58" s="126">
        <f t="shared" si="8"/>
        <v>1.1480000000000009E-2</v>
      </c>
      <c r="AB58" s="126">
        <f t="shared" si="9"/>
        <v>2.4360000000000017E-2</v>
      </c>
      <c r="AC58" s="126">
        <f t="shared" si="10"/>
        <v>1.9320000000000011E-2</v>
      </c>
      <c r="AD58" s="126">
        <f t="shared" si="11"/>
        <v>0</v>
      </c>
      <c r="AE58" s="125">
        <f t="shared" si="0"/>
        <v>979.09245105183027</v>
      </c>
      <c r="AF58" s="125">
        <f t="shared" si="1"/>
        <v>1574.4002120025193</v>
      </c>
      <c r="AG58" s="125">
        <f t="shared" si="2"/>
        <v>1791.7436462214423</v>
      </c>
      <c r="AH58" s="128" t="str">
        <f t="shared" si="7"/>
        <v/>
      </c>
    </row>
    <row r="59" spans="27:34" x14ac:dyDescent="0.35">
      <c r="AA59" s="126">
        <f t="shared" si="8"/>
        <v>1.168500000000001E-2</v>
      </c>
      <c r="AB59" s="126">
        <f t="shared" si="9"/>
        <v>2.4795000000000018E-2</v>
      </c>
      <c r="AC59" s="126">
        <f t="shared" si="10"/>
        <v>1.9665000000000012E-2</v>
      </c>
      <c r="AD59" s="126">
        <f t="shared" si="11"/>
        <v>0</v>
      </c>
      <c r="AE59" s="125">
        <f t="shared" si="0"/>
        <v>979.84091241912643</v>
      </c>
      <c r="AF59" s="125">
        <f t="shared" si="1"/>
        <v>1574.9694098277846</v>
      </c>
      <c r="AG59" s="125">
        <f t="shared" si="2"/>
        <v>1792.6463913844079</v>
      </c>
      <c r="AH59" s="128" t="str">
        <f t="shared" si="7"/>
        <v/>
      </c>
    </row>
    <row r="60" spans="27:34" x14ac:dyDescent="0.35">
      <c r="AA60" s="126">
        <f t="shared" si="8"/>
        <v>1.189000000000001E-2</v>
      </c>
      <c r="AB60" s="126">
        <f t="shared" si="9"/>
        <v>2.523000000000002E-2</v>
      </c>
      <c r="AC60" s="126">
        <f t="shared" si="10"/>
        <v>2.0010000000000014E-2</v>
      </c>
      <c r="AD60" s="126">
        <f t="shared" si="11"/>
        <v>0</v>
      </c>
      <c r="AE60" s="125">
        <f t="shared" si="0"/>
        <v>980.5852780434202</v>
      </c>
      <c r="AF60" s="125">
        <f t="shared" si="1"/>
        <v>1575.5356448957432</v>
      </c>
      <c r="AG60" s="125">
        <f t="shared" si="2"/>
        <v>1793.5365450155764</v>
      </c>
      <c r="AH60" s="128" t="str">
        <f t="shared" si="7"/>
        <v/>
      </c>
    </row>
    <row r="61" spans="27:34" x14ac:dyDescent="0.35">
      <c r="AA61" s="126">
        <f t="shared" si="8"/>
        <v>1.209500000000001E-2</v>
      </c>
      <c r="AB61" s="126">
        <f t="shared" si="9"/>
        <v>2.5665000000000021E-2</v>
      </c>
      <c r="AC61" s="126">
        <f t="shared" si="10"/>
        <v>2.0355000000000015E-2</v>
      </c>
      <c r="AD61" s="126">
        <f t="shared" si="11"/>
        <v>0</v>
      </c>
      <c r="AE61" s="125">
        <f t="shared" si="0"/>
        <v>981.32614619652156</v>
      </c>
      <c r="AF61" s="125">
        <f t="shared" si="1"/>
        <v>1576.099304393819</v>
      </c>
      <c r="AG61" s="125">
        <f t="shared" si="2"/>
        <v>1794.4159888887352</v>
      </c>
      <c r="AH61" s="128" t="str">
        <f t="shared" si="7"/>
        <v/>
      </c>
    </row>
    <row r="62" spans="27:34" x14ac:dyDescent="0.35">
      <c r="AA62" s="126">
        <f t="shared" si="8"/>
        <v>1.2300000000000011E-2</v>
      </c>
      <c r="AB62" s="126">
        <f t="shared" si="9"/>
        <v>2.6100000000000022E-2</v>
      </c>
      <c r="AC62" s="126">
        <f t="shared" si="10"/>
        <v>2.0700000000000017E-2</v>
      </c>
      <c r="AD62" s="126">
        <f t="shared" si="11"/>
        <v>0</v>
      </c>
      <c r="AE62" s="125">
        <f t="shared" si="0"/>
        <v>982.0640198271592</v>
      </c>
      <c r="AF62" s="125">
        <f t="shared" si="1"/>
        <v>1576.6607195803442</v>
      </c>
      <c r="AG62" s="125">
        <f t="shared" si="2"/>
        <v>1795.2862990567342</v>
      </c>
      <c r="AH62" s="128" t="str">
        <f t="shared" si="7"/>
        <v/>
      </c>
    </row>
    <row r="63" spans="27:34" x14ac:dyDescent="0.35">
      <c r="AA63" s="126">
        <f t="shared" si="8"/>
        <v>1.2505000000000011E-2</v>
      </c>
      <c r="AB63" s="126">
        <f t="shared" si="9"/>
        <v>2.6535000000000024E-2</v>
      </c>
      <c r="AC63" s="126">
        <f t="shared" si="10"/>
        <v>2.1045000000000019E-2</v>
      </c>
      <c r="AD63" s="126">
        <f t="shared" si="11"/>
        <v>0</v>
      </c>
      <c r="AE63" s="125">
        <f t="shared" si="0"/>
        <v>982.79932296175343</v>
      </c>
      <c r="AF63" s="125">
        <f t="shared" si="1"/>
        <v>1577.2201746062865</v>
      </c>
      <c r="AG63" s="125">
        <f t="shared" si="2"/>
        <v>1796.1487993136996</v>
      </c>
      <c r="AH63" s="128" t="str">
        <f t="shared" si="7"/>
        <v/>
      </c>
    </row>
    <row r="64" spans="27:34" x14ac:dyDescent="0.35">
      <c r="AA64" s="126">
        <f t="shared" si="8"/>
        <v>1.2710000000000011E-2</v>
      </c>
      <c r="AB64" s="126">
        <f t="shared" si="9"/>
        <v>2.6970000000000025E-2</v>
      </c>
      <c r="AC64" s="126">
        <f t="shared" si="10"/>
        <v>2.139000000000002E-2</v>
      </c>
      <c r="AD64" s="126">
        <f t="shared" si="11"/>
        <v>0</v>
      </c>
      <c r="AE64" s="125">
        <f t="shared" si="0"/>
        <v>983.53241408373026</v>
      </c>
      <c r="AF64" s="125">
        <f t="shared" si="1"/>
        <v>1577.7779138325525</v>
      </c>
      <c r="AG64" s="125">
        <f t="shared" si="2"/>
        <v>1797.0046046797218</v>
      </c>
      <c r="AH64" s="128" t="str">
        <f t="shared" si="7"/>
        <v/>
      </c>
    </row>
    <row r="65" spans="27:34" x14ac:dyDescent="0.35">
      <c r="AA65" s="126">
        <f t="shared" si="8"/>
        <v>1.2915000000000012E-2</v>
      </c>
      <c r="AB65" s="126">
        <f t="shared" si="9"/>
        <v>2.7405000000000027E-2</v>
      </c>
      <c r="AC65" s="126">
        <f t="shared" si="10"/>
        <v>2.1735000000000022E-2</v>
      </c>
      <c r="AD65" s="126">
        <f t="shared" si="11"/>
        <v>0</v>
      </c>
      <c r="AE65" s="125">
        <f t="shared" si="0"/>
        <v>984.26359708303767</v>
      </c>
      <c r="AF65" s="125">
        <f t="shared" si="1"/>
        <v>1578.3341479179908</v>
      </c>
      <c r="AG65" s="125">
        <f t="shared" si="2"/>
        <v>1797.8546568802167</v>
      </c>
      <c r="AH65" s="128" t="str">
        <f t="shared" si="7"/>
        <v/>
      </c>
    </row>
    <row r="66" spans="27:34" x14ac:dyDescent="0.35">
      <c r="AA66" s="126">
        <f t="shared" si="8"/>
        <v>1.3120000000000012E-2</v>
      </c>
      <c r="AB66" s="126">
        <f t="shared" si="9"/>
        <v>2.7840000000000028E-2</v>
      </c>
      <c r="AC66" s="126">
        <f t="shared" si="10"/>
        <v>2.2080000000000023E-2</v>
      </c>
      <c r="AD66" s="126">
        <f t="shared" si="11"/>
        <v>0</v>
      </c>
      <c r="AE66" s="125">
        <f t="shared" ref="AE66:AE129" si="12">B$3 * AA66 * (B$9 + (1-B$9)/(POWER(1+POWER(B$3*ABS(AA66)/(B$8*B$4), B$7), 1/B$7)))</f>
        <v>984.99313024517937</v>
      </c>
      <c r="AF66" s="125">
        <f t="shared" ref="AF66:AF129" si="13">C$3 * AB66 * (C$9 + (1-C$9)/(POWER(1+POWER(C$3*ABS(AB66)/(C$8*C$4), C$7), 1/C$7)))</f>
        <v>1578.8890588996255</v>
      </c>
      <c r="AG66" s="125">
        <f t="shared" ref="AG66:AG129" si="14">D$3 * AC66 * (D$9 + (1-D$9)/(POWER(1+POWER(D$3*ABS(AC66)/(D$8*D$4), D$7), 1/D$7)))</f>
        <v>1798.6997533821877</v>
      </c>
      <c r="AH66" s="128" t="str">
        <f t="shared" si="7"/>
        <v/>
      </c>
    </row>
    <row r="67" spans="27:34" x14ac:dyDescent="0.35">
      <c r="AA67" s="126">
        <f t="shared" ref="AA67:AA98" si="15">AA66+B$6/200</f>
        <v>1.3325000000000012E-2</v>
      </c>
      <c r="AB67" s="126">
        <f t="shared" ref="AB67:AB98" si="16">AB66+C$6/200</f>
        <v>2.8275000000000029E-2</v>
      </c>
      <c r="AC67" s="126">
        <f t="shared" ref="AC67:AC98" si="17">AC66+D$6/200</f>
        <v>2.2425000000000025E-2</v>
      </c>
      <c r="AD67" s="126">
        <f t="shared" ref="AD67:AD98" si="18">AD66+E$6/200</f>
        <v>0</v>
      </c>
      <c r="AE67" s="125">
        <f t="shared" si="12"/>
        <v>985.72123365327946</v>
      </c>
      <c r="AF67" s="125">
        <f t="shared" si="13"/>
        <v>1579.4428044441347</v>
      </c>
      <c r="AG67" s="125">
        <f t="shared" si="14"/>
        <v>1799.5405712285947</v>
      </c>
      <c r="AH67" s="128" t="str">
        <f t="shared" ref="AH67:AH130" si="19">IF(AND(NOT(ISBLANK($E$3)), NOT(ISBLANK($E$4)), NOT(ISBLANK($E$5)), NOT(ISBLANK($E$6)), NOT(ISBLANK($E$7)), NOT(ISBLANK($E$8)), NOT(ISBLANK($E$9))), $E$3 * AD67 * ($E$9 + (1-$E$9)/(POWER(1+POWER($E$3*ABS(AD67)/($E$8*$E$4), $E$7), 1/$E$7))), "")</f>
        <v/>
      </c>
    </row>
    <row r="68" spans="27:34" x14ac:dyDescent="0.35">
      <c r="AA68" s="126">
        <f t="shared" si="15"/>
        <v>1.3530000000000013E-2</v>
      </c>
      <c r="AB68" s="126">
        <f t="shared" si="16"/>
        <v>2.8710000000000031E-2</v>
      </c>
      <c r="AC68" s="126">
        <f t="shared" si="17"/>
        <v>2.2770000000000026E-2</v>
      </c>
      <c r="AD68" s="126">
        <f t="shared" si="18"/>
        <v>0</v>
      </c>
      <c r="AE68" s="125">
        <f t="shared" si="12"/>
        <v>986.44809530144778</v>
      </c>
      <c r="AF68" s="125">
        <f t="shared" si="13"/>
        <v>1579.995521415688</v>
      </c>
      <c r="AG68" s="125">
        <f t="shared" si="14"/>
        <v>1800.377686660094</v>
      </c>
      <c r="AH68" s="128" t="str">
        <f t="shared" si="19"/>
        <v/>
      </c>
    </row>
    <row r="69" spans="27:34" x14ac:dyDescent="0.35">
      <c r="AA69" s="126">
        <f t="shared" si="15"/>
        <v>1.3735000000000013E-2</v>
      </c>
      <c r="AB69" s="126">
        <f t="shared" si="16"/>
        <v>2.9145000000000032E-2</v>
      </c>
      <c r="AC69" s="126">
        <f t="shared" si="17"/>
        <v>2.3115000000000028E-2</v>
      </c>
      <c r="AD69" s="126">
        <f t="shared" si="18"/>
        <v>0</v>
      </c>
      <c r="AE69" s="125">
        <f t="shared" si="12"/>
        <v>987.17387615840607</v>
      </c>
      <c r="AF69" s="125">
        <f t="shared" si="13"/>
        <v>1580.5473288781848</v>
      </c>
      <c r="AG69" s="125">
        <f t="shared" si="14"/>
        <v>1801.2115913149946</v>
      </c>
      <c r="AH69" s="128" t="str">
        <f t="shared" si="19"/>
        <v/>
      </c>
    </row>
    <row r="70" spans="27:34" x14ac:dyDescent="0.35">
      <c r="AA70" s="126">
        <f t="shared" si="15"/>
        <v>1.3940000000000013E-2</v>
      </c>
      <c r="AB70" s="126">
        <f t="shared" si="16"/>
        <v>2.9580000000000033E-2</v>
      </c>
      <c r="AC70" s="126">
        <f t="shared" si="17"/>
        <v>2.3460000000000029E-2</v>
      </c>
      <c r="AD70" s="126">
        <f t="shared" si="18"/>
        <v>0</v>
      </c>
      <c r="AE70" s="125">
        <f t="shared" si="12"/>
        <v>987.89871437343481</v>
      </c>
      <c r="AF70" s="125">
        <f t="shared" si="13"/>
        <v>1581.098330628193</v>
      </c>
      <c r="AG70" s="125">
        <f t="shared" si="14"/>
        <v>1802.0427056415779</v>
      </c>
      <c r="AH70" s="128" t="str">
        <f t="shared" si="19"/>
        <v/>
      </c>
    </row>
    <row r="71" spans="27:34" x14ac:dyDescent="0.35">
      <c r="AA71" s="126">
        <f t="shared" si="15"/>
        <v>1.4145000000000013E-2</v>
      </c>
      <c r="AB71" s="126">
        <f t="shared" si="16"/>
        <v>3.0015000000000035E-2</v>
      </c>
      <c r="AC71" s="126">
        <f t="shared" si="17"/>
        <v>2.3805000000000031E-2</v>
      </c>
      <c r="AD71" s="126">
        <f t="shared" si="18"/>
        <v>0</v>
      </c>
      <c r="AE71" s="125">
        <f t="shared" si="12"/>
        <v>988.62272877948419</v>
      </c>
      <c r="AF71" s="125">
        <f t="shared" si="13"/>
        <v>1581.6486173373967</v>
      </c>
      <c r="AG71" s="125">
        <f t="shared" si="14"/>
        <v>1802.8713900328112</v>
      </c>
      <c r="AH71" s="128" t="str">
        <f t="shared" si="19"/>
        <v/>
      </c>
    </row>
    <row r="72" spans="27:34" x14ac:dyDescent="0.35">
      <c r="AA72" s="126">
        <f t="shared" si="15"/>
        <v>1.4350000000000014E-2</v>
      </c>
      <c r="AB72" s="126">
        <f t="shared" si="16"/>
        <v>3.0450000000000036E-2</v>
      </c>
      <c r="AC72" s="126">
        <f t="shared" si="17"/>
        <v>2.4150000000000033E-2</v>
      </c>
      <c r="AD72" s="126">
        <f t="shared" si="18"/>
        <v>0</v>
      </c>
      <c r="AE72" s="125">
        <f t="shared" si="12"/>
        <v>989.34602181868127</v>
      </c>
      <c r="AF72" s="125">
        <f t="shared" si="13"/>
        <v>1582.1982683692436</v>
      </c>
      <c r="AG72" s="125">
        <f t="shared" si="14"/>
        <v>1803.6979540949044</v>
      </c>
      <c r="AH72" s="128" t="str">
        <f t="shared" si="19"/>
        <v/>
      </c>
    </row>
    <row r="73" spans="27:34" x14ac:dyDescent="0.35">
      <c r="AA73" s="126">
        <f t="shared" si="15"/>
        <v>1.4555000000000014E-2</v>
      </c>
      <c r="AB73" s="126">
        <f t="shared" si="16"/>
        <v>3.0885000000000037E-2</v>
      </c>
      <c r="AC73" s="126">
        <f t="shared" si="17"/>
        <v>2.4495000000000034E-2</v>
      </c>
      <c r="AD73" s="126">
        <f t="shared" si="18"/>
        <v>0</v>
      </c>
      <c r="AE73" s="125">
        <f t="shared" si="12"/>
        <v>990.0686819918144</v>
      </c>
      <c r="AF73" s="125">
        <f t="shared" si="13"/>
        <v>1582.7473533230539</v>
      </c>
      <c r="AG73" s="125">
        <f t="shared" si="14"/>
        <v>1804.5226643825188</v>
      </c>
      <c r="AH73" s="128" t="str">
        <f t="shared" si="19"/>
        <v/>
      </c>
    </row>
    <row r="74" spans="27:34" x14ac:dyDescent="0.35">
      <c r="AA74" s="126">
        <f t="shared" si="15"/>
        <v>1.4760000000000014E-2</v>
      </c>
      <c r="AB74" s="126">
        <f t="shared" si="16"/>
        <v>3.1320000000000035E-2</v>
      </c>
      <c r="AC74" s="126">
        <f t="shared" si="17"/>
        <v>2.4840000000000036E-2</v>
      </c>
      <c r="AD74" s="126">
        <f t="shared" si="18"/>
        <v>0</v>
      </c>
      <c r="AE74" s="125">
        <f t="shared" si="12"/>
        <v>990.79078591443545</v>
      </c>
      <c r="AF74" s="125">
        <f t="shared" si="13"/>
        <v>1583.2959333495389</v>
      </c>
      <c r="AG74" s="125">
        <f t="shared" si="14"/>
        <v>1805.3457508707256</v>
      </c>
      <c r="AH74" s="128" t="str">
        <f t="shared" si="19"/>
        <v/>
      </c>
    </row>
    <row r="75" spans="27:34" x14ac:dyDescent="0.35">
      <c r="AA75" s="126">
        <f t="shared" si="15"/>
        <v>1.4965000000000015E-2</v>
      </c>
      <c r="AB75" s="126">
        <f t="shared" si="16"/>
        <v>3.1755000000000033E-2</v>
      </c>
      <c r="AC75" s="126">
        <f t="shared" si="17"/>
        <v>2.5185000000000037E-2</v>
      </c>
      <c r="AD75" s="126">
        <f t="shared" si="18"/>
        <v>0</v>
      </c>
      <c r="AE75" s="125">
        <f t="shared" si="12"/>
        <v>991.51240004700333</v>
      </c>
      <c r="AF75" s="125">
        <f t="shared" si="13"/>
        <v>1583.8440622741234</v>
      </c>
      <c r="AG75" s="125">
        <f t="shared" si="14"/>
        <v>1806.1674123833977</v>
      </c>
      <c r="AH75" s="128" t="str">
        <f t="shared" si="19"/>
        <v/>
      </c>
    </row>
    <row r="76" spans="27:34" x14ac:dyDescent="0.35">
      <c r="AA76" s="126">
        <f t="shared" si="15"/>
        <v>1.5170000000000015E-2</v>
      </c>
      <c r="AB76" s="126">
        <f t="shared" si="16"/>
        <v>3.2190000000000031E-2</v>
      </c>
      <c r="AC76" s="126">
        <f t="shared" si="17"/>
        <v>2.5530000000000039E-2</v>
      </c>
      <c r="AD76" s="126">
        <f t="shared" si="18"/>
        <v>0</v>
      </c>
      <c r="AE76" s="125">
        <f t="shared" si="12"/>
        <v>992.23358215423525</v>
      </c>
      <c r="AF76" s="125">
        <f t="shared" si="13"/>
        <v>1584.3917875582824</v>
      </c>
      <c r="AG76" s="125">
        <f t="shared" si="14"/>
        <v>1806.987821157323</v>
      </c>
      <c r="AH76" s="128" t="str">
        <f t="shared" si="19"/>
        <v/>
      </c>
    </row>
    <row r="77" spans="27:34" x14ac:dyDescent="0.35">
      <c r="AA77" s="126">
        <f t="shared" si="15"/>
        <v>1.5375000000000015E-2</v>
      </c>
      <c r="AB77" s="126">
        <f t="shared" si="16"/>
        <v>3.2625000000000029E-2</v>
      </c>
      <c r="AC77" s="126">
        <f t="shared" si="17"/>
        <v>2.587500000000004E-2</v>
      </c>
      <c r="AD77" s="126">
        <f t="shared" si="18"/>
        <v>0</v>
      </c>
      <c r="AE77" s="125">
        <f t="shared" si="12"/>
        <v>992.95438253892144</v>
      </c>
      <c r="AF77" s="125">
        <f t="shared" si="13"/>
        <v>1584.9391511240069</v>
      </c>
      <c r="AG77" s="125">
        <f t="shared" si="14"/>
        <v>1807.8071266886623</v>
      </c>
      <c r="AH77" s="128" t="str">
        <f t="shared" si="19"/>
        <v/>
      </c>
    </row>
    <row r="78" spans="27:34" x14ac:dyDescent="0.35">
      <c r="AA78" s="126">
        <f t="shared" si="15"/>
        <v>1.5580000000000016E-2</v>
      </c>
      <c r="AB78" s="126">
        <f t="shared" si="16"/>
        <v>3.3060000000000027E-2</v>
      </c>
      <c r="AC78" s="126">
        <f t="shared" si="17"/>
        <v>2.6220000000000042E-2</v>
      </c>
      <c r="AD78" s="126">
        <f t="shared" si="18"/>
        <v>0</v>
      </c>
      <c r="AE78" s="125">
        <f t="shared" si="12"/>
        <v>993.67484508743212</v>
      </c>
      <c r="AF78" s="125">
        <f t="shared" si="13"/>
        <v>1585.4861900623835</v>
      </c>
      <c r="AG78" s="125">
        <f t="shared" si="14"/>
        <v>1808.6254589820655</v>
      </c>
      <c r="AH78" s="128" t="str">
        <f t="shared" si="19"/>
        <v/>
      </c>
    </row>
    <row r="79" spans="27:34" x14ac:dyDescent="0.35">
      <c r="AA79" s="126">
        <f t="shared" si="15"/>
        <v>1.5785000000000014E-2</v>
      </c>
      <c r="AB79" s="126">
        <f t="shared" si="16"/>
        <v>3.3495000000000025E-2</v>
      </c>
      <c r="AC79" s="126">
        <f t="shared" si="17"/>
        <v>2.6565000000000043E-2</v>
      </c>
      <c r="AD79" s="126">
        <f t="shared" si="18"/>
        <v>0</v>
      </c>
      <c r="AE79" s="125">
        <f t="shared" si="12"/>
        <v>994.39500815761937</v>
      </c>
      <c r="AF79" s="125">
        <f t="shared" si="13"/>
        <v>1586.0329372438046</v>
      </c>
      <c r="AG79" s="125">
        <f t="shared" si="14"/>
        <v>1809.4429313013381</v>
      </c>
      <c r="AH79" s="128" t="str">
        <f t="shared" si="19"/>
        <v/>
      </c>
    </row>
    <row r="80" spans="27:34" x14ac:dyDescent="0.35">
      <c r="AA80" s="126">
        <f t="shared" si="15"/>
        <v>1.5990000000000015E-2</v>
      </c>
      <c r="AB80" s="126">
        <f t="shared" si="16"/>
        <v>3.3930000000000023E-2</v>
      </c>
      <c r="AC80" s="126">
        <f t="shared" si="17"/>
        <v>2.6910000000000045E-2</v>
      </c>
      <c r="AD80" s="126">
        <f t="shared" si="18"/>
        <v>0</v>
      </c>
      <c r="AE80" s="125">
        <f t="shared" si="12"/>
        <v>995.11490533450092</v>
      </c>
      <c r="AF80" s="125">
        <f t="shared" si="13"/>
        <v>1586.579421844523</v>
      </c>
      <c r="AG80" s="125">
        <f t="shared" si="14"/>
        <v>1810.2596425032359</v>
      </c>
      <c r="AH80" s="128" t="str">
        <f t="shared" si="19"/>
        <v/>
      </c>
    </row>
    <row r="81" spans="27:34" x14ac:dyDescent="0.35">
      <c r="AA81" s="126">
        <f t="shared" si="15"/>
        <v>1.6195000000000015E-2</v>
      </c>
      <c r="AB81" s="126">
        <f t="shared" si="16"/>
        <v>3.4365000000000021E-2</v>
      </c>
      <c r="AC81" s="126">
        <f t="shared" si="17"/>
        <v>2.7255000000000047E-2</v>
      </c>
      <c r="AD81" s="126">
        <f t="shared" si="18"/>
        <v>0</v>
      </c>
      <c r="AE81" s="125">
        <f t="shared" si="12"/>
        <v>995.83456607477194</v>
      </c>
      <c r="AF81" s="125">
        <f t="shared" si="13"/>
        <v>1587.1256698018885</v>
      </c>
      <c r="AG81" s="125">
        <f t="shared" si="14"/>
        <v>1811.0756790217717</v>
      </c>
      <c r="AH81" s="128" t="str">
        <f t="shared" si="19"/>
        <v/>
      </c>
    </row>
    <row r="82" spans="27:34" x14ac:dyDescent="0.35">
      <c r="AA82" s="126">
        <f t="shared" si="15"/>
        <v>1.6400000000000015E-2</v>
      </c>
      <c r="AB82" s="126">
        <f t="shared" si="16"/>
        <v>3.4800000000000018E-2</v>
      </c>
      <c r="AC82" s="126">
        <f t="shared" si="17"/>
        <v>2.7600000000000048E-2</v>
      </c>
      <c r="AD82" s="126">
        <f t="shared" si="18"/>
        <v>0</v>
      </c>
      <c r="AE82" s="125">
        <f t="shared" si="12"/>
        <v>996.55401625761772</v>
      </c>
      <c r="AF82" s="125">
        <f t="shared" si="13"/>
        <v>1587.6717042086693</v>
      </c>
      <c r="AG82" s="125">
        <f t="shared" si="14"/>
        <v>1811.8911165588941</v>
      </c>
      <c r="AH82" s="128" t="str">
        <f t="shared" si="19"/>
        <v/>
      </c>
    </row>
    <row r="83" spans="27:34" x14ac:dyDescent="0.35">
      <c r="AA83" s="126">
        <f t="shared" si="15"/>
        <v>1.6605000000000016E-2</v>
      </c>
      <c r="AB83" s="126">
        <f t="shared" si="16"/>
        <v>3.5235000000000016E-2</v>
      </c>
      <c r="AC83" s="126">
        <f t="shared" si="17"/>
        <v>2.794500000000005E-2</v>
      </c>
      <c r="AD83" s="126">
        <f t="shared" si="18"/>
        <v>0</v>
      </c>
      <c r="AE83" s="125">
        <f t="shared" si="12"/>
        <v>997.27327865640689</v>
      </c>
      <c r="AF83" s="125">
        <f t="shared" si="13"/>
        <v>1588.217545655245</v>
      </c>
      <c r="AG83" s="125">
        <f t="shared" si="14"/>
        <v>1812.7060215278991</v>
      </c>
      <c r="AH83" s="128" t="str">
        <f t="shared" si="19"/>
        <v/>
      </c>
    </row>
    <row r="84" spans="27:34" x14ac:dyDescent="0.35">
      <c r="AA84" s="126">
        <f t="shared" si="15"/>
        <v>1.6810000000000016E-2</v>
      </c>
      <c r="AB84" s="126">
        <f t="shared" si="16"/>
        <v>3.5670000000000014E-2</v>
      </c>
      <c r="AC84" s="126">
        <f t="shared" si="17"/>
        <v>2.8290000000000051E-2</v>
      </c>
      <c r="AD84" s="126">
        <f t="shared" si="18"/>
        <v>0</v>
      </c>
      <c r="AE84" s="125">
        <f t="shared" si="12"/>
        <v>997.99237334340569</v>
      </c>
      <c r="AF84" s="125">
        <f t="shared" si="13"/>
        <v>1588.7632125270841</v>
      </c>
      <c r="AG84" s="125">
        <f t="shared" si="14"/>
        <v>1813.5204522881968</v>
      </c>
      <c r="AH84" s="128" t="str">
        <f t="shared" si="19"/>
        <v/>
      </c>
    </row>
    <row r="85" spans="27:34" x14ac:dyDescent="0.35">
      <c r="AA85" s="126">
        <f t="shared" si="15"/>
        <v>1.7015000000000016E-2</v>
      </c>
      <c r="AB85" s="126">
        <f t="shared" si="16"/>
        <v>3.6105000000000012E-2</v>
      </c>
      <c r="AC85" s="126">
        <f t="shared" si="17"/>
        <v>2.8635000000000053E-2</v>
      </c>
      <c r="AD85" s="126">
        <f t="shared" si="18"/>
        <v>0</v>
      </c>
      <c r="AE85" s="125">
        <f t="shared" si="12"/>
        <v>998.71131803769072</v>
      </c>
      <c r="AF85" s="125">
        <f t="shared" si="13"/>
        <v>1589.3087212638068</v>
      </c>
      <c r="AG85" s="125">
        <f t="shared" si="14"/>
        <v>1814.3344602036127</v>
      </c>
      <c r="AH85" s="128" t="str">
        <f t="shared" si="19"/>
        <v/>
      </c>
    </row>
    <row r="86" spans="27:34" x14ac:dyDescent="0.35">
      <c r="AA86" s="126">
        <f t="shared" si="15"/>
        <v>1.7220000000000017E-2</v>
      </c>
      <c r="AB86" s="126">
        <f t="shared" si="16"/>
        <v>3.654000000000001E-2</v>
      </c>
      <c r="AC86" s="126">
        <f t="shared" si="17"/>
        <v>2.8980000000000054E-2</v>
      </c>
      <c r="AD86" s="126">
        <f t="shared" si="18"/>
        <v>0</v>
      </c>
      <c r="AE86" s="125">
        <f t="shared" si="12"/>
        <v>999.4301284047915</v>
      </c>
      <c r="AF86" s="125">
        <f t="shared" si="13"/>
        <v>1589.8540865851801</v>
      </c>
      <c r="AG86" s="125">
        <f t="shared" si="14"/>
        <v>1815.1480905511858</v>
      </c>
      <c r="AH86" s="128" t="str">
        <f t="shared" si="19"/>
        <v/>
      </c>
    </row>
    <row r="87" spans="27:34" x14ac:dyDescent="0.35">
      <c r="AA87" s="126">
        <f t="shared" si="15"/>
        <v>1.7425000000000017E-2</v>
      </c>
      <c r="AB87" s="126">
        <f t="shared" si="16"/>
        <v>3.6975000000000008E-2</v>
      </c>
      <c r="AC87" s="126">
        <f t="shared" si="17"/>
        <v>2.9325000000000056E-2</v>
      </c>
      <c r="AD87" s="126">
        <f t="shared" si="18"/>
        <v>0</v>
      </c>
      <c r="AE87" s="125">
        <f t="shared" si="12"/>
        <v>1000.1488183152215</v>
      </c>
      <c r="AF87" s="125">
        <f t="shared" si="13"/>
        <v>1590.3993216885881</v>
      </c>
      <c r="AG87" s="125">
        <f t="shared" si="14"/>
        <v>1815.9613833029923</v>
      </c>
      <c r="AH87" s="128" t="str">
        <f t="shared" si="19"/>
        <v/>
      </c>
    </row>
    <row r="88" spans="27:34" x14ac:dyDescent="0.35">
      <c r="AA88" s="126">
        <f t="shared" si="15"/>
        <v>1.7630000000000017E-2</v>
      </c>
      <c r="AB88" s="126">
        <f t="shared" si="16"/>
        <v>3.7410000000000006E-2</v>
      </c>
      <c r="AC88" s="126">
        <f t="shared" si="17"/>
        <v>2.9670000000000057E-2</v>
      </c>
      <c r="AD88" s="126">
        <f t="shared" si="18"/>
        <v>0</v>
      </c>
      <c r="AE88" s="125">
        <f t="shared" si="12"/>
        <v>1000.8674000679399</v>
      </c>
      <c r="AF88" s="125">
        <f t="shared" si="13"/>
        <v>1590.9444384218616</v>
      </c>
      <c r="AG88" s="125">
        <f t="shared" si="14"/>
        <v>1816.7743737999731</v>
      </c>
      <c r="AH88" s="128" t="str">
        <f t="shared" si="19"/>
        <v/>
      </c>
    </row>
    <row r="89" spans="27:34" x14ac:dyDescent="0.35">
      <c r="AA89" s="126">
        <f t="shared" si="15"/>
        <v>1.7835000000000018E-2</v>
      </c>
      <c r="AB89" s="126">
        <f t="shared" si="16"/>
        <v>3.7845000000000004E-2</v>
      </c>
      <c r="AC89" s="126">
        <f t="shared" si="17"/>
        <v>3.0015000000000059E-2</v>
      </c>
      <c r="AD89" s="126">
        <f t="shared" si="18"/>
        <v>0</v>
      </c>
      <c r="AE89" s="125">
        <f t="shared" si="12"/>
        <v>1001.5858845838288</v>
      </c>
      <c r="AF89" s="125">
        <f t="shared" si="13"/>
        <v>1591.4894474347843</v>
      </c>
      <c r="AG89" s="125">
        <f t="shared" si="14"/>
        <v>1817.5870933336851</v>
      </c>
      <c r="AH89" s="128" t="str">
        <f t="shared" si="19"/>
        <v/>
      </c>
    </row>
    <row r="90" spans="27:34" x14ac:dyDescent="0.35">
      <c r="AA90" s="126">
        <f t="shared" si="15"/>
        <v>1.8040000000000018E-2</v>
      </c>
      <c r="AB90" s="126">
        <f t="shared" si="16"/>
        <v>3.8280000000000002E-2</v>
      </c>
      <c r="AC90" s="126">
        <f t="shared" si="17"/>
        <v>3.0360000000000061E-2</v>
      </c>
      <c r="AD90" s="126">
        <f t="shared" si="18"/>
        <v>0</v>
      </c>
      <c r="AE90" s="125">
        <f t="shared" si="12"/>
        <v>1002.3042815735017</v>
      </c>
      <c r="AF90" s="125">
        <f t="shared" si="13"/>
        <v>1592.034358312105</v>
      </c>
      <c r="AG90" s="125">
        <f t="shared" si="14"/>
        <v>1818.3995696494364</v>
      </c>
      <c r="AH90" s="128" t="str">
        <f t="shared" si="19"/>
        <v/>
      </c>
    </row>
    <row r="91" spans="27:34" x14ac:dyDescent="0.35">
      <c r="AA91" s="126">
        <f t="shared" si="15"/>
        <v>1.8245000000000018E-2</v>
      </c>
      <c r="AB91" s="126">
        <f t="shared" si="16"/>
        <v>3.8714999999999999E-2</v>
      </c>
      <c r="AC91" s="126">
        <f t="shared" si="17"/>
        <v>3.0705000000000062E-2</v>
      </c>
      <c r="AD91" s="126">
        <f t="shared" si="18"/>
        <v>0</v>
      </c>
      <c r="AE91" s="125">
        <f t="shared" si="12"/>
        <v>1003.0225996830796</v>
      </c>
      <c r="AF91" s="125">
        <f t="shared" si="13"/>
        <v>1592.5791796904998</v>
      </c>
      <c r="AG91" s="125">
        <f t="shared" si="14"/>
        <v>1819.2118273821513</v>
      </c>
      <c r="AH91" s="128" t="str">
        <f t="shared" si="19"/>
        <v/>
      </c>
    </row>
    <row r="92" spans="27:34" x14ac:dyDescent="0.35">
      <c r="AA92" s="126">
        <f t="shared" si="15"/>
        <v>1.8450000000000018E-2</v>
      </c>
      <c r="AB92" s="126">
        <f t="shared" si="16"/>
        <v>3.9149999999999997E-2</v>
      </c>
      <c r="AC92" s="126">
        <f t="shared" si="17"/>
        <v>3.1050000000000064E-2</v>
      </c>
      <c r="AD92" s="126">
        <f t="shared" si="18"/>
        <v>0</v>
      </c>
      <c r="AE92" s="125">
        <f t="shared" si="12"/>
        <v>1003.7408466210389</v>
      </c>
      <c r="AF92" s="125">
        <f t="shared" si="13"/>
        <v>1593.1239193615597</v>
      </c>
      <c r="AG92" s="125">
        <f t="shared" si="14"/>
        <v>1820.0238884345856</v>
      </c>
      <c r="AH92" s="128" t="str">
        <f t="shared" si="19"/>
        <v/>
      </c>
    </row>
    <row r="93" spans="27:34" x14ac:dyDescent="0.35">
      <c r="AA93" s="126">
        <f t="shared" si="15"/>
        <v>1.8655000000000019E-2</v>
      </c>
      <c r="AB93" s="126">
        <f t="shared" si="16"/>
        <v>3.9584999999999995E-2</v>
      </c>
      <c r="AC93" s="126">
        <f t="shared" si="17"/>
        <v>3.1395000000000062E-2</v>
      </c>
      <c r="AD93" s="126">
        <f t="shared" si="18"/>
        <v>0</v>
      </c>
      <c r="AE93" s="125">
        <f t="shared" si="12"/>
        <v>1004.4590292687575</v>
      </c>
      <c r="AF93" s="125">
        <f t="shared" si="13"/>
        <v>1593.6685843626187</v>
      </c>
      <c r="AG93" s="125">
        <f t="shared" si="14"/>
        <v>1820.8357723060412</v>
      </c>
      <c r="AH93" s="128" t="str">
        <f t="shared" si="19"/>
        <v/>
      </c>
    </row>
    <row r="94" spans="27:34" x14ac:dyDescent="0.35">
      <c r="AA94" s="126">
        <f t="shared" si="15"/>
        <v>1.8860000000000019E-2</v>
      </c>
      <c r="AB94" s="126">
        <f t="shared" si="16"/>
        <v>4.0019999999999993E-2</v>
      </c>
      <c r="AC94" s="126">
        <f t="shared" si="17"/>
        <v>3.174000000000006E-2</v>
      </c>
      <c r="AD94" s="126">
        <f t="shared" si="18"/>
        <v>0</v>
      </c>
      <c r="AE94" s="125">
        <f t="shared" si="12"/>
        <v>1005.1771537770084</v>
      </c>
      <c r="AF94" s="125">
        <f t="shared" si="13"/>
        <v>1594.2131810569613</v>
      </c>
      <c r="AG94" s="125">
        <f t="shared" si="14"/>
        <v>1821.6474963785088</v>
      </c>
      <c r="AH94" s="128" t="str">
        <f t="shared" si="19"/>
        <v/>
      </c>
    </row>
    <row r="95" spans="27:34" x14ac:dyDescent="0.35">
      <c r="AA95" s="126">
        <f t="shared" si="15"/>
        <v>1.9065000000000019E-2</v>
      </c>
      <c r="AB95" s="126">
        <f t="shared" si="16"/>
        <v>4.0454999999999991E-2</v>
      </c>
      <c r="AC95" s="126">
        <f t="shared" si="17"/>
        <v>3.2085000000000058E-2</v>
      </c>
      <c r="AD95" s="126">
        <f t="shared" si="18"/>
        <v>0</v>
      </c>
      <c r="AE95" s="125">
        <f t="shared" si="12"/>
        <v>1005.8952256503106</v>
      </c>
      <c r="AF95" s="125">
        <f t="shared" si="13"/>
        <v>1594.7577152047511</v>
      </c>
      <c r="AG95" s="125">
        <f t="shared" si="14"/>
        <v>1822.4590761661359</v>
      </c>
      <c r="AH95" s="128" t="str">
        <f t="shared" si="19"/>
        <v/>
      </c>
    </row>
    <row r="96" spans="27:34" x14ac:dyDescent="0.35">
      <c r="AA96" s="126">
        <f t="shared" si="15"/>
        <v>1.927000000000002E-2</v>
      </c>
      <c r="AB96" s="126">
        <f t="shared" si="16"/>
        <v>4.0889999999999989E-2</v>
      </c>
      <c r="AC96" s="126">
        <f t="shared" si="17"/>
        <v>3.2430000000000056E-2</v>
      </c>
      <c r="AD96" s="126">
        <f t="shared" si="18"/>
        <v>0</v>
      </c>
      <c r="AE96" s="125">
        <f t="shared" si="12"/>
        <v>1006.6132498207747</v>
      </c>
      <c r="AF96" s="125">
        <f t="shared" si="13"/>
        <v>1595.3021920258448</v>
      </c>
      <c r="AG96" s="125">
        <f t="shared" si="14"/>
        <v>1823.2705255330425</v>
      </c>
      <c r="AH96" s="128" t="str">
        <f t="shared" si="19"/>
        <v/>
      </c>
    </row>
    <row r="97" spans="27:34" x14ac:dyDescent="0.35">
      <c r="AA97" s="126">
        <f t="shared" si="15"/>
        <v>1.947500000000002E-2</v>
      </c>
      <c r="AB97" s="126">
        <f t="shared" si="16"/>
        <v>4.1324999999999987E-2</v>
      </c>
      <c r="AC97" s="126">
        <f t="shared" si="17"/>
        <v>3.2775000000000054E-2</v>
      </c>
      <c r="AD97" s="126">
        <f t="shared" si="18"/>
        <v>0</v>
      </c>
      <c r="AE97" s="125">
        <f t="shared" si="12"/>
        <v>1007.331230712844</v>
      </c>
      <c r="AF97" s="125">
        <f t="shared" si="13"/>
        <v>1595.8466162554832</v>
      </c>
      <c r="AG97" s="125">
        <f t="shared" si="14"/>
        <v>1824.0818568837899</v>
      </c>
      <c r="AH97" s="128" t="str">
        <f t="shared" si="19"/>
        <v/>
      </c>
    </row>
    <row r="98" spans="27:34" x14ac:dyDescent="0.35">
      <c r="AA98" s="126">
        <f t="shared" si="15"/>
        <v>1.968000000000002E-2</v>
      </c>
      <c r="AB98" s="126">
        <f t="shared" si="16"/>
        <v>4.1759999999999985E-2</v>
      </c>
      <c r="AC98" s="126">
        <f t="shared" si="17"/>
        <v>3.3120000000000052E-2</v>
      </c>
      <c r="AD98" s="126">
        <f t="shared" si="18"/>
        <v>0</v>
      </c>
      <c r="AE98" s="125">
        <f t="shared" si="12"/>
        <v>1008.0491723001395</v>
      </c>
      <c r="AF98" s="125">
        <f t="shared" si="13"/>
        <v>1596.3909921937343</v>
      </c>
      <c r="AG98" s="125">
        <f t="shared" si="14"/>
        <v>1824.8930813301718</v>
      </c>
      <c r="AH98" s="128" t="str">
        <f t="shared" si="19"/>
        <v/>
      </c>
    </row>
    <row r="99" spans="27:34" x14ac:dyDescent="0.35">
      <c r="AA99" s="126">
        <f t="shared" ref="AA99:AA130" si="20">AA98+B$6/200</f>
        <v>1.9885000000000021E-2</v>
      </c>
      <c r="AB99" s="126">
        <f t="shared" ref="AB99:AB130" si="21">AB98+C$6/200</f>
        <v>4.2194999999999983E-2</v>
      </c>
      <c r="AC99" s="126">
        <f t="shared" ref="AC99:AC130" si="22">AC98+D$6/200</f>
        <v>3.346500000000005E-2</v>
      </c>
      <c r="AD99" s="126">
        <f t="shared" ref="AD99:AD130" si="23">AD98+E$6/200</f>
        <v>0</v>
      </c>
      <c r="AE99" s="125">
        <f t="shared" si="12"/>
        <v>1008.7670781554319</v>
      </c>
      <c r="AF99" s="125">
        <f t="shared" si="13"/>
        <v>1596.9353237494579</v>
      </c>
      <c r="AG99" s="125">
        <f t="shared" si="14"/>
        <v>1825.7042088374646</v>
      </c>
      <c r="AH99" s="128" t="str">
        <f t="shared" si="19"/>
        <v/>
      </c>
    </row>
    <row r="100" spans="27:34" x14ac:dyDescent="0.35">
      <c r="AA100" s="126">
        <f t="shared" si="20"/>
        <v>2.0090000000000021E-2</v>
      </c>
      <c r="AB100" s="126">
        <f t="shared" si="21"/>
        <v>4.262999999999998E-2</v>
      </c>
      <c r="AC100" s="126">
        <f t="shared" si="22"/>
        <v>3.3810000000000048E-2</v>
      </c>
      <c r="AD100" s="126">
        <f t="shared" si="23"/>
        <v>0</v>
      </c>
      <c r="AE100" s="125">
        <f t="shared" si="12"/>
        <v>1009.4849514946392</v>
      </c>
      <c r="AF100" s="125">
        <f t="shared" si="13"/>
        <v>1597.4796144794236</v>
      </c>
      <c r="AG100" s="125">
        <f t="shared" si="14"/>
        <v>1826.5152483528705</v>
      </c>
      <c r="AH100" s="128" t="str">
        <f t="shared" si="19"/>
        <v/>
      </c>
    </row>
    <row r="101" spans="27:34" x14ac:dyDescent="0.35">
      <c r="AA101" s="126">
        <f t="shared" si="20"/>
        <v>2.0295000000000021E-2</v>
      </c>
      <c r="AB101" s="126">
        <f t="shared" si="21"/>
        <v>4.3064999999999978E-2</v>
      </c>
      <c r="AC101" s="126">
        <f t="shared" si="22"/>
        <v>3.4155000000000046E-2</v>
      </c>
      <c r="AD101" s="126">
        <f t="shared" si="23"/>
        <v>0</v>
      </c>
      <c r="AE101" s="125">
        <f t="shared" si="12"/>
        <v>1010.20279521561</v>
      </c>
      <c r="AF101" s="125">
        <f t="shared" si="13"/>
        <v>1598.0238676231775</v>
      </c>
      <c r="AG101" s="125">
        <f t="shared" si="14"/>
        <v>1827.3262079184476</v>
      </c>
      <c r="AH101" s="128" t="str">
        <f t="shared" si="19"/>
        <v/>
      </c>
    </row>
    <row r="102" spans="27:34" x14ac:dyDescent="0.35">
      <c r="AA102" s="126">
        <f t="shared" si="20"/>
        <v>2.0500000000000022E-2</v>
      </c>
      <c r="AB102" s="126">
        <f t="shared" si="21"/>
        <v>4.3499999999999976E-2</v>
      </c>
      <c r="AC102" s="126">
        <f t="shared" si="22"/>
        <v>3.4500000000000045E-2</v>
      </c>
      <c r="AD102" s="126">
        <f t="shared" si="23"/>
        <v>0</v>
      </c>
      <c r="AE102" s="125">
        <f t="shared" si="12"/>
        <v>1010.9206119323584</v>
      </c>
      <c r="AF102" s="125">
        <f t="shared" si="13"/>
        <v>1598.5680861341477</v>
      </c>
      <c r="AG102" s="125">
        <f t="shared" si="14"/>
        <v>1828.1370947705436</v>
      </c>
      <c r="AH102" s="128" t="str">
        <f t="shared" si="19"/>
        <v/>
      </c>
    </row>
    <row r="103" spans="27:34" x14ac:dyDescent="0.35">
      <c r="AA103" s="126">
        <f t="shared" si="20"/>
        <v>2.0705000000000022E-2</v>
      </c>
      <c r="AB103" s="126">
        <f t="shared" si="21"/>
        <v>4.3934999999999974E-2</v>
      </c>
      <c r="AC103" s="126">
        <f t="shared" si="22"/>
        <v>3.4845000000000043E-2</v>
      </c>
      <c r="AD103" s="126">
        <f t="shared" si="23"/>
        <v>0</v>
      </c>
      <c r="AE103" s="125">
        <f t="shared" si="12"/>
        <v>1011.6384040053214</v>
      </c>
      <c r="AF103" s="125">
        <f t="shared" si="13"/>
        <v>1599.1122727074339</v>
      </c>
      <c r="AG103" s="125">
        <f t="shared" si="14"/>
        <v>1828.9479154274679</v>
      </c>
      <c r="AH103" s="128" t="str">
        <f t="shared" si="19"/>
        <v/>
      </c>
    </row>
    <row r="104" spans="27:34" x14ac:dyDescent="0.35">
      <c r="AA104" s="126">
        <f t="shared" si="20"/>
        <v>2.0910000000000022E-2</v>
      </c>
      <c r="AB104" s="126">
        <f t="shared" si="21"/>
        <v>4.4369999999999972E-2</v>
      </c>
      <c r="AC104" s="126">
        <f t="shared" si="22"/>
        <v>3.5190000000000041E-2</v>
      </c>
      <c r="AD104" s="126">
        <f t="shared" si="23"/>
        <v>0</v>
      </c>
      <c r="AE104" s="125">
        <f t="shared" si="12"/>
        <v>1012.3561735681327</v>
      </c>
      <c r="AF104" s="125">
        <f t="shared" si="13"/>
        <v>1599.6564298046515</v>
      </c>
      <c r="AG104" s="125">
        <f t="shared" si="14"/>
        <v>1829.7586757668705</v>
      </c>
      <c r="AH104" s="128" t="str">
        <f t="shared" si="19"/>
        <v/>
      </c>
    </row>
    <row r="105" spans="27:34" x14ac:dyDescent="0.35">
      <c r="AA105" s="126">
        <f t="shared" si="20"/>
        <v>2.1115000000000023E-2</v>
      </c>
      <c r="AB105" s="126">
        <f t="shared" si="21"/>
        <v>4.480499999999997E-2</v>
      </c>
      <c r="AC105" s="126">
        <f t="shared" si="22"/>
        <v>3.5535000000000039E-2</v>
      </c>
      <c r="AD105" s="126">
        <f t="shared" si="23"/>
        <v>0</v>
      </c>
      <c r="AE105" s="125">
        <f t="shared" si="12"/>
        <v>1013.0739225513458</v>
      </c>
      <c r="AF105" s="125">
        <f t="shared" si="13"/>
        <v>1600.200559676179</v>
      </c>
      <c r="AG105" s="125">
        <f t="shared" si="14"/>
        <v>1830.5693810941477</v>
      </c>
      <c r="AH105" s="128" t="str">
        <f t="shared" si="19"/>
        <v/>
      </c>
    </row>
    <row r="106" spans="27:34" x14ac:dyDescent="0.35">
      <c r="AA106" s="126">
        <f t="shared" si="20"/>
        <v>2.1320000000000023E-2</v>
      </c>
      <c r="AB106" s="126">
        <f t="shared" si="21"/>
        <v>4.5239999999999968E-2</v>
      </c>
      <c r="AC106" s="126">
        <f t="shared" si="22"/>
        <v>3.5880000000000037E-2</v>
      </c>
      <c r="AD106" s="126">
        <f t="shared" si="23"/>
        <v>0</v>
      </c>
      <c r="AE106" s="125">
        <f t="shared" si="12"/>
        <v>1013.7916527034758</v>
      </c>
      <c r="AF106" s="125">
        <f t="shared" si="13"/>
        <v>1600.7446643810954</v>
      </c>
      <c r="AG106" s="125">
        <f t="shared" si="14"/>
        <v>1831.3800362029588</v>
      </c>
      <c r="AH106" s="128" t="str">
        <f t="shared" si="19"/>
        <v/>
      </c>
    </row>
    <row r="107" spans="27:34" x14ac:dyDescent="0.35">
      <c r="AA107" s="126">
        <f t="shared" si="20"/>
        <v>2.1525000000000023E-2</v>
      </c>
      <c r="AB107" s="126">
        <f t="shared" si="21"/>
        <v>4.5674999999999966E-2</v>
      </c>
      <c r="AC107" s="126">
        <f t="shared" si="22"/>
        <v>3.6225000000000035E-2</v>
      </c>
      <c r="AD107" s="126">
        <f t="shared" si="23"/>
        <v>0</v>
      </c>
      <c r="AE107" s="125">
        <f t="shared" si="12"/>
        <v>1014.5093656096906</v>
      </c>
      <c r="AF107" s="125">
        <f t="shared" si="13"/>
        <v>1601.2887458050673</v>
      </c>
      <c r="AG107" s="125">
        <f t="shared" si="14"/>
        <v>1832.1906454288589</v>
      </c>
      <c r="AH107" s="128" t="str">
        <f t="shared" si="19"/>
        <v/>
      </c>
    </row>
    <row r="108" spans="27:34" x14ac:dyDescent="0.35">
      <c r="AA108" s="126">
        <f t="shared" si="20"/>
        <v>2.1730000000000024E-2</v>
      </c>
      <c r="AB108" s="126">
        <f t="shared" si="21"/>
        <v>4.6109999999999964E-2</v>
      </c>
      <c r="AC108" s="126">
        <f t="shared" si="22"/>
        <v>3.6570000000000033E-2</v>
      </c>
      <c r="AD108" s="126">
        <f t="shared" si="23"/>
        <v>0</v>
      </c>
      <c r="AE108" s="125">
        <f t="shared" si="12"/>
        <v>1015.2270627084229</v>
      </c>
      <c r="AF108" s="125">
        <f t="shared" si="13"/>
        <v>1601.8328056764146</v>
      </c>
      <c r="AG108" s="125">
        <f t="shared" si="14"/>
        <v>1833.0012126968661</v>
      </c>
      <c r="AH108" s="128" t="str">
        <f t="shared" si="19"/>
        <v/>
      </c>
    </row>
    <row r="109" spans="27:34" x14ac:dyDescent="0.35">
      <c r="AA109" s="126">
        <f t="shared" si="20"/>
        <v>2.1935000000000024E-2</v>
      </c>
      <c r="AB109" s="126">
        <f t="shared" si="21"/>
        <v>4.6544999999999961E-2</v>
      </c>
      <c r="AC109" s="126">
        <f t="shared" si="22"/>
        <v>3.6915000000000031E-2</v>
      </c>
      <c r="AD109" s="126">
        <f t="shared" si="23"/>
        <v>0</v>
      </c>
      <c r="AE109" s="125">
        <f t="shared" si="12"/>
        <v>1015.9447453061646</v>
      </c>
      <c r="AF109" s="125">
        <f t="shared" si="13"/>
        <v>1602.3768455805568</v>
      </c>
      <c r="AG109" s="125">
        <f t="shared" si="14"/>
        <v>1833.8117415636971</v>
      </c>
      <c r="AH109" s="128" t="str">
        <f t="shared" si="19"/>
        <v/>
      </c>
    </row>
    <row r="110" spans="27:34" x14ac:dyDescent="0.35">
      <c r="AA110" s="126">
        <f t="shared" si="20"/>
        <v>2.2140000000000024E-2</v>
      </c>
      <c r="AB110" s="126">
        <f t="shared" si="21"/>
        <v>4.6979999999999959E-2</v>
      </c>
      <c r="AC110" s="126">
        <f t="shared" si="22"/>
        <v>3.7260000000000029E-2</v>
      </c>
      <c r="AD110" s="126">
        <f t="shared" si="23"/>
        <v>0</v>
      </c>
      <c r="AE110" s="125">
        <f t="shared" si="12"/>
        <v>1016.6624145906457</v>
      </c>
      <c r="AF110" s="125">
        <f t="shared" si="13"/>
        <v>1602.9208669730124</v>
      </c>
      <c r="AG110" s="125">
        <f t="shared" si="14"/>
        <v>1834.6222352553323</v>
      </c>
      <c r="AH110" s="128" t="str">
        <f t="shared" si="19"/>
        <v/>
      </c>
    </row>
    <row r="111" spans="27:34" x14ac:dyDescent="0.35">
      <c r="AA111" s="126">
        <f t="shared" si="20"/>
        <v>2.2345000000000025E-2</v>
      </c>
      <c r="AB111" s="126">
        <f t="shared" si="21"/>
        <v>4.7414999999999957E-2</v>
      </c>
      <c r="AC111" s="126">
        <f t="shared" si="22"/>
        <v>3.7605000000000027E-2</v>
      </c>
      <c r="AD111" s="126">
        <f t="shared" si="23"/>
        <v>0</v>
      </c>
      <c r="AE111" s="125">
        <f t="shared" si="12"/>
        <v>1017.3800716425908</v>
      </c>
      <c r="AF111" s="125">
        <f t="shared" si="13"/>
        <v>1603.4648711911093</v>
      </c>
      <c r="AG111" s="125">
        <f t="shared" si="14"/>
        <v>1835.4326967004329</v>
      </c>
      <c r="AH111" s="128" t="str">
        <f t="shared" si="19"/>
        <v/>
      </c>
    </row>
    <row r="112" spans="27:34" x14ac:dyDescent="0.35">
      <c r="AA112" s="126">
        <f t="shared" si="20"/>
        <v>2.2550000000000025E-2</v>
      </c>
      <c r="AB112" s="126">
        <f t="shared" si="21"/>
        <v>4.7849999999999955E-2</v>
      </c>
      <c r="AC112" s="126">
        <f t="shared" si="22"/>
        <v>3.7950000000000025E-2</v>
      </c>
      <c r="AD112" s="126">
        <f t="shared" si="23"/>
        <v>0</v>
      </c>
      <c r="AE112" s="125">
        <f t="shared" si="12"/>
        <v>1018.0977174462225</v>
      </c>
      <c r="AF112" s="125">
        <f t="shared" si="13"/>
        <v>1604.0088594645479</v>
      </c>
      <c r="AG112" s="125">
        <f t="shared" si="14"/>
        <v>1836.2431285601288</v>
      </c>
      <c r="AH112" s="128" t="str">
        <f t="shared" si="19"/>
        <v/>
      </c>
    </row>
    <row r="113" spans="27:34" x14ac:dyDescent="0.35">
      <c r="AA113" s="126">
        <f t="shared" si="20"/>
        <v>2.2755000000000025E-2</v>
      </c>
      <c r="AB113" s="126">
        <f t="shared" si="21"/>
        <v>4.8284999999999953E-2</v>
      </c>
      <c r="AC113" s="126">
        <f t="shared" si="22"/>
        <v>3.8295000000000023E-2</v>
      </c>
      <c r="AD113" s="126">
        <f t="shared" si="23"/>
        <v>0</v>
      </c>
      <c r="AE113" s="125">
        <f t="shared" si="12"/>
        <v>1018.8153528986458</v>
      </c>
      <c r="AF113" s="125">
        <f t="shared" si="13"/>
        <v>1604.5528329249323</v>
      </c>
      <c r="AG113" s="125">
        <f t="shared" si="14"/>
        <v>1837.0535332545824</v>
      </c>
      <c r="AH113" s="128" t="str">
        <f t="shared" si="19"/>
        <v/>
      </c>
    </row>
    <row r="114" spans="27:34" x14ac:dyDescent="0.35">
      <c r="AA114" s="126">
        <f t="shared" si="20"/>
        <v>2.2960000000000026E-2</v>
      </c>
      <c r="AB114" s="126">
        <f t="shared" si="21"/>
        <v>4.8719999999999951E-2</v>
      </c>
      <c r="AC114" s="126">
        <f t="shared" si="22"/>
        <v>3.8640000000000022E-2</v>
      </c>
      <c r="AD114" s="126">
        <f t="shared" si="23"/>
        <v>0</v>
      </c>
      <c r="AE114" s="125">
        <f t="shared" si="12"/>
        <v>1019.532978818248</v>
      </c>
      <c r="AF114" s="125">
        <f t="shared" si="13"/>
        <v>1605.0967926143842</v>
      </c>
      <c r="AG114" s="125">
        <f t="shared" si="14"/>
        <v>1837.863912986709</v>
      </c>
      <c r="AH114" s="128" t="str">
        <f t="shared" si="19"/>
        <v/>
      </c>
    </row>
    <row r="115" spans="27:34" x14ac:dyDescent="0.35">
      <c r="AA115" s="126">
        <f t="shared" si="20"/>
        <v>2.3165000000000026E-2</v>
      </c>
      <c r="AB115" s="126">
        <f t="shared" si="21"/>
        <v>4.9154999999999949E-2</v>
      </c>
      <c r="AC115" s="126">
        <f t="shared" si="22"/>
        <v>3.898500000000002E-2</v>
      </c>
      <c r="AD115" s="126">
        <f t="shared" si="23"/>
        <v>0</v>
      </c>
      <c r="AE115" s="125">
        <f t="shared" si="12"/>
        <v>1020.2505959522258</v>
      </c>
      <c r="AF115" s="125">
        <f t="shared" si="13"/>
        <v>1605.6407394933315</v>
      </c>
      <c r="AG115" s="125">
        <f t="shared" si="14"/>
        <v>1838.6742697633758</v>
      </c>
      <c r="AH115" s="128" t="str">
        <f t="shared" si="19"/>
        <v/>
      </c>
    </row>
    <row r="116" spans="27:34" x14ac:dyDescent="0.35">
      <c r="AA116" s="126">
        <f t="shared" si="20"/>
        <v>2.3370000000000026E-2</v>
      </c>
      <c r="AB116" s="126">
        <f t="shared" si="21"/>
        <v>4.9589999999999947E-2</v>
      </c>
      <c r="AC116" s="126">
        <f t="shared" si="22"/>
        <v>3.9330000000000018E-2</v>
      </c>
      <c r="AD116" s="126">
        <f t="shared" si="23"/>
        <v>0</v>
      </c>
      <c r="AE116" s="125">
        <f t="shared" si="12"/>
        <v>1020.9682049833333</v>
      </c>
      <c r="AF116" s="125">
        <f t="shared" si="13"/>
        <v>1606.1846744475554</v>
      </c>
      <c r="AG116" s="125">
        <f t="shared" si="14"/>
        <v>1839.4846054143741</v>
      </c>
      <c r="AH116" s="128" t="str">
        <f t="shared" si="19"/>
        <v/>
      </c>
    </row>
    <row r="117" spans="27:34" x14ac:dyDescent="0.35">
      <c r="AA117" s="126">
        <f t="shared" si="20"/>
        <v>2.3575000000000026E-2</v>
      </c>
      <c r="AB117" s="126">
        <f t="shared" si="21"/>
        <v>5.0024999999999945E-2</v>
      </c>
      <c r="AC117" s="126">
        <f t="shared" si="22"/>
        <v>3.9675000000000016E-2</v>
      </c>
      <c r="AD117" s="126">
        <f t="shared" si="23"/>
        <v>0</v>
      </c>
      <c r="AE117" s="125">
        <f t="shared" si="12"/>
        <v>1021.6858065359341</v>
      </c>
      <c r="AF117" s="125">
        <f t="shared" si="13"/>
        <v>1606.728598294583</v>
      </c>
      <c r="AG117" s="125">
        <f t="shared" si="14"/>
        <v>1840.2949216094064</v>
      </c>
      <c r="AH117" s="128" t="str">
        <f t="shared" si="19"/>
        <v/>
      </c>
    </row>
    <row r="118" spans="27:34" x14ac:dyDescent="0.35">
      <c r="AA118" s="126">
        <f t="shared" si="20"/>
        <v>2.3780000000000027E-2</v>
      </c>
      <c r="AB118" s="126">
        <f t="shared" si="21"/>
        <v>5.0459999999999942E-2</v>
      </c>
      <c r="AC118" s="126">
        <f t="shared" si="22"/>
        <v>4.0020000000000014E-2</v>
      </c>
      <c r="AD118" s="126">
        <f t="shared" si="23"/>
        <v>0</v>
      </c>
      <c r="AE118" s="125">
        <f t="shared" si="12"/>
        <v>1022.4034011814482</v>
      </c>
      <c r="AF118" s="125">
        <f t="shared" si="13"/>
        <v>1607.2725117894704</v>
      </c>
      <c r="AG118" s="125">
        <f t="shared" si="14"/>
        <v>1841.1052198733173</v>
      </c>
      <c r="AH118" s="128" t="str">
        <f t="shared" si="19"/>
        <v/>
      </c>
    </row>
    <row r="119" spans="27:34" x14ac:dyDescent="0.35">
      <c r="AA119" s="126">
        <f t="shared" si="20"/>
        <v>2.3985000000000027E-2</v>
      </c>
      <c r="AB119" s="126">
        <f t="shared" si="21"/>
        <v>5.089499999999994E-2</v>
      </c>
      <c r="AC119" s="126">
        <f t="shared" si="22"/>
        <v>4.0365000000000012E-2</v>
      </c>
      <c r="AD119" s="126">
        <f t="shared" si="23"/>
        <v>0</v>
      </c>
      <c r="AE119" s="125">
        <f t="shared" si="12"/>
        <v>1023.1209894432413</v>
      </c>
      <c r="AF119" s="125">
        <f t="shared" si="13"/>
        <v>1607.8164156300641</v>
      </c>
      <c r="AG119" s="125">
        <f t="shared" si="14"/>
        <v>1841.9155015997608</v>
      </c>
      <c r="AH119" s="128" t="str">
        <f t="shared" si="19"/>
        <v/>
      </c>
    </row>
    <row r="120" spans="27:34" x14ac:dyDescent="0.35">
      <c r="AA120" s="126">
        <f t="shared" si="20"/>
        <v>2.4190000000000027E-2</v>
      </c>
      <c r="AB120" s="126">
        <f t="shared" si="21"/>
        <v>5.1329999999999938E-2</v>
      </c>
      <c r="AC120" s="126">
        <f t="shared" si="22"/>
        <v>4.071000000000001E-2</v>
      </c>
      <c r="AD120" s="126">
        <f t="shared" si="23"/>
        <v>0</v>
      </c>
      <c r="AE120" s="125">
        <f t="shared" si="12"/>
        <v>1023.8385718010292</v>
      </c>
      <c r="AF120" s="125">
        <f t="shared" si="13"/>
        <v>1608.3603104617728</v>
      </c>
      <c r="AG120" s="125">
        <f t="shared" si="14"/>
        <v>1842.7257680634746</v>
      </c>
      <c r="AH120" s="128" t="str">
        <f t="shared" si="19"/>
        <v/>
      </c>
    </row>
    <row r="121" spans="27:34" x14ac:dyDescent="0.35">
      <c r="AA121" s="126">
        <f t="shared" si="20"/>
        <v>2.4395000000000028E-2</v>
      </c>
      <c r="AB121" s="126">
        <f t="shared" si="21"/>
        <v>5.1764999999999936E-2</v>
      </c>
      <c r="AC121" s="126">
        <f t="shared" si="22"/>
        <v>4.1055000000000008E-2</v>
      </c>
      <c r="AD121" s="126">
        <f t="shared" si="23"/>
        <v>0</v>
      </c>
      <c r="AE121" s="125">
        <f t="shared" si="12"/>
        <v>1024.5561486948484</v>
      </c>
      <c r="AF121" s="125">
        <f t="shared" si="13"/>
        <v>1608.9041968819035</v>
      </c>
      <c r="AG121" s="125">
        <f t="shared" si="14"/>
        <v>1843.5360204313172</v>
      </c>
      <c r="AH121" s="128" t="str">
        <f t="shared" si="19"/>
        <v/>
      </c>
    </row>
    <row r="122" spans="27:34" x14ac:dyDescent="0.35">
      <c r="AA122" s="126">
        <f t="shared" si="20"/>
        <v>2.4600000000000028E-2</v>
      </c>
      <c r="AB122" s="126">
        <f t="shared" si="21"/>
        <v>5.2199999999999934E-2</v>
      </c>
      <c r="AC122" s="126">
        <f t="shared" si="22"/>
        <v>4.1400000000000006E-2</v>
      </c>
      <c r="AD122" s="126">
        <f t="shared" si="23"/>
        <v>0</v>
      </c>
      <c r="AE122" s="125">
        <f t="shared" si="12"/>
        <v>1025.2737205286301</v>
      </c>
      <c r="AF122" s="125">
        <f t="shared" si="13"/>
        <v>1609.4480754436158</v>
      </c>
      <c r="AG122" s="125">
        <f t="shared" si="14"/>
        <v>1844.3462597721982</v>
      </c>
      <c r="AH122" s="128" t="str">
        <f t="shared" si="19"/>
        <v/>
      </c>
    </row>
    <row r="123" spans="27:34" x14ac:dyDescent="0.35">
      <c r="AA123" s="126">
        <f t="shared" si="20"/>
        <v>2.4805000000000028E-2</v>
      </c>
      <c r="AB123" s="126">
        <f t="shared" si="21"/>
        <v>5.2634999999999932E-2</v>
      </c>
      <c r="AC123" s="126">
        <f t="shared" si="22"/>
        <v>4.1745000000000004E-2</v>
      </c>
      <c r="AD123" s="126">
        <f t="shared" si="23"/>
        <v>0</v>
      </c>
      <c r="AE123" s="125">
        <f t="shared" si="12"/>
        <v>1025.9912876734329</v>
      </c>
      <c r="AF123" s="125">
        <f t="shared" si="13"/>
        <v>1609.9919466595084</v>
      </c>
      <c r="AG123" s="125">
        <f t="shared" si="14"/>
        <v>1845.1564870660231</v>
      </c>
      <c r="AH123" s="128" t="str">
        <f t="shared" si="19"/>
        <v/>
      </c>
    </row>
    <row r="124" spans="27:34" x14ac:dyDescent="0.35">
      <c r="AA124" s="126">
        <f t="shared" si="20"/>
        <v>2.5010000000000029E-2</v>
      </c>
      <c r="AB124" s="126">
        <f t="shared" si="21"/>
        <v>5.306999999999993E-2</v>
      </c>
      <c r="AC124" s="126">
        <f t="shared" si="22"/>
        <v>4.2090000000000002E-2</v>
      </c>
      <c r="AD124" s="126">
        <f t="shared" si="23"/>
        <v>0</v>
      </c>
      <c r="AE124" s="125">
        <f t="shared" si="12"/>
        <v>1026.7088504703561</v>
      </c>
      <c r="AF124" s="125">
        <f t="shared" si="13"/>
        <v>1610.5358110048994</v>
      </c>
      <c r="AG124" s="125">
        <f t="shared" si="14"/>
        <v>1845.9667032117507</v>
      </c>
      <c r="AH124" s="128" t="str">
        <f t="shared" si="19"/>
        <v/>
      </c>
    </row>
    <row r="125" spans="27:34" x14ac:dyDescent="0.35">
      <c r="AA125" s="126">
        <f t="shared" si="20"/>
        <v>2.5215000000000029E-2</v>
      </c>
      <c r="AB125" s="126">
        <f t="shared" si="21"/>
        <v>5.3504999999999928E-2</v>
      </c>
      <c r="AC125" s="126">
        <f t="shared" si="22"/>
        <v>4.2435E-2</v>
      </c>
      <c r="AD125" s="126">
        <f t="shared" si="23"/>
        <v>0</v>
      </c>
      <c r="AE125" s="125">
        <f t="shared" si="12"/>
        <v>1027.42640923318</v>
      </c>
      <c r="AF125" s="125">
        <f t="shared" si="13"/>
        <v>1611.0796689208119</v>
      </c>
      <c r="AG125" s="125">
        <f t="shared" si="14"/>
        <v>1846.776909034676</v>
      </c>
      <c r="AH125" s="128" t="str">
        <f t="shared" si="19"/>
        <v/>
      </c>
    </row>
    <row r="126" spans="27:34" x14ac:dyDescent="0.35">
      <c r="AA126" s="126">
        <f t="shared" si="20"/>
        <v>2.5420000000000029E-2</v>
      </c>
      <c r="AB126" s="126">
        <f t="shared" si="21"/>
        <v>5.3939999999999926E-2</v>
      </c>
      <c r="AC126" s="126">
        <f t="shared" si="22"/>
        <v>4.2779999999999999E-2</v>
      </c>
      <c r="AD126" s="126">
        <f t="shared" si="23"/>
        <v>0</v>
      </c>
      <c r="AE126" s="125">
        <f t="shared" si="12"/>
        <v>1028.1439642507494</v>
      </c>
      <c r="AF126" s="125">
        <f t="shared" si="13"/>
        <v>1611.6235208166975</v>
      </c>
      <c r="AG126" s="125">
        <f t="shared" si="14"/>
        <v>1847.5871052929901</v>
      </c>
      <c r="AH126" s="128" t="str">
        <f t="shared" si="19"/>
        <v/>
      </c>
    </row>
    <row r="127" spans="27:34" x14ac:dyDescent="0.35">
      <c r="AA127" s="126">
        <f t="shared" si="20"/>
        <v>2.562500000000003E-2</v>
      </c>
      <c r="AB127" s="126">
        <f t="shared" si="21"/>
        <v>5.4374999999999923E-2</v>
      </c>
      <c r="AC127" s="126">
        <f t="shared" si="22"/>
        <v>4.3124999999999997E-2</v>
      </c>
      <c r="AD127" s="126">
        <f t="shared" si="23"/>
        <v>0</v>
      </c>
      <c r="AE127" s="125">
        <f t="shared" si="12"/>
        <v>1028.8615157891354</v>
      </c>
      <c r="AF127" s="125">
        <f t="shared" si="13"/>
        <v>1612.1673670729322</v>
      </c>
      <c r="AG127" s="125">
        <f t="shared" si="14"/>
        <v>1848.3972926837212</v>
      </c>
      <c r="AH127" s="128" t="str">
        <f t="shared" si="19"/>
        <v/>
      </c>
    </row>
    <row r="128" spans="27:34" x14ac:dyDescent="0.35">
      <c r="AA128" s="126">
        <f t="shared" si="20"/>
        <v>2.583000000000003E-2</v>
      </c>
      <c r="AB128" s="126">
        <f t="shared" si="21"/>
        <v>5.4809999999999921E-2</v>
      </c>
      <c r="AC128" s="126">
        <f t="shared" si="22"/>
        <v>4.3469999999999995E-2</v>
      </c>
      <c r="AD128" s="126">
        <f t="shared" si="23"/>
        <v>0</v>
      </c>
      <c r="AE128" s="125">
        <f t="shared" si="12"/>
        <v>1029.5790640935916</v>
      </c>
      <c r="AF128" s="125">
        <f t="shared" si="13"/>
        <v>1612.7112080430836</v>
      </c>
      <c r="AG128" s="125">
        <f t="shared" si="14"/>
        <v>1849.2074718481028</v>
      </c>
      <c r="AH128" s="128" t="str">
        <f t="shared" si="19"/>
        <v/>
      </c>
    </row>
    <row r="129" spans="27:34" x14ac:dyDescent="0.35">
      <c r="AA129" s="126">
        <f t="shared" si="20"/>
        <v>2.603500000000003E-2</v>
      </c>
      <c r="AB129" s="126">
        <f t="shared" si="21"/>
        <v>5.5244999999999919E-2</v>
      </c>
      <c r="AC129" s="126">
        <f t="shared" si="22"/>
        <v>4.3814999999999993E-2</v>
      </c>
      <c r="AD129" s="126">
        <f t="shared" si="23"/>
        <v>0</v>
      </c>
      <c r="AE129" s="125">
        <f t="shared" si="12"/>
        <v>1030.2966093903335</v>
      </c>
      <c r="AF129" s="125">
        <f t="shared" si="13"/>
        <v>1613.2550440559969</v>
      </c>
      <c r="AG129" s="125">
        <f t="shared" si="14"/>
        <v>1850.0176433764311</v>
      </c>
      <c r="AH129" s="128" t="str">
        <f t="shared" si="19"/>
        <v/>
      </c>
    </row>
    <row r="130" spans="27:34" x14ac:dyDescent="0.35">
      <c r="AA130" s="126">
        <f t="shared" si="20"/>
        <v>2.6240000000000031E-2</v>
      </c>
      <c r="AB130" s="126">
        <f t="shared" si="21"/>
        <v>5.5679999999999917E-2</v>
      </c>
      <c r="AC130" s="126">
        <f t="shared" si="22"/>
        <v>4.4159999999999991E-2</v>
      </c>
      <c r="AD130" s="126">
        <f t="shared" si="23"/>
        <v>0</v>
      </c>
      <c r="AE130" s="125">
        <f t="shared" ref="AE130:AE193" si="24">B$3 * AA130 * (B$9 + (1-B$9)/(POWER(1+POWER(B$3*ABS(AA130)/(B$8*B$4), B$7), 1/B$7)))</f>
        <v>1031.0141518881464</v>
      </c>
      <c r="AF130" s="125">
        <f t="shared" ref="AF130:AF193" si="25">C$3 * AB130 * (C$9 + (1-C$9)/(POWER(1+POWER(C$3*ABS(AB130)/(C$8*C$4), C$7), 1/C$7)))</f>
        <v>1613.7988754176993</v>
      </c>
      <c r="AG130" s="125">
        <f t="shared" ref="AG130:AG193" si="26">D$3 * AC130 * (D$9 + (1-D$9)/(POWER(1+POWER(D$3*ABS(AC130)/(D$8*D$4), D$7), 1/D$7)))</f>
        <v>1850.8278078124733</v>
      </c>
      <c r="AH130" s="128" t="str">
        <f t="shared" si="19"/>
        <v/>
      </c>
    </row>
    <row r="131" spans="27:34" x14ac:dyDescent="0.35">
      <c r="AA131" s="126">
        <f t="shared" ref="AA131:AA162" si="27">AA130+B$6/200</f>
        <v>2.6445000000000031E-2</v>
      </c>
      <c r="AB131" s="126">
        <f t="shared" ref="AB131:AB162" si="28">AB130+C$6/200</f>
        <v>5.6114999999999915E-2</v>
      </c>
      <c r="AC131" s="126">
        <f t="shared" ref="AC131:AC162" si="29">AC130+D$6/200</f>
        <v>4.4504999999999989E-2</v>
      </c>
      <c r="AD131" s="126">
        <f t="shared" ref="AD131:AD162" si="30">AD130+E$6/200</f>
        <v>0</v>
      </c>
      <c r="AE131" s="125">
        <f t="shared" si="24"/>
        <v>1031.7316917798544</v>
      </c>
      <c r="AF131" s="125">
        <f t="shared" si="25"/>
        <v>1614.3427024131422</v>
      </c>
      <c r="AG131" s="125">
        <f t="shared" si="26"/>
        <v>1851.6379656574538</v>
      </c>
      <c r="AH131" s="128" t="str">
        <f t="shared" ref="AH131:AH194" si="31">IF(AND(NOT(ISBLANK($E$3)), NOT(ISBLANK($E$4)), NOT(ISBLANK($E$5)), NOT(ISBLANK($E$6)), NOT(ISBLANK($E$7)), NOT(ISBLANK($E$8)), NOT(ISBLANK($E$9))), $E$3 * AD131 * ($E$9 + (1-$E$9)/(POWER(1+POWER($E$3*ABS(AD131)/($E$8*$E$4), $E$7), 1/$E$7))), "")</f>
        <v/>
      </c>
    </row>
    <row r="132" spans="27:34" x14ac:dyDescent="0.35">
      <c r="AA132" s="126">
        <f t="shared" si="27"/>
        <v>2.6650000000000031E-2</v>
      </c>
      <c r="AB132" s="126">
        <f t="shared" si="28"/>
        <v>5.6549999999999913E-2</v>
      </c>
      <c r="AC132" s="126">
        <f t="shared" si="29"/>
        <v>4.4849999999999987E-2</v>
      </c>
      <c r="AD132" s="126">
        <f t="shared" si="30"/>
        <v>0</v>
      </c>
      <c r="AE132" s="125">
        <f t="shared" si="24"/>
        <v>1032.4492292436471</v>
      </c>
      <c r="AF132" s="125">
        <f t="shared" si="25"/>
        <v>1614.8865253078045</v>
      </c>
      <c r="AG132" s="125">
        <f t="shared" si="26"/>
        <v>1852.4481173736815</v>
      </c>
      <c r="AH132" s="128" t="str">
        <f t="shared" si="31"/>
        <v/>
      </c>
    </row>
    <row r="133" spans="27:34" x14ac:dyDescent="0.35">
      <c r="AA133" s="126">
        <f t="shared" si="27"/>
        <v>2.6855000000000032E-2</v>
      </c>
      <c r="AB133" s="126">
        <f t="shared" si="28"/>
        <v>5.6984999999999911E-2</v>
      </c>
      <c r="AC133" s="126">
        <f t="shared" si="29"/>
        <v>4.5194999999999985E-2</v>
      </c>
      <c r="AD133" s="126">
        <f t="shared" si="30"/>
        <v>0</v>
      </c>
      <c r="AE133" s="125">
        <f t="shared" si="24"/>
        <v>1033.1667644442939</v>
      </c>
      <c r="AF133" s="125">
        <f t="shared" si="25"/>
        <v>1615.430344349156</v>
      </c>
      <c r="AG133" s="125">
        <f t="shared" si="26"/>
        <v>1853.2582633878351</v>
      </c>
      <c r="AH133" s="128" t="str">
        <f t="shared" si="31"/>
        <v/>
      </c>
    </row>
    <row r="134" spans="27:34" x14ac:dyDescent="0.35">
      <c r="AA134" s="126">
        <f t="shared" si="27"/>
        <v>2.7060000000000032E-2</v>
      </c>
      <c r="AB134" s="126">
        <f t="shared" si="28"/>
        <v>5.7419999999999909E-2</v>
      </c>
      <c r="AC134" s="126">
        <f t="shared" si="29"/>
        <v>4.5539999999999983E-2</v>
      </c>
      <c r="AD134" s="126">
        <f t="shared" si="30"/>
        <v>0</v>
      </c>
      <c r="AE134" s="125">
        <f t="shared" si="24"/>
        <v>1033.8842975342454</v>
      </c>
      <c r="AF134" s="125">
        <f t="shared" si="25"/>
        <v>1615.9741597680054</v>
      </c>
      <c r="AG134" s="125">
        <f t="shared" si="26"/>
        <v>1854.0684040939561</v>
      </c>
      <c r="AH134" s="128" t="str">
        <f t="shared" si="31"/>
        <v/>
      </c>
    </row>
    <row r="135" spans="27:34" x14ac:dyDescent="0.35">
      <c r="AA135" s="126">
        <f t="shared" si="27"/>
        <v>2.7265000000000032E-2</v>
      </c>
      <c r="AB135" s="126">
        <f t="shared" si="28"/>
        <v>5.7854999999999907E-2</v>
      </c>
      <c r="AC135" s="126">
        <f t="shared" si="29"/>
        <v>4.5884999999999981E-2</v>
      </c>
      <c r="AD135" s="126">
        <f t="shared" si="30"/>
        <v>0</v>
      </c>
      <c r="AE135" s="125">
        <f t="shared" si="24"/>
        <v>1034.6018286546384</v>
      </c>
      <c r="AF135" s="125">
        <f t="shared" si="25"/>
        <v>1616.5179717797339</v>
      </c>
      <c r="AG135" s="125">
        <f t="shared" si="26"/>
        <v>1854.878539856159</v>
      </c>
      <c r="AH135" s="128" t="str">
        <f t="shared" si="31"/>
        <v/>
      </c>
    </row>
    <row r="136" spans="27:34" x14ac:dyDescent="0.35">
      <c r="AA136" s="126">
        <f t="shared" si="27"/>
        <v>2.7470000000000033E-2</v>
      </c>
      <c r="AB136" s="126">
        <f t="shared" si="28"/>
        <v>5.8289999999999904E-2</v>
      </c>
      <c r="AC136" s="126">
        <f t="shared" si="29"/>
        <v>4.6229999999999979E-2</v>
      </c>
      <c r="AD136" s="126">
        <f t="shared" si="30"/>
        <v>0</v>
      </c>
      <c r="AE136" s="125">
        <f t="shared" si="24"/>
        <v>1035.3193579362126</v>
      </c>
      <c r="AF136" s="125">
        <f t="shared" si="25"/>
        <v>1617.0617805854386</v>
      </c>
      <c r="AG136" s="125">
        <f t="shared" si="26"/>
        <v>1855.6886710111146</v>
      </c>
      <c r="AH136" s="128" t="str">
        <f t="shared" si="31"/>
        <v/>
      </c>
    </row>
    <row r="137" spans="27:34" x14ac:dyDescent="0.35">
      <c r="AA137" s="126">
        <f t="shared" si="27"/>
        <v>2.7675000000000033E-2</v>
      </c>
      <c r="AB137" s="126">
        <f t="shared" si="28"/>
        <v>5.8724999999999902E-2</v>
      </c>
      <c r="AC137" s="126">
        <f t="shared" si="29"/>
        <v>4.6574999999999978E-2</v>
      </c>
      <c r="AD137" s="126">
        <f t="shared" si="30"/>
        <v>0</v>
      </c>
      <c r="AE137" s="125">
        <f t="shared" si="24"/>
        <v>1036.0368855001443</v>
      </c>
      <c r="AF137" s="125">
        <f t="shared" si="25"/>
        <v>1617.6055863729669</v>
      </c>
      <c r="AG137" s="125">
        <f t="shared" si="26"/>
        <v>1856.4987978702982</v>
      </c>
      <c r="AH137" s="128" t="str">
        <f t="shared" si="31"/>
        <v/>
      </c>
    </row>
    <row r="138" spans="27:34" x14ac:dyDescent="0.35">
      <c r="AA138" s="126">
        <f t="shared" si="27"/>
        <v>2.7880000000000033E-2</v>
      </c>
      <c r="AB138" s="126">
        <f t="shared" si="28"/>
        <v>5.91599999999999E-2</v>
      </c>
      <c r="AC138" s="126">
        <f t="shared" si="29"/>
        <v>4.6919999999999976E-2</v>
      </c>
      <c r="AD138" s="126">
        <f t="shared" si="30"/>
        <v>0</v>
      </c>
      <c r="AE138" s="125">
        <f t="shared" si="24"/>
        <v>1036.7544114588115</v>
      </c>
      <c r="AF138" s="125">
        <f t="shared" si="25"/>
        <v>1618.1493893178865</v>
      </c>
      <c r="AG138" s="125">
        <f t="shared" si="26"/>
        <v>1857.3089207220401</v>
      </c>
      <c r="AH138" s="128" t="str">
        <f t="shared" si="31"/>
        <v/>
      </c>
    </row>
    <row r="139" spans="27:34" x14ac:dyDescent="0.35">
      <c r="AA139" s="126">
        <f t="shared" si="27"/>
        <v>2.8085000000000034E-2</v>
      </c>
      <c r="AB139" s="126">
        <f t="shared" si="28"/>
        <v>5.9594999999999898E-2</v>
      </c>
      <c r="AC139" s="126">
        <f t="shared" si="29"/>
        <v>4.7264999999999974E-2</v>
      </c>
      <c r="AD139" s="126">
        <f t="shared" si="30"/>
        <v>0</v>
      </c>
      <c r="AE139" s="125">
        <f t="shared" si="24"/>
        <v>1037.4719359164903</v>
      </c>
      <c r="AF139" s="125">
        <f t="shared" si="25"/>
        <v>1618.6931895843682</v>
      </c>
      <c r="AG139" s="125">
        <f t="shared" si="26"/>
        <v>1858.1190398334008</v>
      </c>
      <c r="AH139" s="128" t="str">
        <f t="shared" si="31"/>
        <v/>
      </c>
    </row>
    <row r="140" spans="27:34" x14ac:dyDescent="0.35">
      <c r="AA140" s="126">
        <f t="shared" si="27"/>
        <v>2.8290000000000034E-2</v>
      </c>
      <c r="AB140" s="126">
        <f t="shared" si="28"/>
        <v>6.0029999999999896E-2</v>
      </c>
      <c r="AC140" s="126">
        <f t="shared" si="29"/>
        <v>4.7609999999999972E-2</v>
      </c>
      <c r="AD140" s="126">
        <f t="shared" si="30"/>
        <v>0</v>
      </c>
      <c r="AE140" s="125">
        <f t="shared" si="24"/>
        <v>1038.1894589699928</v>
      </c>
      <c r="AF140" s="125">
        <f t="shared" si="25"/>
        <v>1619.2369873259984</v>
      </c>
      <c r="AG140" s="125">
        <f t="shared" si="26"/>
        <v>1858.9291554518804</v>
      </c>
      <c r="AH140" s="128" t="str">
        <f t="shared" si="31"/>
        <v/>
      </c>
    </row>
    <row r="141" spans="27:34" x14ac:dyDescent="0.35">
      <c r="AA141" s="126">
        <f t="shared" si="27"/>
        <v>2.8495000000000034E-2</v>
      </c>
      <c r="AB141" s="126">
        <f t="shared" si="28"/>
        <v>6.0464999999999894E-2</v>
      </c>
      <c r="AC141" s="126">
        <f t="shared" si="29"/>
        <v>4.795499999999997E-2</v>
      </c>
      <c r="AD141" s="126">
        <f t="shared" si="30"/>
        <v>0</v>
      </c>
      <c r="AE141" s="125">
        <f t="shared" si="24"/>
        <v>1038.9069807092483</v>
      </c>
      <c r="AF141" s="125">
        <f t="shared" si="25"/>
        <v>1619.7807826865371</v>
      </c>
      <c r="AG141" s="125">
        <f t="shared" si="26"/>
        <v>1859.739267806975</v>
      </c>
      <c r="AH141" s="128" t="str">
        <f t="shared" si="31"/>
        <v/>
      </c>
    </row>
    <row r="142" spans="27:34" x14ac:dyDescent="0.35">
      <c r="AA142" s="126">
        <f t="shared" si="27"/>
        <v>2.8700000000000035E-2</v>
      </c>
      <c r="AB142" s="126">
        <f t="shared" si="28"/>
        <v>6.0899999999999892E-2</v>
      </c>
      <c r="AC142" s="126">
        <f t="shared" si="29"/>
        <v>4.8299999999999968E-2</v>
      </c>
      <c r="AD142" s="126">
        <f t="shared" si="30"/>
        <v>0</v>
      </c>
      <c r="AE142" s="125">
        <f t="shared" si="24"/>
        <v>1039.6245012178404</v>
      </c>
      <c r="AF142" s="125">
        <f t="shared" si="25"/>
        <v>1620.3245758006076</v>
      </c>
      <c r="AG142" s="125">
        <f t="shared" si="26"/>
        <v>1860.5493771116076</v>
      </c>
      <c r="AH142" s="128" t="str">
        <f t="shared" si="31"/>
        <v/>
      </c>
    </row>
    <row r="143" spans="27:34" x14ac:dyDescent="0.35">
      <c r="AA143" s="126">
        <f t="shared" si="27"/>
        <v>2.8905000000000035E-2</v>
      </c>
      <c r="AB143" s="126">
        <f t="shared" si="28"/>
        <v>6.133499999999989E-2</v>
      </c>
      <c r="AC143" s="126">
        <f t="shared" si="29"/>
        <v>4.8644999999999966E-2</v>
      </c>
      <c r="AD143" s="126">
        <f t="shared" si="30"/>
        <v>0</v>
      </c>
      <c r="AE143" s="125">
        <f t="shared" si="24"/>
        <v>1040.3420205734924</v>
      </c>
      <c r="AF143" s="125">
        <f t="shared" si="25"/>
        <v>1620.8683667943351</v>
      </c>
      <c r="AG143" s="125">
        <f t="shared" si="26"/>
        <v>1861.3594835634276</v>
      </c>
      <c r="AH143" s="128" t="str">
        <f t="shared" si="31"/>
        <v/>
      </c>
    </row>
    <row r="144" spans="27:34" x14ac:dyDescent="0.35">
      <c r="AA144" s="126">
        <f t="shared" si="27"/>
        <v>2.9110000000000035E-2</v>
      </c>
      <c r="AB144" s="126">
        <f t="shared" si="28"/>
        <v>6.1769999999999887E-2</v>
      </c>
      <c r="AC144" s="126">
        <f t="shared" si="29"/>
        <v>4.8989999999999964E-2</v>
      </c>
      <c r="AD144" s="126">
        <f t="shared" si="30"/>
        <v>0</v>
      </c>
      <c r="AE144" s="125">
        <f t="shared" si="24"/>
        <v>1041.0595388485169</v>
      </c>
      <c r="AF144" s="125">
        <f t="shared" si="25"/>
        <v>1621.4121557859426</v>
      </c>
      <c r="AG144" s="125">
        <f t="shared" si="26"/>
        <v>1862.1695873460071</v>
      </c>
      <c r="AH144" s="128" t="str">
        <f t="shared" si="31"/>
        <v/>
      </c>
    </row>
    <row r="145" spans="27:34" x14ac:dyDescent="0.35">
      <c r="AA145" s="126">
        <f t="shared" si="27"/>
        <v>2.9315000000000035E-2</v>
      </c>
      <c r="AB145" s="126">
        <f t="shared" si="28"/>
        <v>6.2204999999999885E-2</v>
      </c>
      <c r="AC145" s="126">
        <f t="shared" si="29"/>
        <v>4.9334999999999962E-2</v>
      </c>
      <c r="AD145" s="126">
        <f t="shared" si="30"/>
        <v>0</v>
      </c>
      <c r="AE145" s="125">
        <f t="shared" si="24"/>
        <v>1041.7770561102291</v>
      </c>
      <c r="AF145" s="125">
        <f t="shared" si="25"/>
        <v>1621.9559428862935</v>
      </c>
      <c r="AG145" s="125">
        <f t="shared" si="26"/>
        <v>1862.9796886299284</v>
      </c>
      <c r="AH145" s="128" t="str">
        <f t="shared" si="31"/>
        <v/>
      </c>
    </row>
    <row r="146" spans="27:34" x14ac:dyDescent="0.35">
      <c r="AA146" s="126">
        <f t="shared" si="27"/>
        <v>2.9520000000000036E-2</v>
      </c>
      <c r="AB146" s="126">
        <f t="shared" si="28"/>
        <v>6.263999999999989E-2</v>
      </c>
      <c r="AC146" s="126">
        <f t="shared" si="29"/>
        <v>4.967999999999996E-2</v>
      </c>
      <c r="AD146" s="126">
        <f t="shared" si="30"/>
        <v>0</v>
      </c>
      <c r="AE146" s="125">
        <f t="shared" si="24"/>
        <v>1042.4945724213214</v>
      </c>
      <c r="AF146" s="125">
        <f t="shared" si="25"/>
        <v>1622.4997281993994</v>
      </c>
      <c r="AG146" s="125">
        <f t="shared" si="26"/>
        <v>1863.7897875737922</v>
      </c>
      <c r="AH146" s="128" t="str">
        <f t="shared" si="31"/>
        <v/>
      </c>
    </row>
    <row r="147" spans="27:34" x14ac:dyDescent="0.35">
      <c r="AA147" s="126">
        <f t="shared" si="27"/>
        <v>2.9725000000000036E-2</v>
      </c>
      <c r="AB147" s="126">
        <f t="shared" si="28"/>
        <v>6.3074999999999895E-2</v>
      </c>
      <c r="AC147" s="126">
        <f t="shared" si="29"/>
        <v>5.0024999999999958E-2</v>
      </c>
      <c r="AD147" s="126">
        <f t="shared" si="30"/>
        <v>0</v>
      </c>
      <c r="AE147" s="125">
        <f t="shared" si="24"/>
        <v>1043.2120878402084</v>
      </c>
      <c r="AF147" s="125">
        <f t="shared" si="25"/>
        <v>1623.0435118228825</v>
      </c>
      <c r="AG147" s="125">
        <f t="shared" si="26"/>
        <v>1864.5998843251266</v>
      </c>
      <c r="AH147" s="128" t="str">
        <f t="shared" si="31"/>
        <v/>
      </c>
    </row>
    <row r="148" spans="27:34" x14ac:dyDescent="0.35">
      <c r="AA148" s="126">
        <f t="shared" si="27"/>
        <v>2.9930000000000036E-2</v>
      </c>
      <c r="AB148" s="126">
        <f t="shared" si="28"/>
        <v>6.35099999999999E-2</v>
      </c>
      <c r="AC148" s="126">
        <f t="shared" si="29"/>
        <v>5.0369999999999956E-2</v>
      </c>
      <c r="AD148" s="126">
        <f t="shared" si="30"/>
        <v>0</v>
      </c>
      <c r="AE148" s="125">
        <f t="shared" si="24"/>
        <v>1043.9296024213502</v>
      </c>
      <c r="AF148" s="125">
        <f t="shared" si="25"/>
        <v>1623.5872938484154</v>
      </c>
      <c r="AG148" s="125">
        <f t="shared" si="26"/>
        <v>1865.4099790212344</v>
      </c>
      <c r="AH148" s="128" t="str">
        <f t="shared" si="31"/>
        <v/>
      </c>
    </row>
    <row r="149" spans="27:34" x14ac:dyDescent="0.35">
      <c r="AA149" s="126">
        <f t="shared" si="27"/>
        <v>3.0135000000000037E-2</v>
      </c>
      <c r="AB149" s="126">
        <f t="shared" si="28"/>
        <v>6.3944999999999905E-2</v>
      </c>
      <c r="AC149" s="126">
        <f t="shared" si="29"/>
        <v>5.0714999999999955E-2</v>
      </c>
      <c r="AD149" s="126">
        <f t="shared" si="30"/>
        <v>0</v>
      </c>
      <c r="AE149" s="125">
        <f t="shared" si="24"/>
        <v>1044.6471162155406</v>
      </c>
      <c r="AF149" s="125">
        <f t="shared" si="25"/>
        <v>1624.1310743621159</v>
      </c>
      <c r="AG149" s="125">
        <f t="shared" si="26"/>
        <v>1866.2200717899636</v>
      </c>
      <c r="AH149" s="128" t="str">
        <f t="shared" si="31"/>
        <v/>
      </c>
    </row>
    <row r="150" spans="27:34" x14ac:dyDescent="0.35">
      <c r="AA150" s="126">
        <f t="shared" si="27"/>
        <v>3.0340000000000037E-2</v>
      </c>
      <c r="AB150" s="126">
        <f t="shared" si="28"/>
        <v>6.437999999999991E-2</v>
      </c>
      <c r="AC150" s="126">
        <f t="shared" si="29"/>
        <v>5.1059999999999953E-2</v>
      </c>
      <c r="AD150" s="126">
        <f t="shared" si="30"/>
        <v>0</v>
      </c>
      <c r="AE150" s="125">
        <f t="shared" si="24"/>
        <v>1045.3646292701781</v>
      </c>
      <c r="AF150" s="125">
        <f t="shared" si="25"/>
        <v>1624.6748534449175</v>
      </c>
      <c r="AG150" s="125">
        <f t="shared" si="26"/>
        <v>1867.0301627504159</v>
      </c>
      <c r="AH150" s="128" t="str">
        <f t="shared" si="31"/>
        <v/>
      </c>
    </row>
    <row r="151" spans="27:34" x14ac:dyDescent="0.35">
      <c r="AA151" s="126">
        <f t="shared" si="27"/>
        <v>3.0545000000000037E-2</v>
      </c>
      <c r="AB151" s="126">
        <f t="shared" si="28"/>
        <v>6.4814999999999914E-2</v>
      </c>
      <c r="AC151" s="126">
        <f t="shared" si="29"/>
        <v>5.1404999999999951E-2</v>
      </c>
      <c r="AD151" s="126">
        <f t="shared" si="30"/>
        <v>0</v>
      </c>
      <c r="AE151" s="125">
        <f t="shared" si="24"/>
        <v>1046.0821416295139</v>
      </c>
      <c r="AF151" s="125">
        <f t="shared" si="25"/>
        <v>1625.2186311729197</v>
      </c>
      <c r="AG151" s="125">
        <f t="shared" si="26"/>
        <v>1867.8402520136003</v>
      </c>
      <c r="AH151" s="128" t="str">
        <f t="shared" si="31"/>
        <v/>
      </c>
    </row>
    <row r="152" spans="27:34" x14ac:dyDescent="0.35">
      <c r="AA152" s="126">
        <f t="shared" si="27"/>
        <v>3.0750000000000038E-2</v>
      </c>
      <c r="AB152" s="126">
        <f t="shared" si="28"/>
        <v>6.5249999999999919E-2</v>
      </c>
      <c r="AC152" s="126">
        <f t="shared" si="29"/>
        <v>5.1749999999999949E-2</v>
      </c>
      <c r="AD152" s="126">
        <f t="shared" si="30"/>
        <v>0</v>
      </c>
      <c r="AE152" s="125">
        <f t="shared" si="24"/>
        <v>1046.7996533348796</v>
      </c>
      <c r="AF152" s="125">
        <f t="shared" si="25"/>
        <v>1625.7624076176987</v>
      </c>
      <c r="AG152" s="125">
        <f t="shared" si="26"/>
        <v>1868.6503396830296</v>
      </c>
      <c r="AH152" s="128" t="str">
        <f t="shared" si="31"/>
        <v/>
      </c>
    </row>
    <row r="153" spans="27:34" x14ac:dyDescent="0.35">
      <c r="AA153" s="126">
        <f t="shared" si="27"/>
        <v>3.0955000000000038E-2</v>
      </c>
      <c r="AB153" s="126">
        <f t="shared" si="28"/>
        <v>6.5684999999999924E-2</v>
      </c>
      <c r="AC153" s="126">
        <f t="shared" si="29"/>
        <v>5.2094999999999947E-2</v>
      </c>
      <c r="AD153" s="126">
        <f t="shared" si="30"/>
        <v>0</v>
      </c>
      <c r="AE153" s="125">
        <f t="shared" si="24"/>
        <v>1047.5171644248974</v>
      </c>
      <c r="AF153" s="125">
        <f t="shared" si="25"/>
        <v>1626.3061828466095</v>
      </c>
      <c r="AG153" s="125">
        <f t="shared" si="26"/>
        <v>1869.4604258552745</v>
      </c>
      <c r="AH153" s="128" t="str">
        <f t="shared" si="31"/>
        <v/>
      </c>
    </row>
    <row r="154" spans="27:34" x14ac:dyDescent="0.35">
      <c r="AA154" s="126">
        <f t="shared" si="27"/>
        <v>3.1160000000000038E-2</v>
      </c>
      <c r="AB154" s="126">
        <f t="shared" si="28"/>
        <v>6.6119999999999929E-2</v>
      </c>
      <c r="AC154" s="126">
        <f t="shared" si="29"/>
        <v>5.2439999999999945E-2</v>
      </c>
      <c r="AD154" s="126">
        <f t="shared" si="30"/>
        <v>0</v>
      </c>
      <c r="AE154" s="125">
        <f t="shared" si="24"/>
        <v>1048.2346749356748</v>
      </c>
      <c r="AF154" s="125">
        <f t="shared" si="25"/>
        <v>1626.8499569230598</v>
      </c>
      <c r="AG154" s="125">
        <f t="shared" si="26"/>
        <v>1870.2705106204701</v>
      </c>
      <c r="AH154" s="128" t="str">
        <f t="shared" si="31"/>
        <v/>
      </c>
    </row>
    <row r="155" spans="27:34" x14ac:dyDescent="0.35">
      <c r="AA155" s="126">
        <f t="shared" si="27"/>
        <v>3.1365000000000039E-2</v>
      </c>
      <c r="AB155" s="126">
        <f t="shared" si="28"/>
        <v>6.6554999999999934E-2</v>
      </c>
      <c r="AC155" s="126">
        <f t="shared" si="29"/>
        <v>5.2784999999999943E-2</v>
      </c>
      <c r="AD155" s="126">
        <f t="shared" si="30"/>
        <v>0</v>
      </c>
      <c r="AE155" s="125">
        <f t="shared" si="24"/>
        <v>1048.9521849009823</v>
      </c>
      <c r="AF155" s="125">
        <f t="shared" si="25"/>
        <v>1627.3937299067641</v>
      </c>
      <c r="AG155" s="125">
        <f t="shared" si="26"/>
        <v>1871.0805940627818</v>
      </c>
      <c r="AH155" s="128" t="str">
        <f t="shared" si="31"/>
        <v/>
      </c>
    </row>
    <row r="156" spans="27:34" x14ac:dyDescent="0.35">
      <c r="AA156" s="126">
        <f t="shared" si="27"/>
        <v>3.1570000000000036E-2</v>
      </c>
      <c r="AB156" s="126">
        <f t="shared" si="28"/>
        <v>6.6989999999999938E-2</v>
      </c>
      <c r="AC156" s="126">
        <f t="shared" si="29"/>
        <v>5.3129999999999941E-2</v>
      </c>
      <c r="AD156" s="126">
        <f t="shared" si="30"/>
        <v>0</v>
      </c>
      <c r="AE156" s="125">
        <f t="shared" si="24"/>
        <v>1049.6696943524198</v>
      </c>
      <c r="AF156" s="125">
        <f t="shared" si="25"/>
        <v>1627.9375018539799</v>
      </c>
      <c r="AG156" s="125">
        <f t="shared" si="26"/>
        <v>1871.8906762608383</v>
      </c>
      <c r="AH156" s="128" t="str">
        <f t="shared" si="31"/>
        <v/>
      </c>
    </row>
    <row r="157" spans="27:34" x14ac:dyDescent="0.35">
      <c r="AA157" s="126">
        <f t="shared" si="27"/>
        <v>3.1775000000000032E-2</v>
      </c>
      <c r="AB157" s="126">
        <f t="shared" si="28"/>
        <v>6.7424999999999943E-2</v>
      </c>
      <c r="AC157" s="126">
        <f t="shared" si="29"/>
        <v>5.3474999999999939E-2</v>
      </c>
      <c r="AD157" s="126">
        <f t="shared" si="30"/>
        <v>0</v>
      </c>
      <c r="AE157" s="125">
        <f t="shared" si="24"/>
        <v>1050.3872033195676</v>
      </c>
      <c r="AF157" s="125">
        <f t="shared" si="25"/>
        <v>1628.4812728177296</v>
      </c>
      <c r="AG157" s="125">
        <f t="shared" si="26"/>
        <v>1872.7007572881271</v>
      </c>
      <c r="AH157" s="128" t="str">
        <f t="shared" si="31"/>
        <v/>
      </c>
    </row>
    <row r="158" spans="27:34" x14ac:dyDescent="0.35">
      <c r="AA158" s="126">
        <f t="shared" si="27"/>
        <v>3.1980000000000029E-2</v>
      </c>
      <c r="AB158" s="126">
        <f t="shared" si="28"/>
        <v>6.7859999999999948E-2</v>
      </c>
      <c r="AC158" s="126">
        <f t="shared" si="29"/>
        <v>5.3819999999999937E-2</v>
      </c>
      <c r="AD158" s="126">
        <f t="shared" si="30"/>
        <v>0</v>
      </c>
      <c r="AE158" s="125">
        <f t="shared" si="24"/>
        <v>1051.1047118301281</v>
      </c>
      <c r="AF158" s="125">
        <f t="shared" si="25"/>
        <v>1629.0250428480067</v>
      </c>
      <c r="AG158" s="125">
        <f t="shared" si="26"/>
        <v>1873.5108372133616</v>
      </c>
      <c r="AH158" s="128" t="str">
        <f t="shared" si="31"/>
        <v/>
      </c>
    </row>
    <row r="159" spans="27:34" x14ac:dyDescent="0.35">
      <c r="AA159" s="126">
        <f t="shared" si="27"/>
        <v>3.2185000000000026E-2</v>
      </c>
      <c r="AB159" s="126">
        <f t="shared" si="28"/>
        <v>6.8294999999999953E-2</v>
      </c>
      <c r="AC159" s="126">
        <f t="shared" si="29"/>
        <v>5.4164999999999935E-2</v>
      </c>
      <c r="AD159" s="126">
        <f t="shared" si="30"/>
        <v>0</v>
      </c>
      <c r="AE159" s="125">
        <f t="shared" si="24"/>
        <v>1051.8222199100564</v>
      </c>
      <c r="AF159" s="125">
        <f t="shared" si="25"/>
        <v>1629.5688119919678</v>
      </c>
      <c r="AG159" s="125">
        <f t="shared" si="26"/>
        <v>1874.3209161008169</v>
      </c>
      <c r="AH159" s="128" t="str">
        <f t="shared" si="31"/>
        <v/>
      </c>
    </row>
    <row r="160" spans="27:34" x14ac:dyDescent="0.35">
      <c r="AA160" s="126">
        <f t="shared" si="27"/>
        <v>3.2390000000000023E-2</v>
      </c>
      <c r="AB160" s="126">
        <f t="shared" si="28"/>
        <v>6.8729999999999958E-2</v>
      </c>
      <c r="AC160" s="126">
        <f t="shared" si="29"/>
        <v>5.4509999999999934E-2</v>
      </c>
      <c r="AD160" s="126">
        <f t="shared" si="30"/>
        <v>0</v>
      </c>
      <c r="AE160" s="125">
        <f t="shared" si="24"/>
        <v>1052.5397275836804</v>
      </c>
      <c r="AF160" s="125">
        <f t="shared" si="25"/>
        <v>1630.1125802941051</v>
      </c>
      <c r="AG160" s="125">
        <f t="shared" si="26"/>
        <v>1875.1309940106466</v>
      </c>
      <c r="AH160" s="128" t="str">
        <f t="shared" si="31"/>
        <v/>
      </c>
    </row>
    <row r="161" spans="27:34" x14ac:dyDescent="0.35">
      <c r="AA161" s="126">
        <f t="shared" si="27"/>
        <v>3.259500000000002E-2</v>
      </c>
      <c r="AB161" s="126">
        <f t="shared" si="28"/>
        <v>6.9164999999999963E-2</v>
      </c>
      <c r="AC161" s="126">
        <f t="shared" si="29"/>
        <v>5.4854999999999932E-2</v>
      </c>
      <c r="AD161" s="126">
        <f t="shared" si="30"/>
        <v>0</v>
      </c>
      <c r="AE161" s="125">
        <f t="shared" si="24"/>
        <v>1053.2572348738111</v>
      </c>
      <c r="AF161" s="125">
        <f t="shared" si="25"/>
        <v>1630.6563477964178</v>
      </c>
      <c r="AG161" s="125">
        <f t="shared" si="26"/>
        <v>1875.9410709991671</v>
      </c>
      <c r="AH161" s="128" t="str">
        <f t="shared" si="31"/>
        <v/>
      </c>
    </row>
    <row r="162" spans="27:34" x14ac:dyDescent="0.35">
      <c r="AA162" s="126">
        <f t="shared" si="27"/>
        <v>3.2800000000000017E-2</v>
      </c>
      <c r="AB162" s="126">
        <f t="shared" si="28"/>
        <v>6.9599999999999967E-2</v>
      </c>
      <c r="AC162" s="126">
        <f t="shared" si="29"/>
        <v>5.519999999999993E-2</v>
      </c>
      <c r="AD162" s="126">
        <f t="shared" si="30"/>
        <v>0</v>
      </c>
      <c r="AE162" s="125">
        <f t="shared" si="24"/>
        <v>1053.9747418018474</v>
      </c>
      <c r="AF162" s="125">
        <f t="shared" si="25"/>
        <v>1631.2001145385641</v>
      </c>
      <c r="AG162" s="125">
        <f t="shared" si="26"/>
        <v>1876.7511471191258</v>
      </c>
      <c r="AH162" s="128" t="str">
        <f t="shared" si="31"/>
        <v/>
      </c>
    </row>
    <row r="163" spans="27:34" x14ac:dyDescent="0.35">
      <c r="AA163" s="126">
        <f t="shared" ref="AA163:AA194" si="32">AA162+B$6/200</f>
        <v>3.3005000000000013E-2</v>
      </c>
      <c r="AB163" s="126">
        <f t="shared" ref="AB163:AB194" si="33">AB162+C$6/200</f>
        <v>7.0034999999999972E-2</v>
      </c>
      <c r="AC163" s="126">
        <f t="shared" ref="AC163:AC194" si="34">AC162+D$6/200</f>
        <v>5.5544999999999928E-2</v>
      </c>
      <c r="AD163" s="126">
        <f t="shared" ref="AD163:AD194" si="35">AD162+E$6/200</f>
        <v>0</v>
      </c>
      <c r="AE163" s="125">
        <f t="shared" si="24"/>
        <v>1054.6922483878716</v>
      </c>
      <c r="AF163" s="125">
        <f t="shared" si="25"/>
        <v>1631.7438805580057</v>
      </c>
      <c r="AG163" s="125">
        <f t="shared" si="26"/>
        <v>1877.561222419946</v>
      </c>
      <c r="AH163" s="128" t="str">
        <f t="shared" si="31"/>
        <v/>
      </c>
    </row>
    <row r="164" spans="27:34" x14ac:dyDescent="0.35">
      <c r="AA164" s="126">
        <f t="shared" si="32"/>
        <v>3.321000000000001E-2</v>
      </c>
      <c r="AB164" s="126">
        <f t="shared" si="33"/>
        <v>7.0469999999999977E-2</v>
      </c>
      <c r="AC164" s="126">
        <f t="shared" si="34"/>
        <v>5.5889999999999926E-2</v>
      </c>
      <c r="AD164" s="126">
        <f t="shared" si="35"/>
        <v>0</v>
      </c>
      <c r="AE164" s="125">
        <f t="shared" si="24"/>
        <v>1055.4097546507364</v>
      </c>
      <c r="AF164" s="125">
        <f t="shared" si="25"/>
        <v>1632.2876458901389</v>
      </c>
      <c r="AG164" s="125">
        <f t="shared" si="26"/>
        <v>1878.3712969479595</v>
      </c>
      <c r="AH164" s="128" t="str">
        <f t="shared" si="31"/>
        <v/>
      </c>
    </row>
    <row r="165" spans="27:34" x14ac:dyDescent="0.35">
      <c r="AA165" s="126">
        <f t="shared" si="32"/>
        <v>3.3415000000000007E-2</v>
      </c>
      <c r="AB165" s="126">
        <f t="shared" si="33"/>
        <v>7.0904999999999982E-2</v>
      </c>
      <c r="AC165" s="126">
        <f t="shared" si="34"/>
        <v>5.6234999999999924E-2</v>
      </c>
      <c r="AD165" s="126">
        <f t="shared" si="35"/>
        <v>0</v>
      </c>
      <c r="AE165" s="125">
        <f t="shared" si="24"/>
        <v>1056.1272606081482</v>
      </c>
      <c r="AF165" s="125">
        <f t="shared" si="25"/>
        <v>1632.8314105684287</v>
      </c>
      <c r="AG165" s="125">
        <f t="shared" si="26"/>
        <v>1879.1813707466119</v>
      </c>
      <c r="AH165" s="128" t="str">
        <f t="shared" si="31"/>
        <v/>
      </c>
    </row>
    <row r="166" spans="27:34" x14ac:dyDescent="0.35">
      <c r="AA166" s="126">
        <f t="shared" si="32"/>
        <v>3.3620000000000004E-2</v>
      </c>
      <c r="AB166" s="126">
        <f t="shared" si="33"/>
        <v>7.1339999999999987E-2</v>
      </c>
      <c r="AC166" s="126">
        <f t="shared" si="34"/>
        <v>5.6579999999999922E-2</v>
      </c>
      <c r="AD166" s="126">
        <f t="shared" si="35"/>
        <v>0</v>
      </c>
      <c r="AE166" s="125">
        <f t="shared" si="24"/>
        <v>1056.8447662767437</v>
      </c>
      <c r="AF166" s="125">
        <f t="shared" si="25"/>
        <v>1633.3751746245148</v>
      </c>
      <c r="AG166" s="125">
        <f t="shared" si="26"/>
        <v>1879.9914438566627</v>
      </c>
      <c r="AH166" s="128" t="str">
        <f t="shared" si="31"/>
        <v/>
      </c>
    </row>
    <row r="167" spans="27:34" x14ac:dyDescent="0.35">
      <c r="AA167" s="126">
        <f t="shared" si="32"/>
        <v>3.3825000000000001E-2</v>
      </c>
      <c r="AB167" s="126">
        <f t="shared" si="33"/>
        <v>7.1774999999999992E-2</v>
      </c>
      <c r="AC167" s="126">
        <f t="shared" si="34"/>
        <v>5.692499999999992E-2</v>
      </c>
      <c r="AD167" s="126">
        <f t="shared" si="35"/>
        <v>0</v>
      </c>
      <c r="AE167" s="125">
        <f t="shared" si="24"/>
        <v>1057.5622716721593</v>
      </c>
      <c r="AF167" s="125">
        <f t="shared" si="25"/>
        <v>1633.9189380883263</v>
      </c>
      <c r="AG167" s="125">
        <f t="shared" si="26"/>
        <v>1880.8015163163634</v>
      </c>
      <c r="AH167" s="128" t="str">
        <f t="shared" si="31"/>
        <v/>
      </c>
    </row>
    <row r="168" spans="27:34" x14ac:dyDescent="0.35">
      <c r="AA168" s="126">
        <f t="shared" si="32"/>
        <v>3.4029999999999998E-2</v>
      </c>
      <c r="AB168" s="126">
        <f t="shared" si="33"/>
        <v>7.2209999999999996E-2</v>
      </c>
      <c r="AC168" s="126">
        <f t="shared" si="34"/>
        <v>5.7269999999999918E-2</v>
      </c>
      <c r="AD168" s="126">
        <f t="shared" si="35"/>
        <v>0</v>
      </c>
      <c r="AE168" s="125">
        <f t="shared" si="24"/>
        <v>1058.2797768090977</v>
      </c>
      <c r="AF168" s="125">
        <f t="shared" si="25"/>
        <v>1634.462700988187</v>
      </c>
      <c r="AG168" s="125">
        <f t="shared" si="26"/>
        <v>1881.6115881616302</v>
      </c>
      <c r="AH168" s="128" t="str">
        <f t="shared" si="31"/>
        <v/>
      </c>
    </row>
    <row r="169" spans="27:34" x14ac:dyDescent="0.35">
      <c r="AA169" s="126">
        <f t="shared" si="32"/>
        <v>3.4234999999999995E-2</v>
      </c>
      <c r="AB169" s="126">
        <f t="shared" si="33"/>
        <v>7.2645000000000001E-2</v>
      </c>
      <c r="AC169" s="126">
        <f t="shared" si="34"/>
        <v>5.7614999999999916E-2</v>
      </c>
      <c r="AD169" s="126">
        <f t="shared" si="35"/>
        <v>0</v>
      </c>
      <c r="AE169" s="125">
        <f t="shared" si="24"/>
        <v>1058.9972817013886</v>
      </c>
      <c r="AF169" s="125">
        <f t="shared" si="25"/>
        <v>1635.0064633509044</v>
      </c>
      <c r="AG169" s="125">
        <f t="shared" si="26"/>
        <v>1882.4216594261923</v>
      </c>
      <c r="AH169" s="128" t="str">
        <f t="shared" si="31"/>
        <v/>
      </c>
    </row>
    <row r="170" spans="27:34" x14ac:dyDescent="0.35">
      <c r="AA170" s="126">
        <f t="shared" si="32"/>
        <v>3.4439999999999991E-2</v>
      </c>
      <c r="AB170" s="126">
        <f t="shared" si="33"/>
        <v>7.3080000000000006E-2</v>
      </c>
      <c r="AC170" s="126">
        <f t="shared" si="34"/>
        <v>5.7959999999999914E-2</v>
      </c>
      <c r="AD170" s="126">
        <f t="shared" si="35"/>
        <v>0</v>
      </c>
      <c r="AE170" s="125">
        <f t="shared" si="24"/>
        <v>1059.7147863620442</v>
      </c>
      <c r="AF170" s="125">
        <f t="shared" si="25"/>
        <v>1635.5502252018628</v>
      </c>
      <c r="AG170" s="125">
        <f t="shared" si="26"/>
        <v>1883.2317301417443</v>
      </c>
      <c r="AH170" s="128" t="str">
        <f t="shared" si="31"/>
        <v/>
      </c>
    </row>
    <row r="171" spans="27:34" x14ac:dyDescent="0.35">
      <c r="AA171" s="126">
        <f t="shared" si="32"/>
        <v>3.4644999999999988E-2</v>
      </c>
      <c r="AB171" s="126">
        <f t="shared" si="33"/>
        <v>7.3515000000000011E-2</v>
      </c>
      <c r="AC171" s="126">
        <f t="shared" si="34"/>
        <v>5.8304999999999912E-2</v>
      </c>
      <c r="AD171" s="126">
        <f t="shared" si="35"/>
        <v>0</v>
      </c>
      <c r="AE171" s="125">
        <f t="shared" si="24"/>
        <v>1060.4322908033148</v>
      </c>
      <c r="AF171" s="125">
        <f t="shared" si="25"/>
        <v>1636.0939865651055</v>
      </c>
      <c r="AG171" s="125">
        <f t="shared" si="26"/>
        <v>1884.0418003380757</v>
      </c>
      <c r="AH171" s="128" t="str">
        <f t="shared" si="31"/>
        <v/>
      </c>
    </row>
    <row r="172" spans="27:34" x14ac:dyDescent="0.35">
      <c r="AA172" s="126">
        <f t="shared" si="32"/>
        <v>3.4849999999999985E-2</v>
      </c>
      <c r="AB172" s="126">
        <f t="shared" si="33"/>
        <v>7.3950000000000016E-2</v>
      </c>
      <c r="AC172" s="126">
        <f t="shared" si="34"/>
        <v>5.8649999999999911E-2</v>
      </c>
      <c r="AD172" s="126">
        <f t="shared" si="35"/>
        <v>0</v>
      </c>
      <c r="AE172" s="125">
        <f t="shared" si="24"/>
        <v>1061.149795036735</v>
      </c>
      <c r="AF172" s="125">
        <f t="shared" si="25"/>
        <v>1636.6377474634146</v>
      </c>
      <c r="AG172" s="125">
        <f t="shared" si="26"/>
        <v>1884.8518700431973</v>
      </c>
      <c r="AH172" s="128" t="str">
        <f t="shared" si="31"/>
        <v/>
      </c>
    </row>
    <row r="173" spans="27:34" x14ac:dyDescent="0.35">
      <c r="AA173" s="126">
        <f t="shared" si="32"/>
        <v>3.5054999999999982E-2</v>
      </c>
      <c r="AB173" s="126">
        <f t="shared" si="33"/>
        <v>7.4385000000000021E-2</v>
      </c>
      <c r="AC173" s="126">
        <f t="shared" si="34"/>
        <v>5.8994999999999909E-2</v>
      </c>
      <c r="AD173" s="126">
        <f t="shared" si="35"/>
        <v>0</v>
      </c>
      <c r="AE173" s="125">
        <f t="shared" si="24"/>
        <v>1061.8672990731695</v>
      </c>
      <c r="AF173" s="125">
        <f t="shared" si="25"/>
        <v>1637.1815079183821</v>
      </c>
      <c r="AG173" s="125">
        <f t="shared" si="26"/>
        <v>1885.6619392834582</v>
      </c>
      <c r="AH173" s="128" t="str">
        <f t="shared" si="31"/>
        <v/>
      </c>
    </row>
    <row r="174" spans="27:34" x14ac:dyDescent="0.35">
      <c r="AA174" s="126">
        <f t="shared" si="32"/>
        <v>3.5259999999999979E-2</v>
      </c>
      <c r="AB174" s="126">
        <f t="shared" si="33"/>
        <v>7.4820000000000025E-2</v>
      </c>
      <c r="AC174" s="126">
        <f t="shared" si="34"/>
        <v>5.9339999999999907E-2</v>
      </c>
      <c r="AD174" s="126">
        <f t="shared" si="35"/>
        <v>0</v>
      </c>
      <c r="AE174" s="125">
        <f t="shared" si="24"/>
        <v>1062.5848029228569</v>
      </c>
      <c r="AF174" s="125">
        <f t="shared" si="25"/>
        <v>1637.7252679504784</v>
      </c>
      <c r="AG174" s="125">
        <f t="shared" si="26"/>
        <v>1886.4720080836478</v>
      </c>
      <c r="AH174" s="128" t="str">
        <f t="shared" si="31"/>
        <v/>
      </c>
    </row>
    <row r="175" spans="27:34" x14ac:dyDescent="0.35">
      <c r="AA175" s="126">
        <f t="shared" si="32"/>
        <v>3.5464999999999976E-2</v>
      </c>
      <c r="AB175" s="126">
        <f t="shared" si="33"/>
        <v>7.525500000000003E-2</v>
      </c>
      <c r="AC175" s="126">
        <f t="shared" si="34"/>
        <v>5.9684999999999905E-2</v>
      </c>
      <c r="AD175" s="126">
        <f t="shared" si="35"/>
        <v>0</v>
      </c>
      <c r="AE175" s="125">
        <f t="shared" si="24"/>
        <v>1063.302306595449</v>
      </c>
      <c r="AF175" s="125">
        <f t="shared" si="25"/>
        <v>1638.2690275791203</v>
      </c>
      <c r="AG175" s="125">
        <f t="shared" si="26"/>
        <v>1887.2820764671044</v>
      </c>
      <c r="AH175" s="128" t="str">
        <f t="shared" si="31"/>
        <v/>
      </c>
    </row>
    <row r="176" spans="27:34" x14ac:dyDescent="0.35">
      <c r="AA176" s="126">
        <f t="shared" si="32"/>
        <v>3.5669999999999973E-2</v>
      </c>
      <c r="AB176" s="126">
        <f t="shared" si="33"/>
        <v>7.5690000000000035E-2</v>
      </c>
      <c r="AC176" s="126">
        <f t="shared" si="34"/>
        <v>6.0029999999999903E-2</v>
      </c>
      <c r="AD176" s="126">
        <f t="shared" si="35"/>
        <v>0</v>
      </c>
      <c r="AE176" s="125">
        <f t="shared" si="24"/>
        <v>1064.0198101000458</v>
      </c>
      <c r="AF176" s="125">
        <f t="shared" si="25"/>
        <v>1638.8127868227245</v>
      </c>
      <c r="AG176" s="125">
        <f t="shared" si="26"/>
        <v>1888.0921444558019</v>
      </c>
      <c r="AH176" s="128" t="str">
        <f t="shared" si="31"/>
        <v/>
      </c>
    </row>
    <row r="177" spans="27:34" x14ac:dyDescent="0.35">
      <c r="AA177" s="126">
        <f t="shared" si="32"/>
        <v>3.5874999999999969E-2</v>
      </c>
      <c r="AB177" s="126">
        <f t="shared" si="33"/>
        <v>7.612500000000004E-2</v>
      </c>
      <c r="AC177" s="126">
        <f t="shared" si="34"/>
        <v>6.0374999999999901E-2</v>
      </c>
      <c r="AD177" s="126">
        <f t="shared" si="35"/>
        <v>0</v>
      </c>
      <c r="AE177" s="125">
        <f t="shared" si="24"/>
        <v>1064.737313445233</v>
      </c>
      <c r="AF177" s="125">
        <f t="shared" si="25"/>
        <v>1639.3565456987706</v>
      </c>
      <c r="AG177" s="125">
        <f t="shared" si="26"/>
        <v>1888.9022120704396</v>
      </c>
      <c r="AH177" s="128" t="str">
        <f t="shared" si="31"/>
        <v/>
      </c>
    </row>
    <row r="178" spans="27:34" x14ac:dyDescent="0.35">
      <c r="AA178" s="126">
        <f t="shared" si="32"/>
        <v>3.6079999999999966E-2</v>
      </c>
      <c r="AB178" s="126">
        <f t="shared" si="33"/>
        <v>7.6560000000000045E-2</v>
      </c>
      <c r="AC178" s="126">
        <f t="shared" si="34"/>
        <v>6.0719999999999899E-2</v>
      </c>
      <c r="AD178" s="126">
        <f t="shared" si="35"/>
        <v>0</v>
      </c>
      <c r="AE178" s="125">
        <f t="shared" si="24"/>
        <v>1065.45481663911</v>
      </c>
      <c r="AF178" s="125">
        <f t="shared" si="25"/>
        <v>1639.9003042238494</v>
      </c>
      <c r="AG178" s="125">
        <f t="shared" si="26"/>
        <v>1889.7122793305218</v>
      </c>
      <c r="AH178" s="128" t="str">
        <f t="shared" si="31"/>
        <v/>
      </c>
    </row>
    <row r="179" spans="27:34" x14ac:dyDescent="0.35">
      <c r="AA179" s="126">
        <f t="shared" si="32"/>
        <v>3.6284999999999963E-2</v>
      </c>
      <c r="AB179" s="126">
        <f t="shared" si="33"/>
        <v>7.699500000000005E-2</v>
      </c>
      <c r="AC179" s="126">
        <f t="shared" si="34"/>
        <v>6.1064999999999897E-2</v>
      </c>
      <c r="AD179" s="126">
        <f t="shared" si="35"/>
        <v>0</v>
      </c>
      <c r="AE179" s="125">
        <f t="shared" si="24"/>
        <v>1066.1723196893238</v>
      </c>
      <c r="AF179" s="125">
        <f t="shared" si="25"/>
        <v>1640.4440624137185</v>
      </c>
      <c r="AG179" s="125">
        <f t="shared" si="26"/>
        <v>1890.522346254432</v>
      </c>
      <c r="AH179" s="128" t="str">
        <f t="shared" si="31"/>
        <v/>
      </c>
    </row>
    <row r="180" spans="27:34" x14ac:dyDescent="0.35">
      <c r="AA180" s="126">
        <f t="shared" si="32"/>
        <v>3.648999999999996E-2</v>
      </c>
      <c r="AB180" s="126">
        <f t="shared" si="33"/>
        <v>7.7430000000000054E-2</v>
      </c>
      <c r="AC180" s="126">
        <f t="shared" si="34"/>
        <v>6.1409999999999895E-2</v>
      </c>
      <c r="AD180" s="126">
        <f t="shared" si="35"/>
        <v>0</v>
      </c>
      <c r="AE180" s="125">
        <f t="shared" si="24"/>
        <v>1066.8898226030933</v>
      </c>
      <c r="AF180" s="125">
        <f t="shared" si="25"/>
        <v>1640.9878202833393</v>
      </c>
      <c r="AG180" s="125">
        <f t="shared" si="26"/>
        <v>1891.3324128595063</v>
      </c>
      <c r="AH180" s="128" t="str">
        <f t="shared" si="31"/>
        <v/>
      </c>
    </row>
    <row r="181" spans="27:34" x14ac:dyDescent="0.35">
      <c r="AA181" s="126">
        <f t="shared" si="32"/>
        <v>3.6694999999999957E-2</v>
      </c>
      <c r="AB181" s="126">
        <f t="shared" si="33"/>
        <v>7.7865000000000059E-2</v>
      </c>
      <c r="AC181" s="126">
        <f t="shared" si="34"/>
        <v>6.1754999999999893E-2</v>
      </c>
      <c r="AD181" s="126">
        <f t="shared" si="35"/>
        <v>0</v>
      </c>
      <c r="AE181" s="125">
        <f t="shared" si="24"/>
        <v>1067.6073253872387</v>
      </c>
      <c r="AF181" s="125">
        <f t="shared" si="25"/>
        <v>1641.5315778469301</v>
      </c>
      <c r="AG181" s="125">
        <f t="shared" si="26"/>
        <v>1892.142479162095</v>
      </c>
      <c r="AH181" s="128" t="str">
        <f t="shared" si="31"/>
        <v/>
      </c>
    </row>
    <row r="182" spans="27:34" x14ac:dyDescent="0.35">
      <c r="AA182" s="126">
        <f t="shared" si="32"/>
        <v>3.6899999999999954E-2</v>
      </c>
      <c r="AB182" s="126">
        <f t="shared" si="33"/>
        <v>7.8300000000000064E-2</v>
      </c>
      <c r="AC182" s="126">
        <f t="shared" si="34"/>
        <v>6.2099999999999891E-2</v>
      </c>
      <c r="AD182" s="126">
        <f t="shared" si="35"/>
        <v>0</v>
      </c>
      <c r="AE182" s="125">
        <f t="shared" si="24"/>
        <v>1068.3248280482035</v>
      </c>
      <c r="AF182" s="125">
        <f t="shared" si="25"/>
        <v>1642.0753351180026</v>
      </c>
      <c r="AG182" s="125">
        <f t="shared" si="26"/>
        <v>1892.9525451776278</v>
      </c>
      <c r="AH182" s="128" t="str">
        <f t="shared" si="31"/>
        <v/>
      </c>
    </row>
    <row r="183" spans="27:34" x14ac:dyDescent="0.35">
      <c r="AA183" s="126">
        <f t="shared" si="32"/>
        <v>3.7104999999999951E-2</v>
      </c>
      <c r="AB183" s="126">
        <f t="shared" si="33"/>
        <v>7.8735000000000069E-2</v>
      </c>
      <c r="AC183" s="126">
        <f t="shared" si="34"/>
        <v>6.2444999999999889E-2</v>
      </c>
      <c r="AD183" s="126">
        <f t="shared" si="35"/>
        <v>0</v>
      </c>
      <c r="AE183" s="125">
        <f t="shared" si="24"/>
        <v>1069.0423305920742</v>
      </c>
      <c r="AF183" s="125">
        <f t="shared" si="25"/>
        <v>1642.6190921094019</v>
      </c>
      <c r="AG183" s="125">
        <f t="shared" si="26"/>
        <v>1893.7626109206642</v>
      </c>
      <c r="AH183" s="128" t="str">
        <f t="shared" si="31"/>
        <v/>
      </c>
    </row>
    <row r="184" spans="27:34" x14ac:dyDescent="0.35">
      <c r="AA184" s="126">
        <f t="shared" si="32"/>
        <v>3.7309999999999947E-2</v>
      </c>
      <c r="AB184" s="126">
        <f t="shared" si="33"/>
        <v>7.9170000000000074E-2</v>
      </c>
      <c r="AC184" s="126">
        <f t="shared" si="34"/>
        <v>6.2789999999999888E-2</v>
      </c>
      <c r="AD184" s="126">
        <f t="shared" si="35"/>
        <v>0</v>
      </c>
      <c r="AE184" s="125">
        <f t="shared" si="24"/>
        <v>1069.7598330246115</v>
      </c>
      <c r="AF184" s="125">
        <f t="shared" si="25"/>
        <v>1643.1628488333422</v>
      </c>
      <c r="AG184" s="125">
        <f t="shared" si="26"/>
        <v>1894.572676404953</v>
      </c>
      <c r="AH184" s="128" t="str">
        <f t="shared" si="31"/>
        <v/>
      </c>
    </row>
    <row r="185" spans="27:34" x14ac:dyDescent="0.35">
      <c r="AA185" s="126">
        <f t="shared" si="32"/>
        <v>3.7514999999999944E-2</v>
      </c>
      <c r="AB185" s="126">
        <f t="shared" si="33"/>
        <v>7.9605000000000078E-2</v>
      </c>
      <c r="AC185" s="126">
        <f t="shared" si="34"/>
        <v>6.3134999999999886E-2</v>
      </c>
      <c r="AD185" s="126">
        <f t="shared" si="35"/>
        <v>0</v>
      </c>
      <c r="AE185" s="125">
        <f t="shared" si="24"/>
        <v>1070.4773353512583</v>
      </c>
      <c r="AF185" s="125">
        <f t="shared" si="25"/>
        <v>1643.7066053014412</v>
      </c>
      <c r="AG185" s="125">
        <f t="shared" si="26"/>
        <v>1895.3827416434785</v>
      </c>
      <c r="AH185" s="128" t="str">
        <f t="shared" si="31"/>
        <v/>
      </c>
    </row>
    <row r="186" spans="27:34" x14ac:dyDescent="0.35">
      <c r="AA186" s="126">
        <f t="shared" si="32"/>
        <v>3.7719999999999941E-2</v>
      </c>
      <c r="AB186" s="126">
        <f t="shared" si="33"/>
        <v>8.0040000000000083E-2</v>
      </c>
      <c r="AC186" s="126">
        <f t="shared" si="34"/>
        <v>6.3479999999999884E-2</v>
      </c>
      <c r="AD186" s="126">
        <f t="shared" si="35"/>
        <v>0</v>
      </c>
      <c r="AE186" s="125">
        <f t="shared" si="24"/>
        <v>1071.194837577166</v>
      </c>
      <c r="AF186" s="125">
        <f t="shared" si="25"/>
        <v>1644.2503615247524</v>
      </c>
      <c r="AG186" s="125">
        <f t="shared" si="26"/>
        <v>1896.1928066485073</v>
      </c>
      <c r="AH186" s="128" t="str">
        <f t="shared" si="31"/>
        <v/>
      </c>
    </row>
    <row r="187" spans="27:34" x14ac:dyDescent="0.35">
      <c r="AA187" s="126">
        <f t="shared" si="32"/>
        <v>3.7924999999999938E-2</v>
      </c>
      <c r="AB187" s="126">
        <f t="shared" si="33"/>
        <v>8.0475000000000088E-2</v>
      </c>
      <c r="AC187" s="126">
        <f t="shared" si="34"/>
        <v>6.3824999999999882E-2</v>
      </c>
      <c r="AD187" s="126">
        <f t="shared" si="35"/>
        <v>0</v>
      </c>
      <c r="AE187" s="125">
        <f t="shared" si="24"/>
        <v>1071.9123397072087</v>
      </c>
      <c r="AF187" s="125">
        <f t="shared" si="25"/>
        <v>1644.7941175137967</v>
      </c>
      <c r="AG187" s="125">
        <f t="shared" si="26"/>
        <v>1897.0028714316334</v>
      </c>
      <c r="AH187" s="128" t="str">
        <f t="shared" si="31"/>
        <v/>
      </c>
    </row>
    <row r="188" spans="27:34" x14ac:dyDescent="0.35">
      <c r="AA188" s="126">
        <f t="shared" si="32"/>
        <v>3.8129999999999935E-2</v>
      </c>
      <c r="AB188" s="126">
        <f t="shared" si="33"/>
        <v>8.0910000000000093E-2</v>
      </c>
      <c r="AC188" s="126">
        <f t="shared" si="34"/>
        <v>6.416999999999988E-2</v>
      </c>
      <c r="AD188" s="126">
        <f t="shared" si="35"/>
        <v>0</v>
      </c>
      <c r="AE188" s="125">
        <f t="shared" si="24"/>
        <v>1072.6298417459996</v>
      </c>
      <c r="AF188" s="125">
        <f t="shared" si="25"/>
        <v>1645.337873278587</v>
      </c>
      <c r="AG188" s="125">
        <f t="shared" si="26"/>
        <v>1897.8129360038165</v>
      </c>
      <c r="AH188" s="128" t="str">
        <f t="shared" si="31"/>
        <v/>
      </c>
    </row>
    <row r="189" spans="27:34" x14ac:dyDescent="0.35">
      <c r="AA189" s="126">
        <f t="shared" si="32"/>
        <v>3.8334999999999932E-2</v>
      </c>
      <c r="AB189" s="126">
        <f t="shared" si="33"/>
        <v>8.1345000000000098E-2</v>
      </c>
      <c r="AC189" s="126">
        <f t="shared" si="34"/>
        <v>6.4514999999999878E-2</v>
      </c>
      <c r="AD189" s="126">
        <f t="shared" si="35"/>
        <v>0</v>
      </c>
      <c r="AE189" s="125">
        <f t="shared" si="24"/>
        <v>1073.3473436979086</v>
      </c>
      <c r="AF189" s="125">
        <f t="shared" si="25"/>
        <v>1645.8816288286598</v>
      </c>
      <c r="AG189" s="125">
        <f t="shared" si="26"/>
        <v>1898.6230003754165</v>
      </c>
      <c r="AH189" s="128" t="str">
        <f t="shared" si="31"/>
        <v/>
      </c>
    </row>
    <row r="190" spans="27:34" x14ac:dyDescent="0.35">
      <c r="AA190" s="126">
        <f t="shared" si="32"/>
        <v>3.8539999999999928E-2</v>
      </c>
      <c r="AB190" s="126">
        <f t="shared" si="33"/>
        <v>8.1780000000000103E-2</v>
      </c>
      <c r="AC190" s="126">
        <f t="shared" si="34"/>
        <v>6.4859999999999876E-2</v>
      </c>
      <c r="AD190" s="126">
        <f t="shared" si="35"/>
        <v>0</v>
      </c>
      <c r="AE190" s="125">
        <f t="shared" si="24"/>
        <v>1074.0648455670721</v>
      </c>
      <c r="AF190" s="125">
        <f t="shared" si="25"/>
        <v>1646.425384173097</v>
      </c>
      <c r="AG190" s="125">
        <f t="shared" si="26"/>
        <v>1899.4330645562386</v>
      </c>
      <c r="AH190" s="128" t="str">
        <f t="shared" si="31"/>
        <v/>
      </c>
    </row>
    <row r="191" spans="27:34" x14ac:dyDescent="0.35">
      <c r="AA191" s="126">
        <f t="shared" si="32"/>
        <v>3.8744999999999925E-2</v>
      </c>
      <c r="AB191" s="126">
        <f t="shared" si="33"/>
        <v>8.2215000000000107E-2</v>
      </c>
      <c r="AC191" s="126">
        <f t="shared" si="34"/>
        <v>6.5204999999999874E-2</v>
      </c>
      <c r="AD191" s="126">
        <f t="shared" si="35"/>
        <v>0</v>
      </c>
      <c r="AE191" s="125">
        <f t="shared" si="24"/>
        <v>1074.7823473574108</v>
      </c>
      <c r="AF191" s="125">
        <f t="shared" si="25"/>
        <v>1646.9691393205514</v>
      </c>
      <c r="AG191" s="125">
        <f t="shared" si="26"/>
        <v>1900.2431285555563</v>
      </c>
      <c r="AH191" s="128" t="str">
        <f t="shared" si="31"/>
        <v/>
      </c>
    </row>
    <row r="192" spans="27:34" x14ac:dyDescent="0.35">
      <c r="AA192" s="126">
        <f t="shared" si="32"/>
        <v>3.8949999999999922E-2</v>
      </c>
      <c r="AB192" s="126">
        <f t="shared" si="33"/>
        <v>8.2650000000000112E-2</v>
      </c>
      <c r="AC192" s="126">
        <f t="shared" si="34"/>
        <v>6.5549999999999872E-2</v>
      </c>
      <c r="AD192" s="126">
        <f t="shared" si="35"/>
        <v>0</v>
      </c>
      <c r="AE192" s="125">
        <f t="shared" si="24"/>
        <v>1075.49984907264</v>
      </c>
      <c r="AF192" s="125">
        <f t="shared" si="25"/>
        <v>1647.5128942792674</v>
      </c>
      <c r="AG192" s="125">
        <f t="shared" si="26"/>
        <v>1901.0531923821475</v>
      </c>
      <c r="AH192" s="128" t="str">
        <f t="shared" si="31"/>
        <v/>
      </c>
    </row>
    <row r="193" spans="27:34" x14ac:dyDescent="0.35">
      <c r="AA193" s="126">
        <f t="shared" si="32"/>
        <v>3.9154999999999919E-2</v>
      </c>
      <c r="AB193" s="126">
        <f t="shared" si="33"/>
        <v>8.3085000000000117E-2</v>
      </c>
      <c r="AC193" s="126">
        <f t="shared" si="34"/>
        <v>6.589499999999987E-2</v>
      </c>
      <c r="AD193" s="126">
        <f t="shared" si="35"/>
        <v>0</v>
      </c>
      <c r="AE193" s="125">
        <f t="shared" si="24"/>
        <v>1076.2173507162822</v>
      </c>
      <c r="AF193" s="125">
        <f t="shared" si="25"/>
        <v>1648.0566490571068</v>
      </c>
      <c r="AG193" s="125">
        <f t="shared" si="26"/>
        <v>1901.8632560443248</v>
      </c>
      <c r="AH193" s="128" t="str">
        <f t="shared" si="31"/>
        <v/>
      </c>
    </row>
    <row r="194" spans="27:34" x14ac:dyDescent="0.35">
      <c r="AA194" s="126">
        <f t="shared" si="32"/>
        <v>3.9359999999999916E-2</v>
      </c>
      <c r="AB194" s="126">
        <f t="shared" si="33"/>
        <v>8.3520000000000122E-2</v>
      </c>
      <c r="AC194" s="126">
        <f t="shared" si="34"/>
        <v>6.6239999999999868E-2</v>
      </c>
      <c r="AD194" s="126">
        <f t="shared" si="35"/>
        <v>0</v>
      </c>
      <c r="AE194" s="125">
        <f t="shared" ref="AE194:AE202" si="36">B$3 * AA194 * (B$9 + (1-B$9)/(POWER(1+POWER(B$3*ABS(AA194)/(B$8*B$4), B$7), 1/B$7)))</f>
        <v>1076.9348522916755</v>
      </c>
      <c r="AF194" s="125">
        <f t="shared" ref="AF194:AF202" si="37">C$3 * AB194 * (C$9 + (1-C$9)/(POWER(1+POWER(C$3*ABS(AB194)/(C$8*C$4), C$7), 1/C$7)))</f>
        <v>1648.6004036615609</v>
      </c>
      <c r="AG194" s="125">
        <f t="shared" ref="AG194:AG202" si="38">D$3 * AC194 * (D$9 + (1-D$9)/(POWER(1+POWER(D$3*ABS(AC194)/(D$8*D$4), D$7), 1/D$7)))</f>
        <v>1902.6733195499576</v>
      </c>
      <c r="AH194" s="128" t="str">
        <f t="shared" si="31"/>
        <v/>
      </c>
    </row>
    <row r="195" spans="27:34" x14ac:dyDescent="0.35">
      <c r="AA195" s="126">
        <f t="shared" ref="AA195:AA202" si="39">AA194+B$6/200</f>
        <v>3.9564999999999913E-2</v>
      </c>
      <c r="AB195" s="126">
        <f t="shared" ref="AB195:AB202" si="40">AB194+C$6/200</f>
        <v>8.3955000000000127E-2</v>
      </c>
      <c r="AC195" s="126">
        <f t="shared" ref="AC195:AC202" si="41">AC194+D$6/200</f>
        <v>6.6584999999999867E-2</v>
      </c>
      <c r="AD195" s="126">
        <f t="shared" ref="AD195:AD202" si="42">AD194+E$6/200</f>
        <v>0</v>
      </c>
      <c r="AE195" s="125">
        <f t="shared" si="36"/>
        <v>1077.6523538019881</v>
      </c>
      <c r="AF195" s="125">
        <f t="shared" si="37"/>
        <v>1649.1441580997782</v>
      </c>
      <c r="AG195" s="125">
        <f t="shared" si="38"/>
        <v>1903.4833829065001</v>
      </c>
      <c r="AH195" s="128" t="str">
        <f t="shared" ref="AH195:AH202" si="43">IF(AND(NOT(ISBLANK($E$3)), NOT(ISBLANK($E$4)), NOT(ISBLANK($E$5)), NOT(ISBLANK($E$6)), NOT(ISBLANK($E$7)), NOT(ISBLANK($E$8)), NOT(ISBLANK($E$9))), $E$3 * AD195 * ($E$9 + (1-$E$9)/(POWER(1+POWER($E$3*ABS(AD195)/($E$8*$E$4), $E$7), 1/$E$7))), "")</f>
        <v/>
      </c>
    </row>
    <row r="196" spans="27:34" x14ac:dyDescent="0.35">
      <c r="AA196" s="126">
        <f t="shared" si="39"/>
        <v>3.976999999999991E-2</v>
      </c>
      <c r="AB196" s="126">
        <f t="shared" si="40"/>
        <v>8.4390000000000132E-2</v>
      </c>
      <c r="AC196" s="126">
        <f t="shared" si="41"/>
        <v>6.6929999999999865E-2</v>
      </c>
      <c r="AD196" s="126">
        <f t="shared" si="42"/>
        <v>0</v>
      </c>
      <c r="AE196" s="125">
        <f t="shared" si="36"/>
        <v>1078.3698552502246</v>
      </c>
      <c r="AF196" s="125">
        <f t="shared" si="37"/>
        <v>1649.6879123785736</v>
      </c>
      <c r="AG196" s="125">
        <f t="shared" si="38"/>
        <v>1904.2934461210186</v>
      </c>
      <c r="AH196" s="128" t="str">
        <f t="shared" si="43"/>
        <v/>
      </c>
    </row>
    <row r="197" spans="27:34" x14ac:dyDescent="0.35">
      <c r="AA197" s="126">
        <f t="shared" si="39"/>
        <v>3.9974999999999906E-2</v>
      </c>
      <c r="AB197" s="126">
        <f t="shared" si="40"/>
        <v>8.4825000000000136E-2</v>
      </c>
      <c r="AC197" s="126">
        <f t="shared" si="41"/>
        <v>6.7274999999999863E-2</v>
      </c>
      <c r="AD197" s="126">
        <f t="shared" si="42"/>
        <v>0</v>
      </c>
      <c r="AE197" s="125">
        <f t="shared" si="36"/>
        <v>1079.0873566392372</v>
      </c>
      <c r="AF197" s="125">
        <f t="shared" si="37"/>
        <v>1650.2316665044527</v>
      </c>
      <c r="AG197" s="125">
        <f t="shared" si="38"/>
        <v>1905.1035092002064</v>
      </c>
      <c r="AH197" s="128" t="str">
        <f t="shared" si="43"/>
        <v/>
      </c>
    </row>
    <row r="198" spans="27:34" x14ac:dyDescent="0.35">
      <c r="AA198" s="126">
        <f t="shared" si="39"/>
        <v>4.0179999999999903E-2</v>
      </c>
      <c r="AB198" s="126">
        <f t="shared" si="40"/>
        <v>8.5260000000000141E-2</v>
      </c>
      <c r="AC198" s="126">
        <f t="shared" si="41"/>
        <v>6.7619999999999861E-2</v>
      </c>
      <c r="AD198" s="126">
        <f t="shared" si="42"/>
        <v>0</v>
      </c>
      <c r="AE198" s="125">
        <f t="shared" si="36"/>
        <v>1079.8048579717326</v>
      </c>
      <c r="AF198" s="125">
        <f t="shared" si="37"/>
        <v>1650.7754204836237</v>
      </c>
      <c r="AG198" s="125">
        <f t="shared" si="38"/>
        <v>1905.9135721504142</v>
      </c>
      <c r="AH198" s="128" t="str">
        <f t="shared" si="43"/>
        <v/>
      </c>
    </row>
    <row r="199" spans="27:34" x14ac:dyDescent="0.35">
      <c r="AA199" s="126">
        <f t="shared" si="39"/>
        <v>4.03849999999999E-2</v>
      </c>
      <c r="AB199" s="126">
        <f t="shared" si="40"/>
        <v>8.5695000000000146E-2</v>
      </c>
      <c r="AC199" s="126">
        <f t="shared" si="41"/>
        <v>6.7964999999999859E-2</v>
      </c>
      <c r="AD199" s="126">
        <f t="shared" si="42"/>
        <v>0</v>
      </c>
      <c r="AE199" s="125">
        <f t="shared" si="36"/>
        <v>1080.5223592502828</v>
      </c>
      <c r="AF199" s="125">
        <f t="shared" si="37"/>
        <v>1651.3191743220113</v>
      </c>
      <c r="AG199" s="125">
        <f t="shared" si="38"/>
        <v>1906.7236349776604</v>
      </c>
      <c r="AH199" s="128" t="str">
        <f t="shared" si="43"/>
        <v/>
      </c>
    </row>
    <row r="200" spans="27:34" x14ac:dyDescent="0.35">
      <c r="AA200" s="126">
        <f t="shared" si="39"/>
        <v>4.0589999999999897E-2</v>
      </c>
      <c r="AB200" s="126">
        <f t="shared" si="40"/>
        <v>8.6130000000000151E-2</v>
      </c>
      <c r="AC200" s="126">
        <f t="shared" si="41"/>
        <v>6.8309999999999857E-2</v>
      </c>
      <c r="AD200" s="126">
        <f t="shared" si="42"/>
        <v>0</v>
      </c>
      <c r="AE200" s="125">
        <f t="shared" si="36"/>
        <v>1081.2398604773271</v>
      </c>
      <c r="AF200" s="125">
        <f t="shared" si="37"/>
        <v>1651.8629280252728</v>
      </c>
      <c r="AG200" s="125">
        <f t="shared" si="38"/>
        <v>1907.5336976876556</v>
      </c>
      <c r="AH200" s="128" t="str">
        <f t="shared" si="43"/>
        <v/>
      </c>
    </row>
    <row r="201" spans="27:34" x14ac:dyDescent="0.35">
      <c r="AA201" s="126">
        <f t="shared" si="39"/>
        <v>4.0794999999999894E-2</v>
      </c>
      <c r="AB201" s="126">
        <f t="shared" si="40"/>
        <v>8.6565000000000156E-2</v>
      </c>
      <c r="AC201" s="126">
        <f t="shared" si="41"/>
        <v>6.8654999999999855E-2</v>
      </c>
      <c r="AD201" s="126">
        <f t="shared" si="42"/>
        <v>0</v>
      </c>
      <c r="AE201" s="125">
        <f t="shared" si="36"/>
        <v>1081.957361655187</v>
      </c>
      <c r="AF201" s="125">
        <f t="shared" si="37"/>
        <v>1652.4066815988133</v>
      </c>
      <c r="AG201" s="125">
        <f t="shared" si="38"/>
        <v>1908.343760285818</v>
      </c>
      <c r="AH201" s="128" t="str">
        <f t="shared" si="43"/>
        <v/>
      </c>
    </row>
    <row r="202" spans="27:34" x14ac:dyDescent="0.35">
      <c r="AA202" s="126">
        <f t="shared" si="39"/>
        <v>4.0999999999999891E-2</v>
      </c>
      <c r="AB202" s="126">
        <f t="shared" si="40"/>
        <v>8.7000000000000161E-2</v>
      </c>
      <c r="AC202" s="126">
        <f t="shared" si="41"/>
        <v>6.8999999999999853E-2</v>
      </c>
      <c r="AD202" s="126">
        <f t="shared" si="42"/>
        <v>0</v>
      </c>
      <c r="AE202" s="125">
        <f t="shared" si="36"/>
        <v>1082.6748627860654</v>
      </c>
      <c r="AF202" s="125">
        <f t="shared" si="37"/>
        <v>1652.9504350477941</v>
      </c>
      <c r="AG202" s="125">
        <f t="shared" si="38"/>
        <v>1909.1538227772901</v>
      </c>
      <c r="AH202" s="128" t="str">
        <f t="shared" si="43"/>
        <v/>
      </c>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92D050"/>
  </sheetPr>
  <dimension ref="A1:S4586"/>
  <sheetViews>
    <sheetView showGridLines="0" zoomScaleNormal="100" workbookViewId="0">
      <selection activeCell="K647" sqref="K647"/>
    </sheetView>
  </sheetViews>
  <sheetFormatPr defaultColWidth="10.81640625" defaultRowHeight="14.5" x14ac:dyDescent="0.35"/>
  <cols>
    <col min="3" max="4" width="10.81640625" style="53"/>
    <col min="9" max="11" width="10.81640625" style="54"/>
    <col min="14" max="14" width="13.81640625" style="109" bestFit="1" customWidth="1"/>
    <col min="15" max="15" width="10.81640625" style="109"/>
  </cols>
  <sheetData>
    <row r="1" spans="1:18" ht="15" customHeight="1" x14ac:dyDescent="0.35">
      <c r="A1" s="187" t="s">
        <v>56</v>
      </c>
      <c r="B1" s="187"/>
      <c r="C1" s="187"/>
      <c r="D1" s="187"/>
      <c r="E1" s="187"/>
      <c r="F1" s="187"/>
      <c r="G1" s="188">
        <v>0</v>
      </c>
      <c r="I1" s="189" t="s">
        <v>57</v>
      </c>
      <c r="J1" s="189" t="s">
        <v>58</v>
      </c>
      <c r="K1" s="189" t="s">
        <v>61</v>
      </c>
      <c r="L1" s="193" t="s">
        <v>59</v>
      </c>
      <c r="M1" s="193"/>
      <c r="N1" s="189" t="s">
        <v>120</v>
      </c>
      <c r="O1" s="189" t="s">
        <v>60</v>
      </c>
    </row>
    <row r="2" spans="1:18" ht="15" thickBot="1" x14ac:dyDescent="0.4">
      <c r="A2" s="187"/>
      <c r="B2" s="187"/>
      <c r="C2" s="187"/>
      <c r="D2" s="187"/>
      <c r="E2" s="187"/>
      <c r="F2" s="187"/>
      <c r="G2" s="188"/>
      <c r="I2" s="190"/>
      <c r="J2" s="190"/>
      <c r="K2" s="190"/>
      <c r="L2" s="193"/>
      <c r="M2" s="193"/>
      <c r="N2" s="190"/>
      <c r="O2" s="190"/>
      <c r="Q2" s="55"/>
      <c r="R2" s="55"/>
    </row>
    <row r="3" spans="1:18" x14ac:dyDescent="0.35">
      <c r="C3"/>
      <c r="D3"/>
      <c r="N3" s="108"/>
      <c r="O3" s="108"/>
      <c r="P3" s="191" t="s">
        <v>66</v>
      </c>
      <c r="Q3" s="192"/>
      <c r="R3" s="192"/>
    </row>
    <row r="4" spans="1:18" x14ac:dyDescent="0.35">
      <c r="C4"/>
      <c r="D4"/>
      <c r="N4" s="108"/>
      <c r="O4" s="108"/>
      <c r="P4" s="191"/>
      <c r="Q4" s="192"/>
      <c r="R4" s="192"/>
    </row>
    <row r="5" spans="1:18" x14ac:dyDescent="0.35">
      <c r="C5"/>
      <c r="D5"/>
      <c r="N5" s="108"/>
      <c r="O5" s="108"/>
      <c r="P5" s="191"/>
      <c r="Q5" s="192"/>
      <c r="R5" s="192"/>
    </row>
    <row r="6" spans="1:18" x14ac:dyDescent="0.35">
      <c r="C6"/>
      <c r="D6"/>
      <c r="N6" s="108"/>
      <c r="O6" s="108"/>
      <c r="P6" s="191"/>
      <c r="Q6" s="192"/>
      <c r="R6" s="192"/>
    </row>
    <row r="7" spans="1:18" x14ac:dyDescent="0.35">
      <c r="C7"/>
      <c r="D7"/>
      <c r="N7" s="108"/>
      <c r="O7" s="108"/>
      <c r="P7" s="191"/>
      <c r="Q7" s="192"/>
      <c r="R7" s="192"/>
    </row>
    <row r="8" spans="1:18" x14ac:dyDescent="0.35">
      <c r="C8"/>
      <c r="D8"/>
      <c r="N8" s="108"/>
      <c r="O8" s="108"/>
      <c r="P8" s="191"/>
      <c r="Q8" s="192"/>
      <c r="R8" s="192"/>
    </row>
    <row r="9" spans="1:18" x14ac:dyDescent="0.35">
      <c r="C9"/>
      <c r="D9"/>
      <c r="N9" s="108"/>
      <c r="O9" s="108"/>
      <c r="P9" s="191"/>
      <c r="Q9" s="192"/>
      <c r="R9" s="192"/>
    </row>
    <row r="10" spans="1:18" x14ac:dyDescent="0.35">
      <c r="C10"/>
      <c r="D10"/>
      <c r="N10" s="108"/>
      <c r="O10" s="108"/>
      <c r="P10" s="191"/>
      <c r="Q10" s="192"/>
      <c r="R10" s="192"/>
    </row>
    <row r="11" spans="1:18" x14ac:dyDescent="0.35">
      <c r="C11"/>
      <c r="D11"/>
      <c r="N11" s="108"/>
      <c r="O11" s="108"/>
      <c r="P11" s="191"/>
      <c r="Q11" s="192"/>
      <c r="R11" s="192"/>
    </row>
    <row r="12" spans="1:18" x14ac:dyDescent="0.35">
      <c r="C12"/>
      <c r="D12"/>
      <c r="N12" s="108"/>
      <c r="O12" s="108"/>
      <c r="P12" s="191"/>
      <c r="Q12" s="192"/>
      <c r="R12" s="192"/>
    </row>
    <row r="13" spans="1:18" x14ac:dyDescent="0.35">
      <c r="C13"/>
      <c r="D13"/>
      <c r="N13" s="108"/>
      <c r="O13" s="108"/>
    </row>
    <row r="14" spans="1:18" x14ac:dyDescent="0.35">
      <c r="C14"/>
      <c r="D14"/>
      <c r="N14" s="108"/>
      <c r="O14" s="108"/>
    </row>
    <row r="15" spans="1:18" x14ac:dyDescent="0.35">
      <c r="C15"/>
      <c r="D15"/>
      <c r="N15" s="108"/>
      <c r="O15" s="108"/>
    </row>
    <row r="16" spans="1:18" x14ac:dyDescent="0.35">
      <c r="C16"/>
      <c r="D16"/>
      <c r="N16" s="108"/>
      <c r="O16" s="108"/>
    </row>
    <row r="17" spans="3:19" x14ac:dyDescent="0.35">
      <c r="C17"/>
      <c r="D17"/>
      <c r="N17" s="108"/>
      <c r="O17" s="108"/>
    </row>
    <row r="18" spans="3:19" x14ac:dyDescent="0.35">
      <c r="C18"/>
      <c r="D18"/>
      <c r="N18" s="108"/>
      <c r="O18" s="108"/>
    </row>
    <row r="19" spans="3:19" x14ac:dyDescent="0.35">
      <c r="C19"/>
      <c r="D19"/>
      <c r="N19" s="108"/>
      <c r="O19" s="108"/>
    </row>
    <row r="20" spans="3:19" x14ac:dyDescent="0.35">
      <c r="C20"/>
      <c r="D20"/>
      <c r="N20" s="108"/>
      <c r="O20" s="108"/>
    </row>
    <row r="21" spans="3:19" x14ac:dyDescent="0.35">
      <c r="C21"/>
      <c r="D21"/>
      <c r="N21" s="108"/>
      <c r="O21" s="108"/>
    </row>
    <row r="22" spans="3:19" x14ac:dyDescent="0.35">
      <c r="C22"/>
      <c r="D22"/>
      <c r="N22" s="108"/>
      <c r="O22" s="108"/>
    </row>
    <row r="23" spans="3:19" x14ac:dyDescent="0.35">
      <c r="C23"/>
      <c r="D23"/>
      <c r="N23" s="108"/>
      <c r="O23" s="108"/>
    </row>
    <row r="24" spans="3:19" x14ac:dyDescent="0.35">
      <c r="C24"/>
      <c r="D24"/>
      <c r="N24" s="108"/>
      <c r="O24" s="108"/>
      <c r="S24" s="56">
        <v>10</v>
      </c>
    </row>
    <row r="25" spans="3:19" x14ac:dyDescent="0.35">
      <c r="C25"/>
      <c r="D25"/>
      <c r="N25" s="108"/>
      <c r="O25" s="108"/>
    </row>
    <row r="26" spans="3:19" x14ac:dyDescent="0.35">
      <c r="C26"/>
      <c r="D26"/>
      <c r="N26" s="108"/>
      <c r="O26" s="108"/>
    </row>
    <row r="27" spans="3:19" x14ac:dyDescent="0.35">
      <c r="C27"/>
      <c r="D27"/>
      <c r="N27" s="108"/>
      <c r="O27" s="108"/>
    </row>
    <row r="28" spans="3:19" x14ac:dyDescent="0.35">
      <c r="C28"/>
      <c r="D28"/>
      <c r="N28" s="108"/>
      <c r="O28" s="108"/>
    </row>
    <row r="29" spans="3:19" x14ac:dyDescent="0.35">
      <c r="C29"/>
      <c r="D29"/>
      <c r="N29" s="108"/>
      <c r="O29" s="108"/>
    </row>
    <row r="30" spans="3:19" x14ac:dyDescent="0.35">
      <c r="C30"/>
      <c r="D30"/>
      <c r="N30" s="108"/>
      <c r="O30" s="108"/>
    </row>
    <row r="31" spans="3:19" x14ac:dyDescent="0.35">
      <c r="N31" s="108"/>
      <c r="O31" s="108"/>
    </row>
    <row r="32" spans="3:19" ht="15" customHeight="1" x14ac:dyDescent="0.35">
      <c r="N32" s="108"/>
      <c r="O32" s="108"/>
    </row>
    <row r="33" spans="8:15" ht="13.5" customHeight="1" x14ac:dyDescent="0.35">
      <c r="H33" s="55"/>
      <c r="N33" s="108"/>
      <c r="O33" s="108"/>
    </row>
    <row r="34" spans="8:15" x14ac:dyDescent="0.35">
      <c r="N34" s="108"/>
      <c r="O34" s="108"/>
    </row>
    <row r="35" spans="8:15" x14ac:dyDescent="0.35">
      <c r="N35" s="108"/>
      <c r="O35" s="108"/>
    </row>
    <row r="36" spans="8:15" x14ac:dyDescent="0.35">
      <c r="N36" s="108"/>
      <c r="O36" s="108"/>
    </row>
    <row r="37" spans="8:15" x14ac:dyDescent="0.35">
      <c r="N37" s="108"/>
      <c r="O37" s="108"/>
    </row>
    <row r="38" spans="8:15" x14ac:dyDescent="0.35">
      <c r="N38" s="108"/>
      <c r="O38" s="108"/>
    </row>
    <row r="39" spans="8:15" x14ac:dyDescent="0.35">
      <c r="N39" s="108"/>
      <c r="O39" s="108"/>
    </row>
    <row r="40" spans="8:15" x14ac:dyDescent="0.35">
      <c r="N40" s="108"/>
      <c r="O40" s="108"/>
    </row>
    <row r="41" spans="8:15" x14ac:dyDescent="0.35">
      <c r="N41" s="108"/>
      <c r="O41" s="108"/>
    </row>
    <row r="42" spans="8:15" x14ac:dyDescent="0.35">
      <c r="N42" s="108"/>
      <c r="O42" s="108"/>
    </row>
    <row r="43" spans="8:15" x14ac:dyDescent="0.35">
      <c r="N43" s="108"/>
      <c r="O43" s="108"/>
    </row>
    <row r="44" spans="8:15" x14ac:dyDescent="0.35">
      <c r="N44" s="108"/>
      <c r="O44" s="108"/>
    </row>
    <row r="45" spans="8:15" x14ac:dyDescent="0.35">
      <c r="N45" s="108"/>
      <c r="O45" s="108"/>
    </row>
    <row r="46" spans="8:15" x14ac:dyDescent="0.35">
      <c r="N46" s="108"/>
      <c r="O46" s="108"/>
    </row>
    <row r="47" spans="8:15" x14ac:dyDescent="0.35">
      <c r="N47" s="108"/>
      <c r="O47" s="108"/>
    </row>
    <row r="48" spans="8:15" x14ac:dyDescent="0.35">
      <c r="N48" s="108"/>
      <c r="O48" s="108"/>
    </row>
    <row r="49" spans="14:15" x14ac:dyDescent="0.35">
      <c r="N49" s="108"/>
      <c r="O49" s="108"/>
    </row>
    <row r="50" spans="14:15" x14ac:dyDescent="0.35">
      <c r="N50" s="108"/>
      <c r="O50" s="108"/>
    </row>
    <row r="51" spans="14:15" x14ac:dyDescent="0.35">
      <c r="N51" s="108"/>
      <c r="O51" s="108"/>
    </row>
    <row r="52" spans="14:15" x14ac:dyDescent="0.35">
      <c r="N52" s="108"/>
      <c r="O52" s="108"/>
    </row>
    <row r="53" spans="14:15" x14ac:dyDescent="0.35">
      <c r="N53" s="108"/>
      <c r="O53" s="108"/>
    </row>
    <row r="54" spans="14:15" x14ac:dyDescent="0.35">
      <c r="N54" s="108"/>
      <c r="O54" s="108"/>
    </row>
    <row r="55" spans="14:15" x14ac:dyDescent="0.35">
      <c r="N55" s="108"/>
      <c r="O55" s="108"/>
    </row>
    <row r="56" spans="14:15" x14ac:dyDescent="0.35">
      <c r="N56" s="108"/>
      <c r="O56" s="108"/>
    </row>
    <row r="57" spans="14:15" x14ac:dyDescent="0.35">
      <c r="N57" s="108"/>
      <c r="O57" s="108"/>
    </row>
    <row r="58" spans="14:15" x14ac:dyDescent="0.35">
      <c r="N58" s="108"/>
      <c r="O58" s="108"/>
    </row>
    <row r="59" spans="14:15" x14ac:dyDescent="0.35">
      <c r="N59" s="108"/>
      <c r="O59" s="108"/>
    </row>
    <row r="60" spans="14:15" x14ac:dyDescent="0.35">
      <c r="N60" s="108"/>
      <c r="O60" s="108"/>
    </row>
    <row r="61" spans="14:15" x14ac:dyDescent="0.35">
      <c r="N61" s="108"/>
      <c r="O61" s="108"/>
    </row>
    <row r="62" spans="14:15" x14ac:dyDescent="0.35">
      <c r="N62" s="108"/>
      <c r="O62" s="108"/>
    </row>
    <row r="63" spans="14:15" x14ac:dyDescent="0.35">
      <c r="N63" s="108"/>
      <c r="O63" s="108"/>
    </row>
    <row r="64" spans="14:15" x14ac:dyDescent="0.35">
      <c r="N64" s="108"/>
      <c r="O64" s="108"/>
    </row>
    <row r="65" spans="14:15" x14ac:dyDescent="0.35">
      <c r="N65" s="108"/>
      <c r="O65" s="108"/>
    </row>
    <row r="66" spans="14:15" x14ac:dyDescent="0.35">
      <c r="N66" s="108"/>
      <c r="O66" s="108"/>
    </row>
    <row r="67" spans="14:15" x14ac:dyDescent="0.35">
      <c r="N67" s="108"/>
      <c r="O67" s="108"/>
    </row>
    <row r="68" spans="14:15" x14ac:dyDescent="0.35">
      <c r="N68" s="108"/>
      <c r="O68" s="108"/>
    </row>
    <row r="69" spans="14:15" x14ac:dyDescent="0.35">
      <c r="N69" s="108"/>
      <c r="O69" s="108"/>
    </row>
    <row r="70" spans="14:15" x14ac:dyDescent="0.35">
      <c r="N70" s="108"/>
      <c r="O70" s="108"/>
    </row>
    <row r="71" spans="14:15" x14ac:dyDescent="0.35">
      <c r="N71" s="108"/>
      <c r="O71" s="108"/>
    </row>
    <row r="72" spans="14:15" x14ac:dyDescent="0.35">
      <c r="N72" s="108"/>
      <c r="O72" s="108"/>
    </row>
    <row r="73" spans="14:15" x14ac:dyDescent="0.35">
      <c r="N73" s="108"/>
      <c r="O73" s="108"/>
    </row>
    <row r="74" spans="14:15" x14ac:dyDescent="0.35">
      <c r="N74" s="108"/>
      <c r="O74" s="108"/>
    </row>
    <row r="75" spans="14:15" x14ac:dyDescent="0.35">
      <c r="N75" s="108"/>
      <c r="O75" s="108"/>
    </row>
    <row r="76" spans="14:15" x14ac:dyDescent="0.35">
      <c r="N76" s="108"/>
      <c r="O76" s="108"/>
    </row>
    <row r="77" spans="14:15" x14ac:dyDescent="0.35">
      <c r="N77" s="108"/>
      <c r="O77" s="108"/>
    </row>
    <row r="78" spans="14:15" x14ac:dyDescent="0.35">
      <c r="N78" s="108"/>
      <c r="O78" s="108"/>
    </row>
    <row r="79" spans="14:15" x14ac:dyDescent="0.35">
      <c r="N79" s="108"/>
      <c r="O79" s="108"/>
    </row>
    <row r="80" spans="14:15" x14ac:dyDescent="0.35">
      <c r="N80" s="108"/>
      <c r="O80" s="108"/>
    </row>
    <row r="81" spans="14:15" x14ac:dyDescent="0.35">
      <c r="N81" s="108"/>
      <c r="O81" s="108"/>
    </row>
    <row r="82" spans="14:15" x14ac:dyDescent="0.35">
      <c r="N82" s="108"/>
      <c r="O82" s="108"/>
    </row>
    <row r="83" spans="14:15" x14ac:dyDescent="0.35">
      <c r="N83" s="108"/>
      <c r="O83" s="108"/>
    </row>
    <row r="84" spans="14:15" x14ac:dyDescent="0.35">
      <c r="N84" s="108"/>
      <c r="O84" s="108"/>
    </row>
    <row r="85" spans="14:15" x14ac:dyDescent="0.35">
      <c r="N85" s="108"/>
      <c r="O85" s="108"/>
    </row>
    <row r="86" spans="14:15" x14ac:dyDescent="0.35">
      <c r="N86" s="108"/>
      <c r="O86" s="108"/>
    </row>
    <row r="87" spans="14:15" x14ac:dyDescent="0.35">
      <c r="N87" s="108"/>
      <c r="O87" s="108"/>
    </row>
    <row r="88" spans="14:15" x14ac:dyDescent="0.35">
      <c r="N88" s="108"/>
      <c r="O88" s="108"/>
    </row>
    <row r="89" spans="14:15" x14ac:dyDescent="0.35">
      <c r="N89" s="108"/>
      <c r="O89" s="108"/>
    </row>
    <row r="90" spans="14:15" x14ac:dyDescent="0.35">
      <c r="N90" s="108"/>
      <c r="O90" s="108"/>
    </row>
    <row r="91" spans="14:15" x14ac:dyDescent="0.35">
      <c r="N91" s="108"/>
      <c r="O91" s="108"/>
    </row>
    <row r="92" spans="14:15" x14ac:dyDescent="0.35">
      <c r="N92" s="108"/>
      <c r="O92" s="108"/>
    </row>
    <row r="93" spans="14:15" x14ac:dyDescent="0.35">
      <c r="N93" s="108"/>
      <c r="O93" s="108"/>
    </row>
    <row r="94" spans="14:15" x14ac:dyDescent="0.35">
      <c r="N94" s="108"/>
      <c r="O94" s="108"/>
    </row>
    <row r="95" spans="14:15" x14ac:dyDescent="0.35">
      <c r="N95" s="108"/>
      <c r="O95" s="108"/>
    </row>
    <row r="96" spans="14:15" x14ac:dyDescent="0.35">
      <c r="N96" s="108"/>
      <c r="O96" s="108"/>
    </row>
    <row r="97" spans="14:15" x14ac:dyDescent="0.35">
      <c r="N97" s="108"/>
      <c r="O97" s="108"/>
    </row>
    <row r="98" spans="14:15" x14ac:dyDescent="0.35">
      <c r="N98" s="108"/>
      <c r="O98" s="108"/>
    </row>
    <row r="99" spans="14:15" x14ac:dyDescent="0.35">
      <c r="N99" s="108"/>
      <c r="O99" s="108"/>
    </row>
    <row r="100" spans="14:15" x14ac:dyDescent="0.35">
      <c r="N100" s="108"/>
      <c r="O100" s="108"/>
    </row>
    <row r="101" spans="14:15" x14ac:dyDescent="0.35">
      <c r="N101" s="108"/>
      <c r="O101" s="108"/>
    </row>
    <row r="102" spans="14:15" x14ac:dyDescent="0.35">
      <c r="N102" s="108"/>
      <c r="O102" s="108"/>
    </row>
    <row r="103" spans="14:15" x14ac:dyDescent="0.35">
      <c r="N103" s="108"/>
      <c r="O103" s="108"/>
    </row>
    <row r="104" spans="14:15" x14ac:dyDescent="0.35">
      <c r="N104" s="108"/>
      <c r="O104" s="108"/>
    </row>
    <row r="105" spans="14:15" x14ac:dyDescent="0.35">
      <c r="N105" s="108"/>
      <c r="O105" s="108"/>
    </row>
    <row r="106" spans="14:15" x14ac:dyDescent="0.35">
      <c r="N106" s="108"/>
      <c r="O106" s="108"/>
    </row>
    <row r="107" spans="14:15" x14ac:dyDescent="0.35">
      <c r="N107" s="108"/>
      <c r="O107" s="108"/>
    </row>
    <row r="108" spans="14:15" x14ac:dyDescent="0.35">
      <c r="N108" s="108"/>
      <c r="O108" s="108"/>
    </row>
    <row r="109" spans="14:15" x14ac:dyDescent="0.35">
      <c r="N109" s="108"/>
      <c r="O109" s="108"/>
    </row>
    <row r="110" spans="14:15" x14ac:dyDescent="0.35">
      <c r="N110" s="108"/>
      <c r="O110" s="108"/>
    </row>
    <row r="111" spans="14:15" x14ac:dyDescent="0.35">
      <c r="N111" s="108"/>
      <c r="O111" s="108"/>
    </row>
    <row r="112" spans="14:15" x14ac:dyDescent="0.35">
      <c r="N112" s="108"/>
      <c r="O112" s="108"/>
    </row>
    <row r="113" spans="14:15" x14ac:dyDescent="0.35">
      <c r="N113" s="108"/>
      <c r="O113" s="108"/>
    </row>
    <row r="114" spans="14:15" x14ac:dyDescent="0.35">
      <c r="N114" s="108"/>
      <c r="O114" s="108"/>
    </row>
    <row r="115" spans="14:15" x14ac:dyDescent="0.35">
      <c r="N115" s="108"/>
      <c r="O115" s="108"/>
    </row>
    <row r="116" spans="14:15" x14ac:dyDescent="0.35">
      <c r="N116" s="108"/>
      <c r="O116" s="108"/>
    </row>
    <row r="117" spans="14:15" x14ac:dyDescent="0.35">
      <c r="N117" s="108"/>
      <c r="O117" s="108"/>
    </row>
    <row r="118" spans="14:15" x14ac:dyDescent="0.35">
      <c r="N118" s="108"/>
      <c r="O118" s="108"/>
    </row>
    <row r="119" spans="14:15" x14ac:dyDescent="0.35">
      <c r="N119" s="108"/>
      <c r="O119" s="108"/>
    </row>
    <row r="120" spans="14:15" x14ac:dyDescent="0.35">
      <c r="N120" s="108"/>
      <c r="O120" s="108"/>
    </row>
    <row r="121" spans="14:15" x14ac:dyDescent="0.35">
      <c r="N121" s="108"/>
      <c r="O121" s="108"/>
    </row>
    <row r="122" spans="14:15" x14ac:dyDescent="0.35">
      <c r="N122" s="108"/>
      <c r="O122" s="108"/>
    </row>
    <row r="123" spans="14:15" x14ac:dyDescent="0.35">
      <c r="N123" s="108"/>
      <c r="O123" s="108"/>
    </row>
    <row r="124" spans="14:15" x14ac:dyDescent="0.35">
      <c r="N124" s="108"/>
      <c r="O124" s="108"/>
    </row>
    <row r="125" spans="14:15" x14ac:dyDescent="0.35">
      <c r="N125" s="108"/>
      <c r="O125" s="108"/>
    </row>
    <row r="126" spans="14:15" x14ac:dyDescent="0.35">
      <c r="N126" s="108"/>
      <c r="O126" s="108"/>
    </row>
    <row r="127" spans="14:15" x14ac:dyDescent="0.35">
      <c r="N127" s="108"/>
      <c r="O127" s="108"/>
    </row>
    <row r="128" spans="14:15" x14ac:dyDescent="0.35">
      <c r="N128" s="108"/>
      <c r="O128" s="108"/>
    </row>
    <row r="129" spans="14:15" x14ac:dyDescent="0.35">
      <c r="N129" s="108"/>
      <c r="O129" s="108"/>
    </row>
    <row r="130" spans="14:15" x14ac:dyDescent="0.35">
      <c r="N130" s="108"/>
      <c r="O130" s="108"/>
    </row>
    <row r="131" spans="14:15" x14ac:dyDescent="0.35">
      <c r="N131" s="108"/>
      <c r="O131" s="108"/>
    </row>
    <row r="132" spans="14:15" x14ac:dyDescent="0.35">
      <c r="N132" s="108"/>
      <c r="O132" s="108"/>
    </row>
    <row r="133" spans="14:15" x14ac:dyDescent="0.35">
      <c r="N133" s="108"/>
      <c r="O133" s="108"/>
    </row>
    <row r="134" spans="14:15" x14ac:dyDescent="0.35">
      <c r="N134" s="108"/>
      <c r="O134" s="108"/>
    </row>
    <row r="135" spans="14:15" x14ac:dyDescent="0.35">
      <c r="N135" s="108"/>
      <c r="O135" s="108"/>
    </row>
    <row r="136" spans="14:15" x14ac:dyDescent="0.35">
      <c r="N136" s="108"/>
      <c r="O136" s="108"/>
    </row>
    <row r="137" spans="14:15" x14ac:dyDescent="0.35">
      <c r="N137" s="108"/>
      <c r="O137" s="108"/>
    </row>
    <row r="138" spans="14:15" x14ac:dyDescent="0.35">
      <c r="N138" s="108"/>
      <c r="O138" s="108"/>
    </row>
    <row r="139" spans="14:15" x14ac:dyDescent="0.35">
      <c r="N139" s="108"/>
      <c r="O139" s="108"/>
    </row>
    <row r="140" spans="14:15" x14ac:dyDescent="0.35">
      <c r="N140" s="108"/>
      <c r="O140" s="108"/>
    </row>
    <row r="141" spans="14:15" x14ac:dyDescent="0.35">
      <c r="N141" s="108"/>
      <c r="O141" s="108"/>
    </row>
    <row r="142" spans="14:15" x14ac:dyDescent="0.35">
      <c r="N142" s="108"/>
      <c r="O142" s="108"/>
    </row>
    <row r="143" spans="14:15" x14ac:dyDescent="0.35">
      <c r="N143" s="108"/>
      <c r="O143" s="108"/>
    </row>
    <row r="144" spans="14:15" x14ac:dyDescent="0.35">
      <c r="N144" s="108"/>
      <c r="O144" s="108"/>
    </row>
    <row r="145" spans="14:15" x14ac:dyDescent="0.35">
      <c r="N145" s="108"/>
      <c r="O145" s="108"/>
    </row>
    <row r="146" spans="14:15" x14ac:dyDescent="0.35">
      <c r="N146" s="108"/>
      <c r="O146" s="108"/>
    </row>
    <row r="147" spans="14:15" x14ac:dyDescent="0.35">
      <c r="N147" s="108"/>
      <c r="O147" s="108"/>
    </row>
    <row r="148" spans="14:15" x14ac:dyDescent="0.35">
      <c r="N148" s="108"/>
      <c r="O148" s="108"/>
    </row>
    <row r="149" spans="14:15" x14ac:dyDescent="0.35">
      <c r="N149" s="108"/>
      <c r="O149" s="108"/>
    </row>
    <row r="150" spans="14:15" x14ac:dyDescent="0.35">
      <c r="N150" s="108"/>
      <c r="O150" s="108"/>
    </row>
    <row r="151" spans="14:15" x14ac:dyDescent="0.35">
      <c r="N151" s="108"/>
      <c r="O151" s="108"/>
    </row>
    <row r="152" spans="14:15" x14ac:dyDescent="0.35">
      <c r="N152" s="108"/>
      <c r="O152" s="108"/>
    </row>
    <row r="153" spans="14:15" x14ac:dyDescent="0.35">
      <c r="N153" s="108"/>
      <c r="O153" s="108"/>
    </row>
    <row r="154" spans="14:15" x14ac:dyDescent="0.35">
      <c r="N154" s="108"/>
      <c r="O154" s="108"/>
    </row>
    <row r="155" spans="14:15" x14ac:dyDescent="0.35">
      <c r="N155" s="108"/>
      <c r="O155" s="108"/>
    </row>
    <row r="156" spans="14:15" x14ac:dyDescent="0.35">
      <c r="N156" s="108"/>
      <c r="O156" s="108"/>
    </row>
    <row r="157" spans="14:15" x14ac:dyDescent="0.35">
      <c r="N157" s="108"/>
      <c r="O157" s="108"/>
    </row>
    <row r="158" spans="14:15" x14ac:dyDescent="0.35">
      <c r="N158" s="108"/>
      <c r="O158" s="108"/>
    </row>
    <row r="159" spans="14:15" x14ac:dyDescent="0.35">
      <c r="N159" s="108"/>
      <c r="O159" s="108"/>
    </row>
    <row r="160" spans="14:15" x14ac:dyDescent="0.35">
      <c r="N160" s="108"/>
      <c r="O160" s="108"/>
    </row>
    <row r="161" spans="14:15" x14ac:dyDescent="0.35">
      <c r="N161" s="108"/>
      <c r="O161" s="108"/>
    </row>
    <row r="162" spans="14:15" x14ac:dyDescent="0.35">
      <c r="N162" s="108"/>
      <c r="O162" s="108"/>
    </row>
    <row r="163" spans="14:15" x14ac:dyDescent="0.35">
      <c r="N163" s="108"/>
      <c r="O163" s="108"/>
    </row>
    <row r="164" spans="14:15" x14ac:dyDescent="0.35">
      <c r="N164" s="108"/>
      <c r="O164" s="108"/>
    </row>
    <row r="165" spans="14:15" x14ac:dyDescent="0.35">
      <c r="N165" s="108"/>
      <c r="O165" s="108"/>
    </row>
    <row r="166" spans="14:15" x14ac:dyDescent="0.35">
      <c r="N166" s="108"/>
      <c r="O166" s="108"/>
    </row>
    <row r="167" spans="14:15" x14ac:dyDescent="0.35">
      <c r="N167" s="108"/>
      <c r="O167" s="108"/>
    </row>
    <row r="168" spans="14:15" x14ac:dyDescent="0.35">
      <c r="N168" s="108"/>
      <c r="O168" s="108"/>
    </row>
    <row r="169" spans="14:15" x14ac:dyDescent="0.35">
      <c r="N169" s="108"/>
      <c r="O169" s="108"/>
    </row>
    <row r="170" spans="14:15" x14ac:dyDescent="0.35">
      <c r="N170" s="108"/>
      <c r="O170" s="108"/>
    </row>
    <row r="171" spans="14:15" x14ac:dyDescent="0.35">
      <c r="N171" s="108"/>
      <c r="O171" s="108"/>
    </row>
    <row r="172" spans="14:15" x14ac:dyDescent="0.35">
      <c r="N172" s="108"/>
      <c r="O172" s="108"/>
    </row>
    <row r="173" spans="14:15" x14ac:dyDescent="0.35">
      <c r="N173" s="108"/>
      <c r="O173" s="108"/>
    </row>
    <row r="174" spans="14:15" x14ac:dyDescent="0.35">
      <c r="N174" s="108"/>
      <c r="O174" s="108"/>
    </row>
    <row r="175" spans="14:15" x14ac:dyDescent="0.35">
      <c r="N175" s="108"/>
      <c r="O175" s="108"/>
    </row>
    <row r="176" spans="14:15" x14ac:dyDescent="0.35">
      <c r="N176" s="108"/>
      <c r="O176" s="108"/>
    </row>
    <row r="177" spans="14:15" x14ac:dyDescent="0.35">
      <c r="N177" s="108"/>
      <c r="O177" s="108"/>
    </row>
    <row r="178" spans="14:15" x14ac:dyDescent="0.35">
      <c r="N178" s="108"/>
      <c r="O178" s="108"/>
    </row>
    <row r="179" spans="14:15" x14ac:dyDescent="0.35">
      <c r="N179" s="108"/>
      <c r="O179" s="108"/>
    </row>
    <row r="180" spans="14:15" x14ac:dyDescent="0.35">
      <c r="N180" s="108"/>
      <c r="O180" s="108"/>
    </row>
    <row r="181" spans="14:15" x14ac:dyDescent="0.35">
      <c r="N181" s="108"/>
      <c r="O181" s="108"/>
    </row>
    <row r="182" spans="14:15" x14ac:dyDescent="0.35">
      <c r="N182" s="108"/>
      <c r="O182" s="108"/>
    </row>
    <row r="183" spans="14:15" x14ac:dyDescent="0.35">
      <c r="N183" s="108"/>
      <c r="O183" s="108"/>
    </row>
    <row r="184" spans="14:15" x14ac:dyDescent="0.35">
      <c r="N184" s="108"/>
      <c r="O184" s="108"/>
    </row>
    <row r="185" spans="14:15" x14ac:dyDescent="0.35">
      <c r="N185" s="108"/>
      <c r="O185" s="108"/>
    </row>
    <row r="186" spans="14:15" x14ac:dyDescent="0.35">
      <c r="N186" s="108"/>
      <c r="O186" s="108"/>
    </row>
    <row r="187" spans="14:15" x14ac:dyDescent="0.35">
      <c r="N187" s="108"/>
      <c r="O187" s="108"/>
    </row>
    <row r="188" spans="14:15" x14ac:dyDescent="0.35">
      <c r="N188" s="108"/>
      <c r="O188" s="108"/>
    </row>
    <row r="189" spans="14:15" x14ac:dyDescent="0.35">
      <c r="N189" s="108"/>
      <c r="O189" s="108"/>
    </row>
    <row r="190" spans="14:15" x14ac:dyDescent="0.35">
      <c r="N190" s="108"/>
      <c r="O190" s="108"/>
    </row>
    <row r="191" spans="14:15" x14ac:dyDescent="0.35">
      <c r="N191" s="108"/>
      <c r="O191" s="108"/>
    </row>
    <row r="192" spans="14:15" x14ac:dyDescent="0.35">
      <c r="N192" s="108"/>
      <c r="O192" s="108"/>
    </row>
    <row r="193" spans="14:15" x14ac:dyDescent="0.35">
      <c r="N193" s="108"/>
      <c r="O193" s="108"/>
    </row>
    <row r="194" spans="14:15" x14ac:dyDescent="0.35">
      <c r="N194" s="108"/>
      <c r="O194" s="108"/>
    </row>
    <row r="195" spans="14:15" x14ac:dyDescent="0.35">
      <c r="N195" s="108"/>
      <c r="O195" s="108"/>
    </row>
    <row r="196" spans="14:15" x14ac:dyDescent="0.35">
      <c r="N196" s="108"/>
      <c r="O196" s="108"/>
    </row>
    <row r="197" spans="14:15" x14ac:dyDescent="0.35">
      <c r="N197" s="108"/>
      <c r="O197" s="108"/>
    </row>
    <row r="198" spans="14:15" x14ac:dyDescent="0.35">
      <c r="N198" s="108"/>
      <c r="O198" s="108"/>
    </row>
    <row r="199" spans="14:15" x14ac:dyDescent="0.35">
      <c r="N199" s="108"/>
      <c r="O199" s="108"/>
    </row>
    <row r="200" spans="14:15" x14ac:dyDescent="0.35">
      <c r="N200" s="108"/>
      <c r="O200" s="108"/>
    </row>
    <row r="201" spans="14:15" x14ac:dyDescent="0.35">
      <c r="N201" s="108"/>
      <c r="O201" s="108"/>
    </row>
    <row r="202" spans="14:15" x14ac:dyDescent="0.35">
      <c r="N202" s="108"/>
      <c r="O202" s="108"/>
    </row>
    <row r="203" spans="14:15" x14ac:dyDescent="0.35">
      <c r="N203" s="108"/>
      <c r="O203" s="108"/>
    </row>
    <row r="204" spans="14:15" x14ac:dyDescent="0.35">
      <c r="N204" s="108"/>
      <c r="O204" s="108"/>
    </row>
    <row r="205" spans="14:15" x14ac:dyDescent="0.35">
      <c r="N205" s="108"/>
      <c r="O205" s="108"/>
    </row>
    <row r="206" spans="14:15" x14ac:dyDescent="0.35">
      <c r="N206" s="108"/>
      <c r="O206" s="108"/>
    </row>
    <row r="207" spans="14:15" x14ac:dyDescent="0.35">
      <c r="N207" s="108"/>
      <c r="O207" s="108"/>
    </row>
    <row r="208" spans="14:15" x14ac:dyDescent="0.35">
      <c r="N208" s="108"/>
      <c r="O208" s="108"/>
    </row>
    <row r="209" spans="14:15" x14ac:dyDescent="0.35">
      <c r="N209" s="108"/>
      <c r="O209" s="108"/>
    </row>
    <row r="210" spans="14:15" x14ac:dyDescent="0.35">
      <c r="N210" s="108"/>
      <c r="O210" s="108"/>
    </row>
    <row r="211" spans="14:15" x14ac:dyDescent="0.35">
      <c r="N211" s="108"/>
      <c r="O211" s="108"/>
    </row>
    <row r="212" spans="14:15" x14ac:dyDescent="0.35">
      <c r="N212" s="108"/>
      <c r="O212" s="108"/>
    </row>
    <row r="213" spans="14:15" x14ac:dyDescent="0.35">
      <c r="N213" s="108"/>
      <c r="O213" s="108"/>
    </row>
    <row r="214" spans="14:15" x14ac:dyDescent="0.35">
      <c r="N214" s="108"/>
      <c r="O214" s="108"/>
    </row>
    <row r="215" spans="14:15" x14ac:dyDescent="0.35">
      <c r="N215" s="108"/>
      <c r="O215" s="108"/>
    </row>
    <row r="216" spans="14:15" x14ac:dyDescent="0.35">
      <c r="N216" s="108"/>
      <c r="O216" s="108"/>
    </row>
    <row r="217" spans="14:15" x14ac:dyDescent="0.35">
      <c r="N217" s="108"/>
      <c r="O217" s="108"/>
    </row>
    <row r="218" spans="14:15" x14ac:dyDescent="0.35">
      <c r="N218" s="108"/>
      <c r="O218" s="108"/>
    </row>
    <row r="219" spans="14:15" x14ac:dyDescent="0.35">
      <c r="N219" s="108"/>
      <c r="O219" s="108"/>
    </row>
    <row r="220" spans="14:15" x14ac:dyDescent="0.35">
      <c r="N220" s="108"/>
      <c r="O220" s="108"/>
    </row>
    <row r="221" spans="14:15" x14ac:dyDescent="0.35">
      <c r="N221" s="108"/>
      <c r="O221" s="108"/>
    </row>
    <row r="222" spans="14:15" x14ac:dyDescent="0.35">
      <c r="N222" s="108"/>
      <c r="O222" s="108"/>
    </row>
    <row r="223" spans="14:15" x14ac:dyDescent="0.35">
      <c r="N223" s="108"/>
      <c r="O223" s="108"/>
    </row>
    <row r="224" spans="14:15" x14ac:dyDescent="0.35">
      <c r="N224" s="108"/>
      <c r="O224" s="108"/>
    </row>
    <row r="225" spans="14:15" x14ac:dyDescent="0.35">
      <c r="N225" s="108"/>
      <c r="O225" s="108"/>
    </row>
    <row r="226" spans="14:15" x14ac:dyDescent="0.35">
      <c r="N226" s="108"/>
      <c r="O226" s="108"/>
    </row>
    <row r="227" spans="14:15" x14ac:dyDescent="0.35">
      <c r="N227" s="108"/>
      <c r="O227" s="108"/>
    </row>
    <row r="228" spans="14:15" x14ac:dyDescent="0.35">
      <c r="N228" s="108"/>
      <c r="O228" s="108"/>
    </row>
    <row r="229" spans="14:15" x14ac:dyDescent="0.35">
      <c r="N229" s="108"/>
      <c r="O229" s="108"/>
    </row>
    <row r="230" spans="14:15" x14ac:dyDescent="0.35">
      <c r="N230" s="108"/>
      <c r="O230" s="108"/>
    </row>
    <row r="231" spans="14:15" x14ac:dyDescent="0.35">
      <c r="N231" s="108"/>
      <c r="O231" s="108"/>
    </row>
    <row r="232" spans="14:15" x14ac:dyDescent="0.35">
      <c r="N232" s="108"/>
      <c r="O232" s="108"/>
    </row>
    <row r="233" spans="14:15" x14ac:dyDescent="0.35">
      <c r="N233" s="108"/>
      <c r="O233" s="108"/>
    </row>
    <row r="234" spans="14:15" x14ac:dyDescent="0.35">
      <c r="N234" s="108"/>
      <c r="O234" s="108"/>
    </row>
    <row r="235" spans="14:15" x14ac:dyDescent="0.35">
      <c r="N235" s="108"/>
      <c r="O235" s="108"/>
    </row>
    <row r="236" spans="14:15" x14ac:dyDescent="0.35">
      <c r="N236" s="108"/>
      <c r="O236" s="108"/>
    </row>
    <row r="237" spans="14:15" x14ac:dyDescent="0.35">
      <c r="N237" s="108"/>
      <c r="O237" s="108"/>
    </row>
    <row r="238" spans="14:15" x14ac:dyDescent="0.35">
      <c r="N238" s="108"/>
      <c r="O238" s="108"/>
    </row>
    <row r="239" spans="14:15" x14ac:dyDescent="0.35">
      <c r="N239" s="108"/>
      <c r="O239" s="108"/>
    </row>
    <row r="240" spans="14:15" x14ac:dyDescent="0.35">
      <c r="N240" s="108"/>
      <c r="O240" s="108"/>
    </row>
    <row r="241" spans="14:15" x14ac:dyDescent="0.35">
      <c r="N241" s="108"/>
      <c r="O241" s="108"/>
    </row>
    <row r="242" spans="14:15" x14ac:dyDescent="0.35">
      <c r="N242" s="108"/>
      <c r="O242" s="108"/>
    </row>
    <row r="243" spans="14:15" x14ac:dyDescent="0.35">
      <c r="N243" s="108"/>
      <c r="O243" s="108"/>
    </row>
    <row r="244" spans="14:15" x14ac:dyDescent="0.35">
      <c r="N244" s="108"/>
      <c r="O244" s="108"/>
    </row>
    <row r="245" spans="14:15" x14ac:dyDescent="0.35">
      <c r="N245" s="108"/>
      <c r="O245" s="108"/>
    </row>
    <row r="246" spans="14:15" x14ac:dyDescent="0.35">
      <c r="N246" s="108"/>
      <c r="O246" s="108"/>
    </row>
    <row r="247" spans="14:15" x14ac:dyDescent="0.35">
      <c r="N247" s="108"/>
      <c r="O247" s="108"/>
    </row>
    <row r="248" spans="14:15" x14ac:dyDescent="0.35">
      <c r="N248" s="108"/>
      <c r="O248" s="108"/>
    </row>
    <row r="249" spans="14:15" x14ac:dyDescent="0.35">
      <c r="N249" s="108"/>
      <c r="O249" s="108"/>
    </row>
    <row r="250" spans="14:15" x14ac:dyDescent="0.35">
      <c r="N250" s="108"/>
      <c r="O250" s="108"/>
    </row>
    <row r="251" spans="14:15" x14ac:dyDescent="0.35">
      <c r="N251" s="108"/>
      <c r="O251" s="108"/>
    </row>
    <row r="252" spans="14:15" x14ac:dyDescent="0.35">
      <c r="N252" s="108"/>
      <c r="O252" s="108"/>
    </row>
    <row r="253" spans="14:15" x14ac:dyDescent="0.35">
      <c r="N253" s="108"/>
      <c r="O253" s="108"/>
    </row>
    <row r="254" spans="14:15" x14ac:dyDescent="0.35">
      <c r="N254" s="108"/>
      <c r="O254" s="108"/>
    </row>
    <row r="255" spans="14:15" x14ac:dyDescent="0.35">
      <c r="N255" s="108"/>
      <c r="O255" s="108"/>
    </row>
    <row r="256" spans="14:15" x14ac:dyDescent="0.35">
      <c r="N256" s="108"/>
      <c r="O256" s="108"/>
    </row>
    <row r="257" spans="14:15" x14ac:dyDescent="0.35">
      <c r="N257" s="108"/>
      <c r="O257" s="108"/>
    </row>
    <row r="258" spans="14:15" x14ac:dyDescent="0.35">
      <c r="N258" s="108"/>
      <c r="O258" s="108"/>
    </row>
    <row r="259" spans="14:15" x14ac:dyDescent="0.35">
      <c r="N259" s="108"/>
      <c r="O259" s="108"/>
    </row>
    <row r="260" spans="14:15" x14ac:dyDescent="0.35">
      <c r="N260" s="108"/>
      <c r="O260" s="108"/>
    </row>
    <row r="261" spans="14:15" x14ac:dyDescent="0.35">
      <c r="N261" s="108"/>
      <c r="O261" s="108"/>
    </row>
    <row r="262" spans="14:15" x14ac:dyDescent="0.35">
      <c r="N262" s="108"/>
      <c r="O262" s="108"/>
    </row>
    <row r="263" spans="14:15" x14ac:dyDescent="0.35">
      <c r="N263" s="108"/>
      <c r="O263" s="108"/>
    </row>
    <row r="264" spans="14:15" x14ac:dyDescent="0.35">
      <c r="N264" s="108"/>
      <c r="O264" s="108"/>
    </row>
    <row r="265" spans="14:15" x14ac:dyDescent="0.35">
      <c r="N265" s="108"/>
      <c r="O265" s="108"/>
    </row>
    <row r="266" spans="14:15" x14ac:dyDescent="0.35">
      <c r="N266" s="108"/>
      <c r="O266" s="108"/>
    </row>
    <row r="267" spans="14:15" x14ac:dyDescent="0.35">
      <c r="N267" s="108"/>
      <c r="O267" s="108"/>
    </row>
    <row r="268" spans="14:15" x14ac:dyDescent="0.35">
      <c r="N268" s="108"/>
      <c r="O268" s="108"/>
    </row>
    <row r="269" spans="14:15" x14ac:dyDescent="0.35">
      <c r="N269" s="108"/>
      <c r="O269" s="108"/>
    </row>
    <row r="270" spans="14:15" x14ac:dyDescent="0.35">
      <c r="N270" s="108"/>
      <c r="O270" s="108"/>
    </row>
    <row r="271" spans="14:15" x14ac:dyDescent="0.35">
      <c r="N271" s="108"/>
      <c r="O271" s="108"/>
    </row>
    <row r="272" spans="14:15" x14ac:dyDescent="0.35">
      <c r="N272" s="108"/>
      <c r="O272" s="108"/>
    </row>
    <row r="273" spans="14:15" x14ac:dyDescent="0.35">
      <c r="N273" s="108"/>
      <c r="O273" s="108"/>
    </row>
    <row r="274" spans="14:15" x14ac:dyDescent="0.35">
      <c r="N274" s="108"/>
      <c r="O274" s="108"/>
    </row>
    <row r="275" spans="14:15" x14ac:dyDescent="0.35">
      <c r="N275" s="108"/>
      <c r="O275" s="108"/>
    </row>
    <row r="276" spans="14:15" x14ac:dyDescent="0.35">
      <c r="N276" s="108"/>
      <c r="O276" s="108"/>
    </row>
    <row r="277" spans="14:15" x14ac:dyDescent="0.35">
      <c r="N277" s="108"/>
      <c r="O277" s="108"/>
    </row>
    <row r="278" spans="14:15" x14ac:dyDescent="0.35">
      <c r="N278" s="108"/>
      <c r="O278" s="108"/>
    </row>
    <row r="279" spans="14:15" x14ac:dyDescent="0.35">
      <c r="N279" s="108"/>
      <c r="O279" s="108"/>
    </row>
    <row r="280" spans="14:15" x14ac:dyDescent="0.35">
      <c r="N280" s="108"/>
      <c r="O280" s="108"/>
    </row>
    <row r="281" spans="14:15" x14ac:dyDescent="0.35">
      <c r="N281" s="108"/>
      <c r="O281" s="108"/>
    </row>
    <row r="282" spans="14:15" x14ac:dyDescent="0.35">
      <c r="N282" s="108"/>
      <c r="O282" s="108"/>
    </row>
    <row r="283" spans="14:15" x14ac:dyDescent="0.35">
      <c r="N283" s="108"/>
      <c r="O283" s="108"/>
    </row>
    <row r="284" spans="14:15" x14ac:dyDescent="0.35">
      <c r="N284" s="108"/>
      <c r="O284" s="108"/>
    </row>
    <row r="285" spans="14:15" x14ac:dyDescent="0.35">
      <c r="N285" s="108"/>
      <c r="O285" s="108"/>
    </row>
    <row r="286" spans="14:15" x14ac:dyDescent="0.35">
      <c r="N286" s="108"/>
      <c r="O286" s="108"/>
    </row>
    <row r="287" spans="14:15" x14ac:dyDescent="0.35">
      <c r="N287" s="108"/>
      <c r="O287" s="108"/>
    </row>
    <row r="288" spans="14:15" x14ac:dyDescent="0.35">
      <c r="N288" s="108"/>
      <c r="O288" s="108"/>
    </row>
    <row r="289" spans="14:15" x14ac:dyDescent="0.35">
      <c r="N289" s="108"/>
      <c r="O289" s="108"/>
    </row>
    <row r="290" spans="14:15" x14ac:dyDescent="0.35">
      <c r="N290" s="108"/>
      <c r="O290" s="108"/>
    </row>
    <row r="291" spans="14:15" x14ac:dyDescent="0.35">
      <c r="N291" s="108"/>
      <c r="O291" s="108"/>
    </row>
    <row r="292" spans="14:15" x14ac:dyDescent="0.35">
      <c r="N292" s="108"/>
      <c r="O292" s="108"/>
    </row>
    <row r="293" spans="14:15" x14ac:dyDescent="0.35">
      <c r="N293" s="108"/>
      <c r="O293" s="108"/>
    </row>
    <row r="294" spans="14:15" x14ac:dyDescent="0.35">
      <c r="N294" s="108"/>
      <c r="O294" s="108"/>
    </row>
    <row r="295" spans="14:15" x14ac:dyDescent="0.35">
      <c r="N295" s="108"/>
      <c r="O295" s="108"/>
    </row>
    <row r="296" spans="14:15" x14ac:dyDescent="0.35">
      <c r="N296" s="108"/>
      <c r="O296" s="108"/>
    </row>
    <row r="297" spans="14:15" x14ac:dyDescent="0.35">
      <c r="N297" s="108"/>
      <c r="O297" s="108"/>
    </row>
    <row r="298" spans="14:15" x14ac:dyDescent="0.35">
      <c r="N298" s="108"/>
      <c r="O298" s="108"/>
    </row>
    <row r="299" spans="14:15" x14ac:dyDescent="0.35">
      <c r="N299" s="108"/>
      <c r="O299" s="108"/>
    </row>
    <row r="300" spans="14:15" x14ac:dyDescent="0.35">
      <c r="N300" s="108"/>
      <c r="O300" s="108"/>
    </row>
    <row r="301" spans="14:15" x14ac:dyDescent="0.35">
      <c r="N301" s="108"/>
      <c r="O301" s="108"/>
    </row>
    <row r="302" spans="14:15" x14ac:dyDescent="0.35">
      <c r="N302" s="108"/>
      <c r="O302" s="108"/>
    </row>
    <row r="303" spans="14:15" x14ac:dyDescent="0.35">
      <c r="N303" s="108"/>
      <c r="O303" s="108"/>
    </row>
    <row r="304" spans="14:15" x14ac:dyDescent="0.35">
      <c r="N304" s="108"/>
      <c r="O304" s="108"/>
    </row>
    <row r="305" spans="14:15" x14ac:dyDescent="0.35">
      <c r="N305" s="108"/>
      <c r="O305" s="108"/>
    </row>
    <row r="306" spans="14:15" x14ac:dyDescent="0.35">
      <c r="N306" s="108"/>
      <c r="O306" s="108"/>
    </row>
    <row r="307" spans="14:15" x14ac:dyDescent="0.35">
      <c r="N307" s="108"/>
      <c r="O307" s="108"/>
    </row>
    <row r="308" spans="14:15" x14ac:dyDescent="0.35">
      <c r="N308" s="108"/>
      <c r="O308" s="108"/>
    </row>
    <row r="309" spans="14:15" x14ac:dyDescent="0.35">
      <c r="N309" s="108"/>
      <c r="O309" s="108"/>
    </row>
    <row r="310" spans="14:15" x14ac:dyDescent="0.35">
      <c r="N310" s="108"/>
      <c r="O310" s="108"/>
    </row>
    <row r="311" spans="14:15" x14ac:dyDescent="0.35">
      <c r="N311" s="108"/>
      <c r="O311" s="108"/>
    </row>
    <row r="312" spans="14:15" x14ac:dyDescent="0.35">
      <c r="N312" s="108"/>
      <c r="O312" s="108"/>
    </row>
    <row r="313" spans="14:15" x14ac:dyDescent="0.35">
      <c r="N313" s="108"/>
      <c r="O313" s="108"/>
    </row>
    <row r="314" spans="14:15" x14ac:dyDescent="0.35">
      <c r="N314" s="108"/>
      <c r="O314" s="108"/>
    </row>
    <row r="315" spans="14:15" x14ac:dyDescent="0.35">
      <c r="N315" s="108"/>
      <c r="O315" s="108"/>
    </row>
    <row r="316" spans="14:15" x14ac:dyDescent="0.35">
      <c r="N316" s="108"/>
      <c r="O316" s="108"/>
    </row>
    <row r="317" spans="14:15" x14ac:dyDescent="0.35">
      <c r="N317" s="108"/>
      <c r="O317" s="108"/>
    </row>
    <row r="318" spans="14:15" x14ac:dyDescent="0.35">
      <c r="N318" s="108"/>
      <c r="O318" s="108"/>
    </row>
    <row r="319" spans="14:15" x14ac:dyDescent="0.35">
      <c r="N319" s="108"/>
      <c r="O319" s="108"/>
    </row>
    <row r="320" spans="14:15" x14ac:dyDescent="0.35">
      <c r="N320" s="108"/>
      <c r="O320" s="108"/>
    </row>
    <row r="321" spans="14:15" x14ac:dyDescent="0.35">
      <c r="N321" s="108"/>
      <c r="O321" s="108"/>
    </row>
    <row r="322" spans="14:15" x14ac:dyDescent="0.35">
      <c r="N322" s="108"/>
      <c r="O322" s="108"/>
    </row>
    <row r="323" spans="14:15" x14ac:dyDescent="0.35">
      <c r="N323" s="108"/>
      <c r="O323" s="108"/>
    </row>
    <row r="324" spans="14:15" x14ac:dyDescent="0.35">
      <c r="N324" s="108"/>
      <c r="O324" s="108"/>
    </row>
    <row r="325" spans="14:15" x14ac:dyDescent="0.35">
      <c r="N325" s="108"/>
      <c r="O325" s="108"/>
    </row>
    <row r="326" spans="14:15" x14ac:dyDescent="0.35">
      <c r="N326" s="108"/>
      <c r="O326" s="108"/>
    </row>
    <row r="327" spans="14:15" x14ac:dyDescent="0.35">
      <c r="N327" s="108"/>
      <c r="O327" s="108"/>
    </row>
    <row r="328" spans="14:15" x14ac:dyDescent="0.35">
      <c r="N328" s="108"/>
      <c r="O328" s="108"/>
    </row>
    <row r="329" spans="14:15" x14ac:dyDescent="0.35">
      <c r="N329" s="108"/>
      <c r="O329" s="108"/>
    </row>
    <row r="330" spans="14:15" x14ac:dyDescent="0.35">
      <c r="N330" s="108"/>
      <c r="O330" s="108"/>
    </row>
    <row r="331" spans="14:15" x14ac:dyDescent="0.35">
      <c r="N331" s="108"/>
      <c r="O331" s="108"/>
    </row>
    <row r="332" spans="14:15" x14ac:dyDescent="0.35">
      <c r="N332" s="108"/>
      <c r="O332" s="108"/>
    </row>
    <row r="333" spans="14:15" x14ac:dyDescent="0.35">
      <c r="N333" s="108"/>
      <c r="O333" s="108"/>
    </row>
    <row r="334" spans="14:15" x14ac:dyDescent="0.35">
      <c r="N334" s="108"/>
      <c r="O334" s="108"/>
    </row>
    <row r="335" spans="14:15" x14ac:dyDescent="0.35">
      <c r="N335" s="108"/>
      <c r="O335" s="108"/>
    </row>
    <row r="336" spans="14:15" x14ac:dyDescent="0.35">
      <c r="N336" s="108"/>
      <c r="O336" s="108"/>
    </row>
    <row r="337" spans="14:15" x14ac:dyDescent="0.35">
      <c r="N337" s="108"/>
      <c r="O337" s="108"/>
    </row>
    <row r="338" spans="14:15" x14ac:dyDescent="0.35">
      <c r="N338" s="108"/>
      <c r="O338" s="108"/>
    </row>
    <row r="339" spans="14:15" x14ac:dyDescent="0.35">
      <c r="N339" s="108"/>
      <c r="O339" s="108"/>
    </row>
    <row r="340" spans="14:15" x14ac:dyDescent="0.35">
      <c r="N340" s="108"/>
      <c r="O340" s="108"/>
    </row>
    <row r="341" spans="14:15" x14ac:dyDescent="0.35">
      <c r="N341" s="108"/>
      <c r="O341" s="108"/>
    </row>
    <row r="342" spans="14:15" x14ac:dyDescent="0.35">
      <c r="N342" s="108"/>
      <c r="O342" s="108"/>
    </row>
    <row r="343" spans="14:15" x14ac:dyDescent="0.35">
      <c r="N343" s="108"/>
      <c r="O343" s="108"/>
    </row>
    <row r="344" spans="14:15" x14ac:dyDescent="0.35">
      <c r="N344" s="108"/>
      <c r="O344" s="108"/>
    </row>
    <row r="345" spans="14:15" x14ac:dyDescent="0.35">
      <c r="N345" s="108"/>
      <c r="O345" s="108"/>
    </row>
    <row r="346" spans="14:15" x14ac:dyDescent="0.35">
      <c r="N346" s="108"/>
      <c r="O346" s="108"/>
    </row>
    <row r="347" spans="14:15" x14ac:dyDescent="0.35">
      <c r="N347" s="108"/>
      <c r="O347" s="108"/>
    </row>
    <row r="348" spans="14:15" x14ac:dyDescent="0.35">
      <c r="N348" s="108"/>
      <c r="O348" s="108"/>
    </row>
    <row r="349" spans="14:15" x14ac:dyDescent="0.35">
      <c r="N349" s="108"/>
      <c r="O349" s="108"/>
    </row>
    <row r="350" spans="14:15" x14ac:dyDescent="0.35">
      <c r="N350" s="108"/>
      <c r="O350" s="108"/>
    </row>
    <row r="351" spans="14:15" x14ac:dyDescent="0.35">
      <c r="N351" s="108"/>
      <c r="O351" s="108"/>
    </row>
    <row r="352" spans="14:15" x14ac:dyDescent="0.35">
      <c r="N352" s="108"/>
      <c r="O352" s="108"/>
    </row>
    <row r="353" spans="14:15" x14ac:dyDescent="0.35">
      <c r="N353" s="108"/>
      <c r="O353" s="108"/>
    </row>
    <row r="354" spans="14:15" x14ac:dyDescent="0.35">
      <c r="N354" s="108"/>
      <c r="O354" s="108"/>
    </row>
    <row r="355" spans="14:15" x14ac:dyDescent="0.35">
      <c r="N355" s="108"/>
      <c r="O355" s="108"/>
    </row>
    <row r="356" spans="14:15" x14ac:dyDescent="0.35">
      <c r="N356" s="108"/>
      <c r="O356" s="108"/>
    </row>
    <row r="357" spans="14:15" x14ac:dyDescent="0.35">
      <c r="N357" s="108"/>
      <c r="O357" s="108"/>
    </row>
    <row r="358" spans="14:15" x14ac:dyDescent="0.35">
      <c r="N358" s="108"/>
      <c r="O358" s="108"/>
    </row>
    <row r="359" spans="14:15" x14ac:dyDescent="0.35">
      <c r="N359" s="108"/>
      <c r="O359" s="108"/>
    </row>
    <row r="360" spans="14:15" x14ac:dyDescent="0.35">
      <c r="N360" s="108"/>
      <c r="O360" s="108"/>
    </row>
    <row r="361" spans="14:15" x14ac:dyDescent="0.35">
      <c r="N361" s="108"/>
      <c r="O361" s="108"/>
    </row>
    <row r="362" spans="14:15" x14ac:dyDescent="0.35">
      <c r="N362" s="108"/>
      <c r="O362" s="108"/>
    </row>
    <row r="363" spans="14:15" x14ac:dyDescent="0.35">
      <c r="N363" s="108"/>
      <c r="O363" s="108"/>
    </row>
    <row r="364" spans="14:15" x14ac:dyDescent="0.35">
      <c r="N364" s="108"/>
      <c r="O364" s="108"/>
    </row>
    <row r="365" spans="14:15" x14ac:dyDescent="0.35">
      <c r="N365" s="108"/>
      <c r="O365" s="108"/>
    </row>
    <row r="366" spans="14:15" x14ac:dyDescent="0.35">
      <c r="N366" s="108"/>
      <c r="O366" s="108"/>
    </row>
    <row r="367" spans="14:15" x14ac:dyDescent="0.35">
      <c r="N367" s="108"/>
      <c r="O367" s="108"/>
    </row>
    <row r="368" spans="14:15" x14ac:dyDescent="0.35">
      <c r="N368" s="108"/>
      <c r="O368" s="108"/>
    </row>
    <row r="369" spans="14:15" x14ac:dyDescent="0.35">
      <c r="N369" s="108"/>
      <c r="O369" s="108"/>
    </row>
    <row r="370" spans="14:15" x14ac:dyDescent="0.35">
      <c r="N370" s="108"/>
      <c r="O370" s="108"/>
    </row>
    <row r="371" spans="14:15" x14ac:dyDescent="0.35">
      <c r="N371" s="108"/>
      <c r="O371" s="108"/>
    </row>
    <row r="372" spans="14:15" x14ac:dyDescent="0.35">
      <c r="N372" s="108"/>
      <c r="O372" s="108"/>
    </row>
    <row r="373" spans="14:15" x14ac:dyDescent="0.35">
      <c r="N373" s="108"/>
      <c r="O373" s="108"/>
    </row>
    <row r="374" spans="14:15" x14ac:dyDescent="0.35">
      <c r="N374" s="108"/>
      <c r="O374" s="108"/>
    </row>
    <row r="375" spans="14:15" x14ac:dyDescent="0.35">
      <c r="N375" s="108"/>
      <c r="O375" s="108"/>
    </row>
    <row r="376" spans="14:15" x14ac:dyDescent="0.35">
      <c r="N376" s="108"/>
      <c r="O376" s="108"/>
    </row>
    <row r="377" spans="14:15" x14ac:dyDescent="0.35">
      <c r="N377" s="108"/>
      <c r="O377" s="108"/>
    </row>
    <row r="378" spans="14:15" x14ac:dyDescent="0.35">
      <c r="N378" s="108"/>
      <c r="O378" s="108"/>
    </row>
    <row r="379" spans="14:15" x14ac:dyDescent="0.35">
      <c r="N379" s="108"/>
      <c r="O379" s="108"/>
    </row>
    <row r="380" spans="14:15" x14ac:dyDescent="0.35">
      <c r="N380" s="108"/>
      <c r="O380" s="108"/>
    </row>
    <row r="381" spans="14:15" x14ac:dyDescent="0.35">
      <c r="N381" s="108"/>
      <c r="O381" s="108"/>
    </row>
    <row r="382" spans="14:15" x14ac:dyDescent="0.35">
      <c r="N382" s="108"/>
      <c r="O382" s="108"/>
    </row>
    <row r="383" spans="14:15" x14ac:dyDescent="0.35">
      <c r="N383" s="108"/>
      <c r="O383" s="108"/>
    </row>
    <row r="384" spans="14:15" x14ac:dyDescent="0.35">
      <c r="N384" s="108"/>
      <c r="O384" s="108"/>
    </row>
    <row r="385" spans="14:15" x14ac:dyDescent="0.35">
      <c r="N385" s="108"/>
      <c r="O385" s="108"/>
    </row>
    <row r="386" spans="14:15" x14ac:dyDescent="0.35">
      <c r="N386" s="108"/>
      <c r="O386" s="108"/>
    </row>
    <row r="387" spans="14:15" x14ac:dyDescent="0.35">
      <c r="N387" s="108"/>
      <c r="O387" s="108"/>
    </row>
    <row r="388" spans="14:15" x14ac:dyDescent="0.35">
      <c r="N388" s="108"/>
      <c r="O388" s="108"/>
    </row>
    <row r="389" spans="14:15" x14ac:dyDescent="0.35">
      <c r="N389" s="108"/>
      <c r="O389" s="108"/>
    </row>
    <row r="390" spans="14:15" x14ac:dyDescent="0.35">
      <c r="N390" s="108"/>
      <c r="O390" s="108"/>
    </row>
    <row r="391" spans="14:15" x14ac:dyDescent="0.35">
      <c r="N391" s="108"/>
      <c r="O391" s="108"/>
    </row>
    <row r="392" spans="14:15" x14ac:dyDescent="0.35">
      <c r="N392" s="108"/>
      <c r="O392" s="108"/>
    </row>
    <row r="393" spans="14:15" x14ac:dyDescent="0.35">
      <c r="N393" s="108"/>
      <c r="O393" s="108"/>
    </row>
    <row r="394" spans="14:15" x14ac:dyDescent="0.35">
      <c r="N394" s="108"/>
      <c r="O394" s="108"/>
    </row>
    <row r="395" spans="14:15" x14ac:dyDescent="0.35">
      <c r="N395" s="108"/>
      <c r="O395" s="108"/>
    </row>
    <row r="396" spans="14:15" x14ac:dyDescent="0.35">
      <c r="N396" s="108"/>
      <c r="O396" s="108"/>
    </row>
    <row r="397" spans="14:15" x14ac:dyDescent="0.35">
      <c r="N397" s="108"/>
      <c r="O397" s="108"/>
    </row>
    <row r="398" spans="14:15" x14ac:dyDescent="0.35">
      <c r="N398" s="108"/>
      <c r="O398" s="108"/>
    </row>
    <row r="399" spans="14:15" x14ac:dyDescent="0.35">
      <c r="N399" s="108"/>
      <c r="O399" s="108"/>
    </row>
    <row r="400" spans="14:15" x14ac:dyDescent="0.35">
      <c r="N400" s="108"/>
      <c r="O400" s="108"/>
    </row>
    <row r="401" spans="14:15" x14ac:dyDescent="0.35">
      <c r="N401" s="108"/>
      <c r="O401" s="108"/>
    </row>
    <row r="402" spans="14:15" x14ac:dyDescent="0.35">
      <c r="N402" s="108"/>
      <c r="O402" s="108"/>
    </row>
    <row r="403" spans="14:15" x14ac:dyDescent="0.35">
      <c r="N403" s="108"/>
      <c r="O403" s="108"/>
    </row>
    <row r="404" spans="14:15" x14ac:dyDescent="0.35">
      <c r="N404" s="108"/>
      <c r="O404" s="108"/>
    </row>
    <row r="405" spans="14:15" x14ac:dyDescent="0.35">
      <c r="N405" s="108"/>
      <c r="O405" s="108"/>
    </row>
    <row r="406" spans="14:15" x14ac:dyDescent="0.35">
      <c r="N406" s="108"/>
      <c r="O406" s="108"/>
    </row>
    <row r="407" spans="14:15" x14ac:dyDescent="0.35">
      <c r="N407" s="108"/>
      <c r="O407" s="108"/>
    </row>
    <row r="408" spans="14:15" x14ac:dyDescent="0.35">
      <c r="N408" s="108"/>
      <c r="O408" s="108"/>
    </row>
    <row r="409" spans="14:15" x14ac:dyDescent="0.35">
      <c r="N409" s="108"/>
      <c r="O409" s="108"/>
    </row>
    <row r="410" spans="14:15" x14ac:dyDescent="0.35">
      <c r="N410" s="108"/>
      <c r="O410" s="108"/>
    </row>
    <row r="411" spans="14:15" x14ac:dyDescent="0.35">
      <c r="N411" s="108"/>
      <c r="O411" s="108"/>
    </row>
    <row r="412" spans="14:15" x14ac:dyDescent="0.35">
      <c r="N412" s="108"/>
      <c r="O412" s="108"/>
    </row>
    <row r="413" spans="14:15" x14ac:dyDescent="0.35">
      <c r="N413" s="108"/>
      <c r="O413" s="108"/>
    </row>
    <row r="414" spans="14:15" x14ac:dyDescent="0.35">
      <c r="N414" s="108"/>
      <c r="O414" s="108"/>
    </row>
    <row r="415" spans="14:15" x14ac:dyDescent="0.35">
      <c r="N415" s="108"/>
      <c r="O415" s="108"/>
    </row>
    <row r="416" spans="14:15" x14ac:dyDescent="0.35">
      <c r="N416" s="108"/>
      <c r="O416" s="108"/>
    </row>
    <row r="417" spans="14:15" x14ac:dyDescent="0.35">
      <c r="N417" s="108"/>
      <c r="O417" s="108"/>
    </row>
    <row r="418" spans="14:15" x14ac:dyDescent="0.35">
      <c r="N418" s="108"/>
      <c r="O418" s="108"/>
    </row>
    <row r="419" spans="14:15" x14ac:dyDescent="0.35">
      <c r="N419" s="108"/>
      <c r="O419" s="108"/>
    </row>
    <row r="420" spans="14:15" x14ac:dyDescent="0.35">
      <c r="N420" s="108"/>
      <c r="O420" s="108"/>
    </row>
    <row r="421" spans="14:15" x14ac:dyDescent="0.35">
      <c r="N421" s="108"/>
      <c r="O421" s="108"/>
    </row>
    <row r="422" spans="14:15" x14ac:dyDescent="0.35">
      <c r="N422" s="108"/>
      <c r="O422" s="108"/>
    </row>
    <row r="423" spans="14:15" x14ac:dyDescent="0.35">
      <c r="N423" s="108"/>
      <c r="O423" s="108"/>
    </row>
    <row r="424" spans="14:15" x14ac:dyDescent="0.35">
      <c r="N424" s="108"/>
      <c r="O424" s="108"/>
    </row>
    <row r="425" spans="14:15" x14ac:dyDescent="0.35">
      <c r="N425" s="108"/>
      <c r="O425" s="108"/>
    </row>
    <row r="426" spans="14:15" x14ac:dyDescent="0.35">
      <c r="N426" s="108"/>
      <c r="O426" s="108"/>
    </row>
    <row r="427" spans="14:15" x14ac:dyDescent="0.35">
      <c r="N427" s="108"/>
      <c r="O427" s="108"/>
    </row>
    <row r="428" spans="14:15" x14ac:dyDescent="0.35">
      <c r="N428" s="108"/>
      <c r="O428" s="108"/>
    </row>
    <row r="429" spans="14:15" x14ac:dyDescent="0.35">
      <c r="N429" s="108"/>
      <c r="O429" s="108"/>
    </row>
    <row r="430" spans="14:15" x14ac:dyDescent="0.35">
      <c r="N430" s="108"/>
      <c r="O430" s="108"/>
    </row>
    <row r="431" spans="14:15" x14ac:dyDescent="0.35">
      <c r="N431" s="108"/>
      <c r="O431" s="108"/>
    </row>
    <row r="432" spans="14:15" x14ac:dyDescent="0.35">
      <c r="N432" s="108"/>
      <c r="O432" s="108"/>
    </row>
    <row r="433" spans="14:15" x14ac:dyDescent="0.35">
      <c r="N433" s="108"/>
      <c r="O433" s="108"/>
    </row>
    <row r="434" spans="14:15" x14ac:dyDescent="0.35">
      <c r="N434" s="108"/>
      <c r="O434" s="108"/>
    </row>
    <row r="435" spans="14:15" x14ac:dyDescent="0.35">
      <c r="N435" s="108"/>
      <c r="O435" s="108"/>
    </row>
    <row r="436" spans="14:15" x14ac:dyDescent="0.35">
      <c r="N436" s="108"/>
      <c r="O436" s="108"/>
    </row>
    <row r="437" spans="14:15" x14ac:dyDescent="0.35">
      <c r="N437" s="108"/>
      <c r="O437" s="108"/>
    </row>
    <row r="438" spans="14:15" x14ac:dyDescent="0.35">
      <c r="N438" s="108"/>
      <c r="O438" s="108"/>
    </row>
    <row r="439" spans="14:15" x14ac:dyDescent="0.35">
      <c r="N439" s="108"/>
      <c r="O439" s="108"/>
    </row>
    <row r="440" spans="14:15" x14ac:dyDescent="0.35">
      <c r="N440" s="108"/>
      <c r="O440" s="108"/>
    </row>
    <row r="441" spans="14:15" x14ac:dyDescent="0.35">
      <c r="N441" s="108"/>
      <c r="O441" s="108"/>
    </row>
    <row r="442" spans="14:15" x14ac:dyDescent="0.35">
      <c r="N442" s="108"/>
      <c r="O442" s="108"/>
    </row>
    <row r="443" spans="14:15" x14ac:dyDescent="0.35">
      <c r="N443" s="108"/>
      <c r="O443" s="108"/>
    </row>
    <row r="444" spans="14:15" x14ac:dyDescent="0.35">
      <c r="N444" s="108"/>
      <c r="O444" s="108"/>
    </row>
    <row r="445" spans="14:15" x14ac:dyDescent="0.35">
      <c r="N445" s="108"/>
      <c r="O445" s="108"/>
    </row>
    <row r="446" spans="14:15" x14ac:dyDescent="0.35">
      <c r="N446" s="108"/>
      <c r="O446" s="108"/>
    </row>
    <row r="447" spans="14:15" x14ac:dyDescent="0.35">
      <c r="N447" s="108"/>
      <c r="O447" s="108"/>
    </row>
    <row r="448" spans="14:15" x14ac:dyDescent="0.35">
      <c r="N448" s="108"/>
      <c r="O448" s="108"/>
    </row>
    <row r="449" spans="14:15" x14ac:dyDescent="0.35">
      <c r="N449" s="108"/>
      <c r="O449" s="108"/>
    </row>
    <row r="450" spans="14:15" x14ac:dyDescent="0.35">
      <c r="N450" s="108"/>
      <c r="O450" s="108"/>
    </row>
    <row r="451" spans="14:15" x14ac:dyDescent="0.35">
      <c r="N451" s="108"/>
      <c r="O451" s="108"/>
    </row>
    <row r="452" spans="14:15" x14ac:dyDescent="0.35">
      <c r="N452" s="108"/>
      <c r="O452" s="108"/>
    </row>
    <row r="453" spans="14:15" x14ac:dyDescent="0.35">
      <c r="N453" s="108"/>
      <c r="O453" s="108"/>
    </row>
    <row r="454" spans="14:15" x14ac:dyDescent="0.35">
      <c r="N454" s="108"/>
      <c r="O454" s="108"/>
    </row>
    <row r="455" spans="14:15" x14ac:dyDescent="0.35">
      <c r="N455" s="108"/>
      <c r="O455" s="108"/>
    </row>
    <row r="456" spans="14:15" x14ac:dyDescent="0.35">
      <c r="N456" s="108"/>
      <c r="O456" s="108"/>
    </row>
    <row r="457" spans="14:15" x14ac:dyDescent="0.35">
      <c r="N457" s="108"/>
      <c r="O457" s="108"/>
    </row>
    <row r="458" spans="14:15" x14ac:dyDescent="0.35">
      <c r="N458" s="108"/>
      <c r="O458" s="108"/>
    </row>
    <row r="459" spans="14:15" x14ac:dyDescent="0.35">
      <c r="N459" s="108"/>
      <c r="O459" s="108"/>
    </row>
    <row r="460" spans="14:15" x14ac:dyDescent="0.35">
      <c r="N460" s="108"/>
      <c r="O460" s="108"/>
    </row>
    <row r="461" spans="14:15" x14ac:dyDescent="0.35">
      <c r="N461" s="108"/>
      <c r="O461" s="108"/>
    </row>
    <row r="462" spans="14:15" x14ac:dyDescent="0.35">
      <c r="N462" s="108"/>
      <c r="O462" s="108"/>
    </row>
    <row r="463" spans="14:15" x14ac:dyDescent="0.35">
      <c r="N463" s="108"/>
      <c r="O463" s="108"/>
    </row>
    <row r="464" spans="14:15" x14ac:dyDescent="0.35">
      <c r="N464" s="108"/>
      <c r="O464" s="108"/>
    </row>
    <row r="465" spans="14:15" x14ac:dyDescent="0.35">
      <c r="N465" s="108"/>
      <c r="O465" s="108"/>
    </row>
    <row r="466" spans="14:15" x14ac:dyDescent="0.35">
      <c r="N466" s="108"/>
      <c r="O466" s="108"/>
    </row>
    <row r="467" spans="14:15" x14ac:dyDescent="0.35">
      <c r="N467" s="108"/>
      <c r="O467" s="108"/>
    </row>
    <row r="468" spans="14:15" x14ac:dyDescent="0.35">
      <c r="N468" s="108"/>
      <c r="O468" s="108"/>
    </row>
    <row r="469" spans="14:15" x14ac:dyDescent="0.35">
      <c r="N469" s="108"/>
      <c r="O469" s="108"/>
    </row>
    <row r="470" spans="14:15" x14ac:dyDescent="0.35">
      <c r="N470" s="108"/>
      <c r="O470" s="108"/>
    </row>
    <row r="471" spans="14:15" x14ac:dyDescent="0.35">
      <c r="N471" s="108"/>
      <c r="O471" s="108"/>
    </row>
    <row r="472" spans="14:15" x14ac:dyDescent="0.35">
      <c r="N472" s="108"/>
      <c r="O472" s="108"/>
    </row>
    <row r="473" spans="14:15" x14ac:dyDescent="0.35">
      <c r="N473" s="108"/>
      <c r="O473" s="108"/>
    </row>
    <row r="474" spans="14:15" x14ac:dyDescent="0.35">
      <c r="N474" s="108"/>
      <c r="O474" s="108"/>
    </row>
    <row r="475" spans="14:15" x14ac:dyDescent="0.35">
      <c r="N475" s="108"/>
      <c r="O475" s="108"/>
    </row>
    <row r="476" spans="14:15" x14ac:dyDescent="0.35">
      <c r="N476" s="108"/>
      <c r="O476" s="108"/>
    </row>
    <row r="477" spans="14:15" x14ac:dyDescent="0.35">
      <c r="N477" s="108"/>
      <c r="O477" s="108"/>
    </row>
    <row r="478" spans="14:15" x14ac:dyDescent="0.35">
      <c r="N478" s="108"/>
      <c r="O478" s="108"/>
    </row>
    <row r="479" spans="14:15" x14ac:dyDescent="0.35">
      <c r="N479" s="108"/>
      <c r="O479" s="108"/>
    </row>
    <row r="480" spans="14:15" x14ac:dyDescent="0.35">
      <c r="N480" s="108"/>
      <c r="O480" s="108"/>
    </row>
    <row r="481" spans="14:15" x14ac:dyDescent="0.35">
      <c r="N481" s="108"/>
      <c r="O481" s="108"/>
    </row>
    <row r="482" spans="14:15" x14ac:dyDescent="0.35">
      <c r="N482" s="108"/>
      <c r="O482" s="108"/>
    </row>
    <row r="483" spans="14:15" x14ac:dyDescent="0.35">
      <c r="N483" s="108"/>
      <c r="O483" s="108"/>
    </row>
    <row r="484" spans="14:15" x14ac:dyDescent="0.35">
      <c r="N484" s="108"/>
      <c r="O484" s="108"/>
    </row>
    <row r="485" spans="14:15" x14ac:dyDescent="0.35">
      <c r="N485" s="108"/>
      <c r="O485" s="108"/>
    </row>
    <row r="486" spans="14:15" x14ac:dyDescent="0.35">
      <c r="N486" s="108"/>
      <c r="O486" s="108"/>
    </row>
    <row r="487" spans="14:15" x14ac:dyDescent="0.35">
      <c r="N487" s="108"/>
      <c r="O487" s="108"/>
    </row>
    <row r="488" spans="14:15" x14ac:dyDescent="0.35">
      <c r="N488" s="108"/>
      <c r="O488" s="108"/>
    </row>
    <row r="489" spans="14:15" x14ac:dyDescent="0.35">
      <c r="N489" s="108"/>
      <c r="O489" s="108"/>
    </row>
    <row r="490" spans="14:15" x14ac:dyDescent="0.35">
      <c r="N490" s="108"/>
      <c r="O490" s="108"/>
    </row>
    <row r="491" spans="14:15" x14ac:dyDescent="0.35">
      <c r="N491" s="108"/>
      <c r="O491" s="108"/>
    </row>
    <row r="492" spans="14:15" x14ac:dyDescent="0.35">
      <c r="N492" s="108"/>
      <c r="O492" s="108"/>
    </row>
    <row r="493" spans="14:15" x14ac:dyDescent="0.35">
      <c r="N493" s="108"/>
      <c r="O493" s="108"/>
    </row>
    <row r="494" spans="14:15" x14ac:dyDescent="0.35">
      <c r="N494" s="108"/>
      <c r="O494" s="108"/>
    </row>
    <row r="495" spans="14:15" x14ac:dyDescent="0.35">
      <c r="N495" s="108"/>
      <c r="O495" s="108"/>
    </row>
    <row r="496" spans="14:15" x14ac:dyDescent="0.35">
      <c r="N496" s="108"/>
      <c r="O496" s="108"/>
    </row>
    <row r="497" spans="14:15" x14ac:dyDescent="0.35">
      <c r="N497" s="108"/>
      <c r="O497" s="108"/>
    </row>
    <row r="498" spans="14:15" x14ac:dyDescent="0.35">
      <c r="N498" s="108"/>
      <c r="O498" s="108"/>
    </row>
    <row r="499" spans="14:15" x14ac:dyDescent="0.35">
      <c r="N499" s="108"/>
      <c r="O499" s="108"/>
    </row>
    <row r="500" spans="14:15" x14ac:dyDescent="0.35">
      <c r="N500" s="108"/>
      <c r="O500" s="108"/>
    </row>
    <row r="501" spans="14:15" x14ac:dyDescent="0.35">
      <c r="N501" s="108"/>
      <c r="O501" s="108"/>
    </row>
    <row r="502" spans="14:15" x14ac:dyDescent="0.35">
      <c r="N502" s="108"/>
      <c r="O502" s="108"/>
    </row>
    <row r="503" spans="14:15" x14ac:dyDescent="0.35">
      <c r="N503" s="108"/>
      <c r="O503" s="108"/>
    </row>
    <row r="504" spans="14:15" x14ac:dyDescent="0.35">
      <c r="N504" s="108"/>
      <c r="O504" s="108"/>
    </row>
    <row r="505" spans="14:15" x14ac:dyDescent="0.35">
      <c r="N505" s="108"/>
      <c r="O505" s="108"/>
    </row>
    <row r="506" spans="14:15" x14ac:dyDescent="0.35">
      <c r="N506" s="108"/>
      <c r="O506" s="108"/>
    </row>
    <row r="507" spans="14:15" x14ac:dyDescent="0.35">
      <c r="N507" s="108"/>
      <c r="O507" s="108"/>
    </row>
    <row r="508" spans="14:15" x14ac:dyDescent="0.35">
      <c r="N508" s="108"/>
      <c r="O508" s="108"/>
    </row>
    <row r="509" spans="14:15" x14ac:dyDescent="0.35">
      <c r="N509" s="108"/>
      <c r="O509" s="108"/>
    </row>
    <row r="510" spans="14:15" x14ac:dyDescent="0.35">
      <c r="N510" s="108"/>
      <c r="O510" s="108"/>
    </row>
    <row r="511" spans="14:15" x14ac:dyDescent="0.35">
      <c r="N511" s="108"/>
      <c r="O511" s="108"/>
    </row>
    <row r="512" spans="14:15" x14ac:dyDescent="0.35">
      <c r="N512" s="108"/>
      <c r="O512" s="108"/>
    </row>
    <row r="513" spans="14:15" x14ac:dyDescent="0.35">
      <c r="N513" s="108"/>
      <c r="O513" s="108"/>
    </row>
    <row r="514" spans="14:15" x14ac:dyDescent="0.35">
      <c r="N514" s="108"/>
      <c r="O514" s="108"/>
    </row>
    <row r="515" spans="14:15" x14ac:dyDescent="0.35">
      <c r="N515" s="108"/>
      <c r="O515" s="108"/>
    </row>
    <row r="516" spans="14:15" x14ac:dyDescent="0.35">
      <c r="N516" s="108"/>
      <c r="O516" s="108"/>
    </row>
    <row r="517" spans="14:15" x14ac:dyDescent="0.35">
      <c r="N517" s="108"/>
      <c r="O517" s="108"/>
    </row>
    <row r="518" spans="14:15" x14ac:dyDescent="0.35">
      <c r="N518" s="108"/>
      <c r="O518" s="108"/>
    </row>
    <row r="519" spans="14:15" x14ac:dyDescent="0.35">
      <c r="N519" s="108"/>
      <c r="O519" s="108"/>
    </row>
    <row r="520" spans="14:15" x14ac:dyDescent="0.35">
      <c r="N520" s="108"/>
      <c r="O520" s="108"/>
    </row>
    <row r="521" spans="14:15" x14ac:dyDescent="0.35">
      <c r="N521" s="108"/>
      <c r="O521" s="108"/>
    </row>
    <row r="522" spans="14:15" x14ac:dyDescent="0.35">
      <c r="N522" s="108"/>
      <c r="O522" s="108"/>
    </row>
    <row r="523" spans="14:15" x14ac:dyDescent="0.35">
      <c r="N523" s="108"/>
      <c r="O523" s="108"/>
    </row>
    <row r="524" spans="14:15" x14ac:dyDescent="0.35">
      <c r="N524" s="108"/>
      <c r="O524" s="108"/>
    </row>
    <row r="525" spans="14:15" x14ac:dyDescent="0.35">
      <c r="N525" s="108"/>
      <c r="O525" s="108"/>
    </row>
    <row r="526" spans="14:15" x14ac:dyDescent="0.35">
      <c r="N526" s="108"/>
      <c r="O526" s="108"/>
    </row>
    <row r="527" spans="14:15" x14ac:dyDescent="0.35">
      <c r="N527" s="108"/>
      <c r="O527" s="108"/>
    </row>
    <row r="528" spans="14:15" x14ac:dyDescent="0.35">
      <c r="N528" s="108"/>
      <c r="O528" s="108"/>
    </row>
    <row r="529" spans="14:15" x14ac:dyDescent="0.35">
      <c r="N529" s="108"/>
      <c r="O529" s="108"/>
    </row>
    <row r="530" spans="14:15" x14ac:dyDescent="0.35">
      <c r="N530" s="108"/>
      <c r="O530" s="108"/>
    </row>
    <row r="531" spans="14:15" x14ac:dyDescent="0.35">
      <c r="N531" s="108"/>
      <c r="O531" s="108"/>
    </row>
    <row r="532" spans="14:15" x14ac:dyDescent="0.35">
      <c r="N532" s="108"/>
      <c r="O532" s="108"/>
    </row>
    <row r="533" spans="14:15" x14ac:dyDescent="0.35">
      <c r="N533" s="108"/>
      <c r="O533" s="108"/>
    </row>
    <row r="534" spans="14:15" x14ac:dyDescent="0.35">
      <c r="N534" s="108"/>
      <c r="O534" s="108"/>
    </row>
    <row r="535" spans="14:15" x14ac:dyDescent="0.35">
      <c r="N535" s="108"/>
      <c r="O535" s="108"/>
    </row>
    <row r="536" spans="14:15" x14ac:dyDescent="0.35">
      <c r="N536" s="108"/>
      <c r="O536" s="108"/>
    </row>
    <row r="537" spans="14:15" x14ac:dyDescent="0.35">
      <c r="N537" s="108"/>
      <c r="O537" s="108"/>
    </row>
    <row r="538" spans="14:15" x14ac:dyDescent="0.35">
      <c r="N538" s="108"/>
      <c r="O538" s="108"/>
    </row>
    <row r="539" spans="14:15" x14ac:dyDescent="0.35">
      <c r="N539" s="108"/>
      <c r="O539" s="108"/>
    </row>
    <row r="540" spans="14:15" x14ac:dyDescent="0.35">
      <c r="N540" s="108"/>
      <c r="O540" s="108"/>
    </row>
    <row r="541" spans="14:15" x14ac:dyDescent="0.35">
      <c r="N541" s="108"/>
      <c r="O541" s="108"/>
    </row>
    <row r="542" spans="14:15" x14ac:dyDescent="0.35">
      <c r="N542" s="108"/>
      <c r="O542" s="108"/>
    </row>
    <row r="543" spans="14:15" x14ac:dyDescent="0.35">
      <c r="N543" s="108"/>
      <c r="O543" s="108"/>
    </row>
    <row r="544" spans="14:15" x14ac:dyDescent="0.35">
      <c r="N544" s="108"/>
      <c r="O544" s="108"/>
    </row>
    <row r="545" spans="14:15" x14ac:dyDescent="0.35">
      <c r="N545" s="108"/>
      <c r="O545" s="108"/>
    </row>
    <row r="546" spans="14:15" x14ac:dyDescent="0.35">
      <c r="N546" s="108"/>
      <c r="O546" s="108"/>
    </row>
    <row r="547" spans="14:15" x14ac:dyDescent="0.35">
      <c r="N547" s="108"/>
      <c r="O547" s="108"/>
    </row>
    <row r="548" spans="14:15" x14ac:dyDescent="0.35">
      <c r="N548" s="108"/>
      <c r="O548" s="108"/>
    </row>
    <row r="549" spans="14:15" x14ac:dyDescent="0.35">
      <c r="N549" s="108"/>
      <c r="O549" s="108"/>
    </row>
    <row r="550" spans="14:15" x14ac:dyDescent="0.35">
      <c r="N550" s="108"/>
      <c r="O550" s="108"/>
    </row>
    <row r="551" spans="14:15" x14ac:dyDescent="0.35">
      <c r="N551" s="108"/>
      <c r="O551" s="108"/>
    </row>
    <row r="552" spans="14:15" x14ac:dyDescent="0.35">
      <c r="N552" s="108"/>
      <c r="O552" s="108"/>
    </row>
    <row r="553" spans="14:15" x14ac:dyDescent="0.35">
      <c r="N553" s="108"/>
      <c r="O553" s="108"/>
    </row>
    <row r="554" spans="14:15" x14ac:dyDescent="0.35">
      <c r="N554" s="108"/>
      <c r="O554" s="108"/>
    </row>
    <row r="555" spans="14:15" x14ac:dyDescent="0.35">
      <c r="N555" s="108"/>
      <c r="O555" s="108"/>
    </row>
    <row r="556" spans="14:15" x14ac:dyDescent="0.35">
      <c r="N556" s="108"/>
      <c r="O556" s="108"/>
    </row>
    <row r="557" spans="14:15" x14ac:dyDescent="0.35">
      <c r="N557" s="108"/>
      <c r="O557" s="108"/>
    </row>
    <row r="558" spans="14:15" x14ac:dyDescent="0.35">
      <c r="N558" s="108"/>
      <c r="O558" s="108"/>
    </row>
    <row r="559" spans="14:15" x14ac:dyDescent="0.35">
      <c r="N559" s="108"/>
      <c r="O559" s="108"/>
    </row>
    <row r="560" spans="14:15" x14ac:dyDescent="0.35">
      <c r="N560" s="108"/>
      <c r="O560" s="108"/>
    </row>
    <row r="561" spans="14:15" x14ac:dyDescent="0.35">
      <c r="N561" s="108"/>
      <c r="O561" s="108"/>
    </row>
    <row r="562" spans="14:15" x14ac:dyDescent="0.35">
      <c r="N562" s="108"/>
      <c r="O562" s="108"/>
    </row>
    <row r="563" spans="14:15" x14ac:dyDescent="0.35">
      <c r="N563" s="108"/>
      <c r="O563" s="108"/>
    </row>
    <row r="564" spans="14:15" x14ac:dyDescent="0.35">
      <c r="N564" s="108"/>
      <c r="O564" s="108"/>
    </row>
    <row r="565" spans="14:15" x14ac:dyDescent="0.35">
      <c r="N565" s="108"/>
      <c r="O565" s="108"/>
    </row>
    <row r="566" spans="14:15" x14ac:dyDescent="0.35">
      <c r="N566" s="108"/>
      <c r="O566" s="108"/>
    </row>
    <row r="567" spans="14:15" x14ac:dyDescent="0.35">
      <c r="N567" s="108"/>
      <c r="O567" s="108"/>
    </row>
    <row r="568" spans="14:15" x14ac:dyDescent="0.35">
      <c r="N568" s="108"/>
      <c r="O568" s="108"/>
    </row>
    <row r="569" spans="14:15" x14ac:dyDescent="0.35">
      <c r="N569" s="108"/>
      <c r="O569" s="108"/>
    </row>
    <row r="570" spans="14:15" x14ac:dyDescent="0.35">
      <c r="N570" s="108"/>
      <c r="O570" s="108"/>
    </row>
    <row r="571" spans="14:15" x14ac:dyDescent="0.35">
      <c r="N571" s="108"/>
      <c r="O571" s="108"/>
    </row>
    <row r="572" spans="14:15" x14ac:dyDescent="0.35">
      <c r="N572" s="108"/>
      <c r="O572" s="108"/>
    </row>
    <row r="573" spans="14:15" x14ac:dyDescent="0.35">
      <c r="N573" s="108"/>
      <c r="O573" s="108"/>
    </row>
    <row r="574" spans="14:15" x14ac:dyDescent="0.35">
      <c r="N574" s="108"/>
      <c r="O574" s="108"/>
    </row>
    <row r="575" spans="14:15" x14ac:dyDescent="0.35">
      <c r="N575" s="108"/>
      <c r="O575" s="108"/>
    </row>
    <row r="576" spans="14:15" x14ac:dyDescent="0.35">
      <c r="N576" s="108"/>
      <c r="O576" s="108"/>
    </row>
    <row r="577" spans="14:15" x14ac:dyDescent="0.35">
      <c r="N577" s="108"/>
      <c r="O577" s="108"/>
    </row>
    <row r="578" spans="14:15" x14ac:dyDescent="0.35">
      <c r="N578" s="108"/>
      <c r="O578" s="108"/>
    </row>
    <row r="579" spans="14:15" x14ac:dyDescent="0.35">
      <c r="N579" s="108"/>
      <c r="O579" s="108"/>
    </row>
    <row r="580" spans="14:15" x14ac:dyDescent="0.35">
      <c r="N580" s="108"/>
      <c r="O580" s="108"/>
    </row>
    <row r="581" spans="14:15" x14ac:dyDescent="0.35">
      <c r="N581" s="108"/>
      <c r="O581" s="108"/>
    </row>
    <row r="582" spans="14:15" x14ac:dyDescent="0.35">
      <c r="N582" s="108"/>
      <c r="O582" s="108"/>
    </row>
    <row r="583" spans="14:15" x14ac:dyDescent="0.35">
      <c r="N583" s="108"/>
      <c r="O583" s="108"/>
    </row>
    <row r="584" spans="14:15" x14ac:dyDescent="0.35">
      <c r="N584" s="108"/>
      <c r="O584" s="108"/>
    </row>
    <row r="585" spans="14:15" x14ac:dyDescent="0.35">
      <c r="N585" s="108"/>
      <c r="O585" s="108"/>
    </row>
    <row r="586" spans="14:15" x14ac:dyDescent="0.35">
      <c r="N586" s="108"/>
      <c r="O586" s="108"/>
    </row>
    <row r="587" spans="14:15" x14ac:dyDescent="0.35">
      <c r="N587" s="108"/>
      <c r="O587" s="108"/>
    </row>
    <row r="588" spans="14:15" x14ac:dyDescent="0.35">
      <c r="N588" s="108"/>
      <c r="O588" s="108"/>
    </row>
    <row r="589" spans="14:15" x14ac:dyDescent="0.35">
      <c r="N589" s="108"/>
      <c r="O589" s="108"/>
    </row>
    <row r="590" spans="14:15" x14ac:dyDescent="0.35">
      <c r="N590" s="108"/>
      <c r="O590" s="108"/>
    </row>
    <row r="591" spans="14:15" x14ac:dyDescent="0.35">
      <c r="N591" s="108"/>
      <c r="O591" s="108"/>
    </row>
    <row r="592" spans="14:15" x14ac:dyDescent="0.35">
      <c r="N592" s="108"/>
      <c r="O592" s="108"/>
    </row>
    <row r="593" spans="14:15" x14ac:dyDescent="0.35">
      <c r="N593" s="108"/>
      <c r="O593" s="108"/>
    </row>
    <row r="594" spans="14:15" x14ac:dyDescent="0.35">
      <c r="N594" s="108"/>
      <c r="O594" s="108"/>
    </row>
    <row r="595" spans="14:15" x14ac:dyDescent="0.35">
      <c r="N595" s="108"/>
      <c r="O595" s="108"/>
    </row>
    <row r="596" spans="14:15" x14ac:dyDescent="0.35">
      <c r="N596" s="108"/>
      <c r="O596" s="108"/>
    </row>
    <row r="597" spans="14:15" x14ac:dyDescent="0.35">
      <c r="N597" s="108"/>
      <c r="O597" s="108"/>
    </row>
    <row r="598" spans="14:15" x14ac:dyDescent="0.35">
      <c r="N598" s="108"/>
      <c r="O598" s="108"/>
    </row>
    <row r="599" spans="14:15" x14ac:dyDescent="0.35">
      <c r="N599" s="108"/>
      <c r="O599" s="108"/>
    </row>
    <row r="600" spans="14:15" x14ac:dyDescent="0.35">
      <c r="N600" s="108"/>
      <c r="O600" s="108"/>
    </row>
    <row r="601" spans="14:15" x14ac:dyDescent="0.35">
      <c r="N601" s="108"/>
      <c r="O601" s="108"/>
    </row>
    <row r="602" spans="14:15" x14ac:dyDescent="0.35">
      <c r="N602" s="108"/>
      <c r="O602" s="108"/>
    </row>
    <row r="603" spans="14:15" x14ac:dyDescent="0.35">
      <c r="N603" s="108"/>
      <c r="O603" s="108"/>
    </row>
    <row r="604" spans="14:15" x14ac:dyDescent="0.35">
      <c r="N604" s="108"/>
      <c r="O604" s="108"/>
    </row>
    <row r="605" spans="14:15" x14ac:dyDescent="0.35">
      <c r="N605" s="108"/>
      <c r="O605" s="108"/>
    </row>
    <row r="606" spans="14:15" x14ac:dyDescent="0.35">
      <c r="N606" s="108"/>
      <c r="O606" s="108"/>
    </row>
    <row r="607" spans="14:15" x14ac:dyDescent="0.35">
      <c r="N607" s="108"/>
      <c r="O607" s="108"/>
    </row>
    <row r="608" spans="14:15" x14ac:dyDescent="0.35">
      <c r="N608" s="108"/>
      <c r="O608" s="108"/>
    </row>
    <row r="609" spans="14:15" x14ac:dyDescent="0.35">
      <c r="N609" s="108"/>
      <c r="O609" s="108"/>
    </row>
    <row r="610" spans="14:15" x14ac:dyDescent="0.35">
      <c r="N610" s="108"/>
      <c r="O610" s="108"/>
    </row>
    <row r="611" spans="14:15" x14ac:dyDescent="0.35">
      <c r="N611" s="108"/>
      <c r="O611" s="108"/>
    </row>
    <row r="612" spans="14:15" x14ac:dyDescent="0.35">
      <c r="N612" s="108"/>
      <c r="O612" s="108"/>
    </row>
    <row r="613" spans="14:15" x14ac:dyDescent="0.35">
      <c r="N613" s="108"/>
      <c r="O613" s="108"/>
    </row>
    <row r="614" spans="14:15" x14ac:dyDescent="0.35">
      <c r="N614" s="108"/>
      <c r="O614" s="108"/>
    </row>
    <row r="615" spans="14:15" x14ac:dyDescent="0.35">
      <c r="N615" s="108"/>
      <c r="O615" s="108"/>
    </row>
    <row r="616" spans="14:15" x14ac:dyDescent="0.35">
      <c r="N616" s="108"/>
      <c r="O616" s="108"/>
    </row>
    <row r="617" spans="14:15" x14ac:dyDescent="0.35">
      <c r="N617" s="108"/>
      <c r="O617" s="108"/>
    </row>
    <row r="618" spans="14:15" x14ac:dyDescent="0.35">
      <c r="N618" s="108"/>
      <c r="O618" s="108"/>
    </row>
    <row r="619" spans="14:15" x14ac:dyDescent="0.35">
      <c r="N619" s="108"/>
      <c r="O619" s="108"/>
    </row>
    <row r="620" spans="14:15" x14ac:dyDescent="0.35">
      <c r="N620" s="108"/>
      <c r="O620" s="108"/>
    </row>
    <row r="621" spans="14:15" x14ac:dyDescent="0.35">
      <c r="N621" s="108"/>
      <c r="O621" s="108"/>
    </row>
    <row r="622" spans="14:15" x14ac:dyDescent="0.35">
      <c r="N622" s="108"/>
      <c r="O622" s="108"/>
    </row>
    <row r="623" spans="14:15" x14ac:dyDescent="0.35">
      <c r="N623" s="108"/>
      <c r="O623" s="108"/>
    </row>
    <row r="624" spans="14:15" x14ac:dyDescent="0.35">
      <c r="N624" s="108"/>
      <c r="O624" s="108"/>
    </row>
    <row r="625" spans="14:15" x14ac:dyDescent="0.35">
      <c r="N625" s="108"/>
      <c r="O625" s="108"/>
    </row>
    <row r="626" spans="14:15" x14ac:dyDescent="0.35">
      <c r="N626" s="108"/>
      <c r="O626" s="108"/>
    </row>
    <row r="627" spans="14:15" x14ac:dyDescent="0.35">
      <c r="N627" s="108"/>
      <c r="O627" s="108"/>
    </row>
    <row r="628" spans="14:15" x14ac:dyDescent="0.35">
      <c r="N628" s="108"/>
      <c r="O628" s="108"/>
    </row>
    <row r="629" spans="14:15" x14ac:dyDescent="0.35">
      <c r="N629" s="108"/>
      <c r="O629" s="108"/>
    </row>
    <row r="630" spans="14:15" x14ac:dyDescent="0.35">
      <c r="N630" s="108"/>
      <c r="O630" s="108"/>
    </row>
    <row r="631" spans="14:15" x14ac:dyDescent="0.35">
      <c r="N631" s="108"/>
      <c r="O631" s="108"/>
    </row>
    <row r="632" spans="14:15" x14ac:dyDescent="0.35">
      <c r="N632" s="108"/>
      <c r="O632" s="108"/>
    </row>
    <row r="633" spans="14:15" x14ac:dyDescent="0.35">
      <c r="N633" s="108"/>
      <c r="O633" s="108"/>
    </row>
    <row r="634" spans="14:15" x14ac:dyDescent="0.35">
      <c r="N634" s="108"/>
      <c r="O634" s="108"/>
    </row>
    <row r="635" spans="14:15" x14ac:dyDescent="0.35">
      <c r="N635" s="108"/>
      <c r="O635" s="108"/>
    </row>
    <row r="636" spans="14:15" x14ac:dyDescent="0.35">
      <c r="N636" s="108"/>
      <c r="O636" s="108"/>
    </row>
    <row r="637" spans="14:15" x14ac:dyDescent="0.35">
      <c r="N637" s="108"/>
      <c r="O637" s="108"/>
    </row>
    <row r="638" spans="14:15" x14ac:dyDescent="0.35">
      <c r="N638" s="108"/>
      <c r="O638" s="108"/>
    </row>
    <row r="639" spans="14:15" x14ac:dyDescent="0.35">
      <c r="N639" s="108"/>
      <c r="O639" s="108"/>
    </row>
    <row r="640" spans="14:15" x14ac:dyDescent="0.35">
      <c r="N640" s="108"/>
      <c r="O640" s="108"/>
    </row>
    <row r="641" spans="14:15" x14ac:dyDescent="0.35">
      <c r="N641" s="108"/>
      <c r="O641" s="108"/>
    </row>
    <row r="642" spans="14:15" x14ac:dyDescent="0.35">
      <c r="N642" s="108"/>
      <c r="O642" s="108"/>
    </row>
    <row r="643" spans="14:15" x14ac:dyDescent="0.35">
      <c r="N643" s="108"/>
      <c r="O643" s="108"/>
    </row>
    <row r="644" spans="14:15" x14ac:dyDescent="0.35">
      <c r="N644" s="108"/>
      <c r="O644" s="108"/>
    </row>
    <row r="645" spans="14:15" x14ac:dyDescent="0.35">
      <c r="N645" s="108"/>
      <c r="O645" s="108"/>
    </row>
    <row r="646" spans="14:15" x14ac:dyDescent="0.35">
      <c r="N646" s="108"/>
      <c r="O646" s="108"/>
    </row>
    <row r="647" spans="14:15" x14ac:dyDescent="0.35">
      <c r="N647" s="108"/>
      <c r="O647" s="108"/>
    </row>
    <row r="648" spans="14:15" x14ac:dyDescent="0.35">
      <c r="N648" s="108"/>
      <c r="O648" s="108"/>
    </row>
    <row r="649" spans="14:15" x14ac:dyDescent="0.35">
      <c r="N649" s="108"/>
      <c r="O649" s="108"/>
    </row>
    <row r="650" spans="14:15" x14ac:dyDescent="0.35">
      <c r="N650" s="108"/>
      <c r="O650" s="108"/>
    </row>
    <row r="651" spans="14:15" x14ac:dyDescent="0.35">
      <c r="N651" s="108"/>
      <c r="O651" s="108"/>
    </row>
    <row r="652" spans="14:15" x14ac:dyDescent="0.35">
      <c r="N652" s="108"/>
      <c r="O652" s="108"/>
    </row>
    <row r="653" spans="14:15" x14ac:dyDescent="0.35">
      <c r="N653" s="108"/>
      <c r="O653" s="108"/>
    </row>
    <row r="654" spans="14:15" x14ac:dyDescent="0.35">
      <c r="N654" s="108"/>
      <c r="O654" s="108"/>
    </row>
    <row r="655" spans="14:15" x14ac:dyDescent="0.35">
      <c r="N655" s="108"/>
      <c r="O655" s="108"/>
    </row>
    <row r="656" spans="14:15" x14ac:dyDescent="0.35">
      <c r="N656" s="108"/>
      <c r="O656" s="108"/>
    </row>
    <row r="657" spans="14:15" x14ac:dyDescent="0.35">
      <c r="N657" s="108"/>
      <c r="O657" s="108"/>
    </row>
    <row r="658" spans="14:15" x14ac:dyDescent="0.35">
      <c r="N658" s="108"/>
      <c r="O658" s="108"/>
    </row>
    <row r="659" spans="14:15" x14ac:dyDescent="0.35">
      <c r="N659" s="108"/>
      <c r="O659" s="108"/>
    </row>
    <row r="660" spans="14:15" x14ac:dyDescent="0.35">
      <c r="N660" s="108"/>
      <c r="O660" s="108"/>
    </row>
    <row r="661" spans="14:15" x14ac:dyDescent="0.35">
      <c r="N661" s="108"/>
      <c r="O661" s="108"/>
    </row>
    <row r="662" spans="14:15" x14ac:dyDescent="0.35">
      <c r="N662" s="108"/>
      <c r="O662" s="108"/>
    </row>
    <row r="663" spans="14:15" x14ac:dyDescent="0.35">
      <c r="N663" s="108"/>
      <c r="O663" s="108"/>
    </row>
    <row r="664" spans="14:15" x14ac:dyDescent="0.35">
      <c r="N664" s="108"/>
      <c r="O664" s="108"/>
    </row>
    <row r="665" spans="14:15" x14ac:dyDescent="0.35">
      <c r="N665" s="108"/>
      <c r="O665" s="108"/>
    </row>
    <row r="666" spans="14:15" x14ac:dyDescent="0.35">
      <c r="N666" s="108"/>
      <c r="O666" s="108"/>
    </row>
    <row r="667" spans="14:15" x14ac:dyDescent="0.35">
      <c r="N667" s="108"/>
      <c r="O667" s="108"/>
    </row>
    <row r="668" spans="14:15" x14ac:dyDescent="0.35">
      <c r="N668" s="108"/>
      <c r="O668" s="108"/>
    </row>
    <row r="669" spans="14:15" x14ac:dyDescent="0.35">
      <c r="N669" s="108"/>
      <c r="O669" s="108"/>
    </row>
    <row r="670" spans="14:15" x14ac:dyDescent="0.35">
      <c r="N670" s="108"/>
      <c r="O670" s="108"/>
    </row>
    <row r="671" spans="14:15" x14ac:dyDescent="0.35">
      <c r="N671" s="108"/>
      <c r="O671" s="108"/>
    </row>
    <row r="672" spans="14:15" x14ac:dyDescent="0.35">
      <c r="N672" s="108"/>
      <c r="O672" s="108"/>
    </row>
    <row r="673" spans="14:15" x14ac:dyDescent="0.35">
      <c r="N673" s="108"/>
      <c r="O673" s="108"/>
    </row>
    <row r="674" spans="14:15" x14ac:dyDescent="0.35">
      <c r="N674" s="108"/>
      <c r="O674" s="108"/>
    </row>
    <row r="675" spans="14:15" x14ac:dyDescent="0.35">
      <c r="N675" s="108"/>
      <c r="O675" s="108"/>
    </row>
    <row r="676" spans="14:15" x14ac:dyDescent="0.35">
      <c r="N676" s="108"/>
      <c r="O676" s="108"/>
    </row>
    <row r="677" spans="14:15" x14ac:dyDescent="0.35">
      <c r="N677" s="108"/>
      <c r="O677" s="108"/>
    </row>
    <row r="678" spans="14:15" x14ac:dyDescent="0.35">
      <c r="N678" s="108"/>
      <c r="O678" s="108"/>
    </row>
    <row r="679" spans="14:15" x14ac:dyDescent="0.35">
      <c r="N679" s="108"/>
      <c r="O679" s="108"/>
    </row>
    <row r="680" spans="14:15" x14ac:dyDescent="0.35">
      <c r="N680" s="108"/>
      <c r="O680" s="108"/>
    </row>
    <row r="681" spans="14:15" x14ac:dyDescent="0.35">
      <c r="N681" s="108"/>
      <c r="O681" s="108"/>
    </row>
    <row r="682" spans="14:15" x14ac:dyDescent="0.35">
      <c r="N682" s="108"/>
      <c r="O682" s="108"/>
    </row>
    <row r="683" spans="14:15" x14ac:dyDescent="0.35">
      <c r="N683" s="108"/>
      <c r="O683" s="108"/>
    </row>
    <row r="684" spans="14:15" x14ac:dyDescent="0.35">
      <c r="N684" s="108"/>
      <c r="O684" s="108"/>
    </row>
    <row r="685" spans="14:15" x14ac:dyDescent="0.35">
      <c r="N685" s="108"/>
      <c r="O685" s="108"/>
    </row>
    <row r="686" spans="14:15" x14ac:dyDescent="0.35">
      <c r="N686" s="108"/>
      <c r="O686" s="108"/>
    </row>
    <row r="687" spans="14:15" x14ac:dyDescent="0.35">
      <c r="N687" s="108"/>
      <c r="O687" s="108"/>
    </row>
    <row r="688" spans="14:15" x14ac:dyDescent="0.35">
      <c r="N688" s="108"/>
      <c r="O688" s="108"/>
    </row>
    <row r="689" spans="14:15" x14ac:dyDescent="0.35">
      <c r="N689" s="108"/>
      <c r="O689" s="108"/>
    </row>
    <row r="690" spans="14:15" x14ac:dyDescent="0.35">
      <c r="N690" s="108"/>
      <c r="O690" s="108"/>
    </row>
    <row r="691" spans="14:15" x14ac:dyDescent="0.35">
      <c r="N691" s="108"/>
      <c r="O691" s="108"/>
    </row>
    <row r="692" spans="14:15" x14ac:dyDescent="0.35">
      <c r="N692" s="108"/>
      <c r="O692" s="108"/>
    </row>
    <row r="693" spans="14:15" x14ac:dyDescent="0.35">
      <c r="N693" s="108"/>
      <c r="O693" s="108"/>
    </row>
    <row r="694" spans="14:15" x14ac:dyDescent="0.35">
      <c r="N694" s="108"/>
      <c r="O694" s="108"/>
    </row>
    <row r="695" spans="14:15" x14ac:dyDescent="0.35">
      <c r="N695" s="108"/>
      <c r="O695" s="108"/>
    </row>
    <row r="696" spans="14:15" x14ac:dyDescent="0.35">
      <c r="N696" s="108"/>
      <c r="O696" s="108"/>
    </row>
    <row r="697" spans="14:15" x14ac:dyDescent="0.35">
      <c r="N697" s="108"/>
      <c r="O697" s="108"/>
    </row>
    <row r="698" spans="14:15" x14ac:dyDescent="0.35">
      <c r="N698" s="108"/>
      <c r="O698" s="108"/>
    </row>
    <row r="699" spans="14:15" x14ac:dyDescent="0.35">
      <c r="N699" s="108"/>
      <c r="O699" s="108"/>
    </row>
    <row r="700" spans="14:15" x14ac:dyDescent="0.35">
      <c r="N700" s="108"/>
      <c r="O700" s="108"/>
    </row>
    <row r="701" spans="14:15" x14ac:dyDescent="0.35">
      <c r="N701" s="108"/>
      <c r="O701" s="108"/>
    </row>
    <row r="702" spans="14:15" x14ac:dyDescent="0.35">
      <c r="N702" s="108"/>
      <c r="O702" s="108"/>
    </row>
    <row r="703" spans="14:15" x14ac:dyDescent="0.35">
      <c r="N703" s="108"/>
      <c r="O703" s="108"/>
    </row>
    <row r="704" spans="14:15" x14ac:dyDescent="0.35">
      <c r="N704" s="108"/>
      <c r="O704" s="108"/>
    </row>
    <row r="705" spans="14:15" x14ac:dyDescent="0.35">
      <c r="N705" s="108"/>
      <c r="O705" s="108"/>
    </row>
    <row r="706" spans="14:15" x14ac:dyDescent="0.35">
      <c r="N706" s="108"/>
      <c r="O706" s="108"/>
    </row>
    <row r="707" spans="14:15" x14ac:dyDescent="0.35">
      <c r="N707" s="108"/>
      <c r="O707" s="108"/>
    </row>
    <row r="708" spans="14:15" x14ac:dyDescent="0.35">
      <c r="N708" s="108"/>
      <c r="O708" s="108"/>
    </row>
    <row r="709" spans="14:15" x14ac:dyDescent="0.35">
      <c r="N709" s="108"/>
      <c r="O709" s="108"/>
    </row>
    <row r="710" spans="14:15" x14ac:dyDescent="0.35">
      <c r="N710" s="108"/>
      <c r="O710" s="108"/>
    </row>
    <row r="711" spans="14:15" x14ac:dyDescent="0.35">
      <c r="N711" s="108"/>
      <c r="O711" s="108"/>
    </row>
    <row r="712" spans="14:15" x14ac:dyDescent="0.35">
      <c r="N712" s="108"/>
      <c r="O712" s="108"/>
    </row>
    <row r="713" spans="14:15" x14ac:dyDescent="0.35">
      <c r="N713" s="108"/>
      <c r="O713" s="108"/>
    </row>
    <row r="714" spans="14:15" x14ac:dyDescent="0.35">
      <c r="N714" s="108"/>
      <c r="O714" s="108"/>
    </row>
    <row r="715" spans="14:15" x14ac:dyDescent="0.35">
      <c r="N715" s="108"/>
      <c r="O715" s="108"/>
    </row>
    <row r="716" spans="14:15" x14ac:dyDescent="0.35">
      <c r="N716" s="108"/>
      <c r="O716" s="108"/>
    </row>
    <row r="717" spans="14:15" x14ac:dyDescent="0.35">
      <c r="N717" s="108"/>
      <c r="O717" s="108"/>
    </row>
    <row r="718" spans="14:15" x14ac:dyDescent="0.35">
      <c r="N718" s="108"/>
      <c r="O718" s="108"/>
    </row>
    <row r="719" spans="14:15" x14ac:dyDescent="0.35">
      <c r="N719" s="108"/>
      <c r="O719" s="108"/>
    </row>
    <row r="720" spans="14:15" x14ac:dyDescent="0.35">
      <c r="N720" s="108"/>
      <c r="O720" s="108"/>
    </row>
    <row r="721" spans="14:15" x14ac:dyDescent="0.35">
      <c r="N721" s="108"/>
      <c r="O721" s="108"/>
    </row>
    <row r="722" spans="14:15" x14ac:dyDescent="0.35">
      <c r="N722" s="108"/>
      <c r="O722" s="108"/>
    </row>
    <row r="723" spans="14:15" x14ac:dyDescent="0.35">
      <c r="N723" s="108"/>
      <c r="O723" s="108"/>
    </row>
    <row r="724" spans="14:15" x14ac:dyDescent="0.35">
      <c r="N724" s="108"/>
      <c r="O724" s="108"/>
    </row>
    <row r="725" spans="14:15" x14ac:dyDescent="0.35">
      <c r="N725" s="108"/>
      <c r="O725" s="108"/>
    </row>
    <row r="726" spans="14:15" x14ac:dyDescent="0.35">
      <c r="N726" s="108"/>
      <c r="O726" s="108"/>
    </row>
    <row r="727" spans="14:15" x14ac:dyDescent="0.35">
      <c r="N727" s="108"/>
      <c r="O727" s="108"/>
    </row>
    <row r="728" spans="14:15" x14ac:dyDescent="0.35">
      <c r="N728" s="108"/>
      <c r="O728" s="108"/>
    </row>
    <row r="729" spans="14:15" x14ac:dyDescent="0.35">
      <c r="N729" s="108"/>
      <c r="O729" s="108"/>
    </row>
    <row r="730" spans="14:15" x14ac:dyDescent="0.35">
      <c r="N730" s="108"/>
      <c r="O730" s="108"/>
    </row>
    <row r="731" spans="14:15" x14ac:dyDescent="0.35">
      <c r="N731" s="108"/>
      <c r="O731" s="108"/>
    </row>
    <row r="732" spans="14:15" x14ac:dyDescent="0.35">
      <c r="N732" s="108"/>
      <c r="O732" s="108"/>
    </row>
    <row r="733" spans="14:15" x14ac:dyDescent="0.35">
      <c r="N733" s="108"/>
      <c r="O733" s="108"/>
    </row>
    <row r="734" spans="14:15" x14ac:dyDescent="0.35">
      <c r="N734" s="108"/>
      <c r="O734" s="108"/>
    </row>
    <row r="735" spans="14:15" x14ac:dyDescent="0.35">
      <c r="N735" s="108"/>
      <c r="O735" s="108"/>
    </row>
    <row r="736" spans="14:15" x14ac:dyDescent="0.35">
      <c r="N736" s="108"/>
      <c r="O736" s="108"/>
    </row>
    <row r="737" spans="14:15" x14ac:dyDescent="0.35">
      <c r="N737" s="108"/>
      <c r="O737" s="108"/>
    </row>
    <row r="738" spans="14:15" x14ac:dyDescent="0.35">
      <c r="N738" s="108"/>
      <c r="O738" s="108"/>
    </row>
    <row r="739" spans="14:15" x14ac:dyDescent="0.35">
      <c r="N739" s="108"/>
      <c r="O739" s="108"/>
    </row>
    <row r="740" spans="14:15" x14ac:dyDescent="0.35">
      <c r="N740" s="108"/>
      <c r="O740" s="108"/>
    </row>
    <row r="741" spans="14:15" x14ac:dyDescent="0.35">
      <c r="N741" s="108"/>
      <c r="O741" s="108"/>
    </row>
    <row r="742" spans="14:15" x14ac:dyDescent="0.35">
      <c r="N742" s="108"/>
      <c r="O742" s="108"/>
    </row>
    <row r="743" spans="14:15" x14ac:dyDescent="0.35">
      <c r="N743" s="108"/>
      <c r="O743" s="108"/>
    </row>
    <row r="744" spans="14:15" x14ac:dyDescent="0.35">
      <c r="N744" s="108"/>
      <c r="O744" s="108"/>
    </row>
    <row r="745" spans="14:15" x14ac:dyDescent="0.35">
      <c r="N745" s="108"/>
      <c r="O745" s="108"/>
    </row>
    <row r="746" spans="14:15" x14ac:dyDescent="0.35">
      <c r="N746" s="108"/>
      <c r="O746" s="108"/>
    </row>
    <row r="747" spans="14:15" x14ac:dyDescent="0.35">
      <c r="N747" s="108"/>
      <c r="O747" s="108"/>
    </row>
    <row r="748" spans="14:15" x14ac:dyDescent="0.35">
      <c r="N748" s="108"/>
      <c r="O748" s="108"/>
    </row>
    <row r="749" spans="14:15" x14ac:dyDescent="0.35">
      <c r="N749" s="108"/>
      <c r="O749" s="108"/>
    </row>
    <row r="750" spans="14:15" x14ac:dyDescent="0.35">
      <c r="N750" s="108"/>
      <c r="O750" s="108"/>
    </row>
    <row r="751" spans="14:15" x14ac:dyDescent="0.35">
      <c r="N751" s="108"/>
      <c r="O751" s="108"/>
    </row>
    <row r="752" spans="14:15" x14ac:dyDescent="0.35">
      <c r="N752" s="108"/>
      <c r="O752" s="108"/>
    </row>
    <row r="753" spans="14:15" x14ac:dyDescent="0.35">
      <c r="N753" s="108"/>
      <c r="O753" s="108"/>
    </row>
    <row r="754" spans="14:15" x14ac:dyDescent="0.35">
      <c r="N754" s="108"/>
      <c r="O754" s="108"/>
    </row>
    <row r="755" spans="14:15" x14ac:dyDescent="0.35">
      <c r="N755" s="108"/>
      <c r="O755" s="108"/>
    </row>
    <row r="756" spans="14:15" x14ac:dyDescent="0.35">
      <c r="N756" s="108"/>
      <c r="O756" s="108"/>
    </row>
    <row r="757" spans="14:15" x14ac:dyDescent="0.35">
      <c r="N757" s="108"/>
      <c r="O757" s="108"/>
    </row>
    <row r="758" spans="14:15" x14ac:dyDescent="0.35">
      <c r="N758" s="108"/>
      <c r="O758" s="108"/>
    </row>
    <row r="759" spans="14:15" x14ac:dyDescent="0.35">
      <c r="N759" s="108"/>
      <c r="O759" s="108"/>
    </row>
    <row r="760" spans="14:15" x14ac:dyDescent="0.35">
      <c r="N760" s="108"/>
      <c r="O760" s="108"/>
    </row>
    <row r="761" spans="14:15" x14ac:dyDescent="0.35">
      <c r="N761" s="108"/>
      <c r="O761" s="108"/>
    </row>
    <row r="762" spans="14:15" x14ac:dyDescent="0.35">
      <c r="N762" s="108"/>
      <c r="O762" s="108"/>
    </row>
    <row r="763" spans="14:15" x14ac:dyDescent="0.35">
      <c r="N763" s="108"/>
      <c r="O763" s="108"/>
    </row>
    <row r="764" spans="14:15" x14ac:dyDescent="0.35">
      <c r="N764" s="108"/>
      <c r="O764" s="108"/>
    </row>
    <row r="765" spans="14:15" x14ac:dyDescent="0.35">
      <c r="N765" s="108"/>
      <c r="O765" s="108"/>
    </row>
    <row r="766" spans="14:15" x14ac:dyDescent="0.35">
      <c r="N766" s="108"/>
      <c r="O766" s="108"/>
    </row>
    <row r="767" spans="14:15" x14ac:dyDescent="0.35">
      <c r="N767" s="108"/>
      <c r="O767" s="108"/>
    </row>
    <row r="768" spans="14:15" x14ac:dyDescent="0.35">
      <c r="N768" s="108"/>
      <c r="O768" s="108"/>
    </row>
    <row r="769" spans="14:15" x14ac:dyDescent="0.35">
      <c r="N769" s="108"/>
      <c r="O769" s="108"/>
    </row>
    <row r="770" spans="14:15" x14ac:dyDescent="0.35">
      <c r="N770" s="108"/>
      <c r="O770" s="108"/>
    </row>
    <row r="771" spans="14:15" x14ac:dyDescent="0.35">
      <c r="N771" s="108"/>
      <c r="O771" s="108"/>
    </row>
    <row r="772" spans="14:15" x14ac:dyDescent="0.35">
      <c r="N772" s="108"/>
      <c r="O772" s="108"/>
    </row>
    <row r="773" spans="14:15" x14ac:dyDescent="0.35">
      <c r="N773" s="108"/>
      <c r="O773" s="108"/>
    </row>
    <row r="774" spans="14:15" x14ac:dyDescent="0.35">
      <c r="N774" s="108"/>
      <c r="O774" s="108"/>
    </row>
    <row r="775" spans="14:15" x14ac:dyDescent="0.35">
      <c r="N775" s="108"/>
      <c r="O775" s="108"/>
    </row>
    <row r="776" spans="14:15" x14ac:dyDescent="0.35">
      <c r="N776" s="108"/>
      <c r="O776" s="108"/>
    </row>
    <row r="777" spans="14:15" x14ac:dyDescent="0.35">
      <c r="N777" s="108"/>
      <c r="O777" s="108"/>
    </row>
    <row r="778" spans="14:15" x14ac:dyDescent="0.35">
      <c r="N778" s="108"/>
      <c r="O778" s="108"/>
    </row>
    <row r="779" spans="14:15" x14ac:dyDescent="0.35">
      <c r="N779" s="108"/>
      <c r="O779" s="108"/>
    </row>
    <row r="780" spans="14:15" x14ac:dyDescent="0.35">
      <c r="N780" s="108"/>
      <c r="O780" s="108"/>
    </row>
    <row r="781" spans="14:15" x14ac:dyDescent="0.35">
      <c r="N781" s="108"/>
      <c r="O781" s="108"/>
    </row>
    <row r="782" spans="14:15" x14ac:dyDescent="0.35">
      <c r="N782" s="108"/>
      <c r="O782" s="108"/>
    </row>
    <row r="783" spans="14:15" x14ac:dyDescent="0.35">
      <c r="N783" s="108"/>
      <c r="O783" s="108"/>
    </row>
    <row r="784" spans="14:15" x14ac:dyDescent="0.35">
      <c r="N784" s="108"/>
      <c r="O784" s="108"/>
    </row>
    <row r="785" spans="14:15" x14ac:dyDescent="0.35">
      <c r="N785" s="108"/>
      <c r="O785" s="108"/>
    </row>
    <row r="786" spans="14:15" x14ac:dyDescent="0.35">
      <c r="N786" s="108"/>
      <c r="O786" s="108"/>
    </row>
    <row r="787" spans="14:15" x14ac:dyDescent="0.35">
      <c r="N787" s="108"/>
      <c r="O787" s="108"/>
    </row>
    <row r="788" spans="14:15" x14ac:dyDescent="0.35">
      <c r="N788" s="108"/>
      <c r="O788" s="108"/>
    </row>
    <row r="789" spans="14:15" x14ac:dyDescent="0.35">
      <c r="N789" s="108"/>
      <c r="O789" s="108"/>
    </row>
    <row r="790" spans="14:15" x14ac:dyDescent="0.35">
      <c r="N790" s="108"/>
      <c r="O790" s="108"/>
    </row>
    <row r="791" spans="14:15" x14ac:dyDescent="0.35">
      <c r="N791" s="108"/>
      <c r="O791" s="108"/>
    </row>
    <row r="792" spans="14:15" x14ac:dyDescent="0.35">
      <c r="N792" s="108"/>
      <c r="O792" s="108"/>
    </row>
    <row r="793" spans="14:15" x14ac:dyDescent="0.35">
      <c r="N793" s="108"/>
      <c r="O793" s="108"/>
    </row>
    <row r="794" spans="14:15" x14ac:dyDescent="0.35">
      <c r="N794" s="108"/>
      <c r="O794" s="108"/>
    </row>
    <row r="795" spans="14:15" x14ac:dyDescent="0.35">
      <c r="N795" s="108"/>
      <c r="O795" s="108"/>
    </row>
    <row r="796" spans="14:15" x14ac:dyDescent="0.35">
      <c r="N796" s="108"/>
      <c r="O796" s="108"/>
    </row>
    <row r="797" spans="14:15" x14ac:dyDescent="0.35">
      <c r="N797" s="108"/>
      <c r="O797" s="108"/>
    </row>
    <row r="798" spans="14:15" x14ac:dyDescent="0.35">
      <c r="N798" s="108"/>
      <c r="O798" s="108"/>
    </row>
    <row r="799" spans="14:15" x14ac:dyDescent="0.35">
      <c r="N799" s="108"/>
      <c r="O799" s="108"/>
    </row>
    <row r="800" spans="14:15" x14ac:dyDescent="0.35">
      <c r="N800" s="108"/>
      <c r="O800" s="108"/>
    </row>
    <row r="801" spans="14:15" x14ac:dyDescent="0.35">
      <c r="N801" s="108"/>
      <c r="O801" s="108"/>
    </row>
    <row r="802" spans="14:15" x14ac:dyDescent="0.35">
      <c r="N802" s="108"/>
      <c r="O802" s="108"/>
    </row>
    <row r="803" spans="14:15" x14ac:dyDescent="0.35">
      <c r="N803" s="108"/>
      <c r="O803" s="108"/>
    </row>
    <row r="804" spans="14:15" x14ac:dyDescent="0.35">
      <c r="N804" s="108"/>
      <c r="O804" s="108"/>
    </row>
    <row r="805" spans="14:15" x14ac:dyDescent="0.35">
      <c r="N805" s="108"/>
      <c r="O805" s="108"/>
    </row>
    <row r="806" spans="14:15" x14ac:dyDescent="0.35">
      <c r="N806" s="108"/>
      <c r="O806" s="108"/>
    </row>
    <row r="807" spans="14:15" x14ac:dyDescent="0.35">
      <c r="N807" s="108"/>
      <c r="O807" s="108"/>
    </row>
    <row r="808" spans="14:15" x14ac:dyDescent="0.35">
      <c r="N808" s="108"/>
      <c r="O808" s="108"/>
    </row>
    <row r="809" spans="14:15" x14ac:dyDescent="0.35">
      <c r="N809" s="108"/>
      <c r="O809" s="108"/>
    </row>
    <row r="810" spans="14:15" x14ac:dyDescent="0.35">
      <c r="N810" s="108"/>
      <c r="O810" s="108"/>
    </row>
    <row r="811" spans="14:15" x14ac:dyDescent="0.35">
      <c r="N811" s="108"/>
      <c r="O811" s="108"/>
    </row>
    <row r="812" spans="14:15" x14ac:dyDescent="0.35">
      <c r="N812" s="108"/>
      <c r="O812" s="108"/>
    </row>
    <row r="813" spans="14:15" x14ac:dyDescent="0.35">
      <c r="N813" s="108"/>
      <c r="O813" s="108"/>
    </row>
    <row r="814" spans="14:15" x14ac:dyDescent="0.35">
      <c r="N814" s="108"/>
      <c r="O814" s="108"/>
    </row>
    <row r="815" spans="14:15" x14ac:dyDescent="0.35">
      <c r="N815" s="108"/>
      <c r="O815" s="108"/>
    </row>
    <row r="816" spans="14:15" x14ac:dyDescent="0.35">
      <c r="N816" s="108"/>
      <c r="O816" s="108"/>
    </row>
    <row r="817" spans="14:15" x14ac:dyDescent="0.35">
      <c r="N817" s="108"/>
      <c r="O817" s="108"/>
    </row>
    <row r="818" spans="14:15" x14ac:dyDescent="0.35">
      <c r="N818" s="108"/>
      <c r="O818" s="108"/>
    </row>
    <row r="819" spans="14:15" x14ac:dyDescent="0.35">
      <c r="N819" s="108"/>
      <c r="O819" s="108"/>
    </row>
    <row r="820" spans="14:15" x14ac:dyDescent="0.35">
      <c r="N820" s="108"/>
      <c r="O820" s="108"/>
    </row>
    <row r="821" spans="14:15" x14ac:dyDescent="0.35">
      <c r="N821" s="108"/>
      <c r="O821" s="108"/>
    </row>
    <row r="822" spans="14:15" x14ac:dyDescent="0.35">
      <c r="N822" s="108"/>
      <c r="O822" s="108"/>
    </row>
    <row r="823" spans="14:15" x14ac:dyDescent="0.35">
      <c r="N823" s="108"/>
      <c r="O823" s="108"/>
    </row>
    <row r="824" spans="14:15" x14ac:dyDescent="0.35">
      <c r="N824" s="108"/>
      <c r="O824" s="108"/>
    </row>
    <row r="825" spans="14:15" x14ac:dyDescent="0.35">
      <c r="N825" s="108"/>
      <c r="O825" s="108"/>
    </row>
    <row r="826" spans="14:15" x14ac:dyDescent="0.35">
      <c r="N826" s="108"/>
      <c r="O826" s="108"/>
    </row>
    <row r="827" spans="14:15" x14ac:dyDescent="0.35">
      <c r="N827" s="108"/>
      <c r="O827" s="108"/>
    </row>
    <row r="828" spans="14:15" x14ac:dyDescent="0.35">
      <c r="N828" s="108"/>
      <c r="O828" s="108"/>
    </row>
    <row r="829" spans="14:15" x14ac:dyDescent="0.35">
      <c r="N829" s="108"/>
      <c r="O829" s="108"/>
    </row>
    <row r="830" spans="14:15" x14ac:dyDescent="0.35">
      <c r="N830" s="108"/>
      <c r="O830" s="108"/>
    </row>
    <row r="831" spans="14:15" x14ac:dyDescent="0.35">
      <c r="N831" s="108"/>
      <c r="O831" s="108"/>
    </row>
    <row r="832" spans="14:15" x14ac:dyDescent="0.35">
      <c r="N832" s="108"/>
      <c r="O832" s="108"/>
    </row>
    <row r="833" spans="14:15" x14ac:dyDescent="0.35">
      <c r="N833" s="108"/>
      <c r="O833" s="108"/>
    </row>
    <row r="834" spans="14:15" x14ac:dyDescent="0.35">
      <c r="N834" s="108"/>
      <c r="O834" s="108"/>
    </row>
    <row r="835" spans="14:15" x14ac:dyDescent="0.35">
      <c r="N835" s="108"/>
      <c r="O835" s="108"/>
    </row>
    <row r="836" spans="14:15" x14ac:dyDescent="0.35">
      <c r="N836" s="108"/>
      <c r="O836" s="108"/>
    </row>
    <row r="837" spans="14:15" x14ac:dyDescent="0.35">
      <c r="N837" s="108"/>
      <c r="O837" s="108"/>
    </row>
    <row r="838" spans="14:15" x14ac:dyDescent="0.35">
      <c r="N838" s="108"/>
      <c r="O838" s="108"/>
    </row>
    <row r="839" spans="14:15" x14ac:dyDescent="0.35">
      <c r="N839" s="108"/>
      <c r="O839" s="108"/>
    </row>
    <row r="840" spans="14:15" x14ac:dyDescent="0.35">
      <c r="N840" s="108"/>
      <c r="O840" s="108"/>
    </row>
    <row r="841" spans="14:15" x14ac:dyDescent="0.35">
      <c r="N841" s="108"/>
      <c r="O841" s="108"/>
    </row>
    <row r="842" spans="14:15" x14ac:dyDescent="0.35">
      <c r="N842" s="108"/>
      <c r="O842" s="108"/>
    </row>
    <row r="843" spans="14:15" x14ac:dyDescent="0.35">
      <c r="N843" s="108"/>
      <c r="O843" s="108"/>
    </row>
    <row r="844" spans="14:15" x14ac:dyDescent="0.35">
      <c r="N844" s="108"/>
      <c r="O844" s="108"/>
    </row>
    <row r="845" spans="14:15" x14ac:dyDescent="0.35">
      <c r="N845" s="108"/>
      <c r="O845" s="108"/>
    </row>
    <row r="846" spans="14:15" x14ac:dyDescent="0.35">
      <c r="N846" s="108"/>
      <c r="O846" s="108"/>
    </row>
    <row r="847" spans="14:15" x14ac:dyDescent="0.35">
      <c r="N847" s="108"/>
      <c r="O847" s="108"/>
    </row>
    <row r="848" spans="14:15" x14ac:dyDescent="0.35">
      <c r="N848" s="108"/>
      <c r="O848" s="108"/>
    </row>
    <row r="849" spans="14:15" x14ac:dyDescent="0.35">
      <c r="N849" s="108"/>
      <c r="O849" s="108"/>
    </row>
    <row r="850" spans="14:15" x14ac:dyDescent="0.35">
      <c r="N850" s="108"/>
      <c r="O850" s="108"/>
    </row>
    <row r="851" spans="14:15" x14ac:dyDescent="0.35">
      <c r="N851" s="108"/>
      <c r="O851" s="108"/>
    </row>
    <row r="852" spans="14:15" x14ac:dyDescent="0.35">
      <c r="N852" s="108"/>
      <c r="O852" s="108"/>
    </row>
    <row r="853" spans="14:15" x14ac:dyDescent="0.35">
      <c r="N853" s="108"/>
      <c r="O853" s="108"/>
    </row>
    <row r="854" spans="14:15" x14ac:dyDescent="0.35">
      <c r="N854" s="108"/>
      <c r="O854" s="108"/>
    </row>
    <row r="855" spans="14:15" x14ac:dyDescent="0.35">
      <c r="N855" s="108"/>
      <c r="O855" s="108"/>
    </row>
    <row r="856" spans="14:15" x14ac:dyDescent="0.35">
      <c r="N856" s="108"/>
      <c r="O856" s="108"/>
    </row>
    <row r="857" spans="14:15" x14ac:dyDescent="0.35">
      <c r="N857" s="108"/>
      <c r="O857" s="108"/>
    </row>
    <row r="858" spans="14:15" x14ac:dyDescent="0.35">
      <c r="N858" s="108"/>
      <c r="O858" s="108"/>
    </row>
    <row r="859" spans="14:15" x14ac:dyDescent="0.35">
      <c r="N859" s="108"/>
      <c r="O859" s="108"/>
    </row>
    <row r="860" spans="14:15" x14ac:dyDescent="0.35">
      <c r="N860" s="108"/>
      <c r="O860" s="108"/>
    </row>
    <row r="861" spans="14:15" x14ac:dyDescent="0.35">
      <c r="N861" s="108"/>
      <c r="O861" s="108"/>
    </row>
    <row r="862" spans="14:15" x14ac:dyDescent="0.35">
      <c r="N862" s="108"/>
      <c r="O862" s="108"/>
    </row>
    <row r="863" spans="14:15" x14ac:dyDescent="0.35">
      <c r="N863" s="108"/>
      <c r="O863" s="108"/>
    </row>
    <row r="864" spans="14:15" x14ac:dyDescent="0.35">
      <c r="N864" s="108"/>
      <c r="O864" s="108"/>
    </row>
    <row r="865" spans="14:15" x14ac:dyDescent="0.35">
      <c r="N865" s="108"/>
      <c r="O865" s="108"/>
    </row>
    <row r="866" spans="14:15" x14ac:dyDescent="0.35">
      <c r="N866" s="108"/>
      <c r="O866" s="108"/>
    </row>
    <row r="867" spans="14:15" x14ac:dyDescent="0.35">
      <c r="N867" s="108"/>
      <c r="O867" s="108"/>
    </row>
    <row r="868" spans="14:15" x14ac:dyDescent="0.35">
      <c r="N868" s="108"/>
      <c r="O868" s="108"/>
    </row>
    <row r="869" spans="14:15" x14ac:dyDescent="0.35">
      <c r="N869" s="108"/>
      <c r="O869" s="108"/>
    </row>
    <row r="870" spans="14:15" x14ac:dyDescent="0.35">
      <c r="N870" s="108"/>
      <c r="O870" s="108"/>
    </row>
    <row r="871" spans="14:15" x14ac:dyDescent="0.35">
      <c r="N871" s="108"/>
      <c r="O871" s="108"/>
    </row>
    <row r="872" spans="14:15" x14ac:dyDescent="0.35">
      <c r="N872" s="108"/>
      <c r="O872" s="108"/>
    </row>
    <row r="873" spans="14:15" x14ac:dyDescent="0.35">
      <c r="N873" s="108"/>
      <c r="O873" s="108"/>
    </row>
    <row r="874" spans="14:15" x14ac:dyDescent="0.35">
      <c r="N874" s="108"/>
      <c r="O874" s="108"/>
    </row>
    <row r="875" spans="14:15" x14ac:dyDescent="0.35">
      <c r="N875" s="108"/>
      <c r="O875" s="108"/>
    </row>
    <row r="876" spans="14:15" x14ac:dyDescent="0.35">
      <c r="N876" s="108"/>
      <c r="O876" s="108"/>
    </row>
    <row r="877" spans="14:15" x14ac:dyDescent="0.35">
      <c r="N877" s="108"/>
      <c r="O877" s="108"/>
    </row>
    <row r="878" spans="14:15" x14ac:dyDescent="0.35">
      <c r="N878" s="108"/>
      <c r="O878" s="108"/>
    </row>
    <row r="879" spans="14:15" x14ac:dyDescent="0.35">
      <c r="N879" s="108"/>
      <c r="O879" s="108"/>
    </row>
    <row r="880" spans="14:15" x14ac:dyDescent="0.35">
      <c r="N880" s="108"/>
      <c r="O880" s="108"/>
    </row>
    <row r="881" spans="14:15" x14ac:dyDescent="0.35">
      <c r="N881" s="108"/>
      <c r="O881" s="108"/>
    </row>
    <row r="882" spans="14:15" x14ac:dyDescent="0.35">
      <c r="N882" s="108"/>
      <c r="O882" s="108"/>
    </row>
    <row r="883" spans="14:15" x14ac:dyDescent="0.35">
      <c r="N883" s="108"/>
      <c r="O883" s="108"/>
    </row>
    <row r="884" spans="14:15" x14ac:dyDescent="0.35">
      <c r="N884" s="108"/>
      <c r="O884" s="108"/>
    </row>
    <row r="885" spans="14:15" x14ac:dyDescent="0.35">
      <c r="N885" s="108"/>
      <c r="O885" s="108"/>
    </row>
    <row r="886" spans="14:15" x14ac:dyDescent="0.35">
      <c r="N886" s="108"/>
      <c r="O886" s="108"/>
    </row>
    <row r="887" spans="14:15" x14ac:dyDescent="0.35">
      <c r="N887" s="108"/>
      <c r="O887" s="108"/>
    </row>
    <row r="888" spans="14:15" x14ac:dyDescent="0.35">
      <c r="N888" s="108"/>
      <c r="O888" s="108"/>
    </row>
    <row r="889" spans="14:15" x14ac:dyDescent="0.35">
      <c r="N889" s="108"/>
      <c r="O889" s="108"/>
    </row>
    <row r="890" spans="14:15" x14ac:dyDescent="0.35">
      <c r="N890" s="108"/>
      <c r="O890" s="108"/>
    </row>
    <row r="891" spans="14:15" x14ac:dyDescent="0.35">
      <c r="N891" s="108"/>
      <c r="O891" s="108"/>
    </row>
    <row r="892" spans="14:15" x14ac:dyDescent="0.35">
      <c r="N892" s="108"/>
      <c r="O892" s="108"/>
    </row>
    <row r="893" spans="14:15" x14ac:dyDescent="0.35">
      <c r="N893" s="108"/>
      <c r="O893" s="108"/>
    </row>
    <row r="894" spans="14:15" x14ac:dyDescent="0.35">
      <c r="N894" s="108"/>
      <c r="O894" s="108"/>
    </row>
    <row r="895" spans="14:15" x14ac:dyDescent="0.35">
      <c r="N895" s="108"/>
      <c r="O895" s="108"/>
    </row>
    <row r="896" spans="14:15" x14ac:dyDescent="0.35">
      <c r="N896" s="108"/>
      <c r="O896" s="108"/>
    </row>
    <row r="897" spans="14:15" x14ac:dyDescent="0.35">
      <c r="N897" s="108"/>
      <c r="O897" s="108"/>
    </row>
    <row r="898" spans="14:15" x14ac:dyDescent="0.35">
      <c r="N898" s="108"/>
      <c r="O898" s="108"/>
    </row>
    <row r="899" spans="14:15" x14ac:dyDescent="0.35">
      <c r="N899" s="108"/>
      <c r="O899" s="108"/>
    </row>
    <row r="900" spans="14:15" x14ac:dyDescent="0.35">
      <c r="N900" s="108"/>
      <c r="O900" s="108"/>
    </row>
    <row r="901" spans="14:15" x14ac:dyDescent="0.35">
      <c r="N901" s="108"/>
      <c r="O901" s="108"/>
    </row>
    <row r="902" spans="14:15" x14ac:dyDescent="0.35">
      <c r="N902" s="108"/>
      <c r="O902" s="108"/>
    </row>
    <row r="903" spans="14:15" x14ac:dyDescent="0.35">
      <c r="N903" s="108"/>
      <c r="O903" s="108"/>
    </row>
    <row r="904" spans="14:15" x14ac:dyDescent="0.35">
      <c r="N904" s="108"/>
      <c r="O904" s="108"/>
    </row>
    <row r="905" spans="14:15" x14ac:dyDescent="0.35">
      <c r="N905" s="108"/>
      <c r="O905" s="108"/>
    </row>
    <row r="906" spans="14:15" x14ac:dyDescent="0.35">
      <c r="N906" s="108"/>
      <c r="O906" s="108"/>
    </row>
    <row r="907" spans="14:15" x14ac:dyDescent="0.35">
      <c r="N907" s="108"/>
      <c r="O907" s="108"/>
    </row>
    <row r="908" spans="14:15" x14ac:dyDescent="0.35">
      <c r="N908" s="108"/>
      <c r="O908" s="108"/>
    </row>
    <row r="909" spans="14:15" x14ac:dyDescent="0.35">
      <c r="N909" s="108"/>
      <c r="O909" s="108"/>
    </row>
    <row r="910" spans="14:15" x14ac:dyDescent="0.35">
      <c r="N910" s="108"/>
      <c r="O910" s="108"/>
    </row>
    <row r="911" spans="14:15" x14ac:dyDescent="0.35">
      <c r="N911" s="108"/>
      <c r="O911" s="108"/>
    </row>
    <row r="912" spans="14:15" x14ac:dyDescent="0.35">
      <c r="N912" s="108"/>
      <c r="O912" s="108"/>
    </row>
    <row r="913" spans="14:15" x14ac:dyDescent="0.35">
      <c r="N913" s="108"/>
      <c r="O913" s="108"/>
    </row>
    <row r="914" spans="14:15" x14ac:dyDescent="0.35">
      <c r="N914" s="108"/>
      <c r="O914" s="108"/>
    </row>
    <row r="915" spans="14:15" x14ac:dyDescent="0.35">
      <c r="N915" s="108"/>
      <c r="O915" s="108"/>
    </row>
    <row r="916" spans="14:15" x14ac:dyDescent="0.35">
      <c r="N916" s="108"/>
      <c r="O916" s="108"/>
    </row>
    <row r="917" spans="14:15" x14ac:dyDescent="0.35">
      <c r="N917" s="108"/>
      <c r="O917" s="108"/>
    </row>
    <row r="918" spans="14:15" x14ac:dyDescent="0.35">
      <c r="N918" s="108"/>
      <c r="O918" s="108"/>
    </row>
    <row r="919" spans="14:15" x14ac:dyDescent="0.35">
      <c r="N919" s="108"/>
      <c r="O919" s="108"/>
    </row>
    <row r="920" spans="14:15" x14ac:dyDescent="0.35">
      <c r="N920" s="108"/>
      <c r="O920" s="108"/>
    </row>
    <row r="921" spans="14:15" x14ac:dyDescent="0.35">
      <c r="N921" s="108"/>
      <c r="O921" s="108"/>
    </row>
    <row r="922" spans="14:15" x14ac:dyDescent="0.35">
      <c r="N922" s="108"/>
      <c r="O922" s="108"/>
    </row>
    <row r="923" spans="14:15" x14ac:dyDescent="0.35">
      <c r="N923" s="108"/>
      <c r="O923" s="108"/>
    </row>
    <row r="924" spans="14:15" x14ac:dyDescent="0.35">
      <c r="N924" s="108"/>
      <c r="O924" s="108"/>
    </row>
    <row r="925" spans="14:15" x14ac:dyDescent="0.35">
      <c r="N925" s="108"/>
      <c r="O925" s="108"/>
    </row>
    <row r="926" spans="14:15" x14ac:dyDescent="0.35">
      <c r="N926" s="108"/>
      <c r="O926" s="108"/>
    </row>
    <row r="927" spans="14:15" x14ac:dyDescent="0.35">
      <c r="N927" s="108"/>
      <c r="O927" s="108"/>
    </row>
    <row r="928" spans="14:15" x14ac:dyDescent="0.35">
      <c r="N928" s="108"/>
      <c r="O928" s="108"/>
    </row>
    <row r="929" spans="14:15" x14ac:dyDescent="0.35">
      <c r="N929" s="108"/>
      <c r="O929" s="108"/>
    </row>
    <row r="930" spans="14:15" x14ac:dyDescent="0.35">
      <c r="N930" s="108"/>
      <c r="O930" s="108"/>
    </row>
    <row r="931" spans="14:15" x14ac:dyDescent="0.35">
      <c r="N931" s="108"/>
      <c r="O931" s="108"/>
    </row>
    <row r="932" spans="14:15" x14ac:dyDescent="0.35">
      <c r="N932" s="108"/>
      <c r="O932" s="108"/>
    </row>
    <row r="933" spans="14:15" x14ac:dyDescent="0.35">
      <c r="N933" s="108"/>
      <c r="O933" s="108"/>
    </row>
    <row r="934" spans="14:15" x14ac:dyDescent="0.35">
      <c r="N934" s="108"/>
      <c r="O934" s="108"/>
    </row>
    <row r="935" spans="14:15" x14ac:dyDescent="0.35">
      <c r="N935" s="108"/>
      <c r="O935" s="108"/>
    </row>
    <row r="936" spans="14:15" x14ac:dyDescent="0.35">
      <c r="N936" s="108"/>
      <c r="O936" s="108"/>
    </row>
    <row r="937" spans="14:15" x14ac:dyDescent="0.35">
      <c r="N937" s="108"/>
      <c r="O937" s="108"/>
    </row>
    <row r="938" spans="14:15" x14ac:dyDescent="0.35">
      <c r="N938" s="108"/>
      <c r="O938" s="108"/>
    </row>
    <row r="939" spans="14:15" x14ac:dyDescent="0.35">
      <c r="N939" s="108"/>
      <c r="O939" s="108"/>
    </row>
    <row r="940" spans="14:15" x14ac:dyDescent="0.35">
      <c r="N940" s="108"/>
      <c r="O940" s="108"/>
    </row>
    <row r="941" spans="14:15" x14ac:dyDescent="0.35">
      <c r="N941" s="108"/>
      <c r="O941" s="108"/>
    </row>
    <row r="942" spans="14:15" x14ac:dyDescent="0.35">
      <c r="N942" s="108"/>
      <c r="O942" s="108"/>
    </row>
    <row r="943" spans="14:15" x14ac:dyDescent="0.35">
      <c r="N943" s="108"/>
      <c r="O943" s="108"/>
    </row>
    <row r="944" spans="14:15" x14ac:dyDescent="0.35">
      <c r="N944" s="108"/>
      <c r="O944" s="108"/>
    </row>
    <row r="945" spans="14:15" x14ac:dyDescent="0.35">
      <c r="N945" s="108"/>
      <c r="O945" s="108"/>
    </row>
    <row r="946" spans="14:15" x14ac:dyDescent="0.35">
      <c r="N946" s="108"/>
      <c r="O946" s="108"/>
    </row>
    <row r="947" spans="14:15" x14ac:dyDescent="0.35">
      <c r="N947" s="108"/>
      <c r="O947" s="108"/>
    </row>
    <row r="948" spans="14:15" x14ac:dyDescent="0.35">
      <c r="N948" s="108"/>
      <c r="O948" s="108"/>
    </row>
    <row r="949" spans="14:15" x14ac:dyDescent="0.35">
      <c r="N949" s="108"/>
      <c r="O949" s="108"/>
    </row>
    <row r="950" spans="14:15" x14ac:dyDescent="0.35">
      <c r="N950" s="108"/>
      <c r="O950" s="108"/>
    </row>
    <row r="951" spans="14:15" x14ac:dyDescent="0.35">
      <c r="N951" s="108"/>
      <c r="O951" s="108"/>
    </row>
    <row r="952" spans="14:15" x14ac:dyDescent="0.35">
      <c r="N952" s="108"/>
      <c r="O952" s="108"/>
    </row>
    <row r="953" spans="14:15" x14ac:dyDescent="0.35">
      <c r="N953" s="108"/>
      <c r="O953" s="108"/>
    </row>
    <row r="954" spans="14:15" x14ac:dyDescent="0.35">
      <c r="N954" s="108"/>
      <c r="O954" s="108"/>
    </row>
    <row r="955" spans="14:15" x14ac:dyDescent="0.35">
      <c r="N955" s="108"/>
      <c r="O955" s="108"/>
    </row>
    <row r="956" spans="14:15" x14ac:dyDescent="0.35">
      <c r="N956" s="108"/>
      <c r="O956" s="108"/>
    </row>
    <row r="957" spans="14:15" x14ac:dyDescent="0.35">
      <c r="N957" s="108"/>
      <c r="O957" s="108"/>
    </row>
    <row r="958" spans="14:15" x14ac:dyDescent="0.35">
      <c r="N958" s="108"/>
      <c r="O958" s="108"/>
    </row>
    <row r="959" spans="14:15" x14ac:dyDescent="0.35">
      <c r="N959" s="108"/>
      <c r="O959" s="108"/>
    </row>
    <row r="960" spans="14:15" x14ac:dyDescent="0.35">
      <c r="N960" s="108"/>
      <c r="O960" s="108"/>
    </row>
    <row r="961" spans="14:15" x14ac:dyDescent="0.35">
      <c r="N961" s="108"/>
      <c r="O961" s="108"/>
    </row>
    <row r="962" spans="14:15" x14ac:dyDescent="0.35">
      <c r="N962" s="108"/>
      <c r="O962" s="108"/>
    </row>
    <row r="963" spans="14:15" x14ac:dyDescent="0.35">
      <c r="N963" s="108"/>
      <c r="O963" s="108"/>
    </row>
    <row r="964" spans="14:15" x14ac:dyDescent="0.35">
      <c r="N964" s="108"/>
      <c r="O964" s="108"/>
    </row>
    <row r="965" spans="14:15" x14ac:dyDescent="0.35">
      <c r="N965" s="108"/>
      <c r="O965" s="108"/>
    </row>
    <row r="966" spans="14:15" x14ac:dyDescent="0.35">
      <c r="N966" s="108"/>
      <c r="O966" s="108"/>
    </row>
    <row r="967" spans="14:15" x14ac:dyDescent="0.35">
      <c r="N967" s="108"/>
      <c r="O967" s="108"/>
    </row>
    <row r="968" spans="14:15" x14ac:dyDescent="0.35">
      <c r="N968" s="108"/>
      <c r="O968" s="108"/>
    </row>
    <row r="969" spans="14:15" x14ac:dyDescent="0.35">
      <c r="N969" s="108"/>
      <c r="O969" s="108"/>
    </row>
    <row r="970" spans="14:15" x14ac:dyDescent="0.35">
      <c r="N970" s="108"/>
      <c r="O970" s="108"/>
    </row>
    <row r="971" spans="14:15" x14ac:dyDescent="0.35">
      <c r="N971" s="108"/>
      <c r="O971" s="108"/>
    </row>
    <row r="972" spans="14:15" x14ac:dyDescent="0.35">
      <c r="N972" s="108"/>
      <c r="O972" s="108"/>
    </row>
    <row r="973" spans="14:15" x14ac:dyDescent="0.35">
      <c r="N973" s="108"/>
      <c r="O973" s="108"/>
    </row>
    <row r="974" spans="14:15" x14ac:dyDescent="0.35">
      <c r="N974" s="108"/>
      <c r="O974" s="108"/>
    </row>
    <row r="975" spans="14:15" x14ac:dyDescent="0.35">
      <c r="N975" s="108"/>
      <c r="O975" s="108"/>
    </row>
    <row r="976" spans="14:15" x14ac:dyDescent="0.35">
      <c r="N976" s="108"/>
      <c r="O976" s="108"/>
    </row>
    <row r="977" spans="14:15" x14ac:dyDescent="0.35">
      <c r="N977" s="108"/>
      <c r="O977" s="108"/>
    </row>
    <row r="978" spans="14:15" x14ac:dyDescent="0.35">
      <c r="N978" s="108"/>
      <c r="O978" s="108"/>
    </row>
    <row r="979" spans="14:15" x14ac:dyDescent="0.35">
      <c r="N979" s="108"/>
      <c r="O979" s="108"/>
    </row>
    <row r="980" spans="14:15" x14ac:dyDescent="0.35">
      <c r="N980" s="108"/>
      <c r="O980" s="108"/>
    </row>
    <row r="981" spans="14:15" x14ac:dyDescent="0.35">
      <c r="N981" s="108"/>
      <c r="O981" s="108"/>
    </row>
    <row r="982" spans="14:15" x14ac:dyDescent="0.35">
      <c r="N982" s="108"/>
      <c r="O982" s="108"/>
    </row>
    <row r="983" spans="14:15" x14ac:dyDescent="0.35">
      <c r="N983" s="108"/>
      <c r="O983" s="108"/>
    </row>
    <row r="984" spans="14:15" x14ac:dyDescent="0.35">
      <c r="N984" s="108"/>
      <c r="O984" s="108"/>
    </row>
    <row r="985" spans="14:15" x14ac:dyDescent="0.35">
      <c r="N985" s="108"/>
      <c r="O985" s="108"/>
    </row>
    <row r="986" spans="14:15" x14ac:dyDescent="0.35">
      <c r="N986" s="108"/>
      <c r="O986" s="108"/>
    </row>
    <row r="987" spans="14:15" x14ac:dyDescent="0.35">
      <c r="N987" s="108"/>
      <c r="O987" s="108"/>
    </row>
    <row r="988" spans="14:15" x14ac:dyDescent="0.35">
      <c r="N988" s="108"/>
      <c r="O988" s="108"/>
    </row>
    <row r="989" spans="14:15" x14ac:dyDescent="0.35">
      <c r="N989" s="108"/>
      <c r="O989" s="108"/>
    </row>
    <row r="990" spans="14:15" x14ac:dyDescent="0.35">
      <c r="N990" s="108"/>
      <c r="O990" s="108"/>
    </row>
    <row r="991" spans="14:15" x14ac:dyDescent="0.35">
      <c r="N991" s="108"/>
      <c r="O991" s="108"/>
    </row>
    <row r="992" spans="14:15" x14ac:dyDescent="0.35">
      <c r="N992" s="108"/>
      <c r="O992" s="108"/>
    </row>
    <row r="993" spans="14:15" x14ac:dyDescent="0.35">
      <c r="N993" s="108"/>
      <c r="O993" s="108"/>
    </row>
    <row r="994" spans="14:15" x14ac:dyDescent="0.35">
      <c r="N994" s="108"/>
      <c r="O994" s="108"/>
    </row>
    <row r="995" spans="14:15" x14ac:dyDescent="0.35">
      <c r="N995" s="108"/>
      <c r="O995" s="108"/>
    </row>
    <row r="996" spans="14:15" x14ac:dyDescent="0.35">
      <c r="N996" s="108"/>
      <c r="O996" s="108"/>
    </row>
    <row r="997" spans="14:15" x14ac:dyDescent="0.35">
      <c r="N997" s="108"/>
      <c r="O997" s="108"/>
    </row>
    <row r="998" spans="14:15" x14ac:dyDescent="0.35">
      <c r="N998" s="108"/>
      <c r="O998" s="108"/>
    </row>
    <row r="999" spans="14:15" x14ac:dyDescent="0.35">
      <c r="N999" s="108"/>
      <c r="O999" s="108"/>
    </row>
    <row r="1000" spans="14:15" x14ac:dyDescent="0.35">
      <c r="N1000" s="108"/>
      <c r="O1000" s="108"/>
    </row>
    <row r="1001" spans="14:15" x14ac:dyDescent="0.35">
      <c r="N1001" s="108"/>
      <c r="O1001" s="108"/>
    </row>
    <row r="1002" spans="14:15" x14ac:dyDescent="0.35">
      <c r="N1002" s="108"/>
      <c r="O1002" s="108"/>
    </row>
    <row r="1003" spans="14:15" x14ac:dyDescent="0.35">
      <c r="N1003" s="108"/>
      <c r="O1003" s="108"/>
    </row>
    <row r="1004" spans="14:15" x14ac:dyDescent="0.35">
      <c r="N1004" s="108"/>
      <c r="O1004" s="108"/>
    </row>
    <row r="1005" spans="14:15" x14ac:dyDescent="0.35">
      <c r="N1005" s="108"/>
      <c r="O1005" s="108"/>
    </row>
    <row r="1006" spans="14:15" x14ac:dyDescent="0.35">
      <c r="N1006" s="108"/>
      <c r="O1006" s="108"/>
    </row>
    <row r="1007" spans="14:15" x14ac:dyDescent="0.35">
      <c r="N1007" s="108"/>
      <c r="O1007" s="108"/>
    </row>
    <row r="1008" spans="14:15" x14ac:dyDescent="0.35">
      <c r="N1008" s="108"/>
      <c r="O1008" s="108"/>
    </row>
    <row r="1009" spans="14:15" x14ac:dyDescent="0.35">
      <c r="N1009" s="108"/>
      <c r="O1009" s="108"/>
    </row>
    <row r="1010" spans="14:15" x14ac:dyDescent="0.35">
      <c r="N1010" s="108"/>
      <c r="O1010" s="108"/>
    </row>
    <row r="1011" spans="14:15" x14ac:dyDescent="0.35">
      <c r="N1011" s="108"/>
      <c r="O1011" s="108"/>
    </row>
    <row r="1012" spans="14:15" x14ac:dyDescent="0.35">
      <c r="N1012" s="108"/>
      <c r="O1012" s="108"/>
    </row>
    <row r="1013" spans="14:15" x14ac:dyDescent="0.35">
      <c r="N1013" s="108"/>
      <c r="O1013" s="108"/>
    </row>
    <row r="1014" spans="14:15" x14ac:dyDescent="0.35">
      <c r="N1014" s="108"/>
      <c r="O1014" s="108"/>
    </row>
    <row r="1015" spans="14:15" x14ac:dyDescent="0.35">
      <c r="N1015" s="108"/>
      <c r="O1015" s="108"/>
    </row>
    <row r="1016" spans="14:15" x14ac:dyDescent="0.35">
      <c r="N1016" s="108"/>
      <c r="O1016" s="108"/>
    </row>
    <row r="1017" spans="14:15" x14ac:dyDescent="0.35">
      <c r="N1017" s="108"/>
      <c r="O1017" s="108"/>
    </row>
    <row r="1018" spans="14:15" x14ac:dyDescent="0.35">
      <c r="N1018" s="108"/>
      <c r="O1018" s="108"/>
    </row>
    <row r="1019" spans="14:15" x14ac:dyDescent="0.35">
      <c r="N1019" s="108"/>
      <c r="O1019" s="108"/>
    </row>
    <row r="1020" spans="14:15" x14ac:dyDescent="0.35">
      <c r="N1020" s="108"/>
      <c r="O1020" s="108"/>
    </row>
    <row r="1021" spans="14:15" x14ac:dyDescent="0.35">
      <c r="N1021" s="108"/>
      <c r="O1021" s="108"/>
    </row>
    <row r="1022" spans="14:15" x14ac:dyDescent="0.35">
      <c r="N1022" s="108"/>
      <c r="O1022" s="108"/>
    </row>
    <row r="1023" spans="14:15" x14ac:dyDescent="0.35">
      <c r="N1023" s="108"/>
      <c r="O1023" s="108"/>
    </row>
    <row r="1024" spans="14:15" x14ac:dyDescent="0.35">
      <c r="N1024" s="108"/>
      <c r="O1024" s="108"/>
    </row>
    <row r="1025" spans="14:15" x14ac:dyDescent="0.35">
      <c r="N1025" s="108"/>
      <c r="O1025" s="108"/>
    </row>
    <row r="1026" spans="14:15" x14ac:dyDescent="0.35">
      <c r="N1026" s="108"/>
      <c r="O1026" s="108"/>
    </row>
    <row r="1027" spans="14:15" x14ac:dyDescent="0.35">
      <c r="N1027" s="108"/>
      <c r="O1027" s="108"/>
    </row>
    <row r="1028" spans="14:15" x14ac:dyDescent="0.35">
      <c r="N1028" s="108"/>
      <c r="O1028" s="108"/>
    </row>
    <row r="1029" spans="14:15" x14ac:dyDescent="0.35">
      <c r="N1029" s="108"/>
      <c r="O1029" s="108"/>
    </row>
    <row r="1030" spans="14:15" x14ac:dyDescent="0.35">
      <c r="N1030" s="108"/>
      <c r="O1030" s="108"/>
    </row>
    <row r="1031" spans="14:15" x14ac:dyDescent="0.35">
      <c r="N1031" s="108"/>
      <c r="O1031" s="108"/>
    </row>
    <row r="1032" spans="14:15" x14ac:dyDescent="0.35">
      <c r="N1032" s="108"/>
      <c r="O1032" s="108"/>
    </row>
    <row r="1033" spans="14:15" x14ac:dyDescent="0.35">
      <c r="N1033" s="108"/>
      <c r="O1033" s="108"/>
    </row>
    <row r="1034" spans="14:15" x14ac:dyDescent="0.35">
      <c r="N1034" s="108"/>
      <c r="O1034" s="108"/>
    </row>
    <row r="1035" spans="14:15" x14ac:dyDescent="0.35">
      <c r="N1035" s="108"/>
      <c r="O1035" s="108"/>
    </row>
    <row r="1036" spans="14:15" x14ac:dyDescent="0.35">
      <c r="N1036" s="108"/>
      <c r="O1036" s="108"/>
    </row>
    <row r="1037" spans="14:15" x14ac:dyDescent="0.35">
      <c r="N1037" s="108"/>
      <c r="O1037" s="108"/>
    </row>
    <row r="1038" spans="14:15" x14ac:dyDescent="0.35">
      <c r="N1038" s="108"/>
      <c r="O1038" s="108"/>
    </row>
    <row r="1039" spans="14:15" x14ac:dyDescent="0.35">
      <c r="N1039" s="108"/>
      <c r="O1039" s="108"/>
    </row>
    <row r="1040" spans="14:15" x14ac:dyDescent="0.35">
      <c r="N1040" s="108"/>
      <c r="O1040" s="108"/>
    </row>
    <row r="1041" spans="14:15" x14ac:dyDescent="0.35">
      <c r="N1041" s="108"/>
      <c r="O1041" s="108"/>
    </row>
    <row r="1042" spans="14:15" x14ac:dyDescent="0.35">
      <c r="N1042" s="108"/>
      <c r="O1042" s="108"/>
    </row>
    <row r="1043" spans="14:15" x14ac:dyDescent="0.35">
      <c r="N1043" s="108"/>
      <c r="O1043" s="108"/>
    </row>
    <row r="1044" spans="14:15" x14ac:dyDescent="0.35">
      <c r="N1044" s="108"/>
      <c r="O1044" s="108"/>
    </row>
    <row r="1045" spans="14:15" x14ac:dyDescent="0.35">
      <c r="N1045" s="108"/>
      <c r="O1045" s="108"/>
    </row>
    <row r="1046" spans="14:15" x14ac:dyDescent="0.35">
      <c r="N1046" s="108"/>
      <c r="O1046" s="108"/>
    </row>
    <row r="1047" spans="14:15" x14ac:dyDescent="0.35">
      <c r="N1047" s="108"/>
      <c r="O1047" s="108"/>
    </row>
    <row r="1048" spans="14:15" x14ac:dyDescent="0.35">
      <c r="N1048" s="108"/>
      <c r="O1048" s="108"/>
    </row>
    <row r="1049" spans="14:15" x14ac:dyDescent="0.35">
      <c r="N1049" s="108"/>
      <c r="O1049" s="108"/>
    </row>
    <row r="1050" spans="14:15" x14ac:dyDescent="0.35">
      <c r="N1050" s="108"/>
      <c r="O1050" s="108"/>
    </row>
    <row r="1051" spans="14:15" x14ac:dyDescent="0.35">
      <c r="N1051" s="108"/>
      <c r="O1051" s="108"/>
    </row>
    <row r="1052" spans="14:15" x14ac:dyDescent="0.35">
      <c r="N1052" s="108"/>
      <c r="O1052" s="108"/>
    </row>
    <row r="1053" spans="14:15" x14ac:dyDescent="0.35">
      <c r="N1053" s="108"/>
      <c r="O1053" s="108"/>
    </row>
    <row r="1054" spans="14:15" x14ac:dyDescent="0.35">
      <c r="N1054" s="108"/>
      <c r="O1054" s="108"/>
    </row>
    <row r="1055" spans="14:15" x14ac:dyDescent="0.35">
      <c r="N1055" s="108"/>
      <c r="O1055" s="108"/>
    </row>
    <row r="1056" spans="14:15" x14ac:dyDescent="0.35">
      <c r="N1056" s="108"/>
      <c r="O1056" s="108"/>
    </row>
    <row r="1057" spans="14:15" x14ac:dyDescent="0.35">
      <c r="N1057" s="108"/>
      <c r="O1057" s="108"/>
    </row>
    <row r="1058" spans="14:15" x14ac:dyDescent="0.35">
      <c r="N1058" s="108"/>
      <c r="O1058" s="108"/>
    </row>
    <row r="1059" spans="14:15" x14ac:dyDescent="0.35">
      <c r="N1059" s="108"/>
      <c r="O1059" s="108"/>
    </row>
    <row r="1060" spans="14:15" x14ac:dyDescent="0.35">
      <c r="N1060" s="108"/>
      <c r="O1060" s="108"/>
    </row>
    <row r="1061" spans="14:15" x14ac:dyDescent="0.35">
      <c r="N1061" s="108"/>
      <c r="O1061" s="108"/>
    </row>
    <row r="1062" spans="14:15" x14ac:dyDescent="0.35">
      <c r="N1062" s="108"/>
      <c r="O1062" s="108"/>
    </row>
    <row r="1063" spans="14:15" x14ac:dyDescent="0.35">
      <c r="N1063" s="108"/>
      <c r="O1063" s="108"/>
    </row>
    <row r="1064" spans="14:15" x14ac:dyDescent="0.35">
      <c r="N1064" s="108"/>
      <c r="O1064" s="108"/>
    </row>
    <row r="1065" spans="14:15" x14ac:dyDescent="0.35">
      <c r="N1065" s="108"/>
      <c r="O1065" s="108"/>
    </row>
    <row r="1066" spans="14:15" x14ac:dyDescent="0.35">
      <c r="N1066" s="108"/>
      <c r="O1066" s="108"/>
    </row>
    <row r="1067" spans="14:15" x14ac:dyDescent="0.35">
      <c r="N1067" s="108"/>
      <c r="O1067" s="108"/>
    </row>
    <row r="1068" spans="14:15" x14ac:dyDescent="0.35">
      <c r="N1068" s="108"/>
      <c r="O1068" s="108"/>
    </row>
    <row r="1069" spans="14:15" x14ac:dyDescent="0.35">
      <c r="N1069" s="108"/>
      <c r="O1069" s="108"/>
    </row>
    <row r="1070" spans="14:15" x14ac:dyDescent="0.35">
      <c r="N1070" s="108"/>
      <c r="O1070" s="108"/>
    </row>
    <row r="1071" spans="14:15" x14ac:dyDescent="0.35">
      <c r="N1071" s="108"/>
      <c r="O1071" s="108"/>
    </row>
    <row r="1072" spans="14:15" x14ac:dyDescent="0.35">
      <c r="N1072" s="108"/>
      <c r="O1072" s="108"/>
    </row>
    <row r="1073" spans="14:15" x14ac:dyDescent="0.35">
      <c r="N1073" s="108"/>
      <c r="O1073" s="108"/>
    </row>
    <row r="1074" spans="14:15" x14ac:dyDescent="0.35">
      <c r="N1074" s="108"/>
      <c r="O1074" s="108"/>
    </row>
    <row r="1075" spans="14:15" x14ac:dyDescent="0.35">
      <c r="N1075" s="108"/>
      <c r="O1075" s="108"/>
    </row>
    <row r="1076" spans="14:15" x14ac:dyDescent="0.35">
      <c r="N1076" s="108"/>
      <c r="O1076" s="108"/>
    </row>
    <row r="1077" spans="14:15" x14ac:dyDescent="0.35">
      <c r="N1077" s="108"/>
      <c r="O1077" s="108"/>
    </row>
    <row r="1078" spans="14:15" x14ac:dyDescent="0.35">
      <c r="N1078" s="108"/>
      <c r="O1078" s="108"/>
    </row>
    <row r="1079" spans="14:15" x14ac:dyDescent="0.35">
      <c r="N1079" s="108"/>
      <c r="O1079" s="108"/>
    </row>
    <row r="1080" spans="14:15" x14ac:dyDescent="0.35">
      <c r="N1080" s="108"/>
      <c r="O1080" s="108"/>
    </row>
    <row r="1081" spans="14:15" x14ac:dyDescent="0.35">
      <c r="N1081" s="108"/>
      <c r="O1081" s="108"/>
    </row>
    <row r="1082" spans="14:15" x14ac:dyDescent="0.35">
      <c r="N1082" s="108"/>
      <c r="O1082" s="108"/>
    </row>
    <row r="1083" spans="14:15" x14ac:dyDescent="0.35">
      <c r="N1083" s="108"/>
      <c r="O1083" s="108"/>
    </row>
    <row r="1084" spans="14:15" x14ac:dyDescent="0.35">
      <c r="N1084" s="108"/>
      <c r="O1084" s="108"/>
    </row>
    <row r="1085" spans="14:15" x14ac:dyDescent="0.35">
      <c r="N1085" s="108"/>
      <c r="O1085" s="108"/>
    </row>
    <row r="1086" spans="14:15" x14ac:dyDescent="0.35">
      <c r="N1086" s="108"/>
      <c r="O1086" s="108"/>
    </row>
    <row r="1087" spans="14:15" x14ac:dyDescent="0.35">
      <c r="N1087" s="108"/>
      <c r="O1087" s="108"/>
    </row>
    <row r="1088" spans="14:15" x14ac:dyDescent="0.35">
      <c r="N1088" s="108"/>
      <c r="O1088" s="108"/>
    </row>
    <row r="1089" spans="14:15" x14ac:dyDescent="0.35">
      <c r="N1089" s="108"/>
      <c r="O1089" s="108"/>
    </row>
    <row r="1090" spans="14:15" x14ac:dyDescent="0.35">
      <c r="N1090" s="108"/>
      <c r="O1090" s="108"/>
    </row>
    <row r="1091" spans="14:15" x14ac:dyDescent="0.35">
      <c r="N1091" s="108"/>
      <c r="O1091" s="108"/>
    </row>
    <row r="1092" spans="14:15" x14ac:dyDescent="0.35">
      <c r="N1092" s="108"/>
      <c r="O1092" s="108"/>
    </row>
    <row r="1093" spans="14:15" x14ac:dyDescent="0.35">
      <c r="N1093" s="108"/>
      <c r="O1093" s="108"/>
    </row>
    <row r="1094" spans="14:15" x14ac:dyDescent="0.35">
      <c r="N1094" s="108"/>
      <c r="O1094" s="108"/>
    </row>
    <row r="1095" spans="14:15" x14ac:dyDescent="0.35">
      <c r="N1095" s="108"/>
      <c r="O1095" s="108"/>
    </row>
    <row r="1096" spans="14:15" x14ac:dyDescent="0.35">
      <c r="N1096" s="108"/>
      <c r="O1096" s="108"/>
    </row>
    <row r="1097" spans="14:15" x14ac:dyDescent="0.35">
      <c r="N1097" s="108"/>
      <c r="O1097" s="108"/>
    </row>
    <row r="1098" spans="14:15" x14ac:dyDescent="0.35">
      <c r="N1098" s="108"/>
      <c r="O1098" s="108"/>
    </row>
    <row r="1099" spans="14:15" x14ac:dyDescent="0.35">
      <c r="N1099" s="108"/>
      <c r="O1099" s="108"/>
    </row>
    <row r="1100" spans="14:15" x14ac:dyDescent="0.35">
      <c r="N1100" s="108"/>
      <c r="O1100" s="108"/>
    </row>
    <row r="1101" spans="14:15" x14ac:dyDescent="0.35">
      <c r="N1101" s="108"/>
      <c r="O1101" s="108"/>
    </row>
    <row r="1102" spans="14:15" x14ac:dyDescent="0.35">
      <c r="N1102" s="108"/>
      <c r="O1102" s="108"/>
    </row>
    <row r="1103" spans="14:15" x14ac:dyDescent="0.35">
      <c r="N1103" s="108"/>
      <c r="O1103" s="108"/>
    </row>
    <row r="1104" spans="14:15" x14ac:dyDescent="0.35">
      <c r="N1104" s="108"/>
      <c r="O1104" s="108"/>
    </row>
    <row r="1105" spans="14:15" x14ac:dyDescent="0.35">
      <c r="N1105" s="108"/>
      <c r="O1105" s="108"/>
    </row>
    <row r="1106" spans="14:15" x14ac:dyDescent="0.35">
      <c r="N1106" s="108"/>
      <c r="O1106" s="108"/>
    </row>
    <row r="1107" spans="14:15" x14ac:dyDescent="0.35">
      <c r="N1107" s="108"/>
      <c r="O1107" s="108"/>
    </row>
    <row r="1108" spans="14:15" x14ac:dyDescent="0.35">
      <c r="N1108" s="108"/>
      <c r="O1108" s="108"/>
    </row>
    <row r="1109" spans="14:15" x14ac:dyDescent="0.35">
      <c r="N1109" s="108"/>
      <c r="O1109" s="108"/>
    </row>
    <row r="1110" spans="14:15" x14ac:dyDescent="0.35">
      <c r="N1110" s="108"/>
      <c r="O1110" s="108"/>
    </row>
    <row r="1111" spans="14:15" x14ac:dyDescent="0.35">
      <c r="N1111" s="108"/>
      <c r="O1111" s="108"/>
    </row>
    <row r="1112" spans="14:15" x14ac:dyDescent="0.35">
      <c r="N1112" s="108"/>
      <c r="O1112" s="108"/>
    </row>
    <row r="1113" spans="14:15" x14ac:dyDescent="0.35">
      <c r="N1113" s="108"/>
      <c r="O1113" s="108"/>
    </row>
    <row r="1114" spans="14:15" x14ac:dyDescent="0.35">
      <c r="N1114" s="108"/>
      <c r="O1114" s="108"/>
    </row>
    <row r="1115" spans="14:15" x14ac:dyDescent="0.35">
      <c r="N1115" s="108"/>
      <c r="O1115" s="108"/>
    </row>
    <row r="1116" spans="14:15" x14ac:dyDescent="0.35">
      <c r="N1116" s="108"/>
      <c r="O1116" s="108"/>
    </row>
    <row r="1117" spans="14:15" x14ac:dyDescent="0.35">
      <c r="N1117" s="108"/>
      <c r="O1117" s="108"/>
    </row>
    <row r="1118" spans="14:15" x14ac:dyDescent="0.35">
      <c r="N1118" s="108"/>
      <c r="O1118" s="108"/>
    </row>
    <row r="1119" spans="14:15" x14ac:dyDescent="0.35">
      <c r="N1119" s="108"/>
      <c r="O1119" s="108"/>
    </row>
    <row r="1120" spans="14:15" x14ac:dyDescent="0.35">
      <c r="N1120" s="108"/>
      <c r="O1120" s="108"/>
    </row>
    <row r="1121" spans="14:15" x14ac:dyDescent="0.35">
      <c r="N1121" s="108"/>
      <c r="O1121" s="108"/>
    </row>
    <row r="1122" spans="14:15" x14ac:dyDescent="0.35">
      <c r="N1122" s="108"/>
      <c r="O1122" s="108"/>
    </row>
    <row r="1123" spans="14:15" x14ac:dyDescent="0.35">
      <c r="N1123" s="108"/>
      <c r="O1123" s="108"/>
    </row>
    <row r="1124" spans="14:15" x14ac:dyDescent="0.35">
      <c r="N1124" s="108"/>
      <c r="O1124" s="108"/>
    </row>
    <row r="1125" spans="14:15" x14ac:dyDescent="0.35">
      <c r="N1125" s="108"/>
      <c r="O1125" s="108"/>
    </row>
    <row r="1126" spans="14:15" x14ac:dyDescent="0.35">
      <c r="N1126" s="108"/>
      <c r="O1126" s="108"/>
    </row>
    <row r="1127" spans="14:15" x14ac:dyDescent="0.35">
      <c r="N1127" s="108"/>
      <c r="O1127" s="108"/>
    </row>
    <row r="1128" spans="14:15" x14ac:dyDescent="0.35">
      <c r="N1128" s="108"/>
      <c r="O1128" s="108"/>
    </row>
    <row r="1129" spans="14:15" x14ac:dyDescent="0.35">
      <c r="N1129" s="108"/>
      <c r="O1129" s="108"/>
    </row>
    <row r="1130" spans="14:15" x14ac:dyDescent="0.35">
      <c r="N1130" s="108"/>
      <c r="O1130" s="108"/>
    </row>
    <row r="1131" spans="14:15" x14ac:dyDescent="0.35">
      <c r="N1131" s="108"/>
      <c r="O1131" s="108"/>
    </row>
    <row r="1132" spans="14:15" x14ac:dyDescent="0.35">
      <c r="N1132" s="108"/>
      <c r="O1132" s="108"/>
    </row>
    <row r="1133" spans="14:15" x14ac:dyDescent="0.35">
      <c r="N1133" s="108"/>
      <c r="O1133" s="108"/>
    </row>
    <row r="1134" spans="14:15" x14ac:dyDescent="0.35">
      <c r="N1134" s="108"/>
      <c r="O1134" s="108"/>
    </row>
    <row r="1135" spans="14:15" x14ac:dyDescent="0.35">
      <c r="N1135" s="108"/>
      <c r="O1135" s="108"/>
    </row>
    <row r="1136" spans="14:15" x14ac:dyDescent="0.35">
      <c r="N1136" s="108"/>
      <c r="O1136" s="108"/>
    </row>
    <row r="1137" spans="14:15" x14ac:dyDescent="0.35">
      <c r="N1137" s="108"/>
      <c r="O1137" s="108"/>
    </row>
    <row r="1138" spans="14:15" x14ac:dyDescent="0.35">
      <c r="N1138" s="108"/>
      <c r="O1138" s="108"/>
    </row>
    <row r="1139" spans="14:15" x14ac:dyDescent="0.35">
      <c r="N1139" s="108"/>
      <c r="O1139" s="108"/>
    </row>
    <row r="1140" spans="14:15" x14ac:dyDescent="0.35">
      <c r="N1140" s="108"/>
      <c r="O1140" s="108"/>
    </row>
    <row r="1141" spans="14:15" x14ac:dyDescent="0.35">
      <c r="N1141" s="108"/>
      <c r="O1141" s="108"/>
    </row>
    <row r="1142" spans="14:15" x14ac:dyDescent="0.35">
      <c r="N1142" s="108"/>
      <c r="O1142" s="108"/>
    </row>
    <row r="1143" spans="14:15" x14ac:dyDescent="0.35">
      <c r="N1143" s="108"/>
      <c r="O1143" s="108"/>
    </row>
    <row r="1144" spans="14:15" x14ac:dyDescent="0.35">
      <c r="N1144" s="108"/>
      <c r="O1144" s="108"/>
    </row>
    <row r="1145" spans="14:15" x14ac:dyDescent="0.35">
      <c r="N1145" s="108"/>
      <c r="O1145" s="108"/>
    </row>
    <row r="1146" spans="14:15" x14ac:dyDescent="0.35">
      <c r="N1146" s="108"/>
      <c r="O1146" s="108"/>
    </row>
    <row r="1147" spans="14:15" x14ac:dyDescent="0.35">
      <c r="N1147" s="108"/>
      <c r="O1147" s="108"/>
    </row>
    <row r="1148" spans="14:15" x14ac:dyDescent="0.35">
      <c r="N1148" s="108"/>
      <c r="O1148" s="108"/>
    </row>
    <row r="1149" spans="14:15" x14ac:dyDescent="0.35">
      <c r="N1149" s="108"/>
      <c r="O1149" s="108"/>
    </row>
    <row r="1150" spans="14:15" x14ac:dyDescent="0.35">
      <c r="N1150" s="108"/>
      <c r="O1150" s="108"/>
    </row>
    <row r="1151" spans="14:15" x14ac:dyDescent="0.35">
      <c r="N1151" s="108"/>
      <c r="O1151" s="108"/>
    </row>
    <row r="1152" spans="14:15" x14ac:dyDescent="0.35">
      <c r="N1152" s="108"/>
      <c r="O1152" s="108"/>
    </row>
    <row r="1153" spans="14:15" x14ac:dyDescent="0.35">
      <c r="N1153" s="108"/>
      <c r="O1153" s="108"/>
    </row>
    <row r="1154" spans="14:15" x14ac:dyDescent="0.35">
      <c r="N1154" s="108"/>
      <c r="O1154" s="108"/>
    </row>
    <row r="1155" spans="14:15" x14ac:dyDescent="0.35">
      <c r="N1155" s="108"/>
      <c r="O1155" s="108"/>
    </row>
    <row r="1156" spans="14:15" x14ac:dyDescent="0.35">
      <c r="N1156" s="108"/>
      <c r="O1156" s="108"/>
    </row>
    <row r="1157" spans="14:15" x14ac:dyDescent="0.35">
      <c r="N1157" s="108"/>
      <c r="O1157" s="108"/>
    </row>
    <row r="1158" spans="14:15" x14ac:dyDescent="0.35">
      <c r="N1158" s="108"/>
      <c r="O1158" s="108"/>
    </row>
    <row r="1159" spans="14:15" x14ac:dyDescent="0.35">
      <c r="N1159" s="108"/>
      <c r="O1159" s="108"/>
    </row>
    <row r="1160" spans="14:15" x14ac:dyDescent="0.35">
      <c r="N1160" s="108"/>
      <c r="O1160" s="108"/>
    </row>
    <row r="1161" spans="14:15" x14ac:dyDescent="0.35">
      <c r="N1161" s="108"/>
      <c r="O1161" s="108"/>
    </row>
    <row r="1162" spans="14:15" x14ac:dyDescent="0.35">
      <c r="N1162" s="108"/>
      <c r="O1162" s="108"/>
    </row>
    <row r="1163" spans="14:15" x14ac:dyDescent="0.35">
      <c r="N1163" s="108"/>
      <c r="O1163" s="108"/>
    </row>
    <row r="1164" spans="14:15" x14ac:dyDescent="0.35">
      <c r="N1164" s="108"/>
      <c r="O1164" s="108"/>
    </row>
    <row r="1165" spans="14:15" x14ac:dyDescent="0.35">
      <c r="N1165" s="108"/>
      <c r="O1165" s="108"/>
    </row>
    <row r="1166" spans="14:15" x14ac:dyDescent="0.35">
      <c r="N1166" s="108"/>
      <c r="O1166" s="108"/>
    </row>
    <row r="1167" spans="14:15" x14ac:dyDescent="0.35">
      <c r="N1167" s="108"/>
      <c r="O1167" s="108"/>
    </row>
    <row r="1168" spans="14:15" x14ac:dyDescent="0.35">
      <c r="N1168" s="108"/>
      <c r="O1168" s="108"/>
    </row>
    <row r="1169" spans="14:15" x14ac:dyDescent="0.35">
      <c r="N1169" s="108"/>
      <c r="O1169" s="108"/>
    </row>
    <row r="1170" spans="14:15" x14ac:dyDescent="0.35">
      <c r="N1170" s="108"/>
      <c r="O1170" s="108"/>
    </row>
    <row r="1171" spans="14:15" x14ac:dyDescent="0.35">
      <c r="N1171" s="108"/>
      <c r="O1171" s="108"/>
    </row>
    <row r="1172" spans="14:15" x14ac:dyDescent="0.35">
      <c r="N1172" s="108"/>
      <c r="O1172" s="108"/>
    </row>
    <row r="1173" spans="14:15" x14ac:dyDescent="0.35">
      <c r="N1173" s="108"/>
      <c r="O1173" s="108"/>
    </row>
    <row r="1174" spans="14:15" x14ac:dyDescent="0.35">
      <c r="N1174" s="108"/>
      <c r="O1174" s="108"/>
    </row>
    <row r="1175" spans="14:15" x14ac:dyDescent="0.35">
      <c r="N1175" s="108"/>
      <c r="O1175" s="108"/>
    </row>
    <row r="1176" spans="14:15" x14ac:dyDescent="0.35">
      <c r="N1176" s="108"/>
      <c r="O1176" s="108"/>
    </row>
    <row r="1177" spans="14:15" x14ac:dyDescent="0.35">
      <c r="N1177" s="108"/>
      <c r="O1177" s="108"/>
    </row>
    <row r="1178" spans="14:15" x14ac:dyDescent="0.35">
      <c r="N1178" s="108"/>
      <c r="O1178" s="108"/>
    </row>
    <row r="1179" spans="14:15" x14ac:dyDescent="0.35">
      <c r="N1179" s="108"/>
      <c r="O1179" s="108"/>
    </row>
    <row r="1180" spans="14:15" x14ac:dyDescent="0.35">
      <c r="N1180" s="108"/>
      <c r="O1180" s="108"/>
    </row>
    <row r="1181" spans="14:15" x14ac:dyDescent="0.35">
      <c r="N1181" s="108"/>
      <c r="O1181" s="108"/>
    </row>
    <row r="1182" spans="14:15" x14ac:dyDescent="0.35">
      <c r="N1182" s="108"/>
      <c r="O1182" s="108"/>
    </row>
    <row r="1183" spans="14:15" x14ac:dyDescent="0.35">
      <c r="N1183" s="108"/>
      <c r="O1183" s="108"/>
    </row>
    <row r="1184" spans="14:15" x14ac:dyDescent="0.35">
      <c r="N1184" s="108"/>
      <c r="O1184" s="108"/>
    </row>
    <row r="1185" spans="14:15" x14ac:dyDescent="0.35">
      <c r="N1185" s="108"/>
      <c r="O1185" s="108"/>
    </row>
    <row r="1186" spans="14:15" x14ac:dyDescent="0.35">
      <c r="N1186" s="108"/>
      <c r="O1186" s="108"/>
    </row>
    <row r="1187" spans="14:15" x14ac:dyDescent="0.35">
      <c r="N1187" s="108"/>
      <c r="O1187" s="108"/>
    </row>
    <row r="1188" spans="14:15" x14ac:dyDescent="0.35">
      <c r="N1188" s="108"/>
      <c r="O1188" s="108"/>
    </row>
    <row r="1189" spans="14:15" x14ac:dyDescent="0.35">
      <c r="N1189" s="108"/>
      <c r="O1189" s="108"/>
    </row>
    <row r="1190" spans="14:15" x14ac:dyDescent="0.35">
      <c r="N1190" s="108"/>
      <c r="O1190" s="108"/>
    </row>
    <row r="1191" spans="14:15" x14ac:dyDescent="0.35">
      <c r="N1191" s="108"/>
      <c r="O1191" s="108"/>
    </row>
    <row r="1192" spans="14:15" x14ac:dyDescent="0.35">
      <c r="N1192" s="108"/>
      <c r="O1192" s="108"/>
    </row>
    <row r="1193" spans="14:15" x14ac:dyDescent="0.35">
      <c r="N1193" s="108"/>
      <c r="O1193" s="108"/>
    </row>
    <row r="1194" spans="14:15" x14ac:dyDescent="0.35">
      <c r="N1194" s="108"/>
      <c r="O1194" s="108"/>
    </row>
    <row r="1195" spans="14:15" x14ac:dyDescent="0.35">
      <c r="N1195" s="108"/>
      <c r="O1195" s="108"/>
    </row>
    <row r="1196" spans="14:15" x14ac:dyDescent="0.35">
      <c r="N1196" s="108"/>
      <c r="O1196" s="108"/>
    </row>
    <row r="1197" spans="14:15" x14ac:dyDescent="0.35">
      <c r="N1197" s="108"/>
      <c r="O1197" s="108"/>
    </row>
    <row r="1198" spans="14:15" x14ac:dyDescent="0.35">
      <c r="N1198" s="108"/>
      <c r="O1198" s="108"/>
    </row>
    <row r="1199" spans="14:15" x14ac:dyDescent="0.35">
      <c r="N1199" s="108"/>
      <c r="O1199" s="108"/>
    </row>
    <row r="1200" spans="14:15" x14ac:dyDescent="0.35">
      <c r="N1200" s="108"/>
      <c r="O1200" s="108"/>
    </row>
    <row r="1201" spans="14:15" x14ac:dyDescent="0.35">
      <c r="N1201" s="108"/>
      <c r="O1201" s="108"/>
    </row>
    <row r="1202" spans="14:15" x14ac:dyDescent="0.35">
      <c r="N1202" s="108"/>
      <c r="O1202" s="108"/>
    </row>
    <row r="1203" spans="14:15" x14ac:dyDescent="0.35">
      <c r="N1203" s="108"/>
      <c r="O1203" s="108"/>
    </row>
    <row r="1204" spans="14:15" x14ac:dyDescent="0.35">
      <c r="N1204" s="108"/>
      <c r="O1204" s="108"/>
    </row>
    <row r="1205" spans="14:15" x14ac:dyDescent="0.35">
      <c r="N1205" s="108"/>
      <c r="O1205" s="108"/>
    </row>
    <row r="1206" spans="14:15" x14ac:dyDescent="0.35">
      <c r="N1206" s="108"/>
      <c r="O1206" s="108"/>
    </row>
    <row r="1207" spans="14:15" x14ac:dyDescent="0.35">
      <c r="N1207" s="108"/>
      <c r="O1207" s="108"/>
    </row>
    <row r="1208" spans="14:15" x14ac:dyDescent="0.35">
      <c r="N1208" s="108"/>
      <c r="O1208" s="108"/>
    </row>
    <row r="1209" spans="14:15" x14ac:dyDescent="0.35">
      <c r="N1209" s="108"/>
      <c r="O1209" s="108"/>
    </row>
    <row r="1210" spans="14:15" x14ac:dyDescent="0.35">
      <c r="N1210" s="108"/>
      <c r="O1210" s="108"/>
    </row>
    <row r="1211" spans="14:15" x14ac:dyDescent="0.35">
      <c r="N1211" s="108"/>
      <c r="O1211" s="108"/>
    </row>
    <row r="1212" spans="14:15" x14ac:dyDescent="0.35">
      <c r="N1212" s="108"/>
      <c r="O1212" s="108"/>
    </row>
    <row r="1213" spans="14:15" x14ac:dyDescent="0.35">
      <c r="N1213" s="108"/>
      <c r="O1213" s="108"/>
    </row>
    <row r="1214" spans="14:15" x14ac:dyDescent="0.35">
      <c r="N1214" s="108"/>
      <c r="O1214" s="108"/>
    </row>
    <row r="1215" spans="14:15" x14ac:dyDescent="0.35">
      <c r="N1215" s="108"/>
      <c r="O1215" s="108"/>
    </row>
    <row r="1216" spans="14:15" x14ac:dyDescent="0.35">
      <c r="N1216" s="108"/>
      <c r="O1216" s="108"/>
    </row>
    <row r="1217" spans="14:15" x14ac:dyDescent="0.35">
      <c r="N1217" s="108"/>
      <c r="O1217" s="108"/>
    </row>
    <row r="1218" spans="14:15" x14ac:dyDescent="0.35">
      <c r="N1218" s="108"/>
      <c r="O1218" s="108"/>
    </row>
    <row r="1219" spans="14:15" x14ac:dyDescent="0.35">
      <c r="N1219" s="108"/>
      <c r="O1219" s="108"/>
    </row>
    <row r="1220" spans="14:15" x14ac:dyDescent="0.35">
      <c r="N1220" s="108"/>
      <c r="O1220" s="108"/>
    </row>
    <row r="1221" spans="14:15" x14ac:dyDescent="0.35">
      <c r="N1221" s="108"/>
      <c r="O1221" s="108"/>
    </row>
    <row r="1222" spans="14:15" x14ac:dyDescent="0.35">
      <c r="N1222" s="108"/>
      <c r="O1222" s="108"/>
    </row>
    <row r="1223" spans="14:15" x14ac:dyDescent="0.35">
      <c r="N1223" s="108"/>
      <c r="O1223" s="108"/>
    </row>
    <row r="1224" spans="14:15" x14ac:dyDescent="0.35">
      <c r="N1224" s="108"/>
      <c r="O1224" s="108"/>
    </row>
    <row r="1225" spans="14:15" x14ac:dyDescent="0.35">
      <c r="N1225" s="108"/>
      <c r="O1225" s="108"/>
    </row>
    <row r="1226" spans="14:15" x14ac:dyDescent="0.35">
      <c r="N1226" s="108"/>
      <c r="O1226" s="108"/>
    </row>
    <row r="1227" spans="14:15" x14ac:dyDescent="0.35">
      <c r="N1227" s="108"/>
      <c r="O1227" s="108"/>
    </row>
    <row r="1228" spans="14:15" x14ac:dyDescent="0.35">
      <c r="N1228" s="108"/>
      <c r="O1228" s="108"/>
    </row>
    <row r="1229" spans="14:15" x14ac:dyDescent="0.35">
      <c r="N1229" s="108"/>
      <c r="O1229" s="108"/>
    </row>
    <row r="1230" spans="14:15" x14ac:dyDescent="0.35">
      <c r="N1230" s="108"/>
      <c r="O1230" s="108"/>
    </row>
    <row r="1231" spans="14:15" x14ac:dyDescent="0.35">
      <c r="N1231" s="108"/>
      <c r="O1231" s="108"/>
    </row>
    <row r="1232" spans="14:15" x14ac:dyDescent="0.35">
      <c r="N1232" s="108"/>
      <c r="O1232" s="108"/>
    </row>
    <row r="1233" spans="14:15" x14ac:dyDescent="0.35">
      <c r="N1233" s="108"/>
      <c r="O1233" s="108"/>
    </row>
    <row r="1234" spans="14:15" x14ac:dyDescent="0.35">
      <c r="N1234" s="108"/>
      <c r="O1234" s="108"/>
    </row>
    <row r="1235" spans="14:15" x14ac:dyDescent="0.35">
      <c r="N1235" s="108"/>
      <c r="O1235" s="108"/>
    </row>
    <row r="1236" spans="14:15" x14ac:dyDescent="0.35">
      <c r="N1236" s="108"/>
      <c r="O1236" s="108"/>
    </row>
    <row r="1237" spans="14:15" x14ac:dyDescent="0.35">
      <c r="N1237" s="108"/>
      <c r="O1237" s="108"/>
    </row>
    <row r="1238" spans="14:15" x14ac:dyDescent="0.35">
      <c r="N1238" s="108"/>
      <c r="O1238" s="108"/>
    </row>
    <row r="1239" spans="14:15" x14ac:dyDescent="0.35">
      <c r="N1239" s="108"/>
      <c r="O1239" s="108"/>
    </row>
    <row r="1240" spans="14:15" x14ac:dyDescent="0.35">
      <c r="N1240" s="108"/>
      <c r="O1240" s="108"/>
    </row>
    <row r="1241" spans="14:15" x14ac:dyDescent="0.35">
      <c r="N1241" s="108"/>
      <c r="O1241" s="108"/>
    </row>
    <row r="1242" spans="14:15" x14ac:dyDescent="0.35">
      <c r="N1242" s="108"/>
      <c r="O1242" s="108"/>
    </row>
    <row r="1243" spans="14:15" x14ac:dyDescent="0.35">
      <c r="N1243" s="108"/>
      <c r="O1243" s="108"/>
    </row>
    <row r="1244" spans="14:15" x14ac:dyDescent="0.35">
      <c r="N1244" s="108"/>
      <c r="O1244" s="108"/>
    </row>
    <row r="1245" spans="14:15" x14ac:dyDescent="0.35">
      <c r="N1245" s="108"/>
      <c r="O1245" s="108"/>
    </row>
    <row r="1246" spans="14:15" x14ac:dyDescent="0.35">
      <c r="N1246" s="108"/>
      <c r="O1246" s="108"/>
    </row>
    <row r="1247" spans="14:15" x14ac:dyDescent="0.35">
      <c r="N1247" s="108"/>
      <c r="O1247" s="108"/>
    </row>
    <row r="1248" spans="14:15" x14ac:dyDescent="0.35">
      <c r="N1248" s="108"/>
      <c r="O1248" s="108"/>
    </row>
    <row r="1249" spans="14:15" x14ac:dyDescent="0.35">
      <c r="N1249" s="108"/>
      <c r="O1249" s="108"/>
    </row>
    <row r="1250" spans="14:15" x14ac:dyDescent="0.35">
      <c r="N1250" s="108"/>
      <c r="O1250" s="108"/>
    </row>
    <row r="1251" spans="14:15" x14ac:dyDescent="0.35">
      <c r="N1251" s="108"/>
      <c r="O1251" s="108"/>
    </row>
    <row r="1252" spans="14:15" x14ac:dyDescent="0.35">
      <c r="N1252" s="108"/>
      <c r="O1252" s="108"/>
    </row>
    <row r="1253" spans="14:15" x14ac:dyDescent="0.35">
      <c r="N1253" s="108"/>
      <c r="O1253" s="108"/>
    </row>
    <row r="1254" spans="14:15" x14ac:dyDescent="0.35">
      <c r="N1254" s="108"/>
      <c r="O1254" s="108"/>
    </row>
    <row r="1255" spans="14:15" x14ac:dyDescent="0.35">
      <c r="N1255" s="108"/>
      <c r="O1255" s="108"/>
    </row>
    <row r="1256" spans="14:15" x14ac:dyDescent="0.35">
      <c r="N1256" s="108"/>
      <c r="O1256" s="108"/>
    </row>
    <row r="1257" spans="14:15" x14ac:dyDescent="0.35">
      <c r="N1257" s="108"/>
      <c r="O1257" s="108"/>
    </row>
    <row r="1258" spans="14:15" x14ac:dyDescent="0.35">
      <c r="N1258" s="108"/>
      <c r="O1258" s="108"/>
    </row>
    <row r="1259" spans="14:15" x14ac:dyDescent="0.35">
      <c r="N1259" s="108"/>
      <c r="O1259" s="108"/>
    </row>
    <row r="1260" spans="14:15" x14ac:dyDescent="0.35">
      <c r="N1260" s="108"/>
      <c r="O1260" s="108"/>
    </row>
    <row r="1261" spans="14:15" x14ac:dyDescent="0.35">
      <c r="N1261" s="108"/>
      <c r="O1261" s="108"/>
    </row>
    <row r="1262" spans="14:15" x14ac:dyDescent="0.35">
      <c r="N1262" s="108"/>
      <c r="O1262" s="108"/>
    </row>
    <row r="1263" spans="14:15" x14ac:dyDescent="0.35">
      <c r="N1263" s="108"/>
      <c r="O1263" s="108"/>
    </row>
    <row r="1264" spans="14:15" x14ac:dyDescent="0.35">
      <c r="N1264" s="108"/>
      <c r="O1264" s="108"/>
    </row>
    <row r="1265" spans="14:15" x14ac:dyDescent="0.35">
      <c r="N1265" s="108"/>
      <c r="O1265" s="108"/>
    </row>
    <row r="1266" spans="14:15" x14ac:dyDescent="0.35">
      <c r="N1266" s="108"/>
      <c r="O1266" s="108"/>
    </row>
    <row r="1267" spans="14:15" x14ac:dyDescent="0.35">
      <c r="N1267" s="108"/>
      <c r="O1267" s="108"/>
    </row>
    <row r="1268" spans="14:15" x14ac:dyDescent="0.35">
      <c r="N1268" s="108"/>
      <c r="O1268" s="108"/>
    </row>
    <row r="1269" spans="14:15" x14ac:dyDescent="0.35">
      <c r="N1269" s="108"/>
      <c r="O1269" s="108"/>
    </row>
    <row r="1270" spans="14:15" x14ac:dyDescent="0.35">
      <c r="N1270" s="108"/>
      <c r="O1270" s="108"/>
    </row>
    <row r="1271" spans="14:15" x14ac:dyDescent="0.35">
      <c r="N1271" s="108"/>
      <c r="O1271" s="108"/>
    </row>
    <row r="1272" spans="14:15" x14ac:dyDescent="0.35">
      <c r="N1272" s="108"/>
      <c r="O1272" s="108"/>
    </row>
    <row r="1273" spans="14:15" x14ac:dyDescent="0.35">
      <c r="N1273" s="108"/>
      <c r="O1273" s="108"/>
    </row>
    <row r="1274" spans="14:15" x14ac:dyDescent="0.35">
      <c r="N1274" s="108"/>
      <c r="O1274" s="108"/>
    </row>
    <row r="1275" spans="14:15" x14ac:dyDescent="0.35">
      <c r="N1275" s="108"/>
      <c r="O1275" s="108"/>
    </row>
    <row r="1276" spans="14:15" x14ac:dyDescent="0.35">
      <c r="N1276" s="108"/>
      <c r="O1276" s="108"/>
    </row>
    <row r="1277" spans="14:15" x14ac:dyDescent="0.35">
      <c r="N1277" s="108"/>
      <c r="O1277" s="108"/>
    </row>
    <row r="1278" spans="14:15" x14ac:dyDescent="0.35">
      <c r="N1278" s="108"/>
      <c r="O1278" s="108"/>
    </row>
    <row r="1279" spans="14:15" x14ac:dyDescent="0.35">
      <c r="N1279" s="108"/>
      <c r="O1279" s="108"/>
    </row>
    <row r="1280" spans="14:15" x14ac:dyDescent="0.35">
      <c r="N1280" s="108"/>
      <c r="O1280" s="108"/>
    </row>
    <row r="1281" spans="14:15" x14ac:dyDescent="0.35">
      <c r="N1281" s="108"/>
      <c r="O1281" s="108"/>
    </row>
    <row r="1282" spans="14:15" x14ac:dyDescent="0.35">
      <c r="N1282" s="108"/>
      <c r="O1282" s="108"/>
    </row>
    <row r="1283" spans="14:15" x14ac:dyDescent="0.35">
      <c r="N1283" s="108"/>
      <c r="O1283" s="108"/>
    </row>
    <row r="1284" spans="14:15" x14ac:dyDescent="0.35">
      <c r="N1284" s="108"/>
      <c r="O1284" s="108"/>
    </row>
    <row r="1285" spans="14:15" x14ac:dyDescent="0.35">
      <c r="N1285" s="108"/>
      <c r="O1285" s="108"/>
    </row>
    <row r="1286" spans="14:15" x14ac:dyDescent="0.35">
      <c r="N1286" s="108"/>
      <c r="O1286" s="108"/>
    </row>
    <row r="1287" spans="14:15" x14ac:dyDescent="0.35">
      <c r="N1287" s="108"/>
      <c r="O1287" s="108"/>
    </row>
    <row r="1288" spans="14:15" x14ac:dyDescent="0.35">
      <c r="N1288" s="108"/>
      <c r="O1288" s="108"/>
    </row>
    <row r="1289" spans="14:15" x14ac:dyDescent="0.35">
      <c r="N1289" s="108"/>
      <c r="O1289" s="108"/>
    </row>
    <row r="1290" spans="14:15" x14ac:dyDescent="0.35">
      <c r="N1290" s="108"/>
      <c r="O1290" s="108"/>
    </row>
    <row r="1291" spans="14:15" x14ac:dyDescent="0.35">
      <c r="N1291" s="108"/>
      <c r="O1291" s="108"/>
    </row>
    <row r="1292" spans="14:15" x14ac:dyDescent="0.35">
      <c r="N1292" s="108"/>
      <c r="O1292" s="108"/>
    </row>
    <row r="1293" spans="14:15" x14ac:dyDescent="0.35">
      <c r="N1293" s="108"/>
      <c r="O1293" s="108"/>
    </row>
    <row r="1294" spans="14:15" x14ac:dyDescent="0.35">
      <c r="N1294" s="108"/>
      <c r="O1294" s="108"/>
    </row>
    <row r="1295" spans="14:15" x14ac:dyDescent="0.35">
      <c r="N1295" s="108"/>
      <c r="O1295" s="108"/>
    </row>
    <row r="1296" spans="14:15" x14ac:dyDescent="0.35">
      <c r="N1296" s="108"/>
      <c r="O1296" s="108"/>
    </row>
    <row r="1297" spans="14:15" x14ac:dyDescent="0.35">
      <c r="N1297" s="108"/>
      <c r="O1297" s="108"/>
    </row>
    <row r="1298" spans="14:15" x14ac:dyDescent="0.35">
      <c r="N1298" s="108"/>
      <c r="O1298" s="108"/>
    </row>
    <row r="1299" spans="14:15" x14ac:dyDescent="0.35">
      <c r="N1299" s="108"/>
      <c r="O1299" s="108"/>
    </row>
    <row r="1300" spans="14:15" x14ac:dyDescent="0.35">
      <c r="N1300" s="108"/>
      <c r="O1300" s="108"/>
    </row>
    <row r="1301" spans="14:15" x14ac:dyDescent="0.35">
      <c r="N1301" s="108"/>
      <c r="O1301" s="108"/>
    </row>
    <row r="1302" spans="14:15" x14ac:dyDescent="0.35">
      <c r="N1302" s="108"/>
      <c r="O1302" s="108"/>
    </row>
    <row r="1303" spans="14:15" x14ac:dyDescent="0.35">
      <c r="N1303" s="108"/>
      <c r="O1303" s="108"/>
    </row>
    <row r="1304" spans="14:15" x14ac:dyDescent="0.35">
      <c r="N1304" s="108"/>
      <c r="O1304" s="108"/>
    </row>
    <row r="1305" spans="14:15" x14ac:dyDescent="0.35">
      <c r="N1305" s="108"/>
      <c r="O1305" s="108"/>
    </row>
    <row r="1306" spans="14:15" x14ac:dyDescent="0.35">
      <c r="N1306" s="108"/>
      <c r="O1306" s="108"/>
    </row>
    <row r="1307" spans="14:15" x14ac:dyDescent="0.35">
      <c r="N1307" s="108"/>
      <c r="O1307" s="108"/>
    </row>
    <row r="1308" spans="14:15" x14ac:dyDescent="0.35">
      <c r="N1308" s="108"/>
      <c r="O1308" s="108"/>
    </row>
    <row r="1309" spans="14:15" x14ac:dyDescent="0.35">
      <c r="N1309" s="108"/>
      <c r="O1309" s="108"/>
    </row>
    <row r="1310" spans="14:15" x14ac:dyDescent="0.35">
      <c r="N1310" s="108"/>
      <c r="O1310" s="108"/>
    </row>
    <row r="1311" spans="14:15" x14ac:dyDescent="0.35">
      <c r="N1311" s="108"/>
      <c r="O1311" s="108"/>
    </row>
    <row r="1312" spans="14:15" x14ac:dyDescent="0.35">
      <c r="N1312" s="108"/>
      <c r="O1312" s="108"/>
    </row>
    <row r="1313" spans="14:15" x14ac:dyDescent="0.35">
      <c r="N1313" s="108"/>
      <c r="O1313" s="108"/>
    </row>
    <row r="1314" spans="14:15" x14ac:dyDescent="0.35">
      <c r="N1314" s="108"/>
      <c r="O1314" s="108"/>
    </row>
    <row r="1315" spans="14:15" x14ac:dyDescent="0.35">
      <c r="N1315" s="108"/>
      <c r="O1315" s="108"/>
    </row>
    <row r="1316" spans="14:15" x14ac:dyDescent="0.35">
      <c r="N1316" s="108"/>
      <c r="O1316" s="108"/>
    </row>
    <row r="1317" spans="14:15" x14ac:dyDescent="0.35">
      <c r="N1317" s="108"/>
      <c r="O1317" s="108"/>
    </row>
    <row r="1318" spans="14:15" x14ac:dyDescent="0.35">
      <c r="N1318" s="108"/>
      <c r="O1318" s="108"/>
    </row>
    <row r="1319" spans="14:15" x14ac:dyDescent="0.35">
      <c r="N1319" s="108"/>
      <c r="O1319" s="108"/>
    </row>
    <row r="1320" spans="14:15" x14ac:dyDescent="0.35">
      <c r="N1320" s="108"/>
      <c r="O1320" s="108"/>
    </row>
    <row r="1321" spans="14:15" x14ac:dyDescent="0.35">
      <c r="N1321" s="108"/>
      <c r="O1321" s="108"/>
    </row>
    <row r="1322" spans="14:15" x14ac:dyDescent="0.35">
      <c r="N1322" s="108"/>
      <c r="O1322" s="108"/>
    </row>
    <row r="1323" spans="14:15" x14ac:dyDescent="0.35">
      <c r="N1323" s="108"/>
      <c r="O1323" s="108"/>
    </row>
    <row r="1324" spans="14:15" x14ac:dyDescent="0.35">
      <c r="N1324" s="108"/>
      <c r="O1324" s="108"/>
    </row>
    <row r="1325" spans="14:15" x14ac:dyDescent="0.35">
      <c r="N1325" s="108"/>
      <c r="O1325" s="108"/>
    </row>
    <row r="1326" spans="14:15" x14ac:dyDescent="0.35">
      <c r="N1326" s="108"/>
      <c r="O1326" s="108"/>
    </row>
    <row r="1327" spans="14:15" x14ac:dyDescent="0.35">
      <c r="N1327" s="108"/>
      <c r="O1327" s="108"/>
    </row>
    <row r="1328" spans="14:15" x14ac:dyDescent="0.35">
      <c r="N1328" s="108"/>
      <c r="O1328" s="108"/>
    </row>
    <row r="1329" spans="14:15" x14ac:dyDescent="0.35">
      <c r="N1329" s="108"/>
      <c r="O1329" s="108"/>
    </row>
    <row r="1330" spans="14:15" x14ac:dyDescent="0.35">
      <c r="N1330" s="108"/>
      <c r="O1330" s="108"/>
    </row>
    <row r="1331" spans="14:15" x14ac:dyDescent="0.35">
      <c r="N1331" s="108"/>
      <c r="O1331" s="108"/>
    </row>
    <row r="1332" spans="14:15" x14ac:dyDescent="0.35">
      <c r="N1332" s="108"/>
      <c r="O1332" s="108"/>
    </row>
    <row r="1333" spans="14:15" x14ac:dyDescent="0.35">
      <c r="N1333" s="108"/>
      <c r="O1333" s="108"/>
    </row>
    <row r="1334" spans="14:15" x14ac:dyDescent="0.35">
      <c r="N1334" s="108"/>
      <c r="O1334" s="108"/>
    </row>
    <row r="1335" spans="14:15" x14ac:dyDescent="0.35">
      <c r="N1335" s="108"/>
      <c r="O1335" s="108"/>
    </row>
    <row r="1336" spans="14:15" x14ac:dyDescent="0.35">
      <c r="N1336" s="108"/>
      <c r="O1336" s="108"/>
    </row>
    <row r="1337" spans="14:15" x14ac:dyDescent="0.35">
      <c r="N1337" s="108"/>
      <c r="O1337" s="108"/>
    </row>
    <row r="1338" spans="14:15" x14ac:dyDescent="0.35">
      <c r="N1338" s="108"/>
      <c r="O1338" s="108"/>
    </row>
    <row r="1339" spans="14:15" x14ac:dyDescent="0.35">
      <c r="N1339" s="108"/>
      <c r="O1339" s="108"/>
    </row>
    <row r="1340" spans="14:15" x14ac:dyDescent="0.35">
      <c r="N1340" s="108"/>
      <c r="O1340" s="108"/>
    </row>
    <row r="1341" spans="14:15" x14ac:dyDescent="0.35">
      <c r="N1341" s="108"/>
      <c r="O1341" s="108"/>
    </row>
    <row r="1342" spans="14:15" x14ac:dyDescent="0.35">
      <c r="N1342" s="108"/>
      <c r="O1342" s="108"/>
    </row>
    <row r="1343" spans="14:15" x14ac:dyDescent="0.35">
      <c r="N1343" s="108"/>
      <c r="O1343" s="108"/>
    </row>
    <row r="1344" spans="14:15" x14ac:dyDescent="0.35">
      <c r="N1344" s="108"/>
      <c r="O1344" s="108"/>
    </row>
    <row r="1345" spans="14:15" x14ac:dyDescent="0.35">
      <c r="N1345" s="108"/>
      <c r="O1345" s="108"/>
    </row>
    <row r="1346" spans="14:15" x14ac:dyDescent="0.35">
      <c r="N1346" s="108"/>
      <c r="O1346" s="108"/>
    </row>
    <row r="1347" spans="14:15" x14ac:dyDescent="0.35">
      <c r="N1347" s="108"/>
      <c r="O1347" s="108"/>
    </row>
    <row r="1348" spans="14:15" x14ac:dyDescent="0.35">
      <c r="N1348" s="108"/>
      <c r="O1348" s="108"/>
    </row>
    <row r="1349" spans="14:15" x14ac:dyDescent="0.35">
      <c r="N1349" s="108"/>
      <c r="O1349" s="108"/>
    </row>
    <row r="1350" spans="14:15" x14ac:dyDescent="0.35">
      <c r="N1350" s="108"/>
      <c r="O1350" s="108"/>
    </row>
    <row r="1351" spans="14:15" x14ac:dyDescent="0.35">
      <c r="N1351" s="108"/>
      <c r="O1351" s="108"/>
    </row>
    <row r="1352" spans="14:15" x14ac:dyDescent="0.35">
      <c r="N1352" s="108"/>
      <c r="O1352" s="108"/>
    </row>
    <row r="1353" spans="14:15" x14ac:dyDescent="0.35">
      <c r="N1353" s="108"/>
      <c r="O1353" s="108"/>
    </row>
    <row r="1354" spans="14:15" x14ac:dyDescent="0.35">
      <c r="N1354" s="108"/>
      <c r="O1354" s="108"/>
    </row>
    <row r="1355" spans="14:15" x14ac:dyDescent="0.35">
      <c r="N1355" s="108"/>
      <c r="O1355" s="108"/>
    </row>
    <row r="1356" spans="14:15" x14ac:dyDescent="0.35">
      <c r="N1356" s="108"/>
      <c r="O1356" s="108"/>
    </row>
    <row r="1357" spans="14:15" x14ac:dyDescent="0.35">
      <c r="N1357" s="108"/>
      <c r="O1357" s="108"/>
    </row>
    <row r="1358" spans="14:15" x14ac:dyDescent="0.35">
      <c r="N1358" s="108"/>
      <c r="O1358" s="108"/>
    </row>
    <row r="1359" spans="14:15" x14ac:dyDescent="0.35">
      <c r="N1359" s="108"/>
      <c r="O1359" s="108"/>
    </row>
    <row r="1360" spans="14:15" x14ac:dyDescent="0.35">
      <c r="N1360" s="108"/>
      <c r="O1360" s="108"/>
    </row>
    <row r="1361" spans="14:15" x14ac:dyDescent="0.35">
      <c r="N1361" s="108"/>
      <c r="O1361" s="108"/>
    </row>
    <row r="1362" spans="14:15" x14ac:dyDescent="0.35">
      <c r="N1362" s="108"/>
      <c r="O1362" s="108"/>
    </row>
    <row r="1363" spans="14:15" x14ac:dyDescent="0.35">
      <c r="N1363" s="108"/>
      <c r="O1363" s="108"/>
    </row>
    <row r="1364" spans="14:15" x14ac:dyDescent="0.35">
      <c r="N1364" s="108"/>
      <c r="O1364" s="108"/>
    </row>
    <row r="1365" spans="14:15" x14ac:dyDescent="0.35">
      <c r="N1365" s="108"/>
      <c r="O1365" s="108"/>
    </row>
    <row r="1366" spans="14:15" x14ac:dyDescent="0.35">
      <c r="N1366" s="108"/>
      <c r="O1366" s="108"/>
    </row>
    <row r="1367" spans="14:15" x14ac:dyDescent="0.35">
      <c r="N1367" s="108"/>
      <c r="O1367" s="108"/>
    </row>
    <row r="1368" spans="14:15" x14ac:dyDescent="0.35">
      <c r="N1368" s="108"/>
      <c r="O1368" s="108"/>
    </row>
    <row r="1369" spans="14:15" x14ac:dyDescent="0.35">
      <c r="N1369" s="108"/>
      <c r="O1369" s="108"/>
    </row>
    <row r="1370" spans="14:15" x14ac:dyDescent="0.35">
      <c r="N1370" s="108"/>
      <c r="O1370" s="108"/>
    </row>
    <row r="1371" spans="14:15" x14ac:dyDescent="0.35">
      <c r="N1371" s="108"/>
      <c r="O1371" s="108"/>
    </row>
    <row r="1372" spans="14:15" x14ac:dyDescent="0.35">
      <c r="N1372" s="108"/>
      <c r="O1372" s="108"/>
    </row>
    <row r="1373" spans="14:15" x14ac:dyDescent="0.35">
      <c r="N1373" s="108"/>
      <c r="O1373" s="108"/>
    </row>
    <row r="1374" spans="14:15" x14ac:dyDescent="0.35">
      <c r="N1374" s="108"/>
      <c r="O1374" s="108"/>
    </row>
    <row r="1375" spans="14:15" x14ac:dyDescent="0.35">
      <c r="N1375" s="108"/>
      <c r="O1375" s="108"/>
    </row>
    <row r="1376" spans="14:15" x14ac:dyDescent="0.35">
      <c r="N1376" s="108"/>
      <c r="O1376" s="108"/>
    </row>
    <row r="1377" spans="14:15" x14ac:dyDescent="0.35">
      <c r="N1377" s="108"/>
      <c r="O1377" s="108"/>
    </row>
    <row r="1378" spans="14:15" x14ac:dyDescent="0.35">
      <c r="N1378" s="108"/>
      <c r="O1378" s="108"/>
    </row>
    <row r="1379" spans="14:15" x14ac:dyDescent="0.35">
      <c r="N1379" s="108"/>
      <c r="O1379" s="108"/>
    </row>
    <row r="1380" spans="14:15" x14ac:dyDescent="0.35">
      <c r="N1380" s="108"/>
      <c r="O1380" s="108"/>
    </row>
    <row r="1381" spans="14:15" x14ac:dyDescent="0.35">
      <c r="N1381" s="108"/>
      <c r="O1381" s="108"/>
    </row>
    <row r="1382" spans="14:15" x14ac:dyDescent="0.35">
      <c r="N1382" s="108"/>
      <c r="O1382" s="108"/>
    </row>
    <row r="1383" spans="14:15" x14ac:dyDescent="0.35">
      <c r="N1383" s="108"/>
      <c r="O1383" s="108"/>
    </row>
    <row r="1384" spans="14:15" x14ac:dyDescent="0.35">
      <c r="N1384" s="108"/>
      <c r="O1384" s="108"/>
    </row>
    <row r="1385" spans="14:15" x14ac:dyDescent="0.35">
      <c r="N1385" s="108"/>
      <c r="O1385" s="108"/>
    </row>
    <row r="1386" spans="14:15" x14ac:dyDescent="0.35">
      <c r="N1386" s="108"/>
      <c r="O1386" s="108"/>
    </row>
    <row r="1387" spans="14:15" x14ac:dyDescent="0.35">
      <c r="N1387" s="108"/>
      <c r="O1387" s="108"/>
    </row>
    <row r="1388" spans="14:15" x14ac:dyDescent="0.35">
      <c r="N1388" s="108"/>
      <c r="O1388" s="108"/>
    </row>
    <row r="1389" spans="14:15" x14ac:dyDescent="0.35">
      <c r="N1389" s="108"/>
      <c r="O1389" s="108"/>
    </row>
    <row r="1390" spans="14:15" x14ac:dyDescent="0.35">
      <c r="N1390" s="108"/>
      <c r="O1390" s="108"/>
    </row>
    <row r="1391" spans="14:15" x14ac:dyDescent="0.35">
      <c r="N1391" s="108"/>
      <c r="O1391" s="108"/>
    </row>
    <row r="1392" spans="14:15" x14ac:dyDescent="0.35">
      <c r="N1392" s="108"/>
      <c r="O1392" s="108"/>
    </row>
    <row r="1393" spans="14:15" x14ac:dyDescent="0.35">
      <c r="N1393" s="108"/>
      <c r="O1393" s="108"/>
    </row>
    <row r="1394" spans="14:15" x14ac:dyDescent="0.35">
      <c r="N1394" s="108"/>
      <c r="O1394" s="108"/>
    </row>
    <row r="1395" spans="14:15" x14ac:dyDescent="0.35">
      <c r="N1395" s="108"/>
      <c r="O1395" s="108"/>
    </row>
    <row r="1396" spans="14:15" x14ac:dyDescent="0.35">
      <c r="N1396" s="108"/>
      <c r="O1396" s="108"/>
    </row>
    <row r="1397" spans="14:15" x14ac:dyDescent="0.35">
      <c r="N1397" s="108"/>
      <c r="O1397" s="108"/>
    </row>
    <row r="1398" spans="14:15" x14ac:dyDescent="0.35">
      <c r="N1398" s="108"/>
      <c r="O1398" s="108"/>
    </row>
    <row r="1399" spans="14:15" x14ac:dyDescent="0.35">
      <c r="N1399" s="108"/>
      <c r="O1399" s="108"/>
    </row>
    <row r="1400" spans="14:15" x14ac:dyDescent="0.35">
      <c r="N1400" s="108"/>
      <c r="O1400" s="108"/>
    </row>
    <row r="1401" spans="14:15" x14ac:dyDescent="0.35">
      <c r="N1401" s="108"/>
      <c r="O1401" s="108"/>
    </row>
    <row r="1402" spans="14:15" x14ac:dyDescent="0.35">
      <c r="N1402" s="108"/>
      <c r="O1402" s="108"/>
    </row>
    <row r="1403" spans="14:15" x14ac:dyDescent="0.35">
      <c r="N1403" s="108"/>
      <c r="O1403" s="108"/>
    </row>
    <row r="1404" spans="14:15" x14ac:dyDescent="0.35">
      <c r="N1404" s="108"/>
      <c r="O1404" s="108"/>
    </row>
    <row r="1405" spans="14:15" x14ac:dyDescent="0.35">
      <c r="N1405" s="108"/>
      <c r="O1405" s="108"/>
    </row>
    <row r="1406" spans="14:15" x14ac:dyDescent="0.35">
      <c r="N1406" s="108"/>
      <c r="O1406" s="108"/>
    </row>
    <row r="1407" spans="14:15" x14ac:dyDescent="0.35">
      <c r="N1407" s="108"/>
      <c r="O1407" s="108"/>
    </row>
    <row r="1408" spans="14:15" x14ac:dyDescent="0.35">
      <c r="N1408" s="108"/>
      <c r="O1408" s="108"/>
    </row>
    <row r="1409" spans="14:15" x14ac:dyDescent="0.35">
      <c r="N1409" s="108"/>
      <c r="O1409" s="108"/>
    </row>
    <row r="1410" spans="14:15" x14ac:dyDescent="0.35">
      <c r="N1410" s="108"/>
      <c r="O1410" s="108"/>
    </row>
    <row r="1411" spans="14:15" x14ac:dyDescent="0.35">
      <c r="N1411" s="108"/>
      <c r="O1411" s="108"/>
    </row>
    <row r="1412" spans="14:15" x14ac:dyDescent="0.35">
      <c r="N1412" s="108"/>
      <c r="O1412" s="108"/>
    </row>
    <row r="1413" spans="14:15" x14ac:dyDescent="0.35">
      <c r="N1413" s="108"/>
      <c r="O1413" s="108"/>
    </row>
    <row r="1414" spans="14:15" x14ac:dyDescent="0.35">
      <c r="N1414" s="108"/>
      <c r="O1414" s="108"/>
    </row>
    <row r="1415" spans="14:15" x14ac:dyDescent="0.35">
      <c r="N1415" s="108"/>
      <c r="O1415" s="108"/>
    </row>
    <row r="1416" spans="14:15" x14ac:dyDescent="0.35">
      <c r="N1416" s="108"/>
      <c r="O1416" s="108"/>
    </row>
    <row r="1417" spans="14:15" x14ac:dyDescent="0.35">
      <c r="N1417" s="108"/>
      <c r="O1417" s="108"/>
    </row>
    <row r="1418" spans="14:15" x14ac:dyDescent="0.35">
      <c r="N1418" s="108"/>
      <c r="O1418" s="108"/>
    </row>
    <row r="1419" spans="14:15" x14ac:dyDescent="0.35">
      <c r="N1419" s="108"/>
      <c r="O1419" s="108"/>
    </row>
    <row r="1420" spans="14:15" x14ac:dyDescent="0.35">
      <c r="N1420" s="108"/>
      <c r="O1420" s="108"/>
    </row>
    <row r="1421" spans="14:15" x14ac:dyDescent="0.35">
      <c r="N1421" s="108"/>
      <c r="O1421" s="108"/>
    </row>
    <row r="1422" spans="14:15" x14ac:dyDescent="0.35">
      <c r="N1422" s="108"/>
      <c r="O1422" s="108"/>
    </row>
    <row r="1423" spans="14:15" x14ac:dyDescent="0.35">
      <c r="N1423" s="108"/>
      <c r="O1423" s="108"/>
    </row>
    <row r="1424" spans="14:15" x14ac:dyDescent="0.35">
      <c r="N1424" s="108"/>
      <c r="O1424" s="108"/>
    </row>
    <row r="1425" spans="14:15" x14ac:dyDescent="0.35">
      <c r="N1425" s="108"/>
      <c r="O1425" s="108"/>
    </row>
    <row r="1426" spans="14:15" x14ac:dyDescent="0.35">
      <c r="N1426" s="108"/>
      <c r="O1426" s="108"/>
    </row>
    <row r="1427" spans="14:15" x14ac:dyDescent="0.35">
      <c r="N1427" s="108"/>
      <c r="O1427" s="108"/>
    </row>
    <row r="1428" spans="14:15" x14ac:dyDescent="0.35">
      <c r="N1428" s="108"/>
      <c r="O1428" s="108"/>
    </row>
    <row r="1429" spans="14:15" x14ac:dyDescent="0.35">
      <c r="N1429" s="108"/>
      <c r="O1429" s="108"/>
    </row>
    <row r="1430" spans="14:15" x14ac:dyDescent="0.35">
      <c r="N1430" s="108"/>
      <c r="O1430" s="108"/>
    </row>
    <row r="1431" spans="14:15" x14ac:dyDescent="0.35">
      <c r="N1431" s="108"/>
      <c r="O1431" s="108"/>
    </row>
    <row r="1432" spans="14:15" x14ac:dyDescent="0.35">
      <c r="N1432" s="108"/>
      <c r="O1432" s="108"/>
    </row>
    <row r="1433" spans="14:15" x14ac:dyDescent="0.35">
      <c r="N1433" s="108"/>
      <c r="O1433" s="108"/>
    </row>
    <row r="1434" spans="14:15" x14ac:dyDescent="0.35">
      <c r="N1434" s="108"/>
      <c r="O1434" s="108"/>
    </row>
    <row r="1435" spans="14:15" x14ac:dyDescent="0.35">
      <c r="N1435" s="108"/>
      <c r="O1435" s="108"/>
    </row>
    <row r="1436" spans="14:15" x14ac:dyDescent="0.35">
      <c r="N1436" s="108"/>
      <c r="O1436" s="108"/>
    </row>
    <row r="1437" spans="14:15" x14ac:dyDescent="0.35">
      <c r="N1437" s="108"/>
      <c r="O1437" s="108"/>
    </row>
    <row r="1438" spans="14:15" x14ac:dyDescent="0.35">
      <c r="N1438" s="108"/>
      <c r="O1438" s="108"/>
    </row>
    <row r="1439" spans="14:15" x14ac:dyDescent="0.35">
      <c r="N1439" s="108"/>
      <c r="O1439" s="108"/>
    </row>
    <row r="1440" spans="14:15" x14ac:dyDescent="0.35">
      <c r="N1440" s="108"/>
      <c r="O1440" s="108"/>
    </row>
    <row r="1441" spans="14:15" x14ac:dyDescent="0.35">
      <c r="N1441" s="108"/>
      <c r="O1441" s="108"/>
    </row>
    <row r="1442" spans="14:15" x14ac:dyDescent="0.35">
      <c r="N1442" s="108"/>
      <c r="O1442" s="108"/>
    </row>
    <row r="1443" spans="14:15" x14ac:dyDescent="0.35">
      <c r="N1443" s="108"/>
      <c r="O1443" s="108"/>
    </row>
    <row r="1444" spans="14:15" x14ac:dyDescent="0.35">
      <c r="N1444" s="108"/>
      <c r="O1444" s="108"/>
    </row>
    <row r="1445" spans="14:15" x14ac:dyDescent="0.35">
      <c r="N1445" s="108"/>
      <c r="O1445" s="108"/>
    </row>
    <row r="1446" spans="14:15" x14ac:dyDescent="0.35">
      <c r="N1446" s="108"/>
      <c r="O1446" s="108"/>
    </row>
    <row r="1447" spans="14:15" x14ac:dyDescent="0.35">
      <c r="N1447" s="108"/>
      <c r="O1447" s="108"/>
    </row>
    <row r="1448" spans="14:15" x14ac:dyDescent="0.35">
      <c r="N1448" s="108"/>
      <c r="O1448" s="108"/>
    </row>
    <row r="1449" spans="14:15" x14ac:dyDescent="0.35">
      <c r="N1449" s="108"/>
      <c r="O1449" s="108"/>
    </row>
    <row r="1450" spans="14:15" x14ac:dyDescent="0.35">
      <c r="N1450" s="108"/>
      <c r="O1450" s="108"/>
    </row>
    <row r="1451" spans="14:15" x14ac:dyDescent="0.35">
      <c r="N1451" s="108"/>
      <c r="O1451" s="108"/>
    </row>
    <row r="1452" spans="14:15" x14ac:dyDescent="0.35">
      <c r="N1452" s="108"/>
      <c r="O1452" s="108"/>
    </row>
    <row r="1453" spans="14:15" x14ac:dyDescent="0.35">
      <c r="N1453" s="108"/>
      <c r="O1453" s="108"/>
    </row>
    <row r="1454" spans="14:15" x14ac:dyDescent="0.35">
      <c r="N1454" s="108"/>
      <c r="O1454" s="108"/>
    </row>
    <row r="1455" spans="14:15" x14ac:dyDescent="0.35">
      <c r="N1455" s="108"/>
      <c r="O1455" s="108"/>
    </row>
    <row r="1456" spans="14:15" x14ac:dyDescent="0.35">
      <c r="N1456" s="108"/>
      <c r="O1456" s="108"/>
    </row>
    <row r="1457" spans="14:15" x14ac:dyDescent="0.35">
      <c r="N1457" s="108"/>
      <c r="O1457" s="108"/>
    </row>
    <row r="1458" spans="14:15" x14ac:dyDescent="0.35">
      <c r="N1458" s="108"/>
      <c r="O1458" s="108"/>
    </row>
    <row r="1459" spans="14:15" x14ac:dyDescent="0.35">
      <c r="N1459" s="108"/>
      <c r="O1459" s="108"/>
    </row>
    <row r="1460" spans="14:15" x14ac:dyDescent="0.35">
      <c r="N1460" s="108"/>
      <c r="O1460" s="108"/>
    </row>
    <row r="1461" spans="14:15" x14ac:dyDescent="0.35">
      <c r="N1461" s="108"/>
      <c r="O1461" s="108"/>
    </row>
    <row r="1462" spans="14:15" x14ac:dyDescent="0.35">
      <c r="N1462" s="108"/>
      <c r="O1462" s="108"/>
    </row>
    <row r="1463" spans="14:15" x14ac:dyDescent="0.35">
      <c r="N1463" s="108"/>
      <c r="O1463" s="108"/>
    </row>
    <row r="1464" spans="14:15" x14ac:dyDescent="0.35">
      <c r="N1464" s="108"/>
      <c r="O1464" s="108"/>
    </row>
    <row r="1465" spans="14:15" x14ac:dyDescent="0.35">
      <c r="N1465" s="108"/>
      <c r="O1465" s="108"/>
    </row>
    <row r="1466" spans="14:15" x14ac:dyDescent="0.35">
      <c r="N1466" s="108"/>
      <c r="O1466" s="108"/>
    </row>
    <row r="1467" spans="14:15" x14ac:dyDescent="0.35">
      <c r="N1467" s="108"/>
      <c r="O1467" s="108"/>
    </row>
    <row r="1468" spans="14:15" x14ac:dyDescent="0.35">
      <c r="N1468" s="108"/>
      <c r="O1468" s="108"/>
    </row>
    <row r="1469" spans="14:15" x14ac:dyDescent="0.35">
      <c r="N1469" s="108"/>
      <c r="O1469" s="108"/>
    </row>
    <row r="1470" spans="14:15" x14ac:dyDescent="0.35">
      <c r="N1470" s="108"/>
      <c r="O1470" s="108"/>
    </row>
    <row r="1471" spans="14:15" x14ac:dyDescent="0.35">
      <c r="N1471" s="108"/>
      <c r="O1471" s="108"/>
    </row>
    <row r="1472" spans="14:15" x14ac:dyDescent="0.35">
      <c r="N1472" s="108"/>
      <c r="O1472" s="108"/>
    </row>
    <row r="1473" spans="14:15" x14ac:dyDescent="0.35">
      <c r="N1473" s="108"/>
      <c r="O1473" s="108"/>
    </row>
    <row r="1474" spans="14:15" x14ac:dyDescent="0.35">
      <c r="N1474" s="108"/>
      <c r="O1474" s="108"/>
    </row>
    <row r="1475" spans="14:15" x14ac:dyDescent="0.35">
      <c r="N1475" s="108"/>
      <c r="O1475" s="108"/>
    </row>
    <row r="1476" spans="14:15" x14ac:dyDescent="0.35">
      <c r="N1476" s="108"/>
      <c r="O1476" s="108"/>
    </row>
    <row r="1477" spans="14:15" x14ac:dyDescent="0.35">
      <c r="N1477" s="108"/>
      <c r="O1477" s="108"/>
    </row>
    <row r="1478" spans="14:15" x14ac:dyDescent="0.35">
      <c r="N1478" s="108"/>
      <c r="O1478" s="108"/>
    </row>
    <row r="1479" spans="14:15" x14ac:dyDescent="0.35">
      <c r="N1479" s="108"/>
      <c r="O1479" s="108"/>
    </row>
    <row r="1480" spans="14:15" x14ac:dyDescent="0.35">
      <c r="N1480" s="108"/>
      <c r="O1480" s="108"/>
    </row>
    <row r="1481" spans="14:15" x14ac:dyDescent="0.35">
      <c r="N1481" s="108"/>
      <c r="O1481" s="108"/>
    </row>
    <row r="1482" spans="14:15" x14ac:dyDescent="0.35">
      <c r="N1482" s="108"/>
      <c r="O1482" s="108"/>
    </row>
    <row r="1483" spans="14:15" x14ac:dyDescent="0.35">
      <c r="N1483" s="108"/>
      <c r="O1483" s="108"/>
    </row>
    <row r="1484" spans="14:15" x14ac:dyDescent="0.35">
      <c r="N1484" s="108"/>
      <c r="O1484" s="108"/>
    </row>
    <row r="1485" spans="14:15" x14ac:dyDescent="0.35">
      <c r="N1485" s="108"/>
      <c r="O1485" s="108"/>
    </row>
    <row r="1486" spans="14:15" x14ac:dyDescent="0.35">
      <c r="N1486" s="108"/>
      <c r="O1486" s="108"/>
    </row>
    <row r="1487" spans="14:15" x14ac:dyDescent="0.35">
      <c r="N1487" s="108"/>
      <c r="O1487" s="108"/>
    </row>
    <row r="1488" spans="14:15" x14ac:dyDescent="0.35">
      <c r="N1488" s="108"/>
      <c r="O1488" s="108"/>
    </row>
    <row r="1489" spans="14:15" x14ac:dyDescent="0.35">
      <c r="N1489" s="108"/>
      <c r="O1489" s="108"/>
    </row>
    <row r="1490" spans="14:15" x14ac:dyDescent="0.35">
      <c r="N1490" s="108"/>
      <c r="O1490" s="108"/>
    </row>
    <row r="1491" spans="14:15" x14ac:dyDescent="0.35">
      <c r="N1491" s="108"/>
      <c r="O1491" s="108"/>
    </row>
    <row r="1492" spans="14:15" x14ac:dyDescent="0.35">
      <c r="N1492" s="108"/>
      <c r="O1492" s="108"/>
    </row>
    <row r="1493" spans="14:15" x14ac:dyDescent="0.35">
      <c r="N1493" s="108"/>
      <c r="O1493" s="108"/>
    </row>
    <row r="1494" spans="14:15" x14ac:dyDescent="0.35">
      <c r="N1494" s="108"/>
      <c r="O1494" s="108"/>
    </row>
    <row r="1495" spans="14:15" x14ac:dyDescent="0.35">
      <c r="N1495" s="108"/>
      <c r="O1495" s="108"/>
    </row>
    <row r="1496" spans="14:15" x14ac:dyDescent="0.35">
      <c r="N1496" s="108"/>
      <c r="O1496" s="108"/>
    </row>
    <row r="1497" spans="14:15" x14ac:dyDescent="0.35">
      <c r="N1497" s="108"/>
      <c r="O1497" s="108"/>
    </row>
    <row r="1498" spans="14:15" x14ac:dyDescent="0.35">
      <c r="N1498" s="108"/>
      <c r="O1498" s="108"/>
    </row>
    <row r="1499" spans="14:15" x14ac:dyDescent="0.35">
      <c r="N1499" s="108"/>
      <c r="O1499" s="108"/>
    </row>
    <row r="1500" spans="14:15" x14ac:dyDescent="0.35">
      <c r="N1500" s="108"/>
      <c r="O1500" s="108"/>
    </row>
    <row r="1501" spans="14:15" x14ac:dyDescent="0.35">
      <c r="N1501" s="108"/>
      <c r="O1501" s="108"/>
    </row>
    <row r="1502" spans="14:15" x14ac:dyDescent="0.35">
      <c r="N1502" s="108"/>
      <c r="O1502" s="108"/>
    </row>
    <row r="1503" spans="14:15" x14ac:dyDescent="0.35">
      <c r="N1503" s="108"/>
      <c r="O1503" s="108"/>
    </row>
    <row r="1504" spans="14:15" x14ac:dyDescent="0.35">
      <c r="N1504" s="108"/>
      <c r="O1504" s="108"/>
    </row>
    <row r="1505" spans="14:15" x14ac:dyDescent="0.35">
      <c r="N1505" s="108"/>
      <c r="O1505" s="108"/>
    </row>
    <row r="1506" spans="14:15" x14ac:dyDescent="0.35">
      <c r="N1506" s="108"/>
      <c r="O1506" s="108"/>
    </row>
    <row r="1507" spans="14:15" x14ac:dyDescent="0.35">
      <c r="N1507" s="108"/>
      <c r="O1507" s="108"/>
    </row>
    <row r="1508" spans="14:15" x14ac:dyDescent="0.35">
      <c r="N1508" s="108"/>
      <c r="O1508" s="108"/>
    </row>
    <row r="1509" spans="14:15" x14ac:dyDescent="0.35">
      <c r="N1509" s="108"/>
      <c r="O1509" s="108"/>
    </row>
    <row r="1510" spans="14:15" x14ac:dyDescent="0.35">
      <c r="N1510" s="108"/>
      <c r="O1510" s="108"/>
    </row>
    <row r="1511" spans="14:15" x14ac:dyDescent="0.35">
      <c r="N1511" s="108"/>
      <c r="O1511" s="108"/>
    </row>
    <row r="1512" spans="14:15" x14ac:dyDescent="0.35">
      <c r="N1512" s="108"/>
      <c r="O1512" s="108"/>
    </row>
    <row r="1513" spans="14:15" x14ac:dyDescent="0.35">
      <c r="N1513" s="108"/>
      <c r="O1513" s="108"/>
    </row>
    <row r="1514" spans="14:15" x14ac:dyDescent="0.35">
      <c r="N1514" s="108"/>
      <c r="O1514" s="108"/>
    </row>
    <row r="1515" spans="14:15" x14ac:dyDescent="0.35">
      <c r="N1515" s="108"/>
      <c r="O1515" s="108"/>
    </row>
    <row r="1516" spans="14:15" x14ac:dyDescent="0.35">
      <c r="N1516" s="108"/>
      <c r="O1516" s="108"/>
    </row>
    <row r="1517" spans="14:15" x14ac:dyDescent="0.35">
      <c r="N1517" s="108"/>
      <c r="O1517" s="108"/>
    </row>
    <row r="1518" spans="14:15" x14ac:dyDescent="0.35">
      <c r="N1518" s="108"/>
      <c r="O1518" s="108"/>
    </row>
    <row r="1519" spans="14:15" x14ac:dyDescent="0.35">
      <c r="N1519" s="108"/>
      <c r="O1519" s="108"/>
    </row>
    <row r="1520" spans="14:15" x14ac:dyDescent="0.35">
      <c r="N1520" s="108"/>
      <c r="O1520" s="108"/>
    </row>
    <row r="1521" spans="14:15" x14ac:dyDescent="0.35">
      <c r="N1521" s="108"/>
      <c r="O1521" s="108"/>
    </row>
    <row r="1522" spans="14:15" x14ac:dyDescent="0.35">
      <c r="N1522" s="108"/>
      <c r="O1522" s="108"/>
    </row>
    <row r="1523" spans="14:15" x14ac:dyDescent="0.35">
      <c r="N1523" s="108"/>
      <c r="O1523" s="108"/>
    </row>
    <row r="1524" spans="14:15" x14ac:dyDescent="0.35">
      <c r="N1524" s="108"/>
      <c r="O1524" s="108"/>
    </row>
    <row r="1525" spans="14:15" x14ac:dyDescent="0.35">
      <c r="N1525" s="108"/>
      <c r="O1525" s="108"/>
    </row>
    <row r="1526" spans="14:15" x14ac:dyDescent="0.35">
      <c r="N1526" s="108"/>
      <c r="O1526" s="108"/>
    </row>
    <row r="1527" spans="14:15" x14ac:dyDescent="0.35">
      <c r="N1527" s="108"/>
      <c r="O1527" s="108"/>
    </row>
    <row r="1528" spans="14:15" x14ac:dyDescent="0.35">
      <c r="N1528" s="108"/>
      <c r="O1528" s="108"/>
    </row>
    <row r="1529" spans="14:15" x14ac:dyDescent="0.35">
      <c r="N1529" s="108"/>
      <c r="O1529" s="108"/>
    </row>
    <row r="1530" spans="14:15" x14ac:dyDescent="0.35">
      <c r="N1530" s="108"/>
      <c r="O1530" s="108"/>
    </row>
    <row r="1531" spans="14:15" x14ac:dyDescent="0.35">
      <c r="N1531" s="108"/>
      <c r="O1531" s="108"/>
    </row>
    <row r="1532" spans="14:15" x14ac:dyDescent="0.35">
      <c r="N1532" s="108"/>
      <c r="O1532" s="108"/>
    </row>
    <row r="1533" spans="14:15" x14ac:dyDescent="0.35">
      <c r="N1533" s="108"/>
      <c r="O1533" s="108"/>
    </row>
    <row r="1534" spans="14:15" x14ac:dyDescent="0.35">
      <c r="N1534" s="108"/>
      <c r="O1534" s="108"/>
    </row>
    <row r="1535" spans="14:15" x14ac:dyDescent="0.35">
      <c r="N1535" s="108"/>
      <c r="O1535" s="108"/>
    </row>
    <row r="1536" spans="14:15" x14ac:dyDescent="0.35">
      <c r="N1536" s="108"/>
      <c r="O1536" s="108"/>
    </row>
    <row r="1537" spans="14:15" x14ac:dyDescent="0.35">
      <c r="N1537" s="108"/>
      <c r="O1537" s="108"/>
    </row>
    <row r="1538" spans="14:15" x14ac:dyDescent="0.35">
      <c r="N1538" s="108"/>
      <c r="O1538" s="108"/>
    </row>
    <row r="1539" spans="14:15" x14ac:dyDescent="0.35">
      <c r="N1539" s="108"/>
      <c r="O1539" s="108"/>
    </row>
    <row r="1540" spans="14:15" x14ac:dyDescent="0.35">
      <c r="N1540" s="108"/>
      <c r="O1540" s="108"/>
    </row>
    <row r="1541" spans="14:15" x14ac:dyDescent="0.35">
      <c r="N1541" s="108"/>
      <c r="O1541" s="108"/>
    </row>
    <row r="1542" spans="14:15" x14ac:dyDescent="0.35">
      <c r="N1542" s="108"/>
      <c r="O1542" s="108"/>
    </row>
    <row r="1543" spans="14:15" x14ac:dyDescent="0.35">
      <c r="N1543" s="108"/>
      <c r="O1543" s="108"/>
    </row>
    <row r="1544" spans="14:15" x14ac:dyDescent="0.35">
      <c r="N1544" s="108"/>
      <c r="O1544" s="108"/>
    </row>
    <row r="1545" spans="14:15" x14ac:dyDescent="0.35">
      <c r="N1545" s="108"/>
      <c r="O1545" s="108"/>
    </row>
    <row r="1546" spans="14:15" x14ac:dyDescent="0.35">
      <c r="N1546" s="108"/>
      <c r="O1546" s="108"/>
    </row>
    <row r="1547" spans="14:15" x14ac:dyDescent="0.35">
      <c r="N1547" s="108"/>
      <c r="O1547" s="108"/>
    </row>
    <row r="1548" spans="14:15" x14ac:dyDescent="0.35">
      <c r="N1548" s="108"/>
      <c r="O1548" s="108"/>
    </row>
    <row r="1549" spans="14:15" x14ac:dyDescent="0.35">
      <c r="N1549" s="108"/>
      <c r="O1549" s="108"/>
    </row>
    <row r="1550" spans="14:15" x14ac:dyDescent="0.35">
      <c r="N1550" s="108"/>
      <c r="O1550" s="108"/>
    </row>
    <row r="1551" spans="14:15" x14ac:dyDescent="0.35">
      <c r="N1551" s="108"/>
      <c r="O1551" s="108"/>
    </row>
    <row r="1552" spans="14:15" x14ac:dyDescent="0.35">
      <c r="N1552" s="108"/>
      <c r="O1552" s="108"/>
    </row>
    <row r="1553" spans="14:15" x14ac:dyDescent="0.35">
      <c r="N1553" s="108"/>
      <c r="O1553" s="108"/>
    </row>
    <row r="1554" spans="14:15" x14ac:dyDescent="0.35">
      <c r="N1554" s="108"/>
      <c r="O1554" s="108"/>
    </row>
    <row r="1555" spans="14:15" x14ac:dyDescent="0.35">
      <c r="N1555" s="108"/>
      <c r="O1555" s="108"/>
    </row>
    <row r="1556" spans="14:15" x14ac:dyDescent="0.35">
      <c r="N1556" s="108"/>
      <c r="O1556" s="108"/>
    </row>
    <row r="1557" spans="14:15" x14ac:dyDescent="0.35">
      <c r="N1557" s="108"/>
      <c r="O1557" s="108"/>
    </row>
    <row r="1558" spans="14:15" x14ac:dyDescent="0.35">
      <c r="N1558" s="108"/>
      <c r="O1558" s="108"/>
    </row>
    <row r="1559" spans="14:15" x14ac:dyDescent="0.35">
      <c r="N1559" s="108"/>
      <c r="O1559" s="108"/>
    </row>
    <row r="1560" spans="14:15" x14ac:dyDescent="0.35">
      <c r="N1560" s="108"/>
      <c r="O1560" s="108"/>
    </row>
    <row r="1561" spans="14:15" x14ac:dyDescent="0.35">
      <c r="N1561" s="108"/>
      <c r="O1561" s="108"/>
    </row>
    <row r="1562" spans="14:15" x14ac:dyDescent="0.35">
      <c r="N1562" s="108"/>
      <c r="O1562" s="108"/>
    </row>
    <row r="1563" spans="14:15" x14ac:dyDescent="0.35">
      <c r="N1563" s="108"/>
      <c r="O1563" s="108"/>
    </row>
    <row r="1564" spans="14:15" x14ac:dyDescent="0.35">
      <c r="N1564" s="108"/>
      <c r="O1564" s="108"/>
    </row>
    <row r="1565" spans="14:15" x14ac:dyDescent="0.35">
      <c r="N1565" s="108"/>
      <c r="O1565" s="108"/>
    </row>
    <row r="1566" spans="14:15" x14ac:dyDescent="0.35">
      <c r="N1566" s="108"/>
      <c r="O1566" s="108"/>
    </row>
    <row r="1567" spans="14:15" x14ac:dyDescent="0.35">
      <c r="N1567" s="108"/>
      <c r="O1567" s="108"/>
    </row>
    <row r="1568" spans="14:15" x14ac:dyDescent="0.35">
      <c r="N1568" s="108"/>
      <c r="O1568" s="108"/>
    </row>
    <row r="1569" spans="14:15" x14ac:dyDescent="0.35">
      <c r="N1569" s="108"/>
      <c r="O1569" s="108"/>
    </row>
    <row r="1570" spans="14:15" x14ac:dyDescent="0.35">
      <c r="N1570" s="108"/>
      <c r="O1570" s="108"/>
    </row>
    <row r="1571" spans="14:15" x14ac:dyDescent="0.35">
      <c r="N1571" s="108"/>
      <c r="O1571" s="108"/>
    </row>
    <row r="1572" spans="14:15" x14ac:dyDescent="0.35">
      <c r="N1572" s="108"/>
      <c r="O1572" s="108"/>
    </row>
    <row r="1573" spans="14:15" x14ac:dyDescent="0.35">
      <c r="N1573" s="108"/>
      <c r="O1573" s="108"/>
    </row>
    <row r="1574" spans="14:15" x14ac:dyDescent="0.35">
      <c r="N1574" s="108"/>
      <c r="O1574" s="108"/>
    </row>
    <row r="1575" spans="14:15" x14ac:dyDescent="0.35">
      <c r="N1575" s="108"/>
      <c r="O1575" s="108"/>
    </row>
    <row r="1576" spans="14:15" x14ac:dyDescent="0.35">
      <c r="N1576" s="108"/>
      <c r="O1576" s="108"/>
    </row>
    <row r="1577" spans="14:15" x14ac:dyDescent="0.35">
      <c r="N1577" s="108"/>
      <c r="O1577" s="108"/>
    </row>
    <row r="1578" spans="14:15" x14ac:dyDescent="0.35">
      <c r="N1578" s="108"/>
      <c r="O1578" s="108"/>
    </row>
    <row r="1579" spans="14:15" x14ac:dyDescent="0.35">
      <c r="N1579" s="108"/>
      <c r="O1579" s="108"/>
    </row>
    <row r="1580" spans="14:15" x14ac:dyDescent="0.35">
      <c r="N1580" s="108"/>
      <c r="O1580" s="108"/>
    </row>
    <row r="1581" spans="14:15" x14ac:dyDescent="0.35">
      <c r="N1581" s="108"/>
      <c r="O1581" s="108"/>
    </row>
    <row r="1582" spans="14:15" x14ac:dyDescent="0.35">
      <c r="N1582" s="108"/>
      <c r="O1582" s="108"/>
    </row>
    <row r="1583" spans="14:15" x14ac:dyDescent="0.35">
      <c r="N1583" s="108"/>
      <c r="O1583" s="108"/>
    </row>
    <row r="1584" spans="14:15" x14ac:dyDescent="0.35">
      <c r="N1584" s="108"/>
      <c r="O1584" s="108"/>
    </row>
    <row r="1585" spans="14:15" x14ac:dyDescent="0.35">
      <c r="N1585" s="108"/>
      <c r="O1585" s="108"/>
    </row>
    <row r="1586" spans="14:15" x14ac:dyDescent="0.35">
      <c r="N1586" s="108"/>
      <c r="O1586" s="108"/>
    </row>
    <row r="1587" spans="14:15" x14ac:dyDescent="0.35">
      <c r="N1587" s="108"/>
      <c r="O1587" s="108"/>
    </row>
    <row r="1588" spans="14:15" x14ac:dyDescent="0.35">
      <c r="N1588" s="108"/>
      <c r="O1588" s="108"/>
    </row>
    <row r="1589" spans="14:15" x14ac:dyDescent="0.35">
      <c r="N1589" s="108"/>
      <c r="O1589" s="108"/>
    </row>
    <row r="1590" spans="14:15" x14ac:dyDescent="0.35">
      <c r="N1590" s="108"/>
      <c r="O1590" s="108"/>
    </row>
    <row r="1591" spans="14:15" x14ac:dyDescent="0.35">
      <c r="N1591" s="108"/>
      <c r="O1591" s="108"/>
    </row>
    <row r="1592" spans="14:15" x14ac:dyDescent="0.35">
      <c r="N1592" s="108"/>
      <c r="O1592" s="108"/>
    </row>
    <row r="1593" spans="14:15" x14ac:dyDescent="0.35">
      <c r="N1593" s="108"/>
      <c r="O1593" s="108"/>
    </row>
    <row r="1594" spans="14:15" x14ac:dyDescent="0.35">
      <c r="N1594" s="108"/>
      <c r="O1594" s="108"/>
    </row>
    <row r="1595" spans="14:15" x14ac:dyDescent="0.35">
      <c r="N1595" s="108"/>
      <c r="O1595" s="108"/>
    </row>
    <row r="1596" spans="14:15" x14ac:dyDescent="0.35">
      <c r="N1596" s="108"/>
      <c r="O1596" s="108"/>
    </row>
    <row r="1597" spans="14:15" x14ac:dyDescent="0.35">
      <c r="N1597" s="108"/>
      <c r="O1597" s="108"/>
    </row>
    <row r="1598" spans="14:15" x14ac:dyDescent="0.35">
      <c r="N1598" s="108"/>
      <c r="O1598" s="108"/>
    </row>
    <row r="1599" spans="14:15" x14ac:dyDescent="0.35">
      <c r="N1599" s="108"/>
      <c r="O1599" s="108"/>
    </row>
    <row r="1600" spans="14:15" x14ac:dyDescent="0.35">
      <c r="N1600" s="108"/>
      <c r="O1600" s="108"/>
    </row>
    <row r="1601" spans="14:15" x14ac:dyDescent="0.35">
      <c r="N1601" s="108"/>
      <c r="O1601" s="108"/>
    </row>
    <row r="1602" spans="14:15" x14ac:dyDescent="0.35">
      <c r="N1602" s="108"/>
      <c r="O1602" s="108"/>
    </row>
    <row r="1603" spans="14:15" x14ac:dyDescent="0.35">
      <c r="N1603" s="108"/>
      <c r="O1603" s="108"/>
    </row>
    <row r="1604" spans="14:15" x14ac:dyDescent="0.35">
      <c r="N1604" s="108"/>
      <c r="O1604" s="108"/>
    </row>
    <row r="1605" spans="14:15" x14ac:dyDescent="0.35">
      <c r="N1605" s="108"/>
      <c r="O1605" s="108"/>
    </row>
    <row r="1606" spans="14:15" x14ac:dyDescent="0.35">
      <c r="N1606" s="108"/>
      <c r="O1606" s="108"/>
    </row>
    <row r="1607" spans="14:15" x14ac:dyDescent="0.35">
      <c r="N1607" s="108"/>
      <c r="O1607" s="108"/>
    </row>
    <row r="1608" spans="14:15" x14ac:dyDescent="0.35">
      <c r="N1608" s="108"/>
      <c r="O1608" s="108"/>
    </row>
    <row r="1609" spans="14:15" x14ac:dyDescent="0.35">
      <c r="N1609" s="108"/>
      <c r="O1609" s="108"/>
    </row>
    <row r="1610" spans="14:15" x14ac:dyDescent="0.35">
      <c r="N1610" s="108"/>
      <c r="O1610" s="108"/>
    </row>
    <row r="1611" spans="14:15" x14ac:dyDescent="0.35">
      <c r="N1611" s="108"/>
      <c r="O1611" s="108"/>
    </row>
    <row r="1612" spans="14:15" x14ac:dyDescent="0.35">
      <c r="N1612" s="108"/>
      <c r="O1612" s="108"/>
    </row>
    <row r="1613" spans="14:15" x14ac:dyDescent="0.35">
      <c r="N1613" s="108"/>
      <c r="O1613" s="108"/>
    </row>
    <row r="1614" spans="14:15" x14ac:dyDescent="0.35">
      <c r="N1614" s="108"/>
      <c r="O1614" s="108"/>
    </row>
    <row r="1615" spans="14:15" x14ac:dyDescent="0.35">
      <c r="N1615" s="108"/>
      <c r="O1615" s="108"/>
    </row>
    <row r="1616" spans="14:15" x14ac:dyDescent="0.35">
      <c r="N1616" s="108"/>
      <c r="O1616" s="108"/>
    </row>
    <row r="1617" spans="14:15" x14ac:dyDescent="0.35">
      <c r="N1617" s="108"/>
      <c r="O1617" s="108"/>
    </row>
    <row r="1618" spans="14:15" x14ac:dyDescent="0.35">
      <c r="N1618" s="108"/>
      <c r="O1618" s="108"/>
    </row>
    <row r="1619" spans="14:15" x14ac:dyDescent="0.35">
      <c r="N1619" s="108"/>
      <c r="O1619" s="108"/>
    </row>
    <row r="1620" spans="14:15" x14ac:dyDescent="0.35">
      <c r="N1620" s="108"/>
      <c r="O1620" s="108"/>
    </row>
    <row r="1621" spans="14:15" x14ac:dyDescent="0.35">
      <c r="N1621" s="108"/>
      <c r="O1621" s="108"/>
    </row>
    <row r="1622" spans="14:15" x14ac:dyDescent="0.35">
      <c r="N1622" s="108"/>
      <c r="O1622" s="108"/>
    </row>
    <row r="1623" spans="14:15" x14ac:dyDescent="0.35">
      <c r="N1623" s="108"/>
      <c r="O1623" s="108"/>
    </row>
    <row r="1624" spans="14:15" x14ac:dyDescent="0.35">
      <c r="N1624" s="108"/>
      <c r="O1624" s="108"/>
    </row>
    <row r="1625" spans="14:15" x14ac:dyDescent="0.35">
      <c r="N1625" s="108"/>
      <c r="O1625" s="108"/>
    </row>
    <row r="1626" spans="14:15" x14ac:dyDescent="0.35">
      <c r="N1626" s="108"/>
      <c r="O1626" s="108"/>
    </row>
    <row r="1627" spans="14:15" x14ac:dyDescent="0.35">
      <c r="N1627" s="108"/>
      <c r="O1627" s="108"/>
    </row>
    <row r="1628" spans="14:15" x14ac:dyDescent="0.35">
      <c r="N1628" s="108"/>
      <c r="O1628" s="108"/>
    </row>
    <row r="1629" spans="14:15" x14ac:dyDescent="0.35">
      <c r="N1629" s="108"/>
      <c r="O1629" s="108"/>
    </row>
    <row r="1630" spans="14:15" x14ac:dyDescent="0.35">
      <c r="N1630" s="108"/>
      <c r="O1630" s="108"/>
    </row>
    <row r="1631" spans="14:15" x14ac:dyDescent="0.35">
      <c r="N1631" s="108"/>
      <c r="O1631" s="108"/>
    </row>
    <row r="1632" spans="14:15" x14ac:dyDescent="0.35">
      <c r="N1632" s="108"/>
      <c r="O1632" s="108"/>
    </row>
    <row r="1633" spans="14:15" x14ac:dyDescent="0.35">
      <c r="N1633" s="108"/>
      <c r="O1633" s="108"/>
    </row>
    <row r="1634" spans="14:15" x14ac:dyDescent="0.35">
      <c r="N1634" s="108"/>
      <c r="O1634" s="108"/>
    </row>
    <row r="1635" spans="14:15" x14ac:dyDescent="0.35">
      <c r="N1635" s="108"/>
      <c r="O1635" s="108"/>
    </row>
    <row r="1636" spans="14:15" x14ac:dyDescent="0.35">
      <c r="N1636" s="108"/>
      <c r="O1636" s="108"/>
    </row>
    <row r="1637" spans="14:15" x14ac:dyDescent="0.35">
      <c r="N1637" s="108"/>
      <c r="O1637" s="108"/>
    </row>
    <row r="1638" spans="14:15" x14ac:dyDescent="0.35">
      <c r="N1638" s="108"/>
      <c r="O1638" s="108"/>
    </row>
    <row r="1639" spans="14:15" x14ac:dyDescent="0.35">
      <c r="N1639" s="108"/>
      <c r="O1639" s="108"/>
    </row>
    <row r="1640" spans="14:15" x14ac:dyDescent="0.35">
      <c r="N1640" s="108"/>
      <c r="O1640" s="108"/>
    </row>
    <row r="1641" spans="14:15" x14ac:dyDescent="0.35">
      <c r="N1641" s="108"/>
      <c r="O1641" s="108"/>
    </row>
    <row r="1642" spans="14:15" x14ac:dyDescent="0.35">
      <c r="N1642" s="108"/>
      <c r="O1642" s="108"/>
    </row>
    <row r="1643" spans="14:15" x14ac:dyDescent="0.35">
      <c r="N1643" s="108"/>
      <c r="O1643" s="108"/>
    </row>
    <row r="1644" spans="14:15" x14ac:dyDescent="0.35">
      <c r="N1644" s="108"/>
      <c r="O1644" s="108"/>
    </row>
    <row r="1645" spans="14:15" x14ac:dyDescent="0.35">
      <c r="N1645" s="108"/>
      <c r="O1645" s="108"/>
    </row>
    <row r="1646" spans="14:15" x14ac:dyDescent="0.35">
      <c r="N1646" s="108"/>
      <c r="O1646" s="108"/>
    </row>
    <row r="1647" spans="14:15" x14ac:dyDescent="0.35">
      <c r="N1647" s="108"/>
      <c r="O1647" s="108"/>
    </row>
    <row r="1648" spans="14:15" x14ac:dyDescent="0.35">
      <c r="N1648" s="108"/>
      <c r="O1648" s="108"/>
    </row>
    <row r="1649" spans="14:15" x14ac:dyDescent="0.35">
      <c r="N1649" s="108"/>
      <c r="O1649" s="108"/>
    </row>
    <row r="1650" spans="14:15" x14ac:dyDescent="0.35">
      <c r="N1650" s="108"/>
      <c r="O1650" s="108"/>
    </row>
    <row r="1651" spans="14:15" x14ac:dyDescent="0.35">
      <c r="N1651" s="108"/>
      <c r="O1651" s="108"/>
    </row>
    <row r="1652" spans="14:15" x14ac:dyDescent="0.35">
      <c r="N1652" s="108"/>
      <c r="O1652" s="108"/>
    </row>
    <row r="1653" spans="14:15" x14ac:dyDescent="0.35">
      <c r="N1653" s="108"/>
      <c r="O1653" s="108"/>
    </row>
    <row r="1654" spans="14:15" x14ac:dyDescent="0.35">
      <c r="N1654" s="108"/>
      <c r="O1654" s="108"/>
    </row>
    <row r="1655" spans="14:15" x14ac:dyDescent="0.35">
      <c r="N1655" s="108"/>
      <c r="O1655" s="108"/>
    </row>
    <row r="1656" spans="14:15" x14ac:dyDescent="0.35">
      <c r="N1656" s="108"/>
      <c r="O1656" s="108"/>
    </row>
    <row r="1657" spans="14:15" x14ac:dyDescent="0.35">
      <c r="N1657" s="108"/>
      <c r="O1657" s="108"/>
    </row>
    <row r="1658" spans="14:15" x14ac:dyDescent="0.35">
      <c r="N1658" s="108"/>
      <c r="O1658" s="108"/>
    </row>
    <row r="1659" spans="14:15" x14ac:dyDescent="0.35">
      <c r="N1659" s="108"/>
      <c r="O1659" s="108"/>
    </row>
    <row r="1660" spans="14:15" x14ac:dyDescent="0.35">
      <c r="N1660" s="108"/>
      <c r="O1660" s="108"/>
    </row>
    <row r="1661" spans="14:15" x14ac:dyDescent="0.35">
      <c r="N1661" s="108"/>
      <c r="O1661" s="108"/>
    </row>
    <row r="1662" spans="14:15" x14ac:dyDescent="0.35">
      <c r="N1662" s="108"/>
      <c r="O1662" s="108"/>
    </row>
    <row r="1663" spans="14:15" x14ac:dyDescent="0.35">
      <c r="N1663" s="108"/>
      <c r="O1663" s="108"/>
    </row>
    <row r="1664" spans="14:15" x14ac:dyDescent="0.35">
      <c r="N1664" s="108"/>
      <c r="O1664" s="108"/>
    </row>
    <row r="1665" spans="14:15" x14ac:dyDescent="0.35">
      <c r="N1665" s="108"/>
      <c r="O1665" s="108"/>
    </row>
    <row r="1666" spans="14:15" x14ac:dyDescent="0.35">
      <c r="N1666" s="108"/>
      <c r="O1666" s="108"/>
    </row>
    <row r="1667" spans="14:15" x14ac:dyDescent="0.35">
      <c r="N1667" s="108"/>
      <c r="O1667" s="108"/>
    </row>
    <row r="1668" spans="14:15" x14ac:dyDescent="0.35">
      <c r="N1668" s="108"/>
      <c r="O1668" s="108"/>
    </row>
    <row r="1669" spans="14:15" x14ac:dyDescent="0.35">
      <c r="N1669" s="108"/>
      <c r="O1669" s="108"/>
    </row>
    <row r="1670" spans="14:15" x14ac:dyDescent="0.35">
      <c r="N1670" s="108"/>
      <c r="O1670" s="108"/>
    </row>
    <row r="1671" spans="14:15" x14ac:dyDescent="0.35">
      <c r="N1671" s="108"/>
      <c r="O1671" s="108"/>
    </row>
    <row r="1672" spans="14:15" x14ac:dyDescent="0.35">
      <c r="N1672" s="108"/>
      <c r="O1672" s="108"/>
    </row>
    <row r="1673" spans="14:15" x14ac:dyDescent="0.35">
      <c r="N1673" s="108"/>
      <c r="O1673" s="108"/>
    </row>
    <row r="1674" spans="14:15" x14ac:dyDescent="0.35">
      <c r="N1674" s="108"/>
      <c r="O1674" s="108"/>
    </row>
    <row r="1675" spans="14:15" x14ac:dyDescent="0.35">
      <c r="N1675" s="108"/>
      <c r="O1675" s="108"/>
    </row>
    <row r="1676" spans="14:15" x14ac:dyDescent="0.35">
      <c r="N1676" s="108"/>
      <c r="O1676" s="108"/>
    </row>
    <row r="1677" spans="14:15" x14ac:dyDescent="0.35">
      <c r="N1677" s="108"/>
      <c r="O1677" s="108"/>
    </row>
    <row r="1678" spans="14:15" x14ac:dyDescent="0.35">
      <c r="N1678" s="108"/>
      <c r="O1678" s="108"/>
    </row>
    <row r="1679" spans="14:15" x14ac:dyDescent="0.35">
      <c r="N1679" s="108"/>
      <c r="O1679" s="108"/>
    </row>
    <row r="1680" spans="14:15" x14ac:dyDescent="0.35">
      <c r="N1680" s="108"/>
      <c r="O1680" s="108"/>
    </row>
    <row r="1681" spans="14:15" x14ac:dyDescent="0.35">
      <c r="N1681" s="108"/>
      <c r="O1681" s="108"/>
    </row>
    <row r="1682" spans="14:15" x14ac:dyDescent="0.35">
      <c r="N1682" s="108"/>
      <c r="O1682" s="108"/>
    </row>
    <row r="1683" spans="14:15" x14ac:dyDescent="0.35">
      <c r="N1683" s="108"/>
      <c r="O1683" s="108"/>
    </row>
    <row r="1684" spans="14:15" x14ac:dyDescent="0.35">
      <c r="N1684" s="108"/>
      <c r="O1684" s="108"/>
    </row>
    <row r="1685" spans="14:15" x14ac:dyDescent="0.35">
      <c r="N1685" s="108"/>
      <c r="O1685" s="108"/>
    </row>
    <row r="1686" spans="14:15" x14ac:dyDescent="0.35">
      <c r="N1686" s="108"/>
      <c r="O1686" s="108"/>
    </row>
    <row r="1687" spans="14:15" x14ac:dyDescent="0.35">
      <c r="N1687" s="108"/>
      <c r="O1687" s="108"/>
    </row>
    <row r="1688" spans="14:15" x14ac:dyDescent="0.35">
      <c r="N1688" s="108"/>
      <c r="O1688" s="108"/>
    </row>
    <row r="1689" spans="14:15" x14ac:dyDescent="0.35">
      <c r="N1689" s="108"/>
      <c r="O1689" s="108"/>
    </row>
    <row r="1690" spans="14:15" x14ac:dyDescent="0.35">
      <c r="N1690" s="108"/>
      <c r="O1690" s="108"/>
    </row>
    <row r="1691" spans="14:15" x14ac:dyDescent="0.35">
      <c r="N1691" s="108"/>
      <c r="O1691" s="108"/>
    </row>
    <row r="1692" spans="14:15" x14ac:dyDescent="0.35">
      <c r="N1692" s="108"/>
      <c r="O1692" s="108"/>
    </row>
    <row r="1693" spans="14:15" x14ac:dyDescent="0.35">
      <c r="N1693" s="108"/>
      <c r="O1693" s="108"/>
    </row>
    <row r="1694" spans="14:15" x14ac:dyDescent="0.35">
      <c r="N1694" s="108"/>
      <c r="O1694" s="108"/>
    </row>
    <row r="1695" spans="14:15" x14ac:dyDescent="0.35">
      <c r="N1695" s="108"/>
      <c r="O1695" s="108"/>
    </row>
    <row r="1696" spans="14:15" x14ac:dyDescent="0.35">
      <c r="N1696" s="108"/>
      <c r="O1696" s="108"/>
    </row>
    <row r="1697" spans="14:15" x14ac:dyDescent="0.35">
      <c r="N1697" s="108"/>
      <c r="O1697" s="108"/>
    </row>
    <row r="1698" spans="14:15" x14ac:dyDescent="0.35">
      <c r="N1698" s="108"/>
      <c r="O1698" s="108"/>
    </row>
    <row r="1699" spans="14:15" x14ac:dyDescent="0.35">
      <c r="N1699" s="108"/>
      <c r="O1699" s="108"/>
    </row>
    <row r="1700" spans="14:15" x14ac:dyDescent="0.35">
      <c r="N1700" s="108"/>
      <c r="O1700" s="108"/>
    </row>
    <row r="1701" spans="14:15" x14ac:dyDescent="0.35">
      <c r="N1701" s="108"/>
      <c r="O1701" s="108"/>
    </row>
    <row r="1702" spans="14:15" x14ac:dyDescent="0.35">
      <c r="N1702" s="108"/>
      <c r="O1702" s="108"/>
    </row>
    <row r="1703" spans="14:15" x14ac:dyDescent="0.35">
      <c r="N1703" s="108"/>
      <c r="O1703" s="108"/>
    </row>
    <row r="1704" spans="14:15" x14ac:dyDescent="0.35">
      <c r="N1704" s="108"/>
      <c r="O1704" s="108"/>
    </row>
    <row r="1705" spans="14:15" x14ac:dyDescent="0.35">
      <c r="N1705" s="108"/>
      <c r="O1705" s="108"/>
    </row>
    <row r="1706" spans="14:15" x14ac:dyDescent="0.35">
      <c r="N1706" s="108"/>
      <c r="O1706" s="108"/>
    </row>
    <row r="1707" spans="14:15" x14ac:dyDescent="0.35">
      <c r="N1707" s="108"/>
      <c r="O1707" s="108"/>
    </row>
    <row r="1708" spans="14:15" x14ac:dyDescent="0.35">
      <c r="N1708" s="108"/>
      <c r="O1708" s="108"/>
    </row>
    <row r="1709" spans="14:15" x14ac:dyDescent="0.35">
      <c r="N1709" s="108"/>
      <c r="O1709" s="108"/>
    </row>
    <row r="1710" spans="14:15" x14ac:dyDescent="0.35">
      <c r="N1710" s="108"/>
      <c r="O1710" s="108"/>
    </row>
    <row r="1711" spans="14:15" x14ac:dyDescent="0.35">
      <c r="N1711" s="108"/>
      <c r="O1711" s="108"/>
    </row>
    <row r="1712" spans="14:15" x14ac:dyDescent="0.35">
      <c r="N1712" s="108"/>
      <c r="O1712" s="108"/>
    </row>
    <row r="1713" spans="14:15" x14ac:dyDescent="0.35">
      <c r="N1713" s="108"/>
      <c r="O1713" s="108"/>
    </row>
    <row r="1714" spans="14:15" x14ac:dyDescent="0.35">
      <c r="N1714" s="108"/>
      <c r="O1714" s="108"/>
    </row>
    <row r="1715" spans="14:15" x14ac:dyDescent="0.35">
      <c r="N1715" s="108"/>
      <c r="O1715" s="108"/>
    </row>
    <row r="1716" spans="14:15" x14ac:dyDescent="0.35">
      <c r="N1716" s="108"/>
      <c r="O1716" s="108"/>
    </row>
    <row r="1717" spans="14:15" x14ac:dyDescent="0.35">
      <c r="N1717" s="108"/>
      <c r="O1717" s="108"/>
    </row>
    <row r="1718" spans="14:15" x14ac:dyDescent="0.35">
      <c r="N1718" s="108"/>
      <c r="O1718" s="108"/>
    </row>
    <row r="1719" spans="14:15" x14ac:dyDescent="0.35">
      <c r="N1719" s="108"/>
      <c r="O1719" s="108"/>
    </row>
    <row r="1720" spans="14:15" x14ac:dyDescent="0.35">
      <c r="N1720" s="108"/>
      <c r="O1720" s="108"/>
    </row>
    <row r="1721" spans="14:15" x14ac:dyDescent="0.35">
      <c r="N1721" s="108"/>
      <c r="O1721" s="108"/>
    </row>
    <row r="1722" spans="14:15" x14ac:dyDescent="0.35">
      <c r="N1722" s="108"/>
      <c r="O1722" s="108"/>
    </row>
    <row r="1723" spans="14:15" x14ac:dyDescent="0.35">
      <c r="N1723" s="108"/>
      <c r="O1723" s="108"/>
    </row>
    <row r="1724" spans="14:15" x14ac:dyDescent="0.35">
      <c r="N1724" s="108"/>
      <c r="O1724" s="108"/>
    </row>
    <row r="1725" spans="14:15" x14ac:dyDescent="0.35">
      <c r="N1725" s="108"/>
      <c r="O1725" s="108"/>
    </row>
    <row r="1726" spans="14:15" x14ac:dyDescent="0.35">
      <c r="N1726" s="108"/>
      <c r="O1726" s="108"/>
    </row>
    <row r="1727" spans="14:15" x14ac:dyDescent="0.35">
      <c r="N1727" s="108"/>
      <c r="O1727" s="108"/>
    </row>
    <row r="1728" spans="14:15" x14ac:dyDescent="0.35">
      <c r="N1728" s="108"/>
      <c r="O1728" s="108"/>
    </row>
    <row r="1729" spans="14:15" x14ac:dyDescent="0.35">
      <c r="N1729" s="108"/>
      <c r="O1729" s="108"/>
    </row>
    <row r="1730" spans="14:15" x14ac:dyDescent="0.35">
      <c r="N1730" s="108"/>
      <c r="O1730" s="108"/>
    </row>
    <row r="1731" spans="14:15" x14ac:dyDescent="0.35">
      <c r="N1731" s="108"/>
      <c r="O1731" s="108"/>
    </row>
    <row r="1732" spans="14:15" x14ac:dyDescent="0.35">
      <c r="N1732" s="108"/>
      <c r="O1732" s="108"/>
    </row>
    <row r="1733" spans="14:15" x14ac:dyDescent="0.35">
      <c r="N1733" s="108"/>
      <c r="O1733" s="108"/>
    </row>
    <row r="1734" spans="14:15" x14ac:dyDescent="0.35">
      <c r="N1734" s="108"/>
      <c r="O1734" s="108"/>
    </row>
    <row r="1735" spans="14:15" x14ac:dyDescent="0.35">
      <c r="N1735" s="108"/>
      <c r="O1735" s="108"/>
    </row>
    <row r="1736" spans="14:15" x14ac:dyDescent="0.35">
      <c r="N1736" s="108"/>
      <c r="O1736" s="108"/>
    </row>
    <row r="1737" spans="14:15" x14ac:dyDescent="0.35">
      <c r="N1737" s="108"/>
      <c r="O1737" s="108"/>
    </row>
    <row r="1738" spans="14:15" x14ac:dyDescent="0.35">
      <c r="N1738" s="108"/>
      <c r="O1738" s="108"/>
    </row>
    <row r="1739" spans="14:15" x14ac:dyDescent="0.35">
      <c r="N1739" s="108"/>
      <c r="O1739" s="108"/>
    </row>
    <row r="1740" spans="14:15" x14ac:dyDescent="0.35">
      <c r="N1740" s="108"/>
      <c r="O1740" s="108"/>
    </row>
    <row r="1741" spans="14:15" x14ac:dyDescent="0.35">
      <c r="N1741" s="108"/>
      <c r="O1741" s="108"/>
    </row>
    <row r="1742" spans="14:15" x14ac:dyDescent="0.35">
      <c r="N1742" s="108"/>
      <c r="O1742" s="108"/>
    </row>
    <row r="1743" spans="14:15" x14ac:dyDescent="0.35">
      <c r="N1743" s="108"/>
      <c r="O1743" s="108"/>
    </row>
    <row r="1744" spans="14:15" x14ac:dyDescent="0.35">
      <c r="N1744" s="108"/>
      <c r="O1744" s="108"/>
    </row>
    <row r="1745" spans="14:15" x14ac:dyDescent="0.35">
      <c r="N1745" s="108"/>
      <c r="O1745" s="108"/>
    </row>
    <row r="1746" spans="14:15" x14ac:dyDescent="0.35">
      <c r="N1746" s="108"/>
      <c r="O1746" s="108"/>
    </row>
    <row r="1747" spans="14:15" x14ac:dyDescent="0.35">
      <c r="N1747" s="108"/>
      <c r="O1747" s="108"/>
    </row>
    <row r="1748" spans="14:15" x14ac:dyDescent="0.35">
      <c r="N1748" s="108"/>
      <c r="O1748" s="108"/>
    </row>
    <row r="1749" spans="14:15" x14ac:dyDescent="0.35">
      <c r="N1749" s="108"/>
      <c r="O1749" s="108"/>
    </row>
    <row r="1750" spans="14:15" x14ac:dyDescent="0.35">
      <c r="N1750" s="108"/>
      <c r="O1750" s="108"/>
    </row>
    <row r="1751" spans="14:15" x14ac:dyDescent="0.35">
      <c r="N1751" s="108"/>
      <c r="O1751" s="108"/>
    </row>
    <row r="1752" spans="14:15" x14ac:dyDescent="0.35">
      <c r="N1752" s="108"/>
      <c r="O1752" s="108"/>
    </row>
    <row r="1753" spans="14:15" x14ac:dyDescent="0.35">
      <c r="N1753" s="108"/>
      <c r="O1753" s="108"/>
    </row>
    <row r="1754" spans="14:15" x14ac:dyDescent="0.35">
      <c r="N1754" s="108"/>
      <c r="O1754" s="108"/>
    </row>
    <row r="1755" spans="14:15" x14ac:dyDescent="0.35">
      <c r="N1755" s="108"/>
      <c r="O1755" s="108"/>
    </row>
    <row r="1756" spans="14:15" x14ac:dyDescent="0.35">
      <c r="N1756" s="108"/>
      <c r="O1756" s="108"/>
    </row>
    <row r="1757" spans="14:15" x14ac:dyDescent="0.35">
      <c r="N1757" s="108"/>
      <c r="O1757" s="108"/>
    </row>
    <row r="1758" spans="14:15" x14ac:dyDescent="0.35">
      <c r="N1758" s="108"/>
      <c r="O1758" s="108"/>
    </row>
    <row r="1759" spans="14:15" x14ac:dyDescent="0.35">
      <c r="N1759" s="108"/>
      <c r="O1759" s="108"/>
    </row>
    <row r="1760" spans="14:15" x14ac:dyDescent="0.35">
      <c r="N1760" s="108"/>
      <c r="O1760" s="108"/>
    </row>
    <row r="1761" spans="14:15" x14ac:dyDescent="0.35">
      <c r="N1761" s="108"/>
      <c r="O1761" s="108"/>
    </row>
    <row r="1762" spans="14:15" x14ac:dyDescent="0.35">
      <c r="N1762" s="108"/>
      <c r="O1762" s="108"/>
    </row>
    <row r="1763" spans="14:15" x14ac:dyDescent="0.35">
      <c r="N1763" s="108"/>
      <c r="O1763" s="108"/>
    </row>
    <row r="1764" spans="14:15" x14ac:dyDescent="0.35">
      <c r="N1764" s="108"/>
      <c r="O1764" s="108"/>
    </row>
    <row r="1765" spans="14:15" x14ac:dyDescent="0.35">
      <c r="N1765" s="108"/>
      <c r="O1765" s="108"/>
    </row>
    <row r="1766" spans="14:15" x14ac:dyDescent="0.35">
      <c r="N1766" s="108"/>
      <c r="O1766" s="108"/>
    </row>
    <row r="1767" spans="14:15" x14ac:dyDescent="0.35">
      <c r="N1767" s="108"/>
      <c r="O1767" s="108"/>
    </row>
    <row r="1768" spans="14:15" x14ac:dyDescent="0.35">
      <c r="N1768" s="108"/>
      <c r="O1768" s="108"/>
    </row>
    <row r="1769" spans="14:15" x14ac:dyDescent="0.35">
      <c r="N1769" s="108"/>
      <c r="O1769" s="108"/>
    </row>
    <row r="1770" spans="14:15" x14ac:dyDescent="0.35">
      <c r="N1770" s="108"/>
      <c r="O1770" s="108"/>
    </row>
    <row r="1771" spans="14:15" x14ac:dyDescent="0.35">
      <c r="N1771" s="108"/>
      <c r="O1771" s="108"/>
    </row>
    <row r="1772" spans="14:15" x14ac:dyDescent="0.35">
      <c r="N1772" s="108"/>
      <c r="O1772" s="108"/>
    </row>
    <row r="1773" spans="14:15" x14ac:dyDescent="0.35">
      <c r="N1773" s="108"/>
      <c r="O1773" s="108"/>
    </row>
    <row r="1774" spans="14:15" x14ac:dyDescent="0.35">
      <c r="N1774" s="108"/>
      <c r="O1774" s="108"/>
    </row>
    <row r="1775" spans="14:15" x14ac:dyDescent="0.35">
      <c r="N1775" s="108"/>
      <c r="O1775" s="108"/>
    </row>
    <row r="1776" spans="14:15" x14ac:dyDescent="0.35">
      <c r="N1776" s="108"/>
      <c r="O1776" s="108"/>
    </row>
    <row r="1777" spans="14:15" x14ac:dyDescent="0.35">
      <c r="N1777" s="108"/>
      <c r="O1777" s="108"/>
    </row>
    <row r="1778" spans="14:15" x14ac:dyDescent="0.35">
      <c r="N1778" s="108"/>
      <c r="O1778" s="108"/>
    </row>
    <row r="1779" spans="14:15" x14ac:dyDescent="0.35">
      <c r="N1779" s="108"/>
      <c r="O1779" s="108"/>
    </row>
    <row r="1780" spans="14:15" x14ac:dyDescent="0.35">
      <c r="N1780" s="108"/>
      <c r="O1780" s="108"/>
    </row>
    <row r="1781" spans="14:15" x14ac:dyDescent="0.35">
      <c r="N1781" s="108"/>
      <c r="O1781" s="108"/>
    </row>
    <row r="1782" spans="14:15" x14ac:dyDescent="0.35">
      <c r="N1782" s="108"/>
      <c r="O1782" s="108"/>
    </row>
    <row r="1783" spans="14:15" x14ac:dyDescent="0.35">
      <c r="N1783" s="108"/>
      <c r="O1783" s="108"/>
    </row>
    <row r="1784" spans="14:15" x14ac:dyDescent="0.35">
      <c r="N1784" s="108"/>
      <c r="O1784" s="108"/>
    </row>
    <row r="1785" spans="14:15" x14ac:dyDescent="0.35">
      <c r="N1785" s="108"/>
      <c r="O1785" s="108"/>
    </row>
    <row r="1786" spans="14:15" x14ac:dyDescent="0.35">
      <c r="N1786" s="108"/>
      <c r="O1786" s="108"/>
    </row>
    <row r="1787" spans="14:15" x14ac:dyDescent="0.35">
      <c r="N1787" s="108"/>
      <c r="O1787" s="108"/>
    </row>
    <row r="1788" spans="14:15" x14ac:dyDescent="0.35">
      <c r="N1788" s="108"/>
      <c r="O1788" s="108"/>
    </row>
    <row r="1789" spans="14:15" x14ac:dyDescent="0.35">
      <c r="N1789" s="108"/>
      <c r="O1789" s="108"/>
    </row>
    <row r="1790" spans="14:15" x14ac:dyDescent="0.35">
      <c r="N1790" s="108"/>
      <c r="O1790" s="108"/>
    </row>
    <row r="1791" spans="14:15" x14ac:dyDescent="0.35">
      <c r="N1791" s="108"/>
      <c r="O1791" s="108"/>
    </row>
    <row r="1792" spans="14:15" x14ac:dyDescent="0.35">
      <c r="N1792" s="108"/>
      <c r="O1792" s="108"/>
    </row>
    <row r="1793" spans="14:15" x14ac:dyDescent="0.35">
      <c r="N1793" s="108"/>
      <c r="O1793" s="108"/>
    </row>
    <row r="1794" spans="14:15" x14ac:dyDescent="0.35">
      <c r="N1794" s="108"/>
      <c r="O1794" s="108"/>
    </row>
    <row r="1795" spans="14:15" x14ac:dyDescent="0.35">
      <c r="N1795" s="108"/>
      <c r="O1795" s="108"/>
    </row>
    <row r="1796" spans="14:15" x14ac:dyDescent="0.35">
      <c r="N1796" s="108"/>
      <c r="O1796" s="108"/>
    </row>
    <row r="1797" spans="14:15" x14ac:dyDescent="0.35">
      <c r="N1797" s="108"/>
      <c r="O1797" s="108"/>
    </row>
    <row r="1798" spans="14:15" x14ac:dyDescent="0.35">
      <c r="N1798" s="108"/>
      <c r="O1798" s="108"/>
    </row>
    <row r="1799" spans="14:15" x14ac:dyDescent="0.35">
      <c r="N1799" s="108"/>
      <c r="O1799" s="108"/>
    </row>
    <row r="1800" spans="14:15" x14ac:dyDescent="0.35">
      <c r="N1800" s="108"/>
      <c r="O1800" s="108"/>
    </row>
    <row r="1801" spans="14:15" x14ac:dyDescent="0.35">
      <c r="N1801" s="108"/>
      <c r="O1801" s="108"/>
    </row>
    <row r="1802" spans="14:15" x14ac:dyDescent="0.35">
      <c r="N1802" s="108"/>
      <c r="O1802" s="108"/>
    </row>
    <row r="1803" spans="14:15" x14ac:dyDescent="0.35">
      <c r="N1803" s="108"/>
      <c r="O1803" s="108"/>
    </row>
    <row r="1804" spans="14:15" x14ac:dyDescent="0.35">
      <c r="N1804" s="108"/>
      <c r="O1804" s="108"/>
    </row>
    <row r="1805" spans="14:15" x14ac:dyDescent="0.35">
      <c r="N1805" s="108"/>
      <c r="O1805" s="108"/>
    </row>
    <row r="1806" spans="14:15" x14ac:dyDescent="0.35">
      <c r="N1806" s="108"/>
      <c r="O1806" s="108"/>
    </row>
    <row r="1807" spans="14:15" x14ac:dyDescent="0.35">
      <c r="N1807" s="108"/>
      <c r="O1807" s="108"/>
    </row>
    <row r="1808" spans="14:15" x14ac:dyDescent="0.35">
      <c r="N1808" s="108"/>
      <c r="O1808" s="108"/>
    </row>
    <row r="1809" spans="14:15" x14ac:dyDescent="0.35">
      <c r="N1809" s="108"/>
      <c r="O1809" s="108"/>
    </row>
    <row r="1810" spans="14:15" x14ac:dyDescent="0.35">
      <c r="N1810" s="108"/>
      <c r="O1810" s="108"/>
    </row>
    <row r="1811" spans="14:15" x14ac:dyDescent="0.35">
      <c r="N1811" s="108"/>
      <c r="O1811" s="108"/>
    </row>
    <row r="1812" spans="14:15" x14ac:dyDescent="0.35">
      <c r="N1812" s="108"/>
      <c r="O1812" s="108"/>
    </row>
    <row r="1813" spans="14:15" x14ac:dyDescent="0.35">
      <c r="N1813" s="108"/>
      <c r="O1813" s="108"/>
    </row>
    <row r="1814" spans="14:15" x14ac:dyDescent="0.35">
      <c r="N1814" s="108"/>
      <c r="O1814" s="108"/>
    </row>
    <row r="1815" spans="14:15" x14ac:dyDescent="0.35">
      <c r="N1815" s="108"/>
      <c r="O1815" s="108"/>
    </row>
    <row r="1816" spans="14:15" x14ac:dyDescent="0.35">
      <c r="N1816" s="108"/>
      <c r="O1816" s="108"/>
    </row>
    <row r="1817" spans="14:15" x14ac:dyDescent="0.35">
      <c r="N1817" s="108"/>
      <c r="O1817" s="108"/>
    </row>
    <row r="1818" spans="14:15" x14ac:dyDescent="0.35">
      <c r="N1818" s="108"/>
      <c r="O1818" s="108"/>
    </row>
    <row r="1819" spans="14:15" x14ac:dyDescent="0.35">
      <c r="N1819" s="108"/>
      <c r="O1819" s="108"/>
    </row>
    <row r="1820" spans="14:15" x14ac:dyDescent="0.35">
      <c r="N1820" s="108"/>
      <c r="O1820" s="108"/>
    </row>
    <row r="1821" spans="14:15" x14ac:dyDescent="0.35">
      <c r="N1821" s="108"/>
      <c r="O1821" s="108"/>
    </row>
    <row r="1822" spans="14:15" x14ac:dyDescent="0.35">
      <c r="N1822" s="108"/>
      <c r="O1822" s="108"/>
    </row>
    <row r="1823" spans="14:15" x14ac:dyDescent="0.35">
      <c r="N1823" s="108"/>
      <c r="O1823" s="108"/>
    </row>
    <row r="1824" spans="14:15" x14ac:dyDescent="0.35">
      <c r="N1824" s="108"/>
      <c r="O1824" s="108"/>
    </row>
    <row r="1825" spans="14:15" x14ac:dyDescent="0.35">
      <c r="N1825" s="108"/>
      <c r="O1825" s="108"/>
    </row>
    <row r="1826" spans="14:15" x14ac:dyDescent="0.35">
      <c r="N1826" s="108"/>
      <c r="O1826" s="108"/>
    </row>
    <row r="1827" spans="14:15" x14ac:dyDescent="0.35">
      <c r="N1827" s="108"/>
      <c r="O1827" s="108"/>
    </row>
    <row r="1828" spans="14:15" x14ac:dyDescent="0.35">
      <c r="N1828" s="108"/>
      <c r="O1828" s="108"/>
    </row>
    <row r="1829" spans="14:15" x14ac:dyDescent="0.35">
      <c r="N1829" s="108"/>
      <c r="O1829" s="108"/>
    </row>
    <row r="1830" spans="14:15" x14ac:dyDescent="0.35">
      <c r="N1830" s="108"/>
      <c r="O1830" s="108"/>
    </row>
    <row r="1831" spans="14:15" x14ac:dyDescent="0.35">
      <c r="N1831" s="108"/>
      <c r="O1831" s="108"/>
    </row>
    <row r="1832" spans="14:15" x14ac:dyDescent="0.35">
      <c r="N1832" s="108"/>
      <c r="O1832" s="108"/>
    </row>
    <row r="1833" spans="14:15" x14ac:dyDescent="0.35">
      <c r="N1833" s="108"/>
      <c r="O1833" s="108"/>
    </row>
    <row r="1834" spans="14:15" x14ac:dyDescent="0.35">
      <c r="N1834" s="108"/>
      <c r="O1834" s="108"/>
    </row>
    <row r="1835" spans="14:15" x14ac:dyDescent="0.35">
      <c r="N1835" s="108"/>
      <c r="O1835" s="108"/>
    </row>
    <row r="1836" spans="14:15" x14ac:dyDescent="0.35">
      <c r="N1836" s="108"/>
      <c r="O1836" s="108"/>
    </row>
    <row r="1837" spans="14:15" x14ac:dyDescent="0.35">
      <c r="N1837" s="108"/>
      <c r="O1837" s="108"/>
    </row>
    <row r="1838" spans="14:15" x14ac:dyDescent="0.35">
      <c r="N1838" s="108"/>
      <c r="O1838" s="108"/>
    </row>
    <row r="1839" spans="14:15" x14ac:dyDescent="0.35">
      <c r="N1839" s="108"/>
      <c r="O1839" s="108"/>
    </row>
    <row r="1840" spans="14:15" x14ac:dyDescent="0.35">
      <c r="N1840" s="108"/>
      <c r="O1840" s="108"/>
    </row>
    <row r="1841" spans="14:15" x14ac:dyDescent="0.35">
      <c r="N1841" s="108"/>
      <c r="O1841" s="108"/>
    </row>
    <row r="1842" spans="14:15" x14ac:dyDescent="0.35">
      <c r="N1842" s="108"/>
      <c r="O1842" s="108"/>
    </row>
    <row r="1843" spans="14:15" x14ac:dyDescent="0.35">
      <c r="N1843" s="108"/>
      <c r="O1843" s="108"/>
    </row>
    <row r="1844" spans="14:15" x14ac:dyDescent="0.35">
      <c r="N1844" s="108"/>
      <c r="O1844" s="108"/>
    </row>
    <row r="1845" spans="14:15" x14ac:dyDescent="0.35">
      <c r="N1845" s="108"/>
      <c r="O1845" s="108"/>
    </row>
    <row r="1846" spans="14:15" x14ac:dyDescent="0.35">
      <c r="N1846" s="108"/>
      <c r="O1846" s="108"/>
    </row>
    <row r="1847" spans="14:15" x14ac:dyDescent="0.35">
      <c r="N1847" s="108"/>
      <c r="O1847" s="108"/>
    </row>
    <row r="1848" spans="14:15" x14ac:dyDescent="0.35">
      <c r="N1848" s="108"/>
      <c r="O1848" s="108"/>
    </row>
    <row r="1849" spans="14:15" x14ac:dyDescent="0.35">
      <c r="N1849" s="108"/>
      <c r="O1849" s="108"/>
    </row>
    <row r="1850" spans="14:15" x14ac:dyDescent="0.35">
      <c r="N1850" s="108"/>
      <c r="O1850" s="108"/>
    </row>
    <row r="1851" spans="14:15" x14ac:dyDescent="0.35">
      <c r="N1851" s="108"/>
      <c r="O1851" s="108"/>
    </row>
    <row r="1852" spans="14:15" x14ac:dyDescent="0.35">
      <c r="N1852" s="108"/>
      <c r="O1852" s="108"/>
    </row>
    <row r="1853" spans="14:15" x14ac:dyDescent="0.35">
      <c r="N1853" s="108"/>
      <c r="O1853" s="108"/>
    </row>
    <row r="1854" spans="14:15" x14ac:dyDescent="0.35">
      <c r="N1854" s="108"/>
      <c r="O1854" s="108"/>
    </row>
    <row r="1855" spans="14:15" x14ac:dyDescent="0.35">
      <c r="N1855" s="108"/>
      <c r="O1855" s="108"/>
    </row>
    <row r="1856" spans="14:15" x14ac:dyDescent="0.35">
      <c r="N1856" s="108"/>
      <c r="O1856" s="108"/>
    </row>
    <row r="1857" spans="14:15" x14ac:dyDescent="0.35">
      <c r="N1857" s="108"/>
      <c r="O1857" s="108"/>
    </row>
    <row r="1858" spans="14:15" x14ac:dyDescent="0.35">
      <c r="N1858" s="108"/>
      <c r="O1858" s="108"/>
    </row>
    <row r="1859" spans="14:15" x14ac:dyDescent="0.35">
      <c r="N1859" s="108"/>
      <c r="O1859" s="108"/>
    </row>
    <row r="1860" spans="14:15" x14ac:dyDescent="0.35">
      <c r="N1860" s="108"/>
      <c r="O1860" s="108"/>
    </row>
    <row r="1861" spans="14:15" x14ac:dyDescent="0.35">
      <c r="N1861" s="108"/>
      <c r="O1861" s="108"/>
    </row>
    <row r="1862" spans="14:15" x14ac:dyDescent="0.35">
      <c r="N1862" s="108"/>
      <c r="O1862" s="108"/>
    </row>
    <row r="1863" spans="14:15" x14ac:dyDescent="0.35">
      <c r="N1863" s="108"/>
      <c r="O1863" s="108"/>
    </row>
    <row r="1864" spans="14:15" x14ac:dyDescent="0.35">
      <c r="N1864" s="108"/>
      <c r="O1864" s="108"/>
    </row>
    <row r="1865" spans="14:15" x14ac:dyDescent="0.35">
      <c r="N1865" s="108"/>
      <c r="O1865" s="108"/>
    </row>
    <row r="1866" spans="14:15" x14ac:dyDescent="0.35">
      <c r="N1866" s="108"/>
      <c r="O1866" s="108"/>
    </row>
    <row r="1867" spans="14:15" x14ac:dyDescent="0.35">
      <c r="N1867" s="108"/>
      <c r="O1867" s="108"/>
    </row>
    <row r="1868" spans="14:15" x14ac:dyDescent="0.35">
      <c r="N1868" s="108"/>
      <c r="O1868" s="108"/>
    </row>
    <row r="1869" spans="14:15" x14ac:dyDescent="0.35">
      <c r="N1869" s="108"/>
      <c r="O1869" s="108"/>
    </row>
    <row r="1870" spans="14:15" x14ac:dyDescent="0.35">
      <c r="N1870" s="108"/>
      <c r="O1870" s="108"/>
    </row>
    <row r="1871" spans="14:15" x14ac:dyDescent="0.35">
      <c r="N1871" s="108"/>
      <c r="O1871" s="108"/>
    </row>
    <row r="1872" spans="14:15" x14ac:dyDescent="0.35">
      <c r="N1872" s="108"/>
      <c r="O1872" s="108"/>
    </row>
    <row r="1873" spans="14:15" x14ac:dyDescent="0.35">
      <c r="N1873" s="108"/>
      <c r="O1873" s="108"/>
    </row>
    <row r="1874" spans="14:15" x14ac:dyDescent="0.35">
      <c r="N1874" s="108"/>
      <c r="O1874" s="108"/>
    </row>
    <row r="1875" spans="14:15" x14ac:dyDescent="0.35">
      <c r="N1875" s="108"/>
      <c r="O1875" s="108"/>
    </row>
    <row r="1876" spans="14:15" x14ac:dyDescent="0.35">
      <c r="N1876" s="108"/>
      <c r="O1876" s="108"/>
    </row>
    <row r="1877" spans="14:15" x14ac:dyDescent="0.35">
      <c r="N1877" s="108"/>
      <c r="O1877" s="108"/>
    </row>
    <row r="1878" spans="14:15" x14ac:dyDescent="0.35">
      <c r="N1878" s="108"/>
      <c r="O1878" s="108"/>
    </row>
    <row r="1879" spans="14:15" x14ac:dyDescent="0.35">
      <c r="N1879" s="108"/>
      <c r="O1879" s="108"/>
    </row>
    <row r="1880" spans="14:15" x14ac:dyDescent="0.35">
      <c r="N1880" s="108"/>
      <c r="O1880" s="108"/>
    </row>
    <row r="1881" spans="14:15" x14ac:dyDescent="0.35">
      <c r="N1881" s="108"/>
      <c r="O1881" s="108"/>
    </row>
    <row r="1882" spans="14:15" x14ac:dyDescent="0.35">
      <c r="N1882" s="108"/>
      <c r="O1882" s="108"/>
    </row>
    <row r="1883" spans="14:15" x14ac:dyDescent="0.35">
      <c r="N1883" s="108"/>
      <c r="O1883" s="108"/>
    </row>
    <row r="1884" spans="14:15" x14ac:dyDescent="0.35">
      <c r="N1884" s="108"/>
      <c r="O1884" s="108"/>
    </row>
    <row r="1885" spans="14:15" x14ac:dyDescent="0.35">
      <c r="N1885" s="108"/>
      <c r="O1885" s="108"/>
    </row>
    <row r="1886" spans="14:15" x14ac:dyDescent="0.35">
      <c r="N1886" s="108"/>
      <c r="O1886" s="108"/>
    </row>
    <row r="1887" spans="14:15" x14ac:dyDescent="0.35">
      <c r="N1887" s="108"/>
      <c r="O1887" s="108"/>
    </row>
    <row r="1888" spans="14:15" x14ac:dyDescent="0.35">
      <c r="N1888" s="108"/>
      <c r="O1888" s="108"/>
    </row>
    <row r="1889" spans="14:15" x14ac:dyDescent="0.35">
      <c r="N1889" s="108"/>
      <c r="O1889" s="108"/>
    </row>
    <row r="1890" spans="14:15" x14ac:dyDescent="0.35">
      <c r="N1890" s="108"/>
      <c r="O1890" s="108"/>
    </row>
    <row r="1891" spans="14:15" x14ac:dyDescent="0.35">
      <c r="N1891" s="108"/>
      <c r="O1891" s="108"/>
    </row>
    <row r="1892" spans="14:15" x14ac:dyDescent="0.35">
      <c r="N1892" s="108"/>
      <c r="O1892" s="108"/>
    </row>
    <row r="1893" spans="14:15" x14ac:dyDescent="0.35">
      <c r="N1893" s="108"/>
      <c r="O1893" s="108"/>
    </row>
    <row r="1894" spans="14:15" x14ac:dyDescent="0.35">
      <c r="N1894" s="108"/>
      <c r="O1894" s="108"/>
    </row>
    <row r="1895" spans="14:15" x14ac:dyDescent="0.35">
      <c r="N1895" s="108"/>
      <c r="O1895" s="108"/>
    </row>
    <row r="1896" spans="14:15" x14ac:dyDescent="0.35">
      <c r="N1896" s="108"/>
      <c r="O1896" s="108"/>
    </row>
    <row r="1897" spans="14:15" x14ac:dyDescent="0.35">
      <c r="N1897" s="108"/>
      <c r="O1897" s="108"/>
    </row>
    <row r="1898" spans="14:15" x14ac:dyDescent="0.35">
      <c r="N1898" s="108"/>
      <c r="O1898" s="108"/>
    </row>
    <row r="1899" spans="14:15" x14ac:dyDescent="0.35">
      <c r="N1899" s="108"/>
      <c r="O1899" s="108"/>
    </row>
    <row r="1900" spans="14:15" x14ac:dyDescent="0.35">
      <c r="N1900" s="108"/>
      <c r="O1900" s="108"/>
    </row>
    <row r="1901" spans="14:15" x14ac:dyDescent="0.35">
      <c r="N1901" s="108"/>
      <c r="O1901" s="108"/>
    </row>
    <row r="1902" spans="14:15" x14ac:dyDescent="0.35">
      <c r="N1902" s="108"/>
      <c r="O1902" s="108"/>
    </row>
    <row r="1903" spans="14:15" x14ac:dyDescent="0.35">
      <c r="N1903" s="108"/>
      <c r="O1903" s="108"/>
    </row>
    <row r="1904" spans="14:15" x14ac:dyDescent="0.35">
      <c r="N1904" s="108"/>
      <c r="O1904" s="108"/>
    </row>
    <row r="1905" spans="14:15" x14ac:dyDescent="0.35">
      <c r="N1905" s="108"/>
      <c r="O1905" s="108"/>
    </row>
    <row r="1906" spans="14:15" x14ac:dyDescent="0.35">
      <c r="N1906" s="108"/>
      <c r="O1906" s="108"/>
    </row>
    <row r="1907" spans="14:15" x14ac:dyDescent="0.35">
      <c r="N1907" s="108"/>
      <c r="O1907" s="108"/>
    </row>
    <row r="1908" spans="14:15" x14ac:dyDescent="0.35">
      <c r="N1908" s="108"/>
      <c r="O1908" s="108"/>
    </row>
    <row r="1909" spans="14:15" x14ac:dyDescent="0.35">
      <c r="N1909" s="108"/>
      <c r="O1909" s="108"/>
    </row>
    <row r="1910" spans="14:15" x14ac:dyDescent="0.35">
      <c r="N1910" s="108"/>
      <c r="O1910" s="108"/>
    </row>
    <row r="1911" spans="14:15" x14ac:dyDescent="0.35">
      <c r="N1911" s="108"/>
      <c r="O1911" s="108"/>
    </row>
    <row r="1912" spans="14:15" x14ac:dyDescent="0.35">
      <c r="N1912" s="108"/>
      <c r="O1912" s="108"/>
    </row>
    <row r="1913" spans="14:15" x14ac:dyDescent="0.35">
      <c r="N1913" s="108"/>
      <c r="O1913" s="108"/>
    </row>
    <row r="1914" spans="14:15" x14ac:dyDescent="0.35">
      <c r="N1914" s="108"/>
      <c r="O1914" s="108"/>
    </row>
    <row r="1915" spans="14:15" x14ac:dyDescent="0.35">
      <c r="N1915" s="108"/>
      <c r="O1915" s="108"/>
    </row>
    <row r="1916" spans="14:15" x14ac:dyDescent="0.35">
      <c r="N1916" s="108"/>
      <c r="O1916" s="108"/>
    </row>
    <row r="1917" spans="14:15" x14ac:dyDescent="0.35">
      <c r="N1917" s="108"/>
      <c r="O1917" s="108"/>
    </row>
    <row r="1918" spans="14:15" x14ac:dyDescent="0.35">
      <c r="N1918" s="108"/>
      <c r="O1918" s="108"/>
    </row>
    <row r="1919" spans="14:15" x14ac:dyDescent="0.35">
      <c r="N1919" s="108"/>
      <c r="O1919" s="108"/>
    </row>
    <row r="1920" spans="14:15" x14ac:dyDescent="0.35">
      <c r="N1920" s="108"/>
      <c r="O1920" s="108"/>
    </row>
    <row r="1921" spans="14:15" x14ac:dyDescent="0.35">
      <c r="N1921" s="108"/>
      <c r="O1921" s="108"/>
    </row>
    <row r="1922" spans="14:15" x14ac:dyDescent="0.35">
      <c r="N1922" s="108"/>
      <c r="O1922" s="108"/>
    </row>
    <row r="1923" spans="14:15" x14ac:dyDescent="0.35">
      <c r="N1923" s="108"/>
      <c r="O1923" s="108"/>
    </row>
    <row r="1924" spans="14:15" x14ac:dyDescent="0.35">
      <c r="N1924" s="108"/>
      <c r="O1924" s="108"/>
    </row>
    <row r="1925" spans="14:15" x14ac:dyDescent="0.35">
      <c r="N1925" s="108"/>
      <c r="O1925" s="108"/>
    </row>
    <row r="1926" spans="14:15" x14ac:dyDescent="0.35">
      <c r="N1926" s="108"/>
      <c r="O1926" s="108"/>
    </row>
    <row r="1927" spans="14:15" x14ac:dyDescent="0.35">
      <c r="N1927" s="108"/>
      <c r="O1927" s="108"/>
    </row>
    <row r="1928" spans="14:15" x14ac:dyDescent="0.35">
      <c r="N1928" s="108"/>
      <c r="O1928" s="108"/>
    </row>
    <row r="1929" spans="14:15" x14ac:dyDescent="0.35">
      <c r="N1929" s="108"/>
      <c r="O1929" s="108"/>
    </row>
    <row r="1930" spans="14:15" x14ac:dyDescent="0.35">
      <c r="N1930" s="108"/>
      <c r="O1930" s="108"/>
    </row>
    <row r="1931" spans="14:15" x14ac:dyDescent="0.35">
      <c r="N1931" s="108"/>
      <c r="O1931" s="108"/>
    </row>
    <row r="1932" spans="14:15" x14ac:dyDescent="0.35">
      <c r="N1932" s="108"/>
      <c r="O1932" s="108"/>
    </row>
    <row r="1933" spans="14:15" x14ac:dyDescent="0.35">
      <c r="N1933" s="108"/>
      <c r="O1933" s="108"/>
    </row>
    <row r="1934" spans="14:15" x14ac:dyDescent="0.35">
      <c r="N1934" s="108"/>
      <c r="O1934" s="108"/>
    </row>
    <row r="1935" spans="14:15" x14ac:dyDescent="0.35">
      <c r="N1935" s="108"/>
      <c r="O1935" s="108"/>
    </row>
    <row r="1936" spans="14:15" x14ac:dyDescent="0.35">
      <c r="N1936" s="108"/>
      <c r="O1936" s="108"/>
    </row>
    <row r="1937" spans="14:15" x14ac:dyDescent="0.35">
      <c r="N1937" s="108"/>
      <c r="O1937" s="108"/>
    </row>
    <row r="1938" spans="14:15" x14ac:dyDescent="0.35">
      <c r="N1938" s="108"/>
      <c r="O1938" s="108"/>
    </row>
    <row r="1939" spans="14:15" x14ac:dyDescent="0.35">
      <c r="N1939" s="108"/>
      <c r="O1939" s="108"/>
    </row>
    <row r="1940" spans="14:15" x14ac:dyDescent="0.35">
      <c r="N1940" s="108"/>
      <c r="O1940" s="108"/>
    </row>
    <row r="1941" spans="14:15" x14ac:dyDescent="0.35">
      <c r="N1941" s="108"/>
      <c r="O1941" s="108"/>
    </row>
    <row r="1942" spans="14:15" x14ac:dyDescent="0.35">
      <c r="N1942" s="108"/>
      <c r="O1942" s="108"/>
    </row>
    <row r="1943" spans="14:15" x14ac:dyDescent="0.35">
      <c r="N1943" s="108"/>
      <c r="O1943" s="108"/>
    </row>
    <row r="1944" spans="14:15" x14ac:dyDescent="0.35">
      <c r="N1944" s="108"/>
      <c r="O1944" s="108"/>
    </row>
    <row r="1945" spans="14:15" x14ac:dyDescent="0.35">
      <c r="N1945" s="108"/>
      <c r="O1945" s="108"/>
    </row>
    <row r="1946" spans="14:15" x14ac:dyDescent="0.35">
      <c r="N1946" s="108"/>
      <c r="O1946" s="108"/>
    </row>
    <row r="1947" spans="14:15" x14ac:dyDescent="0.35">
      <c r="N1947" s="108"/>
      <c r="O1947" s="108"/>
    </row>
    <row r="1948" spans="14:15" x14ac:dyDescent="0.35">
      <c r="N1948" s="108"/>
      <c r="O1948" s="108"/>
    </row>
    <row r="1949" spans="14:15" x14ac:dyDescent="0.35">
      <c r="N1949" s="108"/>
      <c r="O1949" s="108"/>
    </row>
    <row r="1950" spans="14:15" x14ac:dyDescent="0.35">
      <c r="N1950" s="108"/>
      <c r="O1950" s="108"/>
    </row>
    <row r="1951" spans="14:15" x14ac:dyDescent="0.35">
      <c r="N1951" s="108"/>
      <c r="O1951" s="108"/>
    </row>
    <row r="1952" spans="14:15" x14ac:dyDescent="0.35">
      <c r="N1952" s="108"/>
      <c r="O1952" s="108"/>
    </row>
    <row r="1953" spans="14:15" x14ac:dyDescent="0.35">
      <c r="N1953" s="108"/>
      <c r="O1953" s="108"/>
    </row>
    <row r="1954" spans="14:15" x14ac:dyDescent="0.35">
      <c r="N1954" s="108"/>
      <c r="O1954" s="108"/>
    </row>
    <row r="1955" spans="14:15" x14ac:dyDescent="0.35">
      <c r="N1955" s="108"/>
      <c r="O1955" s="108"/>
    </row>
    <row r="1956" spans="14:15" x14ac:dyDescent="0.35">
      <c r="N1956" s="108"/>
      <c r="O1956" s="108"/>
    </row>
    <row r="1957" spans="14:15" x14ac:dyDescent="0.35">
      <c r="N1957" s="108"/>
      <c r="O1957" s="108"/>
    </row>
    <row r="1958" spans="14:15" x14ac:dyDescent="0.35">
      <c r="N1958" s="108"/>
      <c r="O1958" s="108"/>
    </row>
    <row r="1959" spans="14:15" x14ac:dyDescent="0.35">
      <c r="N1959" s="108"/>
      <c r="O1959" s="108"/>
    </row>
    <row r="1960" spans="14:15" x14ac:dyDescent="0.35">
      <c r="N1960" s="108"/>
      <c r="O1960" s="108"/>
    </row>
    <row r="1961" spans="14:15" x14ac:dyDescent="0.35">
      <c r="N1961" s="108"/>
      <c r="O1961" s="108"/>
    </row>
    <row r="1962" spans="14:15" x14ac:dyDescent="0.35">
      <c r="N1962" s="108"/>
      <c r="O1962" s="108"/>
    </row>
    <row r="1963" spans="14:15" x14ac:dyDescent="0.35">
      <c r="N1963" s="108"/>
      <c r="O1963" s="108"/>
    </row>
    <row r="1964" spans="14:15" x14ac:dyDescent="0.35">
      <c r="N1964" s="108"/>
      <c r="O1964" s="108"/>
    </row>
    <row r="1965" spans="14:15" x14ac:dyDescent="0.35">
      <c r="N1965" s="108"/>
      <c r="O1965" s="108"/>
    </row>
    <row r="1966" spans="14:15" x14ac:dyDescent="0.35">
      <c r="N1966" s="108"/>
      <c r="O1966" s="108"/>
    </row>
    <row r="1967" spans="14:15" x14ac:dyDescent="0.35">
      <c r="N1967" s="108"/>
      <c r="O1967" s="108"/>
    </row>
    <row r="1968" spans="14:15" x14ac:dyDescent="0.35">
      <c r="N1968" s="108"/>
      <c r="O1968" s="108"/>
    </row>
    <row r="1969" spans="14:15" x14ac:dyDescent="0.35">
      <c r="N1969" s="108"/>
      <c r="O1969" s="108"/>
    </row>
    <row r="1970" spans="14:15" x14ac:dyDescent="0.35">
      <c r="N1970" s="108"/>
      <c r="O1970" s="108"/>
    </row>
    <row r="1971" spans="14:15" x14ac:dyDescent="0.35">
      <c r="N1971" s="108"/>
      <c r="O1971" s="108"/>
    </row>
    <row r="1972" spans="14:15" x14ac:dyDescent="0.35">
      <c r="N1972" s="108"/>
      <c r="O1972" s="108"/>
    </row>
    <row r="1973" spans="14:15" x14ac:dyDescent="0.35">
      <c r="N1973" s="108"/>
      <c r="O1973" s="108"/>
    </row>
    <row r="1974" spans="14:15" x14ac:dyDescent="0.35">
      <c r="N1974" s="108"/>
      <c r="O1974" s="108"/>
    </row>
    <row r="1975" spans="14:15" x14ac:dyDescent="0.35">
      <c r="N1975" s="108"/>
      <c r="O1975" s="108"/>
    </row>
    <row r="1976" spans="14:15" x14ac:dyDescent="0.35">
      <c r="N1976" s="108"/>
      <c r="O1976" s="108"/>
    </row>
    <row r="1977" spans="14:15" x14ac:dyDescent="0.35">
      <c r="N1977" s="108"/>
      <c r="O1977" s="108"/>
    </row>
    <row r="1978" spans="14:15" x14ac:dyDescent="0.35">
      <c r="N1978" s="108"/>
      <c r="O1978" s="108"/>
    </row>
    <row r="1979" spans="14:15" x14ac:dyDescent="0.35">
      <c r="N1979" s="108"/>
      <c r="O1979" s="108"/>
    </row>
    <row r="1980" spans="14:15" x14ac:dyDescent="0.35">
      <c r="N1980" s="108"/>
      <c r="O1980" s="108"/>
    </row>
    <row r="1981" spans="14:15" x14ac:dyDescent="0.35">
      <c r="N1981" s="108"/>
      <c r="O1981" s="108"/>
    </row>
    <row r="1982" spans="14:15" x14ac:dyDescent="0.35">
      <c r="N1982" s="108"/>
      <c r="O1982" s="108"/>
    </row>
    <row r="1983" spans="14:15" x14ac:dyDescent="0.35">
      <c r="N1983" s="108"/>
      <c r="O1983" s="108"/>
    </row>
    <row r="1984" spans="14:15" x14ac:dyDescent="0.35">
      <c r="N1984" s="108"/>
      <c r="O1984" s="108"/>
    </row>
    <row r="1985" spans="14:15" x14ac:dyDescent="0.35">
      <c r="N1985" s="108"/>
      <c r="O1985" s="108"/>
    </row>
    <row r="1986" spans="14:15" x14ac:dyDescent="0.35">
      <c r="N1986" s="108"/>
      <c r="O1986" s="108"/>
    </row>
    <row r="1987" spans="14:15" x14ac:dyDescent="0.35">
      <c r="N1987" s="108"/>
      <c r="O1987" s="108"/>
    </row>
    <row r="1988" spans="14:15" x14ac:dyDescent="0.35">
      <c r="N1988" s="108"/>
      <c r="O1988" s="108"/>
    </row>
    <row r="1989" spans="14:15" x14ac:dyDescent="0.35">
      <c r="N1989" s="108"/>
      <c r="O1989" s="108"/>
    </row>
    <row r="1990" spans="14:15" x14ac:dyDescent="0.35">
      <c r="N1990" s="108"/>
      <c r="O1990" s="108"/>
    </row>
    <row r="1991" spans="14:15" x14ac:dyDescent="0.35">
      <c r="N1991" s="108"/>
      <c r="O1991" s="108"/>
    </row>
    <row r="1992" spans="14:15" x14ac:dyDescent="0.35">
      <c r="N1992" s="108"/>
      <c r="O1992" s="108"/>
    </row>
    <row r="1993" spans="14:15" x14ac:dyDescent="0.35">
      <c r="N1993" s="108"/>
      <c r="O1993" s="108"/>
    </row>
    <row r="1994" spans="14:15" x14ac:dyDescent="0.35">
      <c r="N1994" s="108"/>
      <c r="O1994" s="108"/>
    </row>
    <row r="1995" spans="14:15" x14ac:dyDescent="0.35">
      <c r="N1995" s="108"/>
      <c r="O1995" s="108"/>
    </row>
    <row r="1996" spans="14:15" x14ac:dyDescent="0.35">
      <c r="N1996" s="108"/>
      <c r="O1996" s="108"/>
    </row>
    <row r="1997" spans="14:15" x14ac:dyDescent="0.35">
      <c r="N1997" s="108"/>
      <c r="O1997" s="108"/>
    </row>
    <row r="1998" spans="14:15" x14ac:dyDescent="0.35">
      <c r="N1998" s="108"/>
      <c r="O1998" s="108"/>
    </row>
    <row r="1999" spans="14:15" x14ac:dyDescent="0.35">
      <c r="N1999" s="108"/>
      <c r="O1999" s="108"/>
    </row>
    <row r="2000" spans="14:15" x14ac:dyDescent="0.35">
      <c r="N2000" s="108"/>
      <c r="O2000" s="108"/>
    </row>
    <row r="2001" spans="14:15" x14ac:dyDescent="0.35">
      <c r="N2001" s="108"/>
      <c r="O2001" s="108"/>
    </row>
    <row r="2002" spans="14:15" x14ac:dyDescent="0.35">
      <c r="N2002" s="108"/>
      <c r="O2002" s="108"/>
    </row>
    <row r="2003" spans="14:15" x14ac:dyDescent="0.35">
      <c r="N2003" s="108"/>
      <c r="O2003" s="108"/>
    </row>
    <row r="2004" spans="14:15" x14ac:dyDescent="0.35">
      <c r="N2004" s="108"/>
      <c r="O2004" s="108"/>
    </row>
    <row r="2005" spans="14:15" x14ac:dyDescent="0.35">
      <c r="N2005" s="108"/>
      <c r="O2005" s="108"/>
    </row>
    <row r="2006" spans="14:15" x14ac:dyDescent="0.35">
      <c r="N2006" s="108"/>
      <c r="O2006" s="108"/>
    </row>
    <row r="2007" spans="14:15" x14ac:dyDescent="0.35">
      <c r="N2007" s="108"/>
      <c r="O2007" s="108"/>
    </row>
    <row r="2008" spans="14:15" x14ac:dyDescent="0.35">
      <c r="N2008" s="108"/>
      <c r="O2008" s="108"/>
    </row>
    <row r="2009" spans="14:15" x14ac:dyDescent="0.35">
      <c r="N2009" s="108"/>
      <c r="O2009" s="108"/>
    </row>
    <row r="2010" spans="14:15" x14ac:dyDescent="0.35">
      <c r="N2010" s="108"/>
      <c r="O2010" s="108"/>
    </row>
    <row r="2011" spans="14:15" x14ac:dyDescent="0.35">
      <c r="N2011" s="108"/>
      <c r="O2011" s="108"/>
    </row>
    <row r="2012" spans="14:15" x14ac:dyDescent="0.35">
      <c r="N2012" s="108"/>
      <c r="O2012" s="108"/>
    </row>
    <row r="2013" spans="14:15" x14ac:dyDescent="0.35">
      <c r="N2013" s="108"/>
      <c r="O2013" s="108"/>
    </row>
    <row r="2014" spans="14:15" x14ac:dyDescent="0.35">
      <c r="N2014" s="108"/>
      <c r="O2014" s="108"/>
    </row>
    <row r="2015" spans="14:15" x14ac:dyDescent="0.35">
      <c r="N2015" s="108"/>
      <c r="O2015" s="108"/>
    </row>
    <row r="2016" spans="14:15" x14ac:dyDescent="0.35">
      <c r="N2016" s="108"/>
      <c r="O2016" s="108"/>
    </row>
    <row r="2017" spans="14:15" x14ac:dyDescent="0.35">
      <c r="N2017" s="108"/>
      <c r="O2017" s="108"/>
    </row>
    <row r="2018" spans="14:15" x14ac:dyDescent="0.35">
      <c r="N2018" s="108"/>
      <c r="O2018" s="108"/>
    </row>
    <row r="2019" spans="14:15" x14ac:dyDescent="0.35">
      <c r="N2019" s="108"/>
      <c r="O2019" s="108"/>
    </row>
    <row r="2020" spans="14:15" x14ac:dyDescent="0.35">
      <c r="N2020" s="108"/>
      <c r="O2020" s="108"/>
    </row>
    <row r="2021" spans="14:15" x14ac:dyDescent="0.35">
      <c r="N2021" s="108"/>
      <c r="O2021" s="108"/>
    </row>
    <row r="2022" spans="14:15" x14ac:dyDescent="0.35">
      <c r="N2022" s="108"/>
      <c r="O2022" s="108"/>
    </row>
    <row r="2023" spans="14:15" x14ac:dyDescent="0.35">
      <c r="N2023" s="108"/>
      <c r="O2023" s="108"/>
    </row>
    <row r="2024" spans="14:15" x14ac:dyDescent="0.35">
      <c r="N2024" s="108"/>
      <c r="O2024" s="108"/>
    </row>
    <row r="2025" spans="14:15" x14ac:dyDescent="0.35">
      <c r="N2025" s="108"/>
      <c r="O2025" s="108"/>
    </row>
    <row r="2026" spans="14:15" x14ac:dyDescent="0.35">
      <c r="N2026" s="108"/>
      <c r="O2026" s="108"/>
    </row>
    <row r="2027" spans="14:15" x14ac:dyDescent="0.35">
      <c r="N2027" s="108"/>
      <c r="O2027" s="108"/>
    </row>
    <row r="2028" spans="14:15" x14ac:dyDescent="0.35">
      <c r="N2028" s="108"/>
      <c r="O2028" s="108"/>
    </row>
    <row r="2029" spans="14:15" x14ac:dyDescent="0.35">
      <c r="N2029" s="108"/>
      <c r="O2029" s="108"/>
    </row>
    <row r="2030" spans="14:15" x14ac:dyDescent="0.35">
      <c r="N2030" s="108"/>
      <c r="O2030" s="108"/>
    </row>
    <row r="2031" spans="14:15" x14ac:dyDescent="0.35">
      <c r="N2031" s="108"/>
      <c r="O2031" s="108"/>
    </row>
    <row r="2032" spans="14:15" x14ac:dyDescent="0.35">
      <c r="N2032" s="108"/>
      <c r="O2032" s="108"/>
    </row>
    <row r="2033" spans="14:15" x14ac:dyDescent="0.35">
      <c r="N2033" s="108"/>
      <c r="O2033" s="108"/>
    </row>
    <row r="2034" spans="14:15" x14ac:dyDescent="0.35">
      <c r="N2034" s="108"/>
      <c r="O2034" s="108"/>
    </row>
    <row r="2035" spans="14:15" x14ac:dyDescent="0.35">
      <c r="N2035" s="108"/>
      <c r="O2035" s="108"/>
    </row>
    <row r="2036" spans="14:15" x14ac:dyDescent="0.35">
      <c r="N2036" s="108"/>
      <c r="O2036" s="108"/>
    </row>
    <row r="2037" spans="14:15" x14ac:dyDescent="0.35">
      <c r="N2037" s="108"/>
      <c r="O2037" s="108"/>
    </row>
    <row r="2038" spans="14:15" x14ac:dyDescent="0.35">
      <c r="N2038" s="108"/>
      <c r="O2038" s="108"/>
    </row>
    <row r="2039" spans="14:15" x14ac:dyDescent="0.35">
      <c r="N2039" s="108"/>
      <c r="O2039" s="108"/>
    </row>
    <row r="2040" spans="14:15" x14ac:dyDescent="0.35">
      <c r="N2040" s="108"/>
      <c r="O2040" s="108"/>
    </row>
    <row r="2041" spans="14:15" x14ac:dyDescent="0.35">
      <c r="N2041" s="108"/>
      <c r="O2041" s="108"/>
    </row>
    <row r="2042" spans="14:15" x14ac:dyDescent="0.35">
      <c r="N2042" s="108"/>
      <c r="O2042" s="108"/>
    </row>
    <row r="2043" spans="14:15" x14ac:dyDescent="0.35">
      <c r="N2043" s="108"/>
      <c r="O2043" s="108"/>
    </row>
    <row r="2044" spans="14:15" x14ac:dyDescent="0.35">
      <c r="N2044" s="108"/>
      <c r="O2044" s="108"/>
    </row>
    <row r="2045" spans="14:15" x14ac:dyDescent="0.35">
      <c r="N2045" s="108"/>
      <c r="O2045" s="108"/>
    </row>
    <row r="2046" spans="14:15" x14ac:dyDescent="0.35">
      <c r="N2046" s="108"/>
      <c r="O2046" s="108"/>
    </row>
    <row r="2047" spans="14:15" x14ac:dyDescent="0.35">
      <c r="N2047" s="108"/>
      <c r="O2047" s="108"/>
    </row>
    <row r="2048" spans="14:15" x14ac:dyDescent="0.35">
      <c r="N2048" s="108"/>
      <c r="O2048" s="108"/>
    </row>
    <row r="2049" spans="14:15" x14ac:dyDescent="0.35">
      <c r="N2049" s="108"/>
      <c r="O2049" s="108"/>
    </row>
    <row r="2050" spans="14:15" x14ac:dyDescent="0.35">
      <c r="N2050" s="108"/>
      <c r="O2050" s="108"/>
    </row>
    <row r="2051" spans="14:15" x14ac:dyDescent="0.35">
      <c r="N2051" s="108"/>
      <c r="O2051" s="108"/>
    </row>
    <row r="2052" spans="14:15" x14ac:dyDescent="0.35">
      <c r="N2052" s="108"/>
      <c r="O2052" s="108"/>
    </row>
    <row r="2053" spans="14:15" x14ac:dyDescent="0.35">
      <c r="N2053" s="108"/>
      <c r="O2053" s="108"/>
    </row>
    <row r="2054" spans="14:15" x14ac:dyDescent="0.35">
      <c r="N2054" s="108"/>
      <c r="O2054" s="108"/>
    </row>
    <row r="2055" spans="14:15" x14ac:dyDescent="0.35">
      <c r="N2055" s="108"/>
      <c r="O2055" s="108"/>
    </row>
    <row r="2056" spans="14:15" x14ac:dyDescent="0.35">
      <c r="N2056" s="108"/>
      <c r="O2056" s="108"/>
    </row>
    <row r="2057" spans="14:15" x14ac:dyDescent="0.35">
      <c r="N2057" s="108"/>
      <c r="O2057" s="108"/>
    </row>
    <row r="2058" spans="14:15" x14ac:dyDescent="0.35">
      <c r="N2058" s="108"/>
      <c r="O2058" s="108"/>
    </row>
    <row r="2059" spans="14:15" x14ac:dyDescent="0.35">
      <c r="N2059" s="108"/>
      <c r="O2059" s="108"/>
    </row>
    <row r="2060" spans="14:15" x14ac:dyDescent="0.35">
      <c r="N2060" s="108"/>
      <c r="O2060" s="108"/>
    </row>
    <row r="2061" spans="14:15" x14ac:dyDescent="0.35">
      <c r="N2061" s="108"/>
      <c r="O2061" s="108"/>
    </row>
    <row r="2062" spans="14:15" x14ac:dyDescent="0.35">
      <c r="N2062" s="108"/>
      <c r="O2062" s="108"/>
    </row>
    <row r="2063" spans="14:15" x14ac:dyDescent="0.35">
      <c r="N2063" s="108"/>
      <c r="O2063" s="108"/>
    </row>
    <row r="2064" spans="14:15" x14ac:dyDescent="0.35">
      <c r="N2064" s="108"/>
      <c r="O2064" s="108"/>
    </row>
    <row r="2065" spans="14:15" x14ac:dyDescent="0.35">
      <c r="N2065" s="108"/>
      <c r="O2065" s="108"/>
    </row>
    <row r="2066" spans="14:15" x14ac:dyDescent="0.35">
      <c r="N2066" s="108"/>
      <c r="O2066" s="108"/>
    </row>
    <row r="2067" spans="14:15" x14ac:dyDescent="0.35">
      <c r="N2067" s="108"/>
      <c r="O2067" s="108"/>
    </row>
    <row r="2068" spans="14:15" x14ac:dyDescent="0.35">
      <c r="N2068" s="108"/>
      <c r="O2068" s="108"/>
    </row>
    <row r="2069" spans="14:15" x14ac:dyDescent="0.35">
      <c r="N2069" s="108"/>
      <c r="O2069" s="108"/>
    </row>
    <row r="2070" spans="14:15" x14ac:dyDescent="0.35">
      <c r="N2070" s="108"/>
      <c r="O2070" s="108"/>
    </row>
    <row r="2071" spans="14:15" x14ac:dyDescent="0.35">
      <c r="N2071" s="108"/>
      <c r="O2071" s="108"/>
    </row>
    <row r="2072" spans="14:15" x14ac:dyDescent="0.35">
      <c r="N2072" s="108"/>
      <c r="O2072" s="108"/>
    </row>
    <row r="2073" spans="14:15" x14ac:dyDescent="0.35">
      <c r="N2073" s="108"/>
      <c r="O2073" s="108"/>
    </row>
    <row r="2074" spans="14:15" x14ac:dyDescent="0.35">
      <c r="N2074" s="108"/>
      <c r="O2074" s="108"/>
    </row>
    <row r="2075" spans="14:15" x14ac:dyDescent="0.35">
      <c r="N2075" s="108"/>
      <c r="O2075" s="108"/>
    </row>
    <row r="2076" spans="14:15" x14ac:dyDescent="0.35">
      <c r="N2076" s="108"/>
      <c r="O2076" s="108"/>
    </row>
    <row r="2077" spans="14:15" x14ac:dyDescent="0.35">
      <c r="N2077" s="108"/>
      <c r="O2077" s="108"/>
    </row>
    <row r="2078" spans="14:15" x14ac:dyDescent="0.35">
      <c r="N2078" s="108"/>
      <c r="O2078" s="108"/>
    </row>
    <row r="2079" spans="14:15" x14ac:dyDescent="0.35">
      <c r="N2079" s="108"/>
      <c r="O2079" s="108"/>
    </row>
    <row r="2080" spans="14:15" x14ac:dyDescent="0.35">
      <c r="N2080" s="108"/>
      <c r="O2080" s="108"/>
    </row>
    <row r="2081" spans="14:15" x14ac:dyDescent="0.35">
      <c r="N2081" s="108"/>
      <c r="O2081" s="108"/>
    </row>
    <row r="2082" spans="14:15" x14ac:dyDescent="0.35">
      <c r="N2082" s="108"/>
      <c r="O2082" s="108"/>
    </row>
    <row r="2083" spans="14:15" x14ac:dyDescent="0.35">
      <c r="N2083" s="108"/>
      <c r="O2083" s="108"/>
    </row>
    <row r="2084" spans="14:15" x14ac:dyDescent="0.35">
      <c r="N2084" s="108"/>
      <c r="O2084" s="108"/>
    </row>
    <row r="2085" spans="14:15" x14ac:dyDescent="0.35">
      <c r="N2085" s="108"/>
      <c r="O2085" s="108"/>
    </row>
    <row r="2086" spans="14:15" x14ac:dyDescent="0.35">
      <c r="N2086" s="108"/>
      <c r="O2086" s="108"/>
    </row>
    <row r="2087" spans="14:15" x14ac:dyDescent="0.35">
      <c r="N2087" s="108"/>
      <c r="O2087" s="108"/>
    </row>
    <row r="2088" spans="14:15" x14ac:dyDescent="0.35">
      <c r="N2088" s="108"/>
      <c r="O2088" s="108"/>
    </row>
    <row r="2089" spans="14:15" x14ac:dyDescent="0.35">
      <c r="N2089" s="108"/>
      <c r="O2089" s="108"/>
    </row>
    <row r="2090" spans="14:15" x14ac:dyDescent="0.35">
      <c r="N2090" s="108"/>
      <c r="O2090" s="108"/>
    </row>
    <row r="2091" spans="14:15" x14ac:dyDescent="0.35">
      <c r="N2091" s="108"/>
      <c r="O2091" s="108"/>
    </row>
    <row r="2092" spans="14:15" x14ac:dyDescent="0.35">
      <c r="N2092" s="108"/>
      <c r="O2092" s="108"/>
    </row>
    <row r="2093" spans="14:15" x14ac:dyDescent="0.35">
      <c r="N2093" s="108"/>
      <c r="O2093" s="108"/>
    </row>
    <row r="2094" spans="14:15" x14ac:dyDescent="0.35">
      <c r="N2094" s="108"/>
      <c r="O2094" s="108"/>
    </row>
    <row r="2095" spans="14:15" x14ac:dyDescent="0.35">
      <c r="N2095" s="108"/>
      <c r="O2095" s="108"/>
    </row>
    <row r="2096" spans="14:15" x14ac:dyDescent="0.35">
      <c r="N2096" s="108"/>
      <c r="O2096" s="108"/>
    </row>
    <row r="2097" spans="14:15" x14ac:dyDescent="0.35">
      <c r="N2097" s="108"/>
      <c r="O2097" s="108"/>
    </row>
    <row r="2098" spans="14:15" x14ac:dyDescent="0.35">
      <c r="N2098" s="108"/>
      <c r="O2098" s="108"/>
    </row>
    <row r="2099" spans="14:15" x14ac:dyDescent="0.35">
      <c r="N2099" s="108"/>
      <c r="O2099" s="108"/>
    </row>
    <row r="2100" spans="14:15" x14ac:dyDescent="0.35">
      <c r="N2100" s="108"/>
      <c r="O2100" s="108"/>
    </row>
    <row r="2101" spans="14:15" x14ac:dyDescent="0.35">
      <c r="N2101" s="108"/>
      <c r="O2101" s="108"/>
    </row>
    <row r="2102" spans="14:15" x14ac:dyDescent="0.35">
      <c r="N2102" s="108"/>
      <c r="O2102" s="108"/>
    </row>
    <row r="2103" spans="14:15" x14ac:dyDescent="0.35">
      <c r="N2103" s="108"/>
      <c r="O2103" s="108"/>
    </row>
    <row r="2104" spans="14:15" x14ac:dyDescent="0.35">
      <c r="N2104" s="108"/>
      <c r="O2104" s="108"/>
    </row>
    <row r="2105" spans="14:15" x14ac:dyDescent="0.35">
      <c r="N2105" s="108"/>
      <c r="O2105" s="108"/>
    </row>
    <row r="2106" spans="14:15" x14ac:dyDescent="0.35">
      <c r="N2106" s="108"/>
      <c r="O2106" s="108"/>
    </row>
    <row r="2107" spans="14:15" x14ac:dyDescent="0.35">
      <c r="N2107" s="108"/>
      <c r="O2107" s="108"/>
    </row>
    <row r="2108" spans="14:15" x14ac:dyDescent="0.35">
      <c r="N2108" s="108"/>
      <c r="O2108" s="108"/>
    </row>
    <row r="2109" spans="14:15" x14ac:dyDescent="0.35">
      <c r="N2109" s="108"/>
      <c r="O2109" s="108"/>
    </row>
    <row r="2110" spans="14:15" x14ac:dyDescent="0.35">
      <c r="N2110" s="108"/>
      <c r="O2110" s="108"/>
    </row>
    <row r="2111" spans="14:15" x14ac:dyDescent="0.35">
      <c r="N2111" s="108"/>
      <c r="O2111" s="108"/>
    </row>
    <row r="2112" spans="14:15" x14ac:dyDescent="0.35">
      <c r="N2112" s="108"/>
      <c r="O2112" s="108"/>
    </row>
    <row r="2113" spans="14:15" x14ac:dyDescent="0.35">
      <c r="N2113" s="108"/>
      <c r="O2113" s="108"/>
    </row>
    <row r="2114" spans="14:15" x14ac:dyDescent="0.35">
      <c r="N2114" s="108"/>
      <c r="O2114" s="108"/>
    </row>
    <row r="2115" spans="14:15" x14ac:dyDescent="0.35">
      <c r="N2115" s="108"/>
      <c r="O2115" s="108"/>
    </row>
    <row r="2116" spans="14:15" x14ac:dyDescent="0.35">
      <c r="N2116" s="108"/>
      <c r="O2116" s="108"/>
    </row>
    <row r="2117" spans="14:15" x14ac:dyDescent="0.35">
      <c r="N2117" s="108"/>
      <c r="O2117" s="108"/>
    </row>
    <row r="2118" spans="14:15" x14ac:dyDescent="0.35">
      <c r="N2118" s="108"/>
      <c r="O2118" s="108"/>
    </row>
    <row r="2119" spans="14:15" x14ac:dyDescent="0.35">
      <c r="N2119" s="108"/>
      <c r="O2119" s="108"/>
    </row>
    <row r="2120" spans="14:15" x14ac:dyDescent="0.35">
      <c r="N2120" s="108"/>
      <c r="O2120" s="108"/>
    </row>
    <row r="2121" spans="14:15" x14ac:dyDescent="0.35">
      <c r="N2121" s="108"/>
      <c r="O2121" s="108"/>
    </row>
    <row r="2122" spans="14:15" x14ac:dyDescent="0.35">
      <c r="N2122" s="108"/>
      <c r="O2122" s="108"/>
    </row>
    <row r="2123" spans="14:15" x14ac:dyDescent="0.35">
      <c r="N2123" s="108"/>
      <c r="O2123" s="108"/>
    </row>
    <row r="2124" spans="14:15" x14ac:dyDescent="0.35">
      <c r="N2124" s="108"/>
      <c r="O2124" s="108"/>
    </row>
    <row r="2125" spans="14:15" x14ac:dyDescent="0.35">
      <c r="N2125" s="108"/>
      <c r="O2125" s="108"/>
    </row>
    <row r="2126" spans="14:15" x14ac:dyDescent="0.35">
      <c r="N2126" s="108"/>
      <c r="O2126" s="108"/>
    </row>
    <row r="2127" spans="14:15" x14ac:dyDescent="0.35">
      <c r="N2127" s="108"/>
      <c r="O2127" s="108"/>
    </row>
    <row r="2128" spans="14:15" x14ac:dyDescent="0.35">
      <c r="N2128" s="108"/>
      <c r="O2128" s="108"/>
    </row>
    <row r="2129" spans="14:15" x14ac:dyDescent="0.35">
      <c r="N2129" s="108"/>
      <c r="O2129" s="108"/>
    </row>
    <row r="2130" spans="14:15" x14ac:dyDescent="0.35">
      <c r="N2130" s="108"/>
      <c r="O2130" s="108"/>
    </row>
    <row r="2131" spans="14:15" x14ac:dyDescent="0.35">
      <c r="N2131" s="108"/>
      <c r="O2131" s="108"/>
    </row>
    <row r="2132" spans="14:15" x14ac:dyDescent="0.35">
      <c r="N2132" s="108"/>
      <c r="O2132" s="108"/>
    </row>
    <row r="2133" spans="14:15" x14ac:dyDescent="0.35">
      <c r="N2133" s="108"/>
      <c r="O2133" s="108"/>
    </row>
    <row r="2134" spans="14:15" x14ac:dyDescent="0.35">
      <c r="N2134" s="108"/>
      <c r="O2134" s="108"/>
    </row>
    <row r="2135" spans="14:15" x14ac:dyDescent="0.35">
      <c r="N2135" s="108"/>
      <c r="O2135" s="108"/>
    </row>
    <row r="2136" spans="14:15" x14ac:dyDescent="0.35">
      <c r="N2136" s="108"/>
      <c r="O2136" s="108"/>
    </row>
    <row r="2137" spans="14:15" x14ac:dyDescent="0.35">
      <c r="N2137" s="108"/>
      <c r="O2137" s="108"/>
    </row>
    <row r="2138" spans="14:15" x14ac:dyDescent="0.35">
      <c r="N2138" s="108"/>
      <c r="O2138" s="108"/>
    </row>
    <row r="2139" spans="14:15" x14ac:dyDescent="0.35">
      <c r="N2139" s="108"/>
      <c r="O2139" s="108"/>
    </row>
    <row r="2140" spans="14:15" x14ac:dyDescent="0.35">
      <c r="N2140" s="108"/>
      <c r="O2140" s="108"/>
    </row>
    <row r="2141" spans="14:15" x14ac:dyDescent="0.35">
      <c r="N2141" s="108"/>
      <c r="O2141" s="108"/>
    </row>
    <row r="2142" spans="14:15" x14ac:dyDescent="0.35">
      <c r="N2142" s="108"/>
      <c r="O2142" s="108"/>
    </row>
    <row r="2143" spans="14:15" x14ac:dyDescent="0.35">
      <c r="N2143" s="108"/>
      <c r="O2143" s="108"/>
    </row>
    <row r="2144" spans="14:15" x14ac:dyDescent="0.35">
      <c r="N2144" s="108"/>
      <c r="O2144" s="108"/>
    </row>
    <row r="2145" spans="14:15" x14ac:dyDescent="0.35">
      <c r="N2145" s="108"/>
      <c r="O2145" s="108"/>
    </row>
    <row r="2146" spans="14:15" x14ac:dyDescent="0.35">
      <c r="N2146" s="108"/>
      <c r="O2146" s="108"/>
    </row>
    <row r="2147" spans="14:15" x14ac:dyDescent="0.35">
      <c r="N2147" s="108"/>
      <c r="O2147" s="108"/>
    </row>
    <row r="2148" spans="14:15" x14ac:dyDescent="0.35">
      <c r="N2148" s="108"/>
      <c r="O2148" s="108"/>
    </row>
    <row r="2149" spans="14:15" x14ac:dyDescent="0.35">
      <c r="N2149" s="108"/>
      <c r="O2149" s="108"/>
    </row>
    <row r="2150" spans="14:15" x14ac:dyDescent="0.35">
      <c r="N2150" s="108"/>
      <c r="O2150" s="108"/>
    </row>
    <row r="2151" spans="14:15" x14ac:dyDescent="0.35">
      <c r="N2151" s="108"/>
      <c r="O2151" s="108"/>
    </row>
    <row r="2152" spans="14:15" x14ac:dyDescent="0.35">
      <c r="N2152" s="108"/>
      <c r="O2152" s="108"/>
    </row>
    <row r="2153" spans="14:15" x14ac:dyDescent="0.35">
      <c r="N2153" s="108"/>
      <c r="O2153" s="108"/>
    </row>
    <row r="2154" spans="14:15" x14ac:dyDescent="0.35">
      <c r="N2154" s="108"/>
      <c r="O2154" s="108"/>
    </row>
    <row r="2155" spans="14:15" x14ac:dyDescent="0.35">
      <c r="N2155" s="108"/>
      <c r="O2155" s="108"/>
    </row>
    <row r="2156" spans="14:15" x14ac:dyDescent="0.35">
      <c r="N2156" s="108"/>
      <c r="O2156" s="108"/>
    </row>
    <row r="2157" spans="14:15" x14ac:dyDescent="0.35">
      <c r="N2157" s="108"/>
      <c r="O2157" s="108"/>
    </row>
    <row r="2158" spans="14:15" x14ac:dyDescent="0.35">
      <c r="N2158" s="108"/>
      <c r="O2158" s="108"/>
    </row>
    <row r="2159" spans="14:15" x14ac:dyDescent="0.35">
      <c r="N2159" s="108"/>
      <c r="O2159" s="108"/>
    </row>
    <row r="2160" spans="14:15" x14ac:dyDescent="0.35">
      <c r="N2160" s="108"/>
      <c r="O2160" s="108"/>
    </row>
    <row r="2161" spans="14:15" x14ac:dyDescent="0.35">
      <c r="N2161" s="108"/>
      <c r="O2161" s="108"/>
    </row>
    <row r="2162" spans="14:15" x14ac:dyDescent="0.35">
      <c r="N2162" s="108"/>
      <c r="O2162" s="108"/>
    </row>
    <row r="2163" spans="14:15" x14ac:dyDescent="0.35">
      <c r="N2163" s="108"/>
      <c r="O2163" s="108"/>
    </row>
    <row r="2164" spans="14:15" x14ac:dyDescent="0.35">
      <c r="N2164" s="108"/>
      <c r="O2164" s="108"/>
    </row>
    <row r="2165" spans="14:15" x14ac:dyDescent="0.35">
      <c r="N2165" s="108"/>
      <c r="O2165" s="108"/>
    </row>
    <row r="2166" spans="14:15" x14ac:dyDescent="0.35">
      <c r="N2166" s="108"/>
      <c r="O2166" s="108"/>
    </row>
    <row r="2167" spans="14:15" x14ac:dyDescent="0.35">
      <c r="N2167" s="108"/>
      <c r="O2167" s="108"/>
    </row>
    <row r="2168" spans="14:15" x14ac:dyDescent="0.35">
      <c r="N2168" s="108"/>
      <c r="O2168" s="108"/>
    </row>
    <row r="2169" spans="14:15" x14ac:dyDescent="0.35">
      <c r="N2169" s="108"/>
      <c r="O2169" s="108"/>
    </row>
    <row r="2170" spans="14:15" x14ac:dyDescent="0.35">
      <c r="N2170" s="108"/>
      <c r="O2170" s="108"/>
    </row>
    <row r="2171" spans="14:15" x14ac:dyDescent="0.35">
      <c r="N2171" s="108"/>
      <c r="O2171" s="108"/>
    </row>
    <row r="2172" spans="14:15" x14ac:dyDescent="0.35">
      <c r="N2172" s="108"/>
      <c r="O2172" s="108"/>
    </row>
    <row r="2173" spans="14:15" x14ac:dyDescent="0.35">
      <c r="N2173" s="108"/>
      <c r="O2173" s="108"/>
    </row>
    <row r="2174" spans="14:15" x14ac:dyDescent="0.35">
      <c r="N2174" s="108"/>
      <c r="O2174" s="108"/>
    </row>
    <row r="2175" spans="14:15" x14ac:dyDescent="0.35">
      <c r="N2175" s="108"/>
      <c r="O2175" s="108"/>
    </row>
    <row r="2176" spans="14:15" x14ac:dyDescent="0.35">
      <c r="N2176" s="108"/>
      <c r="O2176" s="108"/>
    </row>
    <row r="2177" spans="14:15" x14ac:dyDescent="0.35">
      <c r="N2177" s="108"/>
      <c r="O2177" s="108"/>
    </row>
    <row r="2178" spans="14:15" x14ac:dyDescent="0.35">
      <c r="N2178" s="108"/>
      <c r="O2178" s="108"/>
    </row>
    <row r="2179" spans="14:15" x14ac:dyDescent="0.35">
      <c r="N2179" s="108"/>
      <c r="O2179" s="108"/>
    </row>
    <row r="2180" spans="14:15" x14ac:dyDescent="0.35">
      <c r="N2180" s="108"/>
      <c r="O2180" s="108"/>
    </row>
    <row r="2181" spans="14:15" x14ac:dyDescent="0.35">
      <c r="N2181" s="108"/>
      <c r="O2181" s="108"/>
    </row>
    <row r="2182" spans="14:15" x14ac:dyDescent="0.35">
      <c r="N2182" s="108"/>
      <c r="O2182" s="108"/>
    </row>
    <row r="2183" spans="14:15" x14ac:dyDescent="0.35">
      <c r="N2183" s="108"/>
      <c r="O2183" s="108"/>
    </row>
    <row r="2184" spans="14:15" x14ac:dyDescent="0.35">
      <c r="N2184" s="108"/>
      <c r="O2184" s="108"/>
    </row>
    <row r="2185" spans="14:15" x14ac:dyDescent="0.35">
      <c r="N2185" s="108"/>
      <c r="O2185" s="108"/>
    </row>
    <row r="2186" spans="14:15" x14ac:dyDescent="0.35">
      <c r="N2186" s="108"/>
      <c r="O2186" s="108"/>
    </row>
    <row r="2187" spans="14:15" x14ac:dyDescent="0.35">
      <c r="N2187" s="108"/>
      <c r="O2187" s="108"/>
    </row>
    <row r="2188" spans="14:15" x14ac:dyDescent="0.35">
      <c r="N2188" s="108"/>
      <c r="O2188" s="108"/>
    </row>
    <row r="2189" spans="14:15" x14ac:dyDescent="0.35">
      <c r="N2189" s="108"/>
      <c r="O2189" s="108"/>
    </row>
    <row r="2190" spans="14:15" x14ac:dyDescent="0.35">
      <c r="N2190" s="108"/>
      <c r="O2190" s="108"/>
    </row>
    <row r="2191" spans="14:15" x14ac:dyDescent="0.35">
      <c r="N2191" s="108"/>
      <c r="O2191" s="108"/>
    </row>
    <row r="2192" spans="14:15" x14ac:dyDescent="0.35">
      <c r="N2192" s="108"/>
      <c r="O2192" s="108"/>
    </row>
    <row r="2193" spans="14:15" x14ac:dyDescent="0.35">
      <c r="N2193" s="108"/>
      <c r="O2193" s="108"/>
    </row>
    <row r="2194" spans="14:15" x14ac:dyDescent="0.35">
      <c r="N2194" s="108"/>
      <c r="O2194" s="108"/>
    </row>
    <row r="2195" spans="14:15" x14ac:dyDescent="0.35">
      <c r="N2195" s="108"/>
      <c r="O2195" s="108"/>
    </row>
    <row r="2196" spans="14:15" x14ac:dyDescent="0.35">
      <c r="N2196" s="108"/>
      <c r="O2196" s="108"/>
    </row>
    <row r="2197" spans="14:15" x14ac:dyDescent="0.35">
      <c r="N2197" s="108"/>
      <c r="O2197" s="108"/>
    </row>
    <row r="2198" spans="14:15" x14ac:dyDescent="0.35">
      <c r="N2198" s="108"/>
      <c r="O2198" s="108"/>
    </row>
    <row r="2199" spans="14:15" x14ac:dyDescent="0.35">
      <c r="N2199" s="108"/>
      <c r="O2199" s="108"/>
    </row>
    <row r="2200" spans="14:15" x14ac:dyDescent="0.35">
      <c r="N2200" s="108"/>
      <c r="O2200" s="108"/>
    </row>
    <row r="2201" spans="14:15" x14ac:dyDescent="0.35">
      <c r="N2201" s="108"/>
      <c r="O2201" s="108"/>
    </row>
    <row r="2202" spans="14:15" x14ac:dyDescent="0.35">
      <c r="N2202" s="108"/>
      <c r="O2202" s="108"/>
    </row>
    <row r="2203" spans="14:15" x14ac:dyDescent="0.35">
      <c r="N2203" s="108"/>
      <c r="O2203" s="108"/>
    </row>
    <row r="2204" spans="14:15" x14ac:dyDescent="0.35">
      <c r="N2204" s="108"/>
      <c r="O2204" s="108"/>
    </row>
    <row r="2205" spans="14:15" x14ac:dyDescent="0.35">
      <c r="N2205" s="108"/>
      <c r="O2205" s="108"/>
    </row>
    <row r="2206" spans="14:15" x14ac:dyDescent="0.35">
      <c r="N2206" s="108"/>
      <c r="O2206" s="108"/>
    </row>
    <row r="2207" spans="14:15" x14ac:dyDescent="0.35">
      <c r="N2207" s="108"/>
      <c r="O2207" s="108"/>
    </row>
    <row r="2208" spans="14:15" x14ac:dyDescent="0.35">
      <c r="N2208" s="108"/>
      <c r="O2208" s="108"/>
    </row>
    <row r="2209" spans="14:15" x14ac:dyDescent="0.35">
      <c r="N2209" s="108"/>
      <c r="O2209" s="108"/>
    </row>
    <row r="2210" spans="14:15" x14ac:dyDescent="0.35">
      <c r="N2210" s="108"/>
      <c r="O2210" s="108"/>
    </row>
    <row r="2211" spans="14:15" x14ac:dyDescent="0.35">
      <c r="N2211" s="108"/>
      <c r="O2211" s="108"/>
    </row>
    <row r="2212" spans="14:15" x14ac:dyDescent="0.35">
      <c r="N2212" s="108"/>
      <c r="O2212" s="108"/>
    </row>
    <row r="2213" spans="14:15" x14ac:dyDescent="0.35">
      <c r="N2213" s="108"/>
      <c r="O2213" s="108"/>
    </row>
    <row r="2214" spans="14:15" x14ac:dyDescent="0.35">
      <c r="N2214" s="108"/>
      <c r="O2214" s="108"/>
    </row>
    <row r="2215" spans="14:15" x14ac:dyDescent="0.35">
      <c r="N2215" s="108"/>
      <c r="O2215" s="108"/>
    </row>
    <row r="2216" spans="14:15" x14ac:dyDescent="0.35">
      <c r="N2216" s="108"/>
      <c r="O2216" s="108"/>
    </row>
    <row r="2217" spans="14:15" x14ac:dyDescent="0.35">
      <c r="N2217" s="108"/>
      <c r="O2217" s="108"/>
    </row>
    <row r="2218" spans="14:15" x14ac:dyDescent="0.35">
      <c r="N2218" s="108"/>
      <c r="O2218" s="108"/>
    </row>
    <row r="2219" spans="14:15" x14ac:dyDescent="0.35">
      <c r="N2219" s="108"/>
      <c r="O2219" s="108"/>
    </row>
    <row r="2220" spans="14:15" x14ac:dyDescent="0.35">
      <c r="N2220" s="108"/>
      <c r="O2220" s="108"/>
    </row>
    <row r="2221" spans="14:15" x14ac:dyDescent="0.35">
      <c r="N2221" s="108"/>
      <c r="O2221" s="108"/>
    </row>
    <row r="2222" spans="14:15" x14ac:dyDescent="0.35">
      <c r="N2222" s="108"/>
      <c r="O2222" s="108"/>
    </row>
    <row r="2223" spans="14:15" x14ac:dyDescent="0.35">
      <c r="N2223" s="108"/>
      <c r="O2223" s="108"/>
    </row>
    <row r="2224" spans="14:15" x14ac:dyDescent="0.35">
      <c r="N2224" s="108"/>
      <c r="O2224" s="108"/>
    </row>
    <row r="2225" spans="14:15" x14ac:dyDescent="0.35">
      <c r="N2225" s="108"/>
      <c r="O2225" s="108"/>
    </row>
    <row r="2226" spans="14:15" x14ac:dyDescent="0.35">
      <c r="N2226" s="108"/>
      <c r="O2226" s="108"/>
    </row>
    <row r="2227" spans="14:15" x14ac:dyDescent="0.35">
      <c r="N2227" s="108"/>
      <c r="O2227" s="108"/>
    </row>
    <row r="2228" spans="14:15" x14ac:dyDescent="0.35">
      <c r="N2228" s="108"/>
      <c r="O2228" s="108"/>
    </row>
    <row r="2229" spans="14:15" x14ac:dyDescent="0.35">
      <c r="N2229" s="108"/>
      <c r="O2229" s="108"/>
    </row>
    <row r="2230" spans="14:15" x14ac:dyDescent="0.35">
      <c r="N2230" s="108"/>
      <c r="O2230" s="108"/>
    </row>
    <row r="2231" spans="14:15" x14ac:dyDescent="0.35">
      <c r="N2231" s="108"/>
      <c r="O2231" s="108"/>
    </row>
    <row r="2232" spans="14:15" x14ac:dyDescent="0.35">
      <c r="N2232" s="108"/>
      <c r="O2232" s="108"/>
    </row>
    <row r="2233" spans="14:15" x14ac:dyDescent="0.35">
      <c r="N2233" s="108"/>
      <c r="O2233" s="108"/>
    </row>
    <row r="2234" spans="14:15" x14ac:dyDescent="0.35">
      <c r="N2234" s="108"/>
      <c r="O2234" s="108"/>
    </row>
    <row r="2235" spans="14:15" x14ac:dyDescent="0.35">
      <c r="N2235" s="108"/>
      <c r="O2235" s="108"/>
    </row>
    <row r="2236" spans="14:15" x14ac:dyDescent="0.35">
      <c r="N2236" s="108"/>
      <c r="O2236" s="108"/>
    </row>
    <row r="2237" spans="14:15" x14ac:dyDescent="0.35">
      <c r="N2237" s="108"/>
      <c r="O2237" s="108"/>
    </row>
    <row r="2238" spans="14:15" x14ac:dyDescent="0.35">
      <c r="N2238" s="108"/>
      <c r="O2238" s="108"/>
    </row>
    <row r="2239" spans="14:15" x14ac:dyDescent="0.35">
      <c r="N2239" s="108"/>
      <c r="O2239" s="108"/>
    </row>
    <row r="2240" spans="14:15" x14ac:dyDescent="0.35">
      <c r="N2240" s="108"/>
      <c r="O2240" s="108"/>
    </row>
    <row r="2241" spans="14:15" x14ac:dyDescent="0.35">
      <c r="N2241" s="108"/>
      <c r="O2241" s="108"/>
    </row>
    <row r="2242" spans="14:15" x14ac:dyDescent="0.35">
      <c r="N2242" s="108"/>
      <c r="O2242" s="108"/>
    </row>
    <row r="2243" spans="14:15" x14ac:dyDescent="0.35">
      <c r="N2243" s="108"/>
      <c r="O2243" s="108"/>
    </row>
    <row r="2244" spans="14:15" x14ac:dyDescent="0.35">
      <c r="N2244" s="108"/>
      <c r="O2244" s="108"/>
    </row>
    <row r="2245" spans="14:15" x14ac:dyDescent="0.35">
      <c r="N2245" s="108"/>
      <c r="O2245" s="108"/>
    </row>
    <row r="2246" spans="14:15" x14ac:dyDescent="0.35">
      <c r="N2246" s="108"/>
      <c r="O2246" s="108"/>
    </row>
    <row r="2247" spans="14:15" x14ac:dyDescent="0.35">
      <c r="N2247" s="108"/>
      <c r="O2247" s="108"/>
    </row>
    <row r="2248" spans="14:15" x14ac:dyDescent="0.35">
      <c r="N2248" s="108"/>
      <c r="O2248" s="108"/>
    </row>
    <row r="2249" spans="14:15" x14ac:dyDescent="0.35">
      <c r="N2249" s="108"/>
      <c r="O2249" s="108"/>
    </row>
    <row r="2250" spans="14:15" x14ac:dyDescent="0.35">
      <c r="N2250" s="108"/>
      <c r="O2250" s="108"/>
    </row>
    <row r="2251" spans="14:15" x14ac:dyDescent="0.35">
      <c r="N2251" s="108"/>
      <c r="O2251" s="108"/>
    </row>
    <row r="2252" spans="14:15" x14ac:dyDescent="0.35">
      <c r="N2252" s="108"/>
      <c r="O2252" s="108"/>
    </row>
    <row r="2253" spans="14:15" x14ac:dyDescent="0.35">
      <c r="N2253" s="108"/>
      <c r="O2253" s="108"/>
    </row>
    <row r="2254" spans="14:15" x14ac:dyDescent="0.35">
      <c r="N2254" s="108"/>
      <c r="O2254" s="108"/>
    </row>
    <row r="2255" spans="14:15" x14ac:dyDescent="0.35">
      <c r="N2255" s="108"/>
      <c r="O2255" s="108"/>
    </row>
    <row r="2256" spans="14:15" x14ac:dyDescent="0.35">
      <c r="N2256" s="108"/>
      <c r="O2256" s="108"/>
    </row>
    <row r="2257" spans="14:15" x14ac:dyDescent="0.35">
      <c r="N2257" s="108"/>
      <c r="O2257" s="108"/>
    </row>
    <row r="2258" spans="14:15" x14ac:dyDescent="0.35">
      <c r="N2258" s="108"/>
      <c r="O2258" s="108"/>
    </row>
    <row r="2259" spans="14:15" x14ac:dyDescent="0.35">
      <c r="N2259" s="108"/>
      <c r="O2259" s="108"/>
    </row>
    <row r="2260" spans="14:15" x14ac:dyDescent="0.35">
      <c r="N2260" s="108"/>
      <c r="O2260" s="108"/>
    </row>
    <row r="2261" spans="14:15" x14ac:dyDescent="0.35">
      <c r="N2261" s="108"/>
      <c r="O2261" s="108"/>
    </row>
    <row r="2262" spans="14:15" x14ac:dyDescent="0.35">
      <c r="N2262" s="108"/>
      <c r="O2262" s="108"/>
    </row>
    <row r="2263" spans="14:15" x14ac:dyDescent="0.35">
      <c r="N2263" s="108"/>
      <c r="O2263" s="108"/>
    </row>
    <row r="2264" spans="14:15" x14ac:dyDescent="0.35">
      <c r="N2264" s="108"/>
      <c r="O2264" s="108"/>
    </row>
    <row r="2265" spans="14:15" x14ac:dyDescent="0.35">
      <c r="N2265" s="108"/>
      <c r="O2265" s="108"/>
    </row>
    <row r="2266" spans="14:15" x14ac:dyDescent="0.35">
      <c r="N2266" s="108"/>
      <c r="O2266" s="108"/>
    </row>
    <row r="2267" spans="14:15" x14ac:dyDescent="0.35">
      <c r="N2267" s="108"/>
      <c r="O2267" s="108"/>
    </row>
    <row r="2268" spans="14:15" x14ac:dyDescent="0.35">
      <c r="N2268" s="108"/>
      <c r="O2268" s="108"/>
    </row>
    <row r="2269" spans="14:15" x14ac:dyDescent="0.35">
      <c r="N2269" s="108"/>
      <c r="O2269" s="108"/>
    </row>
    <row r="2270" spans="14:15" x14ac:dyDescent="0.35">
      <c r="N2270" s="108"/>
      <c r="O2270" s="108"/>
    </row>
    <row r="2271" spans="14:15" x14ac:dyDescent="0.35">
      <c r="N2271" s="108"/>
      <c r="O2271" s="108"/>
    </row>
    <row r="2272" spans="14:15" x14ac:dyDescent="0.35">
      <c r="N2272" s="108"/>
      <c r="O2272" s="108"/>
    </row>
    <row r="2273" spans="14:15" x14ac:dyDescent="0.35">
      <c r="N2273" s="108"/>
      <c r="O2273" s="108"/>
    </row>
    <row r="2274" spans="14:15" x14ac:dyDescent="0.35">
      <c r="N2274" s="108"/>
      <c r="O2274" s="108"/>
    </row>
    <row r="2275" spans="14:15" x14ac:dyDescent="0.35">
      <c r="N2275" s="108"/>
      <c r="O2275" s="108"/>
    </row>
    <row r="2276" spans="14:15" x14ac:dyDescent="0.35">
      <c r="N2276" s="108"/>
      <c r="O2276" s="108"/>
    </row>
    <row r="2277" spans="14:15" x14ac:dyDescent="0.35">
      <c r="N2277" s="108"/>
      <c r="O2277" s="108"/>
    </row>
    <row r="2278" spans="14:15" x14ac:dyDescent="0.35">
      <c r="N2278" s="108"/>
      <c r="O2278" s="108"/>
    </row>
    <row r="2279" spans="14:15" x14ac:dyDescent="0.35">
      <c r="N2279" s="108"/>
      <c r="O2279" s="108"/>
    </row>
    <row r="2280" spans="14:15" x14ac:dyDescent="0.35">
      <c r="N2280" s="108"/>
      <c r="O2280" s="108"/>
    </row>
    <row r="2281" spans="14:15" x14ac:dyDescent="0.35">
      <c r="N2281" s="108"/>
      <c r="O2281" s="108"/>
    </row>
    <row r="2282" spans="14:15" x14ac:dyDescent="0.35">
      <c r="N2282" s="108"/>
      <c r="O2282" s="108"/>
    </row>
    <row r="2283" spans="14:15" x14ac:dyDescent="0.35">
      <c r="N2283" s="108"/>
      <c r="O2283" s="108"/>
    </row>
    <row r="2284" spans="14:15" x14ac:dyDescent="0.35">
      <c r="N2284" s="108"/>
      <c r="O2284" s="108"/>
    </row>
    <row r="2285" spans="14:15" x14ac:dyDescent="0.35">
      <c r="N2285" s="108"/>
      <c r="O2285" s="108"/>
    </row>
    <row r="2286" spans="14:15" x14ac:dyDescent="0.35">
      <c r="N2286" s="108"/>
      <c r="O2286" s="108"/>
    </row>
    <row r="2287" spans="14:15" x14ac:dyDescent="0.35">
      <c r="N2287" s="108"/>
      <c r="O2287" s="108"/>
    </row>
    <row r="2288" spans="14:15" x14ac:dyDescent="0.35">
      <c r="N2288" s="108"/>
      <c r="O2288" s="108"/>
    </row>
    <row r="2289" spans="14:15" x14ac:dyDescent="0.35">
      <c r="N2289" s="108"/>
      <c r="O2289" s="108"/>
    </row>
    <row r="2290" spans="14:15" x14ac:dyDescent="0.35">
      <c r="N2290" s="108"/>
      <c r="O2290" s="108"/>
    </row>
    <row r="2291" spans="14:15" x14ac:dyDescent="0.35">
      <c r="N2291" s="108"/>
      <c r="O2291" s="108"/>
    </row>
    <row r="2292" spans="14:15" x14ac:dyDescent="0.35">
      <c r="N2292" s="108"/>
      <c r="O2292" s="108"/>
    </row>
    <row r="2293" spans="14:15" x14ac:dyDescent="0.35">
      <c r="N2293" s="108"/>
      <c r="O2293" s="108"/>
    </row>
    <row r="2294" spans="14:15" x14ac:dyDescent="0.35">
      <c r="N2294" s="108"/>
      <c r="O2294" s="108"/>
    </row>
    <row r="2295" spans="14:15" x14ac:dyDescent="0.35">
      <c r="N2295" s="108"/>
      <c r="O2295" s="108"/>
    </row>
    <row r="2296" spans="14:15" x14ac:dyDescent="0.35">
      <c r="N2296" s="108"/>
      <c r="O2296" s="108"/>
    </row>
    <row r="2297" spans="14:15" x14ac:dyDescent="0.35">
      <c r="N2297" s="108"/>
      <c r="O2297" s="108"/>
    </row>
    <row r="2298" spans="14:15" x14ac:dyDescent="0.35">
      <c r="N2298" s="108"/>
      <c r="O2298" s="108"/>
    </row>
    <row r="2299" spans="14:15" x14ac:dyDescent="0.35">
      <c r="N2299" s="108"/>
      <c r="O2299" s="108"/>
    </row>
    <row r="2300" spans="14:15" x14ac:dyDescent="0.35">
      <c r="N2300" s="108"/>
      <c r="O2300" s="108"/>
    </row>
    <row r="2301" spans="14:15" x14ac:dyDescent="0.35">
      <c r="N2301" s="108"/>
      <c r="O2301" s="108"/>
    </row>
    <row r="2302" spans="14:15" x14ac:dyDescent="0.35">
      <c r="N2302" s="108"/>
      <c r="O2302" s="108"/>
    </row>
    <row r="2303" spans="14:15" x14ac:dyDescent="0.35">
      <c r="N2303" s="108"/>
      <c r="O2303" s="108"/>
    </row>
    <row r="2304" spans="14:15" x14ac:dyDescent="0.35">
      <c r="N2304" s="108"/>
      <c r="O2304" s="108"/>
    </row>
    <row r="2305" spans="14:15" x14ac:dyDescent="0.35">
      <c r="N2305" s="108"/>
      <c r="O2305" s="108"/>
    </row>
    <row r="2306" spans="14:15" x14ac:dyDescent="0.35">
      <c r="N2306" s="108"/>
      <c r="O2306" s="108"/>
    </row>
    <row r="2307" spans="14:15" x14ac:dyDescent="0.35">
      <c r="N2307" s="108"/>
      <c r="O2307" s="108"/>
    </row>
    <row r="2308" spans="14:15" x14ac:dyDescent="0.35">
      <c r="N2308" s="108"/>
      <c r="O2308" s="108"/>
    </row>
    <row r="2309" spans="14:15" x14ac:dyDescent="0.35">
      <c r="N2309" s="108"/>
      <c r="O2309" s="108"/>
    </row>
    <row r="2310" spans="14:15" x14ac:dyDescent="0.35">
      <c r="N2310" s="108"/>
      <c r="O2310" s="108"/>
    </row>
    <row r="2311" spans="14:15" x14ac:dyDescent="0.35">
      <c r="N2311" s="108"/>
      <c r="O2311" s="108"/>
    </row>
    <row r="2312" spans="14:15" x14ac:dyDescent="0.35">
      <c r="N2312" s="108"/>
      <c r="O2312" s="108"/>
    </row>
    <row r="2313" spans="14:15" x14ac:dyDescent="0.35">
      <c r="N2313" s="108"/>
      <c r="O2313" s="108"/>
    </row>
    <row r="2314" spans="14:15" x14ac:dyDescent="0.35">
      <c r="N2314" s="108"/>
      <c r="O2314" s="108"/>
    </row>
    <row r="2315" spans="14:15" x14ac:dyDescent="0.35">
      <c r="N2315" s="108"/>
      <c r="O2315" s="108"/>
    </row>
    <row r="2316" spans="14:15" x14ac:dyDescent="0.35">
      <c r="N2316" s="108"/>
      <c r="O2316" s="108"/>
    </row>
    <row r="2317" spans="14:15" x14ac:dyDescent="0.35">
      <c r="N2317" s="108"/>
      <c r="O2317" s="108"/>
    </row>
    <row r="2318" spans="14:15" x14ac:dyDescent="0.35">
      <c r="N2318" s="108"/>
      <c r="O2318" s="108"/>
    </row>
    <row r="2319" spans="14:15" x14ac:dyDescent="0.35">
      <c r="N2319" s="108"/>
      <c r="O2319" s="108"/>
    </row>
    <row r="2320" spans="14:15" x14ac:dyDescent="0.35">
      <c r="N2320" s="108"/>
      <c r="O2320" s="108"/>
    </row>
    <row r="2321" spans="14:15" x14ac:dyDescent="0.35">
      <c r="N2321" s="108"/>
      <c r="O2321" s="108"/>
    </row>
    <row r="2322" spans="14:15" x14ac:dyDescent="0.35">
      <c r="N2322" s="108"/>
      <c r="O2322" s="108"/>
    </row>
    <row r="2323" spans="14:15" x14ac:dyDescent="0.35">
      <c r="N2323" s="108"/>
      <c r="O2323" s="108"/>
    </row>
    <row r="2324" spans="14:15" x14ac:dyDescent="0.35">
      <c r="N2324" s="108"/>
      <c r="O2324" s="108"/>
    </row>
    <row r="2325" spans="14:15" x14ac:dyDescent="0.35">
      <c r="N2325" s="108"/>
      <c r="O2325" s="108"/>
    </row>
    <row r="2326" spans="14:15" x14ac:dyDescent="0.35">
      <c r="N2326" s="108"/>
      <c r="O2326" s="108"/>
    </row>
    <row r="2327" spans="14:15" x14ac:dyDescent="0.35">
      <c r="N2327" s="108"/>
      <c r="O2327" s="108"/>
    </row>
    <row r="2328" spans="14:15" x14ac:dyDescent="0.35">
      <c r="N2328" s="108"/>
      <c r="O2328" s="108"/>
    </row>
    <row r="2329" spans="14:15" x14ac:dyDescent="0.35">
      <c r="N2329" s="108"/>
      <c r="O2329" s="108"/>
    </row>
    <row r="2330" spans="14:15" x14ac:dyDescent="0.35">
      <c r="N2330" s="108"/>
      <c r="O2330" s="108"/>
    </row>
    <row r="2331" spans="14:15" x14ac:dyDescent="0.35">
      <c r="N2331" s="108"/>
      <c r="O2331" s="108"/>
    </row>
    <row r="2332" spans="14:15" x14ac:dyDescent="0.35">
      <c r="N2332" s="108"/>
      <c r="O2332" s="108"/>
    </row>
    <row r="2333" spans="14:15" x14ac:dyDescent="0.35">
      <c r="N2333" s="108"/>
      <c r="O2333" s="108"/>
    </row>
    <row r="2334" spans="14:15" x14ac:dyDescent="0.35">
      <c r="N2334" s="108"/>
      <c r="O2334" s="108"/>
    </row>
    <row r="2335" spans="14:15" x14ac:dyDescent="0.35">
      <c r="N2335" s="108"/>
      <c r="O2335" s="108"/>
    </row>
    <row r="2336" spans="14:15" x14ac:dyDescent="0.35">
      <c r="N2336" s="108"/>
      <c r="O2336" s="108"/>
    </row>
    <row r="2337" spans="14:15" x14ac:dyDescent="0.35">
      <c r="N2337" s="108"/>
      <c r="O2337" s="108"/>
    </row>
    <row r="2338" spans="14:15" x14ac:dyDescent="0.35">
      <c r="N2338" s="108"/>
      <c r="O2338" s="108"/>
    </row>
    <row r="2339" spans="14:15" x14ac:dyDescent="0.35">
      <c r="N2339" s="108"/>
      <c r="O2339" s="108"/>
    </row>
    <row r="2340" spans="14:15" x14ac:dyDescent="0.35">
      <c r="N2340" s="108"/>
      <c r="O2340" s="108"/>
    </row>
    <row r="2341" spans="14:15" x14ac:dyDescent="0.35">
      <c r="N2341" s="108"/>
      <c r="O2341" s="108"/>
    </row>
    <row r="2342" spans="14:15" x14ac:dyDescent="0.35">
      <c r="N2342" s="108"/>
      <c r="O2342" s="108"/>
    </row>
    <row r="2343" spans="14:15" x14ac:dyDescent="0.35">
      <c r="N2343" s="108"/>
      <c r="O2343" s="108"/>
    </row>
    <row r="2344" spans="14:15" x14ac:dyDescent="0.35">
      <c r="N2344" s="108"/>
      <c r="O2344" s="108"/>
    </row>
    <row r="2345" spans="14:15" x14ac:dyDescent="0.35">
      <c r="N2345" s="108"/>
      <c r="O2345" s="108"/>
    </row>
    <row r="2346" spans="14:15" x14ac:dyDescent="0.35">
      <c r="N2346" s="108"/>
      <c r="O2346" s="108"/>
    </row>
    <row r="2347" spans="14:15" x14ac:dyDescent="0.35">
      <c r="N2347" s="108"/>
      <c r="O2347" s="108"/>
    </row>
    <row r="2348" spans="14:15" x14ac:dyDescent="0.35">
      <c r="N2348" s="108"/>
      <c r="O2348" s="108"/>
    </row>
    <row r="2349" spans="14:15" x14ac:dyDescent="0.35">
      <c r="N2349" s="108"/>
      <c r="O2349" s="108"/>
    </row>
    <row r="2350" spans="14:15" x14ac:dyDescent="0.35">
      <c r="N2350" s="108"/>
      <c r="O2350" s="108"/>
    </row>
    <row r="2351" spans="14:15" x14ac:dyDescent="0.35">
      <c r="N2351" s="108"/>
      <c r="O2351" s="108"/>
    </row>
    <row r="2352" spans="14:15" x14ac:dyDescent="0.35">
      <c r="N2352" s="108"/>
      <c r="O2352" s="108"/>
    </row>
    <row r="2353" spans="14:15" x14ac:dyDescent="0.35">
      <c r="N2353" s="108"/>
      <c r="O2353" s="108"/>
    </row>
    <row r="2354" spans="14:15" x14ac:dyDescent="0.35">
      <c r="N2354" s="108"/>
      <c r="O2354" s="108"/>
    </row>
    <row r="2355" spans="14:15" x14ac:dyDescent="0.35">
      <c r="N2355" s="108"/>
      <c r="O2355" s="108"/>
    </row>
    <row r="2356" spans="14:15" x14ac:dyDescent="0.35">
      <c r="N2356" s="108"/>
      <c r="O2356" s="108"/>
    </row>
    <row r="2357" spans="14:15" x14ac:dyDescent="0.35">
      <c r="N2357" s="108"/>
      <c r="O2357" s="108"/>
    </row>
    <row r="2358" spans="14:15" x14ac:dyDescent="0.35">
      <c r="N2358" s="108"/>
      <c r="O2358" s="108"/>
    </row>
    <row r="2359" spans="14:15" x14ac:dyDescent="0.35">
      <c r="N2359" s="108"/>
      <c r="O2359" s="108"/>
    </row>
    <row r="2360" spans="14:15" x14ac:dyDescent="0.35">
      <c r="N2360" s="108"/>
      <c r="O2360" s="108"/>
    </row>
    <row r="2361" spans="14:15" x14ac:dyDescent="0.35">
      <c r="N2361" s="108"/>
      <c r="O2361" s="108"/>
    </row>
    <row r="2362" spans="14:15" x14ac:dyDescent="0.35">
      <c r="N2362" s="108"/>
      <c r="O2362" s="108"/>
    </row>
    <row r="2363" spans="14:15" x14ac:dyDescent="0.35">
      <c r="N2363" s="108"/>
      <c r="O2363" s="108"/>
    </row>
    <row r="2364" spans="14:15" x14ac:dyDescent="0.35">
      <c r="N2364" s="108"/>
      <c r="O2364" s="108"/>
    </row>
    <row r="2365" spans="14:15" x14ac:dyDescent="0.35">
      <c r="N2365" s="108"/>
      <c r="O2365" s="108"/>
    </row>
    <row r="2366" spans="14:15" x14ac:dyDescent="0.35">
      <c r="N2366" s="108"/>
      <c r="O2366" s="108"/>
    </row>
    <row r="2367" spans="14:15" x14ac:dyDescent="0.35">
      <c r="N2367" s="108"/>
      <c r="O2367" s="108"/>
    </row>
    <row r="2368" spans="14:15" x14ac:dyDescent="0.35">
      <c r="N2368" s="108"/>
      <c r="O2368" s="108"/>
    </row>
    <row r="2369" spans="14:15" x14ac:dyDescent="0.35">
      <c r="N2369" s="108"/>
      <c r="O2369" s="108"/>
    </row>
    <row r="2370" spans="14:15" x14ac:dyDescent="0.35">
      <c r="N2370" s="108"/>
      <c r="O2370" s="108"/>
    </row>
    <row r="2371" spans="14:15" x14ac:dyDescent="0.35">
      <c r="N2371" s="108"/>
      <c r="O2371" s="108"/>
    </row>
    <row r="2372" spans="14:15" x14ac:dyDescent="0.35">
      <c r="N2372" s="108"/>
      <c r="O2372" s="108"/>
    </row>
    <row r="2373" spans="14:15" x14ac:dyDescent="0.35">
      <c r="N2373" s="108"/>
      <c r="O2373" s="108"/>
    </row>
    <row r="2374" spans="14:15" x14ac:dyDescent="0.35">
      <c r="N2374" s="108"/>
      <c r="O2374" s="108"/>
    </row>
    <row r="2375" spans="14:15" x14ac:dyDescent="0.35">
      <c r="N2375" s="108"/>
      <c r="O2375" s="108"/>
    </row>
    <row r="2376" spans="14:15" x14ac:dyDescent="0.35">
      <c r="N2376" s="108"/>
      <c r="O2376" s="108"/>
    </row>
    <row r="2377" spans="14:15" x14ac:dyDescent="0.35">
      <c r="N2377" s="108"/>
      <c r="O2377" s="108"/>
    </row>
    <row r="2378" spans="14:15" x14ac:dyDescent="0.35">
      <c r="N2378" s="108"/>
      <c r="O2378" s="108"/>
    </row>
    <row r="2379" spans="14:15" x14ac:dyDescent="0.35">
      <c r="N2379" s="108"/>
      <c r="O2379" s="108"/>
    </row>
    <row r="2380" spans="14:15" x14ac:dyDescent="0.35">
      <c r="N2380" s="108"/>
      <c r="O2380" s="108"/>
    </row>
    <row r="2381" spans="14:15" x14ac:dyDescent="0.35">
      <c r="N2381" s="108"/>
      <c r="O2381" s="108"/>
    </row>
    <row r="2382" spans="14:15" x14ac:dyDescent="0.35">
      <c r="N2382" s="108"/>
      <c r="O2382" s="108"/>
    </row>
    <row r="2383" spans="14:15" x14ac:dyDescent="0.35">
      <c r="N2383" s="108"/>
      <c r="O2383" s="108"/>
    </row>
    <row r="2384" spans="14:15" x14ac:dyDescent="0.35">
      <c r="N2384" s="108"/>
      <c r="O2384" s="108"/>
    </row>
    <row r="2385" spans="14:15" x14ac:dyDescent="0.35">
      <c r="N2385" s="108"/>
      <c r="O2385" s="108"/>
    </row>
    <row r="2386" spans="14:15" x14ac:dyDescent="0.35">
      <c r="N2386" s="108"/>
      <c r="O2386" s="108"/>
    </row>
    <row r="2387" spans="14:15" x14ac:dyDescent="0.35">
      <c r="N2387" s="108"/>
      <c r="O2387" s="108"/>
    </row>
    <row r="2388" spans="14:15" x14ac:dyDescent="0.35">
      <c r="N2388" s="108"/>
      <c r="O2388" s="108"/>
    </row>
    <row r="2389" spans="14:15" x14ac:dyDescent="0.35">
      <c r="N2389" s="108"/>
      <c r="O2389" s="108"/>
    </row>
    <row r="2390" spans="14:15" x14ac:dyDescent="0.35">
      <c r="N2390" s="108"/>
      <c r="O2390" s="108"/>
    </row>
    <row r="2391" spans="14:15" x14ac:dyDescent="0.35">
      <c r="N2391" s="108"/>
      <c r="O2391" s="108"/>
    </row>
    <row r="2392" spans="14:15" x14ac:dyDescent="0.35">
      <c r="N2392" s="108"/>
      <c r="O2392" s="108"/>
    </row>
    <row r="2393" spans="14:15" x14ac:dyDescent="0.35">
      <c r="N2393" s="108"/>
      <c r="O2393" s="108"/>
    </row>
    <row r="2394" spans="14:15" x14ac:dyDescent="0.35">
      <c r="N2394" s="108"/>
      <c r="O2394" s="108"/>
    </row>
    <row r="2395" spans="14:15" x14ac:dyDescent="0.35">
      <c r="N2395" s="108"/>
      <c r="O2395" s="108"/>
    </row>
    <row r="2396" spans="14:15" x14ac:dyDescent="0.35">
      <c r="N2396" s="108"/>
      <c r="O2396" s="108"/>
    </row>
    <row r="2397" spans="14:15" x14ac:dyDescent="0.35">
      <c r="N2397" s="108"/>
      <c r="O2397" s="108"/>
    </row>
    <row r="2398" spans="14:15" x14ac:dyDescent="0.35">
      <c r="N2398" s="108"/>
      <c r="O2398" s="108"/>
    </row>
    <row r="2399" spans="14:15" x14ac:dyDescent="0.35">
      <c r="N2399" s="108"/>
      <c r="O2399" s="108"/>
    </row>
    <row r="2400" spans="14:15" x14ac:dyDescent="0.35">
      <c r="N2400" s="108"/>
      <c r="O2400" s="108"/>
    </row>
    <row r="2401" spans="14:15" x14ac:dyDescent="0.35">
      <c r="N2401" s="108"/>
      <c r="O2401" s="108"/>
    </row>
    <row r="2402" spans="14:15" x14ac:dyDescent="0.35">
      <c r="N2402" s="108"/>
      <c r="O2402" s="108"/>
    </row>
    <row r="2403" spans="14:15" x14ac:dyDescent="0.35">
      <c r="N2403" s="108"/>
      <c r="O2403" s="108"/>
    </row>
    <row r="2404" spans="14:15" x14ac:dyDescent="0.35">
      <c r="N2404" s="108"/>
      <c r="O2404" s="108"/>
    </row>
    <row r="2405" spans="14:15" x14ac:dyDescent="0.35">
      <c r="N2405" s="108"/>
      <c r="O2405" s="108"/>
    </row>
    <row r="2406" spans="14:15" x14ac:dyDescent="0.35">
      <c r="N2406" s="108"/>
      <c r="O2406" s="108"/>
    </row>
    <row r="2407" spans="14:15" x14ac:dyDescent="0.35">
      <c r="N2407" s="108"/>
      <c r="O2407" s="108"/>
    </row>
    <row r="2408" spans="14:15" x14ac:dyDescent="0.35">
      <c r="N2408" s="108"/>
      <c r="O2408" s="108"/>
    </row>
    <row r="2409" spans="14:15" x14ac:dyDescent="0.35">
      <c r="N2409" s="108"/>
      <c r="O2409" s="108"/>
    </row>
    <row r="2410" spans="14:15" x14ac:dyDescent="0.35">
      <c r="N2410" s="108"/>
      <c r="O2410" s="108"/>
    </row>
    <row r="2411" spans="14:15" x14ac:dyDescent="0.35">
      <c r="N2411" s="108"/>
      <c r="O2411" s="108"/>
    </row>
    <row r="2412" spans="14:15" x14ac:dyDescent="0.35">
      <c r="N2412" s="108"/>
      <c r="O2412" s="108"/>
    </row>
    <row r="2413" spans="14:15" x14ac:dyDescent="0.35">
      <c r="N2413" s="108"/>
      <c r="O2413" s="108"/>
    </row>
    <row r="2414" spans="14:15" x14ac:dyDescent="0.35">
      <c r="N2414" s="108"/>
      <c r="O2414" s="108"/>
    </row>
    <row r="2415" spans="14:15" x14ac:dyDescent="0.35">
      <c r="N2415" s="108"/>
      <c r="O2415" s="108"/>
    </row>
    <row r="2416" spans="14:15" x14ac:dyDescent="0.35">
      <c r="N2416" s="108"/>
      <c r="O2416" s="108"/>
    </row>
    <row r="2417" spans="14:15" x14ac:dyDescent="0.35">
      <c r="N2417" s="108"/>
      <c r="O2417" s="108"/>
    </row>
    <row r="2418" spans="14:15" x14ac:dyDescent="0.35">
      <c r="N2418" s="108"/>
      <c r="O2418" s="108"/>
    </row>
    <row r="2419" spans="14:15" x14ac:dyDescent="0.35">
      <c r="N2419" s="108"/>
      <c r="O2419" s="108"/>
    </row>
    <row r="2420" spans="14:15" x14ac:dyDescent="0.35">
      <c r="N2420" s="108"/>
      <c r="O2420" s="108"/>
    </row>
    <row r="2421" spans="14:15" x14ac:dyDescent="0.35">
      <c r="N2421" s="108"/>
      <c r="O2421" s="108"/>
    </row>
    <row r="2422" spans="14:15" x14ac:dyDescent="0.35">
      <c r="N2422" s="108"/>
      <c r="O2422" s="108"/>
    </row>
    <row r="2423" spans="14:15" x14ac:dyDescent="0.35">
      <c r="N2423" s="108"/>
      <c r="O2423" s="108"/>
    </row>
    <row r="2424" spans="14:15" x14ac:dyDescent="0.35">
      <c r="N2424" s="108"/>
      <c r="O2424" s="108"/>
    </row>
    <row r="2425" spans="14:15" x14ac:dyDescent="0.35">
      <c r="N2425" s="108"/>
      <c r="O2425" s="108"/>
    </row>
    <row r="2426" spans="14:15" x14ac:dyDescent="0.35">
      <c r="N2426" s="108"/>
      <c r="O2426" s="108"/>
    </row>
    <row r="2427" spans="14:15" x14ac:dyDescent="0.35">
      <c r="N2427" s="108"/>
      <c r="O2427" s="108"/>
    </row>
    <row r="2428" spans="14:15" x14ac:dyDescent="0.35">
      <c r="N2428" s="108"/>
      <c r="O2428" s="108"/>
    </row>
    <row r="2429" spans="14:15" x14ac:dyDescent="0.35">
      <c r="N2429" s="108"/>
      <c r="O2429" s="108"/>
    </row>
    <row r="2430" spans="14:15" x14ac:dyDescent="0.35">
      <c r="N2430" s="108"/>
      <c r="O2430" s="108"/>
    </row>
    <row r="2431" spans="14:15" x14ac:dyDescent="0.35">
      <c r="N2431" s="108"/>
      <c r="O2431" s="108"/>
    </row>
    <row r="2432" spans="14:15" x14ac:dyDescent="0.35">
      <c r="N2432" s="108"/>
      <c r="O2432" s="108"/>
    </row>
    <row r="2433" spans="14:15" x14ac:dyDescent="0.35">
      <c r="N2433" s="108"/>
      <c r="O2433" s="108"/>
    </row>
    <row r="2434" spans="14:15" x14ac:dyDescent="0.35">
      <c r="N2434" s="108"/>
      <c r="O2434" s="108"/>
    </row>
    <row r="2435" spans="14:15" x14ac:dyDescent="0.35">
      <c r="N2435" s="108"/>
      <c r="O2435" s="108"/>
    </row>
    <row r="2436" spans="14:15" x14ac:dyDescent="0.35">
      <c r="N2436" s="108"/>
      <c r="O2436" s="108"/>
    </row>
    <row r="2437" spans="14:15" x14ac:dyDescent="0.35">
      <c r="N2437" s="108"/>
      <c r="O2437" s="108"/>
    </row>
    <row r="2438" spans="14:15" x14ac:dyDescent="0.35">
      <c r="N2438" s="108"/>
      <c r="O2438" s="108"/>
    </row>
    <row r="2439" spans="14:15" x14ac:dyDescent="0.35">
      <c r="N2439" s="108"/>
      <c r="O2439" s="108"/>
    </row>
    <row r="2440" spans="14:15" x14ac:dyDescent="0.35">
      <c r="N2440" s="108"/>
      <c r="O2440" s="108"/>
    </row>
    <row r="2441" spans="14:15" x14ac:dyDescent="0.35">
      <c r="N2441" s="108"/>
      <c r="O2441" s="108"/>
    </row>
    <row r="2442" spans="14:15" x14ac:dyDescent="0.35">
      <c r="N2442" s="108"/>
      <c r="O2442" s="108"/>
    </row>
    <row r="2443" spans="14:15" x14ac:dyDescent="0.35">
      <c r="N2443" s="108"/>
      <c r="O2443" s="108"/>
    </row>
    <row r="2444" spans="14:15" x14ac:dyDescent="0.35">
      <c r="N2444" s="108"/>
      <c r="O2444" s="108"/>
    </row>
    <row r="2445" spans="14:15" x14ac:dyDescent="0.35">
      <c r="N2445" s="108"/>
      <c r="O2445" s="108"/>
    </row>
    <row r="2446" spans="14:15" x14ac:dyDescent="0.35">
      <c r="N2446" s="108"/>
      <c r="O2446" s="108"/>
    </row>
    <row r="2447" spans="14:15" x14ac:dyDescent="0.35">
      <c r="N2447" s="108"/>
      <c r="O2447" s="108"/>
    </row>
    <row r="2448" spans="14:15" x14ac:dyDescent="0.35">
      <c r="N2448" s="108"/>
      <c r="O2448" s="108"/>
    </row>
    <row r="2449" spans="14:15" x14ac:dyDescent="0.35">
      <c r="N2449" s="108"/>
      <c r="O2449" s="108"/>
    </row>
    <row r="2450" spans="14:15" x14ac:dyDescent="0.35">
      <c r="N2450" s="108"/>
      <c r="O2450" s="108"/>
    </row>
    <row r="2451" spans="14:15" x14ac:dyDescent="0.35">
      <c r="N2451" s="108"/>
      <c r="O2451" s="108"/>
    </row>
    <row r="2452" spans="14:15" x14ac:dyDescent="0.35">
      <c r="N2452" s="108"/>
      <c r="O2452" s="108"/>
    </row>
    <row r="2453" spans="14:15" x14ac:dyDescent="0.35">
      <c r="N2453" s="108"/>
      <c r="O2453" s="108"/>
    </row>
    <row r="2454" spans="14:15" x14ac:dyDescent="0.35">
      <c r="N2454" s="108"/>
      <c r="O2454" s="108"/>
    </row>
    <row r="2455" spans="14:15" x14ac:dyDescent="0.35">
      <c r="N2455" s="108"/>
      <c r="O2455" s="108"/>
    </row>
    <row r="2456" spans="14:15" x14ac:dyDescent="0.35">
      <c r="N2456" s="108"/>
      <c r="O2456" s="108"/>
    </row>
    <row r="2457" spans="14:15" x14ac:dyDescent="0.35">
      <c r="N2457" s="108"/>
      <c r="O2457" s="108"/>
    </row>
    <row r="2458" spans="14:15" x14ac:dyDescent="0.35">
      <c r="N2458" s="108"/>
      <c r="O2458" s="108"/>
    </row>
    <row r="2459" spans="14:15" x14ac:dyDescent="0.35">
      <c r="N2459" s="108"/>
      <c r="O2459" s="108"/>
    </row>
    <row r="2460" spans="14:15" x14ac:dyDescent="0.35">
      <c r="N2460" s="108"/>
      <c r="O2460" s="108"/>
    </row>
    <row r="2461" spans="14:15" x14ac:dyDescent="0.35">
      <c r="N2461" s="108"/>
      <c r="O2461" s="108"/>
    </row>
    <row r="2462" spans="14:15" x14ac:dyDescent="0.35">
      <c r="N2462" s="108"/>
      <c r="O2462" s="108"/>
    </row>
    <row r="2463" spans="14:15" x14ac:dyDescent="0.35">
      <c r="N2463" s="108"/>
      <c r="O2463" s="108"/>
    </row>
    <row r="2464" spans="14:15" x14ac:dyDescent="0.35">
      <c r="N2464" s="108"/>
      <c r="O2464" s="108"/>
    </row>
    <row r="2465" spans="14:15" x14ac:dyDescent="0.35">
      <c r="N2465" s="108"/>
      <c r="O2465" s="108"/>
    </row>
    <row r="2466" spans="14:15" x14ac:dyDescent="0.35">
      <c r="N2466" s="108"/>
      <c r="O2466" s="108"/>
    </row>
    <row r="2467" spans="14:15" x14ac:dyDescent="0.35">
      <c r="N2467" s="108"/>
      <c r="O2467" s="108"/>
    </row>
    <row r="2468" spans="14:15" x14ac:dyDescent="0.35">
      <c r="N2468" s="108"/>
      <c r="O2468" s="108"/>
    </row>
    <row r="2469" spans="14:15" x14ac:dyDescent="0.35">
      <c r="N2469" s="108"/>
      <c r="O2469" s="108"/>
    </row>
    <row r="2470" spans="14:15" x14ac:dyDescent="0.35">
      <c r="N2470" s="108"/>
      <c r="O2470" s="108"/>
    </row>
    <row r="2471" spans="14:15" x14ac:dyDescent="0.35">
      <c r="N2471" s="108"/>
      <c r="O2471" s="108"/>
    </row>
    <row r="2472" spans="14:15" x14ac:dyDescent="0.35">
      <c r="N2472" s="108"/>
      <c r="O2472" s="108"/>
    </row>
    <row r="2473" spans="14:15" x14ac:dyDescent="0.35">
      <c r="N2473" s="108"/>
      <c r="O2473" s="108"/>
    </row>
    <row r="2474" spans="14:15" x14ac:dyDescent="0.35">
      <c r="N2474" s="108"/>
      <c r="O2474" s="108"/>
    </row>
    <row r="2475" spans="14:15" x14ac:dyDescent="0.35">
      <c r="N2475" s="108"/>
      <c r="O2475" s="108"/>
    </row>
    <row r="2476" spans="14:15" x14ac:dyDescent="0.35">
      <c r="N2476" s="108"/>
      <c r="O2476" s="108"/>
    </row>
    <row r="2477" spans="14:15" x14ac:dyDescent="0.35">
      <c r="N2477" s="108"/>
      <c r="O2477" s="108"/>
    </row>
    <row r="2478" spans="14:15" x14ac:dyDescent="0.35">
      <c r="N2478" s="108"/>
      <c r="O2478" s="108"/>
    </row>
    <row r="2479" spans="14:15" x14ac:dyDescent="0.35">
      <c r="N2479" s="108"/>
      <c r="O2479" s="108"/>
    </row>
    <row r="2480" spans="14:15" x14ac:dyDescent="0.35">
      <c r="N2480" s="108"/>
      <c r="O2480" s="108"/>
    </row>
    <row r="2481" spans="14:15" x14ac:dyDescent="0.35">
      <c r="N2481" s="108"/>
      <c r="O2481" s="108"/>
    </row>
    <row r="2482" spans="14:15" x14ac:dyDescent="0.35">
      <c r="N2482" s="108"/>
      <c r="O2482" s="108"/>
    </row>
    <row r="2483" spans="14:15" x14ac:dyDescent="0.35">
      <c r="N2483" s="108"/>
      <c r="O2483" s="108"/>
    </row>
    <row r="2484" spans="14:15" x14ac:dyDescent="0.35">
      <c r="N2484" s="108"/>
      <c r="O2484" s="108"/>
    </row>
    <row r="2485" spans="14:15" x14ac:dyDescent="0.35">
      <c r="N2485" s="108"/>
      <c r="O2485" s="108"/>
    </row>
    <row r="2486" spans="14:15" x14ac:dyDescent="0.35">
      <c r="N2486" s="108"/>
      <c r="O2486" s="108"/>
    </row>
    <row r="2487" spans="14:15" x14ac:dyDescent="0.35">
      <c r="N2487" s="108"/>
      <c r="O2487" s="108"/>
    </row>
    <row r="2488" spans="14:15" x14ac:dyDescent="0.35">
      <c r="N2488" s="108"/>
      <c r="O2488" s="108"/>
    </row>
    <row r="2489" spans="14:15" x14ac:dyDescent="0.35">
      <c r="N2489" s="108"/>
      <c r="O2489" s="108"/>
    </row>
    <row r="2490" spans="14:15" x14ac:dyDescent="0.35">
      <c r="N2490" s="108"/>
      <c r="O2490" s="108"/>
    </row>
    <row r="2491" spans="14:15" x14ac:dyDescent="0.35">
      <c r="N2491" s="108"/>
      <c r="O2491" s="108"/>
    </row>
    <row r="2492" spans="14:15" x14ac:dyDescent="0.35">
      <c r="N2492" s="108"/>
      <c r="O2492" s="108"/>
    </row>
    <row r="2493" spans="14:15" x14ac:dyDescent="0.35">
      <c r="N2493" s="108"/>
      <c r="O2493" s="108"/>
    </row>
    <row r="2494" spans="14:15" x14ac:dyDescent="0.35">
      <c r="N2494" s="108"/>
      <c r="O2494" s="108"/>
    </row>
    <row r="2495" spans="14:15" x14ac:dyDescent="0.35">
      <c r="N2495" s="108"/>
      <c r="O2495" s="108"/>
    </row>
    <row r="2496" spans="14:15" x14ac:dyDescent="0.35">
      <c r="N2496" s="108"/>
      <c r="O2496" s="108"/>
    </row>
    <row r="2497" spans="14:15" x14ac:dyDescent="0.35">
      <c r="N2497" s="108"/>
      <c r="O2497" s="108"/>
    </row>
    <row r="2498" spans="14:15" x14ac:dyDescent="0.35">
      <c r="N2498" s="108"/>
      <c r="O2498" s="108"/>
    </row>
    <row r="2499" spans="14:15" x14ac:dyDescent="0.35">
      <c r="N2499" s="108"/>
      <c r="O2499" s="108"/>
    </row>
    <row r="2500" spans="14:15" x14ac:dyDescent="0.35">
      <c r="N2500" s="108"/>
      <c r="O2500" s="108"/>
    </row>
    <row r="2501" spans="14:15" x14ac:dyDescent="0.35">
      <c r="N2501" s="108"/>
      <c r="O2501" s="108"/>
    </row>
    <row r="2502" spans="14:15" x14ac:dyDescent="0.35">
      <c r="N2502" s="108"/>
      <c r="O2502" s="108"/>
    </row>
    <row r="2503" spans="14:15" x14ac:dyDescent="0.35">
      <c r="N2503" s="108"/>
      <c r="O2503" s="108"/>
    </row>
    <row r="2504" spans="14:15" x14ac:dyDescent="0.35">
      <c r="N2504" s="108"/>
      <c r="O2504" s="108"/>
    </row>
    <row r="2505" spans="14:15" x14ac:dyDescent="0.35">
      <c r="N2505" s="108"/>
      <c r="O2505" s="108"/>
    </row>
    <row r="2506" spans="14:15" x14ac:dyDescent="0.35">
      <c r="N2506" s="108"/>
      <c r="O2506" s="108"/>
    </row>
    <row r="2507" spans="14:15" x14ac:dyDescent="0.35">
      <c r="N2507" s="108"/>
      <c r="O2507" s="108"/>
    </row>
    <row r="2508" spans="14:15" x14ac:dyDescent="0.35">
      <c r="N2508" s="108"/>
      <c r="O2508" s="108"/>
    </row>
    <row r="2509" spans="14:15" x14ac:dyDescent="0.35">
      <c r="N2509" s="108"/>
      <c r="O2509" s="108"/>
    </row>
    <row r="2510" spans="14:15" x14ac:dyDescent="0.35">
      <c r="N2510" s="108"/>
      <c r="O2510" s="108"/>
    </row>
    <row r="2511" spans="14:15" x14ac:dyDescent="0.35">
      <c r="N2511" s="108"/>
      <c r="O2511" s="108"/>
    </row>
    <row r="2512" spans="14:15" x14ac:dyDescent="0.35">
      <c r="N2512" s="108"/>
      <c r="O2512" s="108"/>
    </row>
    <row r="2513" spans="14:15" x14ac:dyDescent="0.35">
      <c r="N2513" s="108"/>
      <c r="O2513" s="108"/>
    </row>
    <row r="2514" spans="14:15" x14ac:dyDescent="0.35">
      <c r="N2514" s="108"/>
      <c r="O2514" s="108"/>
    </row>
    <row r="2515" spans="14:15" x14ac:dyDescent="0.35">
      <c r="N2515" s="108"/>
      <c r="O2515" s="108"/>
    </row>
    <row r="2516" spans="14:15" x14ac:dyDescent="0.35">
      <c r="N2516" s="108"/>
      <c r="O2516" s="108"/>
    </row>
    <row r="2517" spans="14:15" x14ac:dyDescent="0.35">
      <c r="N2517" s="108"/>
      <c r="O2517" s="108"/>
    </row>
    <row r="2518" spans="14:15" x14ac:dyDescent="0.35">
      <c r="N2518" s="108"/>
      <c r="O2518" s="108"/>
    </row>
    <row r="2519" spans="14:15" x14ac:dyDescent="0.35">
      <c r="N2519" s="108"/>
      <c r="O2519" s="108"/>
    </row>
    <row r="2520" spans="14:15" x14ac:dyDescent="0.35">
      <c r="N2520" s="108"/>
      <c r="O2520" s="108"/>
    </row>
    <row r="2521" spans="14:15" x14ac:dyDescent="0.35">
      <c r="N2521" s="108"/>
      <c r="O2521" s="108"/>
    </row>
    <row r="2522" spans="14:15" x14ac:dyDescent="0.35">
      <c r="N2522" s="108"/>
      <c r="O2522" s="108"/>
    </row>
    <row r="2523" spans="14:15" x14ac:dyDescent="0.35">
      <c r="N2523" s="108"/>
      <c r="O2523" s="108"/>
    </row>
    <row r="2524" spans="14:15" x14ac:dyDescent="0.35">
      <c r="N2524" s="108"/>
      <c r="O2524" s="108"/>
    </row>
    <row r="2525" spans="14:15" x14ac:dyDescent="0.35">
      <c r="N2525" s="108"/>
      <c r="O2525" s="108"/>
    </row>
    <row r="2526" spans="14:15" x14ac:dyDescent="0.35">
      <c r="N2526" s="108"/>
      <c r="O2526" s="108"/>
    </row>
    <row r="2527" spans="14:15" x14ac:dyDescent="0.35">
      <c r="N2527" s="108"/>
      <c r="O2527" s="108"/>
    </row>
    <row r="2528" spans="14:15" x14ac:dyDescent="0.35">
      <c r="N2528" s="108"/>
      <c r="O2528" s="108"/>
    </row>
    <row r="2529" spans="14:15" x14ac:dyDescent="0.35">
      <c r="N2529" s="108"/>
      <c r="O2529" s="108"/>
    </row>
    <row r="2530" spans="14:15" x14ac:dyDescent="0.35">
      <c r="N2530" s="108"/>
      <c r="O2530" s="108"/>
    </row>
    <row r="2531" spans="14:15" x14ac:dyDescent="0.35">
      <c r="N2531" s="108"/>
      <c r="O2531" s="108"/>
    </row>
    <row r="2532" spans="14:15" x14ac:dyDescent="0.35">
      <c r="N2532" s="108"/>
      <c r="O2532" s="108"/>
    </row>
    <row r="2533" spans="14:15" x14ac:dyDescent="0.35">
      <c r="N2533" s="108"/>
      <c r="O2533" s="108"/>
    </row>
    <row r="2534" spans="14:15" x14ac:dyDescent="0.35">
      <c r="N2534" s="108"/>
      <c r="O2534" s="108"/>
    </row>
    <row r="2535" spans="14:15" x14ac:dyDescent="0.35">
      <c r="N2535" s="108"/>
      <c r="O2535" s="108"/>
    </row>
    <row r="2536" spans="14:15" x14ac:dyDescent="0.35">
      <c r="N2536" s="108"/>
      <c r="O2536" s="108"/>
    </row>
    <row r="2537" spans="14:15" x14ac:dyDescent="0.35">
      <c r="N2537" s="108"/>
      <c r="O2537" s="108"/>
    </row>
    <row r="2538" spans="14:15" x14ac:dyDescent="0.35">
      <c r="N2538" s="108"/>
      <c r="O2538" s="108"/>
    </row>
    <row r="2539" spans="14:15" x14ac:dyDescent="0.35">
      <c r="N2539" s="108"/>
      <c r="O2539" s="108"/>
    </row>
    <row r="2540" spans="14:15" x14ac:dyDescent="0.35">
      <c r="N2540" s="108"/>
      <c r="O2540" s="108"/>
    </row>
    <row r="2541" spans="14:15" x14ac:dyDescent="0.35">
      <c r="N2541" s="108"/>
      <c r="O2541" s="108"/>
    </row>
    <row r="2542" spans="14:15" x14ac:dyDescent="0.35">
      <c r="N2542" s="108"/>
      <c r="O2542" s="108"/>
    </row>
    <row r="2543" spans="14:15" x14ac:dyDescent="0.35">
      <c r="N2543" s="108"/>
      <c r="O2543" s="108"/>
    </row>
    <row r="2544" spans="14:15" x14ac:dyDescent="0.35">
      <c r="N2544" s="108"/>
      <c r="O2544" s="108"/>
    </row>
    <row r="2545" spans="14:15" x14ac:dyDescent="0.35">
      <c r="N2545" s="108"/>
      <c r="O2545" s="108"/>
    </row>
    <row r="2546" spans="14:15" x14ac:dyDescent="0.35">
      <c r="N2546" s="108"/>
      <c r="O2546" s="108"/>
    </row>
    <row r="2547" spans="14:15" x14ac:dyDescent="0.35">
      <c r="N2547" s="108"/>
      <c r="O2547" s="108"/>
    </row>
    <row r="2548" spans="14:15" x14ac:dyDescent="0.35">
      <c r="N2548" s="108"/>
      <c r="O2548" s="108"/>
    </row>
    <row r="2549" spans="14:15" x14ac:dyDescent="0.35">
      <c r="N2549" s="108"/>
      <c r="O2549" s="108"/>
    </row>
    <row r="2550" spans="14:15" x14ac:dyDescent="0.35">
      <c r="N2550" s="108"/>
      <c r="O2550" s="108"/>
    </row>
    <row r="2551" spans="14:15" x14ac:dyDescent="0.35">
      <c r="N2551" s="108"/>
      <c r="O2551" s="108"/>
    </row>
    <row r="2552" spans="14:15" x14ac:dyDescent="0.35">
      <c r="N2552" s="108"/>
      <c r="O2552" s="108"/>
    </row>
    <row r="2553" spans="14:15" x14ac:dyDescent="0.35">
      <c r="N2553" s="108"/>
      <c r="O2553" s="108"/>
    </row>
    <row r="2554" spans="14:15" x14ac:dyDescent="0.35">
      <c r="N2554" s="108"/>
      <c r="O2554" s="108"/>
    </row>
    <row r="2555" spans="14:15" x14ac:dyDescent="0.35">
      <c r="N2555" s="108"/>
      <c r="O2555" s="108"/>
    </row>
    <row r="2556" spans="14:15" x14ac:dyDescent="0.35">
      <c r="N2556" s="108"/>
      <c r="O2556" s="108"/>
    </row>
    <row r="2557" spans="14:15" x14ac:dyDescent="0.35">
      <c r="N2557" s="108"/>
      <c r="O2557" s="108"/>
    </row>
    <row r="2558" spans="14:15" x14ac:dyDescent="0.35">
      <c r="N2558" s="108"/>
      <c r="O2558" s="108"/>
    </row>
    <row r="2559" spans="14:15" x14ac:dyDescent="0.35">
      <c r="N2559" s="108"/>
      <c r="O2559" s="108"/>
    </row>
    <row r="2560" spans="14:15" x14ac:dyDescent="0.35">
      <c r="N2560" s="108"/>
      <c r="O2560" s="108"/>
    </row>
    <row r="2561" spans="14:15" x14ac:dyDescent="0.35">
      <c r="N2561" s="108"/>
      <c r="O2561" s="108"/>
    </row>
    <row r="2562" spans="14:15" x14ac:dyDescent="0.35">
      <c r="N2562" s="108"/>
      <c r="O2562" s="108"/>
    </row>
    <row r="2563" spans="14:15" x14ac:dyDescent="0.35">
      <c r="N2563" s="108"/>
      <c r="O2563" s="108"/>
    </row>
    <row r="2564" spans="14:15" x14ac:dyDescent="0.35">
      <c r="N2564" s="108"/>
      <c r="O2564" s="108"/>
    </row>
    <row r="2565" spans="14:15" x14ac:dyDescent="0.35">
      <c r="N2565" s="108"/>
      <c r="O2565" s="108"/>
    </row>
    <row r="2566" spans="14:15" x14ac:dyDescent="0.35">
      <c r="N2566" s="108"/>
      <c r="O2566" s="108"/>
    </row>
    <row r="2567" spans="14:15" x14ac:dyDescent="0.35">
      <c r="N2567" s="108"/>
      <c r="O2567" s="108"/>
    </row>
    <row r="2568" spans="14:15" x14ac:dyDescent="0.35">
      <c r="N2568" s="108"/>
      <c r="O2568" s="108"/>
    </row>
    <row r="2569" spans="14:15" x14ac:dyDescent="0.35">
      <c r="N2569" s="108"/>
      <c r="O2569" s="108"/>
    </row>
    <row r="2570" spans="14:15" x14ac:dyDescent="0.35">
      <c r="N2570" s="108"/>
      <c r="O2570" s="108"/>
    </row>
    <row r="2571" spans="14:15" x14ac:dyDescent="0.35">
      <c r="N2571" s="108"/>
      <c r="O2571" s="108"/>
    </row>
    <row r="2572" spans="14:15" x14ac:dyDescent="0.35">
      <c r="N2572" s="108"/>
      <c r="O2572" s="108"/>
    </row>
    <row r="2573" spans="14:15" x14ac:dyDescent="0.35">
      <c r="N2573" s="108"/>
      <c r="O2573" s="108"/>
    </row>
    <row r="2574" spans="14:15" x14ac:dyDescent="0.35">
      <c r="N2574" s="108"/>
      <c r="O2574" s="108"/>
    </row>
    <row r="2575" spans="14:15" x14ac:dyDescent="0.35">
      <c r="N2575" s="108"/>
      <c r="O2575" s="108"/>
    </row>
    <row r="2576" spans="14:15" x14ac:dyDescent="0.35">
      <c r="N2576" s="108"/>
      <c r="O2576" s="108"/>
    </row>
    <row r="2577" spans="14:15" x14ac:dyDescent="0.35">
      <c r="N2577" s="108"/>
      <c r="O2577" s="108"/>
    </row>
    <row r="2578" spans="14:15" x14ac:dyDescent="0.35">
      <c r="N2578" s="108"/>
      <c r="O2578" s="108"/>
    </row>
    <row r="2579" spans="14:15" x14ac:dyDescent="0.35">
      <c r="N2579" s="108"/>
      <c r="O2579" s="108"/>
    </row>
    <row r="2580" spans="14:15" x14ac:dyDescent="0.35">
      <c r="N2580" s="108"/>
      <c r="O2580" s="108"/>
    </row>
    <row r="2581" spans="14:15" x14ac:dyDescent="0.35">
      <c r="N2581" s="108"/>
      <c r="O2581" s="108"/>
    </row>
    <row r="2582" spans="14:15" x14ac:dyDescent="0.35">
      <c r="N2582" s="108"/>
      <c r="O2582" s="108"/>
    </row>
    <row r="2583" spans="14:15" x14ac:dyDescent="0.35">
      <c r="N2583" s="108"/>
      <c r="O2583" s="108"/>
    </row>
    <row r="2584" spans="14:15" x14ac:dyDescent="0.35">
      <c r="N2584" s="108"/>
      <c r="O2584" s="108"/>
    </row>
    <row r="2585" spans="14:15" x14ac:dyDescent="0.35">
      <c r="N2585" s="108"/>
      <c r="O2585" s="108"/>
    </row>
    <row r="2586" spans="14:15" x14ac:dyDescent="0.35">
      <c r="N2586" s="108"/>
      <c r="O2586" s="108"/>
    </row>
    <row r="2587" spans="14:15" x14ac:dyDescent="0.35">
      <c r="N2587" s="108"/>
      <c r="O2587" s="108"/>
    </row>
    <row r="2588" spans="14:15" x14ac:dyDescent="0.35">
      <c r="N2588" s="108"/>
      <c r="O2588" s="108"/>
    </row>
    <row r="2589" spans="14:15" x14ac:dyDescent="0.35">
      <c r="N2589" s="108"/>
      <c r="O2589" s="108"/>
    </row>
    <row r="2590" spans="14:15" x14ac:dyDescent="0.35">
      <c r="N2590" s="108"/>
      <c r="O2590" s="108"/>
    </row>
    <row r="2591" spans="14:15" x14ac:dyDescent="0.35">
      <c r="N2591" s="108"/>
      <c r="O2591" s="108"/>
    </row>
    <row r="2592" spans="14:15" x14ac:dyDescent="0.35">
      <c r="N2592" s="108"/>
      <c r="O2592" s="108"/>
    </row>
    <row r="2593" spans="14:15" x14ac:dyDescent="0.35">
      <c r="N2593" s="108"/>
      <c r="O2593" s="108"/>
    </row>
    <row r="2594" spans="14:15" x14ac:dyDescent="0.35">
      <c r="N2594" s="108"/>
      <c r="O2594" s="108"/>
    </row>
    <row r="2595" spans="14:15" x14ac:dyDescent="0.35">
      <c r="N2595" s="108"/>
      <c r="O2595" s="108"/>
    </row>
    <row r="2596" spans="14:15" x14ac:dyDescent="0.35">
      <c r="N2596" s="108"/>
      <c r="O2596" s="108"/>
    </row>
    <row r="2597" spans="14:15" x14ac:dyDescent="0.35">
      <c r="N2597" s="108"/>
      <c r="O2597" s="108"/>
    </row>
    <row r="2598" spans="14:15" x14ac:dyDescent="0.35">
      <c r="N2598" s="108"/>
      <c r="O2598" s="108"/>
    </row>
    <row r="2599" spans="14:15" x14ac:dyDescent="0.35">
      <c r="N2599" s="108"/>
      <c r="O2599" s="108"/>
    </row>
    <row r="2600" spans="14:15" x14ac:dyDescent="0.35">
      <c r="N2600" s="108"/>
      <c r="O2600" s="108"/>
    </row>
    <row r="2601" spans="14:15" x14ac:dyDescent="0.35">
      <c r="N2601" s="108"/>
      <c r="O2601" s="108"/>
    </row>
    <row r="2602" spans="14:15" x14ac:dyDescent="0.35">
      <c r="N2602" s="108"/>
      <c r="O2602" s="108"/>
    </row>
    <row r="2603" spans="14:15" x14ac:dyDescent="0.35">
      <c r="N2603" s="108"/>
      <c r="O2603" s="108"/>
    </row>
    <row r="2604" spans="14:15" x14ac:dyDescent="0.35">
      <c r="N2604" s="108"/>
      <c r="O2604" s="108"/>
    </row>
    <row r="2605" spans="14:15" x14ac:dyDescent="0.35">
      <c r="N2605" s="108"/>
      <c r="O2605" s="108"/>
    </row>
    <row r="2606" spans="14:15" x14ac:dyDescent="0.35">
      <c r="N2606" s="108"/>
      <c r="O2606" s="108"/>
    </row>
    <row r="2607" spans="14:15" x14ac:dyDescent="0.35">
      <c r="N2607" s="108"/>
      <c r="O2607" s="108"/>
    </row>
    <row r="2608" spans="14:15" x14ac:dyDescent="0.35">
      <c r="N2608" s="108"/>
      <c r="O2608" s="108"/>
    </row>
    <row r="2609" spans="14:15" x14ac:dyDescent="0.35">
      <c r="N2609" s="108"/>
      <c r="O2609" s="108"/>
    </row>
    <row r="2610" spans="14:15" x14ac:dyDescent="0.35">
      <c r="N2610" s="108"/>
      <c r="O2610" s="108"/>
    </row>
    <row r="2611" spans="14:15" x14ac:dyDescent="0.35">
      <c r="N2611" s="108"/>
      <c r="O2611" s="108"/>
    </row>
    <row r="2612" spans="14:15" x14ac:dyDescent="0.35">
      <c r="N2612" s="108"/>
      <c r="O2612" s="108"/>
    </row>
    <row r="2613" spans="14:15" x14ac:dyDescent="0.35">
      <c r="N2613" s="108"/>
      <c r="O2613" s="108"/>
    </row>
    <row r="2614" spans="14:15" x14ac:dyDescent="0.35">
      <c r="N2614" s="108"/>
      <c r="O2614" s="108"/>
    </row>
    <row r="2615" spans="14:15" x14ac:dyDescent="0.35">
      <c r="N2615" s="108"/>
      <c r="O2615" s="108"/>
    </row>
    <row r="2616" spans="14:15" x14ac:dyDescent="0.35">
      <c r="N2616" s="108"/>
      <c r="O2616" s="108"/>
    </row>
    <row r="2617" spans="14:15" x14ac:dyDescent="0.35">
      <c r="N2617" s="108"/>
      <c r="O2617" s="108"/>
    </row>
    <row r="2618" spans="14:15" x14ac:dyDescent="0.35">
      <c r="N2618" s="108"/>
      <c r="O2618" s="108"/>
    </row>
    <row r="2619" spans="14:15" x14ac:dyDescent="0.35">
      <c r="N2619" s="108"/>
      <c r="O2619" s="108"/>
    </row>
    <row r="2620" spans="14:15" x14ac:dyDescent="0.35">
      <c r="N2620" s="108"/>
      <c r="O2620" s="108"/>
    </row>
    <row r="2621" spans="14:15" x14ac:dyDescent="0.35">
      <c r="N2621" s="108"/>
      <c r="O2621" s="108"/>
    </row>
    <row r="2622" spans="14:15" x14ac:dyDescent="0.35">
      <c r="N2622" s="108"/>
      <c r="O2622" s="108"/>
    </row>
    <row r="2623" spans="14:15" x14ac:dyDescent="0.35">
      <c r="N2623" s="108"/>
      <c r="O2623" s="108"/>
    </row>
    <row r="2624" spans="14:15" x14ac:dyDescent="0.35">
      <c r="N2624" s="108"/>
      <c r="O2624" s="108"/>
    </row>
    <row r="2625" spans="14:15" x14ac:dyDescent="0.35">
      <c r="N2625" s="108"/>
      <c r="O2625" s="108"/>
    </row>
    <row r="2626" spans="14:15" x14ac:dyDescent="0.35">
      <c r="N2626" s="108"/>
      <c r="O2626" s="108"/>
    </row>
    <row r="2627" spans="14:15" x14ac:dyDescent="0.35">
      <c r="N2627" s="108"/>
      <c r="O2627" s="108"/>
    </row>
    <row r="2628" spans="14:15" x14ac:dyDescent="0.35">
      <c r="N2628" s="108"/>
      <c r="O2628" s="108"/>
    </row>
    <row r="2629" spans="14:15" x14ac:dyDescent="0.35">
      <c r="N2629" s="108"/>
      <c r="O2629" s="108"/>
    </row>
    <row r="2630" spans="14:15" x14ac:dyDescent="0.35">
      <c r="N2630" s="108"/>
      <c r="O2630" s="108"/>
    </row>
    <row r="2631" spans="14:15" x14ac:dyDescent="0.35">
      <c r="N2631" s="108"/>
      <c r="O2631" s="108"/>
    </row>
    <row r="2632" spans="14:15" x14ac:dyDescent="0.35">
      <c r="N2632" s="108"/>
      <c r="O2632" s="108"/>
    </row>
    <row r="2633" spans="14:15" x14ac:dyDescent="0.35">
      <c r="N2633" s="108"/>
      <c r="O2633" s="108"/>
    </row>
    <row r="2634" spans="14:15" x14ac:dyDescent="0.35">
      <c r="N2634" s="108"/>
      <c r="O2634" s="108"/>
    </row>
    <row r="2635" spans="14:15" x14ac:dyDescent="0.35">
      <c r="N2635" s="108"/>
      <c r="O2635" s="108"/>
    </row>
    <row r="2636" spans="14:15" x14ac:dyDescent="0.35">
      <c r="N2636" s="108"/>
      <c r="O2636" s="108"/>
    </row>
    <row r="2637" spans="14:15" x14ac:dyDescent="0.35">
      <c r="N2637" s="108"/>
      <c r="O2637" s="108"/>
    </row>
    <row r="2638" spans="14:15" x14ac:dyDescent="0.35">
      <c r="N2638" s="108"/>
      <c r="O2638" s="108"/>
    </row>
    <row r="2639" spans="14:15" x14ac:dyDescent="0.35">
      <c r="N2639" s="108"/>
      <c r="O2639" s="108"/>
    </row>
    <row r="2640" spans="14:15" x14ac:dyDescent="0.35">
      <c r="N2640" s="108"/>
      <c r="O2640" s="108"/>
    </row>
    <row r="2641" spans="14:15" x14ac:dyDescent="0.35">
      <c r="N2641" s="108"/>
      <c r="O2641" s="108"/>
    </row>
    <row r="2642" spans="14:15" x14ac:dyDescent="0.35">
      <c r="N2642" s="108"/>
      <c r="O2642" s="108"/>
    </row>
    <row r="2643" spans="14:15" x14ac:dyDescent="0.35">
      <c r="N2643" s="108"/>
      <c r="O2643" s="108"/>
    </row>
    <row r="2644" spans="14:15" x14ac:dyDescent="0.35">
      <c r="N2644" s="108"/>
      <c r="O2644" s="108"/>
    </row>
    <row r="2645" spans="14:15" x14ac:dyDescent="0.35">
      <c r="N2645" s="108"/>
      <c r="O2645" s="108"/>
    </row>
    <row r="2646" spans="14:15" x14ac:dyDescent="0.35">
      <c r="N2646" s="108"/>
      <c r="O2646" s="108"/>
    </row>
    <row r="2647" spans="14:15" x14ac:dyDescent="0.35">
      <c r="N2647" s="108"/>
      <c r="O2647" s="108"/>
    </row>
    <row r="2648" spans="14:15" x14ac:dyDescent="0.35">
      <c r="N2648" s="108"/>
      <c r="O2648" s="108"/>
    </row>
    <row r="2649" spans="14:15" x14ac:dyDescent="0.35">
      <c r="N2649" s="108"/>
      <c r="O2649" s="108"/>
    </row>
    <row r="2650" spans="14:15" x14ac:dyDescent="0.35">
      <c r="N2650" s="108"/>
      <c r="O2650" s="108"/>
    </row>
    <row r="2651" spans="14:15" x14ac:dyDescent="0.35">
      <c r="N2651" s="108"/>
      <c r="O2651" s="108"/>
    </row>
    <row r="2652" spans="14:15" x14ac:dyDescent="0.35">
      <c r="N2652" s="108"/>
      <c r="O2652" s="108"/>
    </row>
    <row r="2653" spans="14:15" x14ac:dyDescent="0.35">
      <c r="N2653" s="108"/>
      <c r="O2653" s="108"/>
    </row>
    <row r="2654" spans="14:15" x14ac:dyDescent="0.35">
      <c r="N2654" s="108"/>
      <c r="O2654" s="108"/>
    </row>
    <row r="2655" spans="14:15" x14ac:dyDescent="0.35">
      <c r="N2655" s="108"/>
      <c r="O2655" s="108"/>
    </row>
    <row r="2656" spans="14:15" x14ac:dyDescent="0.35">
      <c r="N2656" s="108"/>
      <c r="O2656" s="108"/>
    </row>
    <row r="2657" spans="14:15" x14ac:dyDescent="0.35">
      <c r="N2657" s="108"/>
      <c r="O2657" s="108"/>
    </row>
    <row r="2658" spans="14:15" x14ac:dyDescent="0.35">
      <c r="N2658" s="108"/>
      <c r="O2658" s="108"/>
    </row>
    <row r="2659" spans="14:15" x14ac:dyDescent="0.35">
      <c r="N2659" s="108"/>
      <c r="O2659" s="108"/>
    </row>
    <row r="2660" spans="14:15" x14ac:dyDescent="0.35">
      <c r="N2660" s="108"/>
      <c r="O2660" s="108"/>
    </row>
    <row r="2661" spans="14:15" x14ac:dyDescent="0.35">
      <c r="N2661" s="108"/>
      <c r="O2661" s="108"/>
    </row>
    <row r="2662" spans="14:15" x14ac:dyDescent="0.35">
      <c r="N2662" s="108"/>
      <c r="O2662" s="108"/>
    </row>
    <row r="2663" spans="14:15" x14ac:dyDescent="0.35">
      <c r="N2663" s="108"/>
      <c r="O2663" s="108"/>
    </row>
    <row r="2664" spans="14:15" x14ac:dyDescent="0.35">
      <c r="N2664" s="108"/>
      <c r="O2664" s="108"/>
    </row>
    <row r="2665" spans="14:15" x14ac:dyDescent="0.35">
      <c r="N2665" s="108"/>
      <c r="O2665" s="108"/>
    </row>
    <row r="2666" spans="14:15" x14ac:dyDescent="0.35">
      <c r="N2666" s="108"/>
      <c r="O2666" s="108"/>
    </row>
    <row r="2667" spans="14:15" x14ac:dyDescent="0.35">
      <c r="N2667" s="108"/>
      <c r="O2667" s="108"/>
    </row>
    <row r="2668" spans="14:15" x14ac:dyDescent="0.35">
      <c r="N2668" s="108"/>
      <c r="O2668" s="108"/>
    </row>
    <row r="2669" spans="14:15" x14ac:dyDescent="0.35">
      <c r="N2669" s="108"/>
      <c r="O2669" s="108"/>
    </row>
    <row r="2670" spans="14:15" x14ac:dyDescent="0.35">
      <c r="N2670" s="108"/>
      <c r="O2670" s="108"/>
    </row>
    <row r="2671" spans="14:15" x14ac:dyDescent="0.35">
      <c r="N2671" s="108"/>
      <c r="O2671" s="108"/>
    </row>
    <row r="2672" spans="14:15" x14ac:dyDescent="0.35">
      <c r="N2672" s="108"/>
      <c r="O2672" s="108"/>
    </row>
    <row r="2673" spans="14:15" x14ac:dyDescent="0.35">
      <c r="N2673" s="108"/>
      <c r="O2673" s="108"/>
    </row>
    <row r="2674" spans="14:15" x14ac:dyDescent="0.35">
      <c r="N2674" s="108"/>
      <c r="O2674" s="108"/>
    </row>
    <row r="2675" spans="14:15" x14ac:dyDescent="0.35">
      <c r="N2675" s="108"/>
      <c r="O2675" s="108"/>
    </row>
    <row r="2676" spans="14:15" x14ac:dyDescent="0.35">
      <c r="N2676" s="108"/>
      <c r="O2676" s="108"/>
    </row>
    <row r="2677" spans="14:15" x14ac:dyDescent="0.35">
      <c r="N2677" s="108"/>
      <c r="O2677" s="108"/>
    </row>
    <row r="2678" spans="14:15" x14ac:dyDescent="0.35">
      <c r="N2678" s="108"/>
      <c r="O2678" s="108"/>
    </row>
    <row r="2679" spans="14:15" x14ac:dyDescent="0.35">
      <c r="N2679" s="108"/>
      <c r="O2679" s="108"/>
    </row>
    <row r="2680" spans="14:15" x14ac:dyDescent="0.35">
      <c r="N2680" s="108"/>
      <c r="O2680" s="108"/>
    </row>
    <row r="2681" spans="14:15" x14ac:dyDescent="0.35">
      <c r="N2681" s="108"/>
      <c r="O2681" s="108"/>
    </row>
    <row r="2682" spans="14:15" x14ac:dyDescent="0.35">
      <c r="N2682" s="108"/>
      <c r="O2682" s="108"/>
    </row>
    <row r="2683" spans="14:15" x14ac:dyDescent="0.35">
      <c r="N2683" s="108"/>
      <c r="O2683" s="108"/>
    </row>
    <row r="2684" spans="14:15" x14ac:dyDescent="0.35">
      <c r="N2684" s="108"/>
      <c r="O2684" s="108"/>
    </row>
    <row r="2685" spans="14:15" x14ac:dyDescent="0.35">
      <c r="N2685" s="108"/>
      <c r="O2685" s="108"/>
    </row>
    <row r="2686" spans="14:15" x14ac:dyDescent="0.35">
      <c r="N2686" s="108"/>
      <c r="O2686" s="108"/>
    </row>
    <row r="2687" spans="14:15" x14ac:dyDescent="0.35">
      <c r="N2687" s="108"/>
      <c r="O2687" s="108"/>
    </row>
    <row r="2688" spans="14:15" x14ac:dyDescent="0.35">
      <c r="N2688" s="108"/>
      <c r="O2688" s="108"/>
    </row>
    <row r="2689" spans="14:15" x14ac:dyDescent="0.35">
      <c r="N2689" s="108"/>
      <c r="O2689" s="108"/>
    </row>
    <row r="2690" spans="14:15" x14ac:dyDescent="0.35">
      <c r="N2690" s="108"/>
      <c r="O2690" s="108"/>
    </row>
    <row r="2691" spans="14:15" x14ac:dyDescent="0.35">
      <c r="N2691" s="108"/>
      <c r="O2691" s="108"/>
    </row>
    <row r="2692" spans="14:15" x14ac:dyDescent="0.35">
      <c r="N2692" s="108"/>
      <c r="O2692" s="108"/>
    </row>
    <row r="2693" spans="14:15" x14ac:dyDescent="0.35">
      <c r="N2693" s="108"/>
      <c r="O2693" s="108"/>
    </row>
    <row r="2694" spans="14:15" x14ac:dyDescent="0.35">
      <c r="N2694" s="108"/>
      <c r="O2694" s="108"/>
    </row>
    <row r="2695" spans="14:15" x14ac:dyDescent="0.35">
      <c r="N2695" s="108"/>
      <c r="O2695" s="108"/>
    </row>
    <row r="2696" spans="14:15" x14ac:dyDescent="0.35">
      <c r="N2696" s="108"/>
      <c r="O2696" s="108"/>
    </row>
    <row r="2697" spans="14:15" x14ac:dyDescent="0.35">
      <c r="N2697" s="108"/>
      <c r="O2697" s="108"/>
    </row>
    <row r="2698" spans="14:15" x14ac:dyDescent="0.35">
      <c r="N2698" s="108"/>
      <c r="O2698" s="108"/>
    </row>
    <row r="2699" spans="14:15" x14ac:dyDescent="0.35">
      <c r="N2699" s="108"/>
      <c r="O2699" s="108"/>
    </row>
    <row r="2700" spans="14:15" x14ac:dyDescent="0.35">
      <c r="N2700" s="108"/>
      <c r="O2700" s="108"/>
    </row>
    <row r="2701" spans="14:15" x14ac:dyDescent="0.35">
      <c r="N2701" s="108"/>
      <c r="O2701" s="108"/>
    </row>
    <row r="2702" spans="14:15" x14ac:dyDescent="0.35">
      <c r="N2702" s="108"/>
      <c r="O2702" s="108"/>
    </row>
    <row r="2703" spans="14:15" x14ac:dyDescent="0.35">
      <c r="N2703" s="108"/>
      <c r="O2703" s="108"/>
    </row>
    <row r="2704" spans="14:15" x14ac:dyDescent="0.35">
      <c r="N2704" s="108"/>
      <c r="O2704" s="108"/>
    </row>
    <row r="2705" spans="14:15" x14ac:dyDescent="0.35">
      <c r="N2705" s="108"/>
      <c r="O2705" s="108"/>
    </row>
    <row r="2706" spans="14:15" x14ac:dyDescent="0.35">
      <c r="N2706" s="108"/>
      <c r="O2706" s="108"/>
    </row>
    <row r="2707" spans="14:15" x14ac:dyDescent="0.35">
      <c r="N2707" s="108"/>
      <c r="O2707" s="108"/>
    </row>
    <row r="2708" spans="14:15" x14ac:dyDescent="0.35">
      <c r="N2708" s="108"/>
      <c r="O2708" s="108"/>
    </row>
    <row r="2709" spans="14:15" x14ac:dyDescent="0.35">
      <c r="N2709" s="108"/>
      <c r="O2709" s="108"/>
    </row>
    <row r="2710" spans="14:15" x14ac:dyDescent="0.35">
      <c r="N2710" s="108"/>
      <c r="O2710" s="108"/>
    </row>
    <row r="2711" spans="14:15" x14ac:dyDescent="0.35">
      <c r="N2711" s="108"/>
      <c r="O2711" s="108"/>
    </row>
    <row r="2712" spans="14:15" x14ac:dyDescent="0.35">
      <c r="N2712" s="108"/>
      <c r="O2712" s="108"/>
    </row>
    <row r="2713" spans="14:15" x14ac:dyDescent="0.35">
      <c r="N2713" s="108"/>
      <c r="O2713" s="108"/>
    </row>
    <row r="2714" spans="14:15" x14ac:dyDescent="0.35">
      <c r="N2714" s="108"/>
      <c r="O2714" s="108"/>
    </row>
    <row r="2715" spans="14:15" x14ac:dyDescent="0.35">
      <c r="N2715" s="108"/>
      <c r="O2715" s="108"/>
    </row>
    <row r="2716" spans="14:15" x14ac:dyDescent="0.35">
      <c r="N2716" s="108"/>
      <c r="O2716" s="108"/>
    </row>
    <row r="2717" spans="14:15" x14ac:dyDescent="0.35">
      <c r="N2717" s="108"/>
      <c r="O2717" s="108"/>
    </row>
    <row r="2718" spans="14:15" x14ac:dyDescent="0.35">
      <c r="N2718" s="108"/>
      <c r="O2718" s="108"/>
    </row>
    <row r="2719" spans="14:15" x14ac:dyDescent="0.35">
      <c r="N2719" s="108"/>
      <c r="O2719" s="108"/>
    </row>
    <row r="2720" spans="14:15" x14ac:dyDescent="0.35">
      <c r="N2720" s="108"/>
      <c r="O2720" s="108"/>
    </row>
    <row r="2721" spans="14:15" x14ac:dyDescent="0.35">
      <c r="N2721" s="108"/>
      <c r="O2721" s="108"/>
    </row>
    <row r="2722" spans="14:15" x14ac:dyDescent="0.35">
      <c r="N2722" s="108"/>
      <c r="O2722" s="108"/>
    </row>
    <row r="2723" spans="14:15" x14ac:dyDescent="0.35">
      <c r="N2723" s="108"/>
      <c r="O2723" s="108"/>
    </row>
    <row r="2724" spans="14:15" x14ac:dyDescent="0.35">
      <c r="N2724" s="108"/>
      <c r="O2724" s="108"/>
    </row>
    <row r="2725" spans="14:15" x14ac:dyDescent="0.35">
      <c r="N2725" s="108"/>
      <c r="O2725" s="108"/>
    </row>
    <row r="2726" spans="14:15" x14ac:dyDescent="0.35">
      <c r="N2726" s="108"/>
      <c r="O2726" s="108"/>
    </row>
    <row r="2727" spans="14:15" x14ac:dyDescent="0.35">
      <c r="N2727" s="108"/>
      <c r="O2727" s="108"/>
    </row>
    <row r="2728" spans="14:15" x14ac:dyDescent="0.35">
      <c r="N2728" s="108"/>
      <c r="O2728" s="108"/>
    </row>
    <row r="2729" spans="14:15" x14ac:dyDescent="0.35">
      <c r="N2729" s="108"/>
      <c r="O2729" s="108"/>
    </row>
    <row r="2730" spans="14:15" x14ac:dyDescent="0.35">
      <c r="N2730" s="108"/>
      <c r="O2730" s="108"/>
    </row>
    <row r="2731" spans="14:15" x14ac:dyDescent="0.35">
      <c r="N2731" s="108"/>
      <c r="O2731" s="108"/>
    </row>
    <row r="2732" spans="14:15" x14ac:dyDescent="0.35">
      <c r="N2732" s="108"/>
      <c r="O2732" s="108"/>
    </row>
    <row r="2733" spans="14:15" x14ac:dyDescent="0.35">
      <c r="N2733" s="108"/>
      <c r="O2733" s="108"/>
    </row>
    <row r="2734" spans="14:15" x14ac:dyDescent="0.35">
      <c r="N2734" s="108"/>
      <c r="O2734" s="108"/>
    </row>
    <row r="2735" spans="14:15" x14ac:dyDescent="0.35">
      <c r="N2735" s="108"/>
      <c r="O2735" s="108"/>
    </row>
    <row r="2736" spans="14:15" x14ac:dyDescent="0.35">
      <c r="N2736" s="108"/>
      <c r="O2736" s="108"/>
    </row>
    <row r="2737" spans="14:15" x14ac:dyDescent="0.35">
      <c r="N2737" s="108"/>
      <c r="O2737" s="108"/>
    </row>
    <row r="2738" spans="14:15" x14ac:dyDescent="0.35">
      <c r="N2738" s="108"/>
      <c r="O2738" s="108"/>
    </row>
    <row r="2739" spans="14:15" x14ac:dyDescent="0.35">
      <c r="N2739" s="108"/>
      <c r="O2739" s="108"/>
    </row>
    <row r="2740" spans="14:15" x14ac:dyDescent="0.35">
      <c r="N2740" s="108"/>
      <c r="O2740" s="108"/>
    </row>
    <row r="2741" spans="14:15" x14ac:dyDescent="0.35">
      <c r="N2741" s="108"/>
      <c r="O2741" s="108"/>
    </row>
    <row r="2742" spans="14:15" x14ac:dyDescent="0.35">
      <c r="N2742" s="108"/>
      <c r="O2742" s="108"/>
    </row>
    <row r="2743" spans="14:15" x14ac:dyDescent="0.35">
      <c r="N2743" s="108"/>
      <c r="O2743" s="108"/>
    </row>
    <row r="2744" spans="14:15" x14ac:dyDescent="0.35">
      <c r="N2744" s="108"/>
      <c r="O2744" s="108"/>
    </row>
    <row r="2745" spans="14:15" x14ac:dyDescent="0.35">
      <c r="N2745" s="108"/>
      <c r="O2745" s="108"/>
    </row>
    <row r="2746" spans="14:15" x14ac:dyDescent="0.35">
      <c r="N2746" s="108"/>
      <c r="O2746" s="108"/>
    </row>
    <row r="2747" spans="14:15" x14ac:dyDescent="0.35">
      <c r="N2747" s="108"/>
      <c r="O2747" s="108"/>
    </row>
    <row r="2748" spans="14:15" x14ac:dyDescent="0.35">
      <c r="N2748" s="108"/>
      <c r="O2748" s="108"/>
    </row>
    <row r="2749" spans="14:15" x14ac:dyDescent="0.35">
      <c r="N2749" s="108"/>
      <c r="O2749" s="108"/>
    </row>
    <row r="2750" spans="14:15" x14ac:dyDescent="0.35">
      <c r="N2750" s="108"/>
      <c r="O2750" s="108"/>
    </row>
    <row r="2751" spans="14:15" x14ac:dyDescent="0.35">
      <c r="N2751" s="108"/>
      <c r="O2751" s="108"/>
    </row>
    <row r="2752" spans="14:15" x14ac:dyDescent="0.35">
      <c r="N2752" s="108"/>
      <c r="O2752" s="108"/>
    </row>
    <row r="2753" spans="14:15" x14ac:dyDescent="0.35">
      <c r="N2753" s="108"/>
      <c r="O2753" s="108"/>
    </row>
    <row r="2754" spans="14:15" x14ac:dyDescent="0.35">
      <c r="N2754" s="108"/>
      <c r="O2754" s="108"/>
    </row>
    <row r="2755" spans="14:15" x14ac:dyDescent="0.35">
      <c r="N2755" s="108"/>
      <c r="O2755" s="108"/>
    </row>
    <row r="2756" spans="14:15" x14ac:dyDescent="0.35">
      <c r="N2756" s="108"/>
      <c r="O2756" s="108"/>
    </row>
    <row r="2757" spans="14:15" x14ac:dyDescent="0.35">
      <c r="N2757" s="108"/>
      <c r="O2757" s="108"/>
    </row>
    <row r="2758" spans="14:15" x14ac:dyDescent="0.35">
      <c r="N2758" s="108"/>
      <c r="O2758" s="108"/>
    </row>
    <row r="2759" spans="14:15" x14ac:dyDescent="0.35">
      <c r="N2759" s="108"/>
      <c r="O2759" s="108"/>
    </row>
    <row r="2760" spans="14:15" x14ac:dyDescent="0.35">
      <c r="N2760" s="108"/>
      <c r="O2760" s="108"/>
    </row>
    <row r="2761" spans="14:15" x14ac:dyDescent="0.35">
      <c r="N2761" s="108"/>
      <c r="O2761" s="108"/>
    </row>
    <row r="2762" spans="14:15" x14ac:dyDescent="0.35">
      <c r="N2762" s="108"/>
      <c r="O2762" s="108"/>
    </row>
    <row r="2763" spans="14:15" x14ac:dyDescent="0.35">
      <c r="N2763" s="108"/>
      <c r="O2763" s="108"/>
    </row>
    <row r="2764" spans="14:15" x14ac:dyDescent="0.35">
      <c r="N2764" s="108"/>
      <c r="O2764" s="108"/>
    </row>
    <row r="2765" spans="14:15" x14ac:dyDescent="0.35">
      <c r="N2765" s="108"/>
      <c r="O2765" s="108"/>
    </row>
    <row r="2766" spans="14:15" x14ac:dyDescent="0.35">
      <c r="N2766" s="108"/>
      <c r="O2766" s="108"/>
    </row>
    <row r="2767" spans="14:15" x14ac:dyDescent="0.35">
      <c r="N2767" s="108"/>
      <c r="O2767" s="108"/>
    </row>
    <row r="2768" spans="14:15" x14ac:dyDescent="0.35">
      <c r="N2768" s="108"/>
      <c r="O2768" s="108"/>
    </row>
    <row r="2769" spans="14:15" x14ac:dyDescent="0.35">
      <c r="N2769" s="108"/>
      <c r="O2769" s="108"/>
    </row>
    <row r="2770" spans="14:15" x14ac:dyDescent="0.35">
      <c r="N2770" s="108"/>
      <c r="O2770" s="108"/>
    </row>
    <row r="2771" spans="14:15" x14ac:dyDescent="0.35">
      <c r="N2771" s="108"/>
      <c r="O2771" s="108"/>
    </row>
    <row r="2772" spans="14:15" x14ac:dyDescent="0.35">
      <c r="N2772" s="108"/>
      <c r="O2772" s="108"/>
    </row>
    <row r="2773" spans="14:15" x14ac:dyDescent="0.35">
      <c r="N2773" s="108"/>
      <c r="O2773" s="108"/>
    </row>
    <row r="2774" spans="14:15" x14ac:dyDescent="0.35">
      <c r="N2774" s="108"/>
      <c r="O2774" s="108"/>
    </row>
    <row r="2775" spans="14:15" x14ac:dyDescent="0.35">
      <c r="N2775" s="108"/>
      <c r="O2775" s="108"/>
    </row>
    <row r="2776" spans="14:15" x14ac:dyDescent="0.35">
      <c r="N2776" s="108"/>
      <c r="O2776" s="108"/>
    </row>
    <row r="2777" spans="14:15" x14ac:dyDescent="0.35">
      <c r="N2777" s="108"/>
      <c r="O2777" s="108"/>
    </row>
    <row r="2778" spans="14:15" x14ac:dyDescent="0.35">
      <c r="N2778" s="108"/>
      <c r="O2778" s="108"/>
    </row>
    <row r="2779" spans="14:15" x14ac:dyDescent="0.35">
      <c r="N2779" s="108"/>
      <c r="O2779" s="108"/>
    </row>
    <row r="2780" spans="14:15" x14ac:dyDescent="0.35">
      <c r="N2780" s="108"/>
      <c r="O2780" s="108"/>
    </row>
    <row r="2781" spans="14:15" x14ac:dyDescent="0.35">
      <c r="N2781" s="108"/>
      <c r="O2781" s="108"/>
    </row>
    <row r="2782" spans="14:15" x14ac:dyDescent="0.35">
      <c r="N2782" s="108"/>
      <c r="O2782" s="108"/>
    </row>
    <row r="2783" spans="14:15" x14ac:dyDescent="0.35">
      <c r="N2783" s="108"/>
      <c r="O2783" s="108"/>
    </row>
    <row r="2784" spans="14:15" x14ac:dyDescent="0.35">
      <c r="N2784" s="108"/>
      <c r="O2784" s="108"/>
    </row>
    <row r="2785" spans="14:15" x14ac:dyDescent="0.35">
      <c r="N2785" s="108"/>
      <c r="O2785" s="108"/>
    </row>
    <row r="2786" spans="14:15" x14ac:dyDescent="0.35">
      <c r="N2786" s="108"/>
      <c r="O2786" s="108"/>
    </row>
    <row r="2787" spans="14:15" x14ac:dyDescent="0.35">
      <c r="N2787" s="108"/>
      <c r="O2787" s="108"/>
    </row>
    <row r="2788" spans="14:15" x14ac:dyDescent="0.35">
      <c r="N2788" s="108"/>
      <c r="O2788" s="108"/>
    </row>
    <row r="2789" spans="14:15" x14ac:dyDescent="0.35">
      <c r="N2789" s="108"/>
      <c r="O2789" s="108"/>
    </row>
    <row r="2790" spans="14:15" x14ac:dyDescent="0.35">
      <c r="N2790" s="108"/>
      <c r="O2790" s="108"/>
    </row>
    <row r="2791" spans="14:15" x14ac:dyDescent="0.35">
      <c r="N2791" s="108"/>
      <c r="O2791" s="108"/>
    </row>
    <row r="2792" spans="14:15" x14ac:dyDescent="0.35">
      <c r="N2792" s="108"/>
      <c r="O2792" s="108"/>
    </row>
    <row r="2793" spans="14:15" x14ac:dyDescent="0.35">
      <c r="N2793" s="108"/>
      <c r="O2793" s="108"/>
    </row>
    <row r="2794" spans="14:15" x14ac:dyDescent="0.35">
      <c r="N2794" s="108"/>
      <c r="O2794" s="108"/>
    </row>
    <row r="2795" spans="14:15" x14ac:dyDescent="0.35">
      <c r="N2795" s="108"/>
      <c r="O2795" s="108"/>
    </row>
    <row r="2796" spans="14:15" x14ac:dyDescent="0.35">
      <c r="N2796" s="108"/>
      <c r="O2796" s="108"/>
    </row>
    <row r="2797" spans="14:15" x14ac:dyDescent="0.35">
      <c r="N2797" s="108"/>
      <c r="O2797" s="108"/>
    </row>
    <row r="2798" spans="14:15" x14ac:dyDescent="0.35">
      <c r="N2798" s="108"/>
      <c r="O2798" s="108"/>
    </row>
    <row r="2799" spans="14:15" x14ac:dyDescent="0.35">
      <c r="N2799" s="108"/>
      <c r="O2799" s="108"/>
    </row>
    <row r="2800" spans="14:15" x14ac:dyDescent="0.35">
      <c r="N2800" s="108"/>
      <c r="O2800" s="108"/>
    </row>
    <row r="2801" spans="14:15" x14ac:dyDescent="0.35">
      <c r="N2801" s="108"/>
      <c r="O2801" s="108"/>
    </row>
    <row r="2802" spans="14:15" x14ac:dyDescent="0.35">
      <c r="N2802" s="108"/>
      <c r="O2802" s="108"/>
    </row>
    <row r="2803" spans="14:15" x14ac:dyDescent="0.35">
      <c r="N2803" s="108"/>
      <c r="O2803" s="108"/>
    </row>
    <row r="2804" spans="14:15" x14ac:dyDescent="0.35">
      <c r="N2804" s="108"/>
      <c r="O2804" s="108"/>
    </row>
    <row r="2805" spans="14:15" x14ac:dyDescent="0.35">
      <c r="N2805" s="108"/>
      <c r="O2805" s="108"/>
    </row>
    <row r="2806" spans="14:15" x14ac:dyDescent="0.35">
      <c r="N2806" s="108"/>
      <c r="O2806" s="108"/>
    </row>
    <row r="2807" spans="14:15" x14ac:dyDescent="0.35">
      <c r="N2807" s="108"/>
      <c r="O2807" s="108"/>
    </row>
    <row r="2808" spans="14:15" x14ac:dyDescent="0.35">
      <c r="N2808" s="108"/>
      <c r="O2808" s="108"/>
    </row>
    <row r="2809" spans="14:15" x14ac:dyDescent="0.35">
      <c r="N2809" s="108"/>
      <c r="O2809" s="108"/>
    </row>
    <row r="2810" spans="14:15" x14ac:dyDescent="0.35">
      <c r="N2810" s="108"/>
      <c r="O2810" s="108"/>
    </row>
    <row r="2811" spans="14:15" x14ac:dyDescent="0.35">
      <c r="N2811" s="108"/>
      <c r="O2811" s="108"/>
    </row>
    <row r="2812" spans="14:15" x14ac:dyDescent="0.35">
      <c r="N2812" s="108"/>
      <c r="O2812" s="108"/>
    </row>
    <row r="2813" spans="14:15" x14ac:dyDescent="0.35">
      <c r="N2813" s="108"/>
      <c r="O2813" s="108"/>
    </row>
    <row r="2814" spans="14:15" x14ac:dyDescent="0.35">
      <c r="N2814" s="108"/>
      <c r="O2814" s="108"/>
    </row>
    <row r="2815" spans="14:15" x14ac:dyDescent="0.35">
      <c r="N2815" s="108"/>
      <c r="O2815" s="108"/>
    </row>
    <row r="2816" spans="14:15" x14ac:dyDescent="0.35">
      <c r="N2816" s="108"/>
      <c r="O2816" s="108"/>
    </row>
    <row r="2817" spans="14:15" x14ac:dyDescent="0.35">
      <c r="N2817" s="108"/>
      <c r="O2817" s="108"/>
    </row>
    <row r="2818" spans="14:15" x14ac:dyDescent="0.35">
      <c r="N2818" s="108"/>
      <c r="O2818" s="108"/>
    </row>
    <row r="2819" spans="14:15" x14ac:dyDescent="0.35">
      <c r="N2819" s="108"/>
      <c r="O2819" s="108"/>
    </row>
    <row r="2820" spans="14:15" x14ac:dyDescent="0.35">
      <c r="N2820" s="108"/>
      <c r="O2820" s="108"/>
    </row>
    <row r="2821" spans="14:15" x14ac:dyDescent="0.35">
      <c r="N2821" s="108"/>
      <c r="O2821" s="108"/>
    </row>
    <row r="2822" spans="14:15" x14ac:dyDescent="0.35">
      <c r="N2822" s="108"/>
      <c r="O2822" s="108"/>
    </row>
    <row r="2823" spans="14:15" x14ac:dyDescent="0.35">
      <c r="N2823" s="108"/>
      <c r="O2823" s="108"/>
    </row>
    <row r="2824" spans="14:15" x14ac:dyDescent="0.35">
      <c r="N2824" s="108"/>
      <c r="O2824" s="108"/>
    </row>
    <row r="2825" spans="14:15" x14ac:dyDescent="0.35">
      <c r="N2825" s="108"/>
      <c r="O2825" s="108"/>
    </row>
    <row r="2826" spans="14:15" x14ac:dyDescent="0.35">
      <c r="N2826" s="108"/>
      <c r="O2826" s="108"/>
    </row>
    <row r="2827" spans="14:15" x14ac:dyDescent="0.35">
      <c r="N2827" s="108"/>
      <c r="O2827" s="108"/>
    </row>
    <row r="2828" spans="14:15" x14ac:dyDescent="0.35">
      <c r="N2828" s="108"/>
      <c r="O2828" s="108"/>
    </row>
    <row r="2829" spans="14:15" x14ac:dyDescent="0.35">
      <c r="N2829" s="108"/>
      <c r="O2829" s="108"/>
    </row>
    <row r="2830" spans="14:15" x14ac:dyDescent="0.35">
      <c r="N2830" s="108"/>
      <c r="O2830" s="108"/>
    </row>
    <row r="2831" spans="14:15" x14ac:dyDescent="0.35">
      <c r="N2831" s="108"/>
      <c r="O2831" s="108"/>
    </row>
    <row r="2832" spans="14:15" x14ac:dyDescent="0.35">
      <c r="N2832" s="108"/>
      <c r="O2832" s="108"/>
    </row>
    <row r="2833" spans="14:15" x14ac:dyDescent="0.35">
      <c r="N2833" s="108"/>
      <c r="O2833" s="108"/>
    </row>
    <row r="2834" spans="14:15" x14ac:dyDescent="0.35">
      <c r="N2834" s="108"/>
      <c r="O2834" s="108"/>
    </row>
    <row r="2835" spans="14:15" x14ac:dyDescent="0.35">
      <c r="N2835" s="108"/>
      <c r="O2835" s="108"/>
    </row>
    <row r="2836" spans="14:15" x14ac:dyDescent="0.35">
      <c r="N2836" s="108"/>
      <c r="O2836" s="108"/>
    </row>
    <row r="2837" spans="14:15" x14ac:dyDescent="0.35">
      <c r="N2837" s="108"/>
      <c r="O2837" s="108"/>
    </row>
    <row r="2838" spans="14:15" x14ac:dyDescent="0.35">
      <c r="N2838" s="108"/>
      <c r="O2838" s="108"/>
    </row>
    <row r="2839" spans="14:15" x14ac:dyDescent="0.35">
      <c r="N2839" s="108"/>
      <c r="O2839" s="108"/>
    </row>
    <row r="2840" spans="14:15" x14ac:dyDescent="0.35">
      <c r="N2840" s="108"/>
      <c r="O2840" s="108"/>
    </row>
    <row r="2841" spans="14:15" x14ac:dyDescent="0.35">
      <c r="N2841" s="108"/>
      <c r="O2841" s="108"/>
    </row>
    <row r="2842" spans="14:15" x14ac:dyDescent="0.35">
      <c r="N2842" s="108"/>
      <c r="O2842" s="108"/>
    </row>
    <row r="2843" spans="14:15" x14ac:dyDescent="0.35">
      <c r="N2843" s="108"/>
      <c r="O2843" s="108"/>
    </row>
    <row r="2844" spans="14:15" x14ac:dyDescent="0.35">
      <c r="N2844" s="108"/>
      <c r="O2844" s="108"/>
    </row>
    <row r="2845" spans="14:15" x14ac:dyDescent="0.35">
      <c r="N2845" s="108"/>
      <c r="O2845" s="108"/>
    </row>
    <row r="2846" spans="14:15" x14ac:dyDescent="0.35">
      <c r="N2846" s="108"/>
      <c r="O2846" s="108"/>
    </row>
    <row r="2847" spans="14:15" x14ac:dyDescent="0.35">
      <c r="N2847" s="108"/>
      <c r="O2847" s="108"/>
    </row>
    <row r="2848" spans="14:15" x14ac:dyDescent="0.35">
      <c r="N2848" s="108"/>
      <c r="O2848" s="108"/>
    </row>
    <row r="2849" spans="14:15" x14ac:dyDescent="0.35">
      <c r="N2849" s="108"/>
      <c r="O2849" s="108"/>
    </row>
    <row r="2850" spans="14:15" x14ac:dyDescent="0.35">
      <c r="N2850" s="108"/>
      <c r="O2850" s="108"/>
    </row>
    <row r="2851" spans="14:15" x14ac:dyDescent="0.35">
      <c r="N2851" s="108"/>
      <c r="O2851" s="108"/>
    </row>
    <row r="2852" spans="14:15" x14ac:dyDescent="0.35">
      <c r="N2852" s="108"/>
      <c r="O2852" s="108"/>
    </row>
    <row r="2853" spans="14:15" x14ac:dyDescent="0.35">
      <c r="N2853" s="108"/>
      <c r="O2853" s="108"/>
    </row>
    <row r="2854" spans="14:15" x14ac:dyDescent="0.35">
      <c r="N2854" s="108"/>
      <c r="O2854" s="108"/>
    </row>
    <row r="2855" spans="14:15" x14ac:dyDescent="0.35">
      <c r="N2855" s="108"/>
      <c r="O2855" s="108"/>
    </row>
    <row r="2856" spans="14:15" x14ac:dyDescent="0.35">
      <c r="N2856" s="108"/>
      <c r="O2856" s="108"/>
    </row>
    <row r="2857" spans="14:15" x14ac:dyDescent="0.35">
      <c r="N2857" s="108"/>
      <c r="O2857" s="108"/>
    </row>
    <row r="2858" spans="14:15" x14ac:dyDescent="0.35">
      <c r="N2858" s="108"/>
      <c r="O2858" s="108"/>
    </row>
    <row r="2859" spans="14:15" x14ac:dyDescent="0.35">
      <c r="N2859" s="108"/>
      <c r="O2859" s="108"/>
    </row>
    <row r="2860" spans="14:15" x14ac:dyDescent="0.35">
      <c r="N2860" s="108"/>
      <c r="O2860" s="108"/>
    </row>
    <row r="2861" spans="14:15" x14ac:dyDescent="0.35">
      <c r="N2861" s="108"/>
      <c r="O2861" s="108"/>
    </row>
    <row r="2862" spans="14:15" x14ac:dyDescent="0.35">
      <c r="N2862" s="108"/>
      <c r="O2862" s="108"/>
    </row>
    <row r="2863" spans="14:15" x14ac:dyDescent="0.35">
      <c r="N2863" s="108"/>
      <c r="O2863" s="108"/>
    </row>
    <row r="2864" spans="14:15" x14ac:dyDescent="0.35">
      <c r="N2864" s="108"/>
      <c r="O2864" s="108"/>
    </row>
    <row r="2865" spans="14:15" x14ac:dyDescent="0.35">
      <c r="N2865" s="108"/>
      <c r="O2865" s="108"/>
    </row>
    <row r="2866" spans="14:15" x14ac:dyDescent="0.35">
      <c r="N2866" s="108"/>
      <c r="O2866" s="108"/>
    </row>
    <row r="2867" spans="14:15" x14ac:dyDescent="0.35">
      <c r="N2867" s="108"/>
      <c r="O2867" s="108"/>
    </row>
    <row r="2868" spans="14:15" x14ac:dyDescent="0.35">
      <c r="N2868" s="108"/>
      <c r="O2868" s="108"/>
    </row>
    <row r="2869" spans="14:15" x14ac:dyDescent="0.35">
      <c r="N2869" s="108"/>
      <c r="O2869" s="108"/>
    </row>
    <row r="2870" spans="14:15" x14ac:dyDescent="0.35">
      <c r="N2870" s="108"/>
      <c r="O2870" s="108"/>
    </row>
    <row r="2871" spans="14:15" x14ac:dyDescent="0.35">
      <c r="N2871" s="108"/>
      <c r="O2871" s="108"/>
    </row>
    <row r="2872" spans="14:15" x14ac:dyDescent="0.35">
      <c r="N2872" s="108"/>
      <c r="O2872" s="108"/>
    </row>
    <row r="2873" spans="14:15" x14ac:dyDescent="0.35">
      <c r="N2873" s="108"/>
      <c r="O2873" s="108"/>
    </row>
    <row r="2874" spans="14:15" x14ac:dyDescent="0.35">
      <c r="N2874" s="108"/>
      <c r="O2874" s="108"/>
    </row>
    <row r="2875" spans="14:15" x14ac:dyDescent="0.35">
      <c r="N2875" s="108"/>
      <c r="O2875" s="108"/>
    </row>
    <row r="2876" spans="14:15" x14ac:dyDescent="0.35">
      <c r="N2876" s="108"/>
      <c r="O2876" s="108"/>
    </row>
    <row r="2877" spans="14:15" x14ac:dyDescent="0.35">
      <c r="N2877" s="108"/>
      <c r="O2877" s="108"/>
    </row>
    <row r="2878" spans="14:15" x14ac:dyDescent="0.35">
      <c r="N2878" s="108"/>
      <c r="O2878" s="108"/>
    </row>
    <row r="2879" spans="14:15" x14ac:dyDescent="0.35">
      <c r="N2879" s="108"/>
      <c r="O2879" s="108"/>
    </row>
    <row r="2880" spans="14:15" x14ac:dyDescent="0.35">
      <c r="N2880" s="108"/>
      <c r="O2880" s="108"/>
    </row>
    <row r="2881" spans="14:15" x14ac:dyDescent="0.35">
      <c r="N2881" s="108"/>
      <c r="O2881" s="108"/>
    </row>
    <row r="2882" spans="14:15" x14ac:dyDescent="0.35">
      <c r="N2882" s="108"/>
      <c r="O2882" s="108"/>
    </row>
    <row r="2883" spans="14:15" x14ac:dyDescent="0.35">
      <c r="N2883" s="108"/>
      <c r="O2883" s="108"/>
    </row>
    <row r="2884" spans="14:15" x14ac:dyDescent="0.35">
      <c r="N2884" s="108"/>
      <c r="O2884" s="108"/>
    </row>
    <row r="2885" spans="14:15" x14ac:dyDescent="0.35">
      <c r="N2885" s="108"/>
      <c r="O2885" s="108"/>
    </row>
    <row r="2886" spans="14:15" x14ac:dyDescent="0.35">
      <c r="N2886" s="108"/>
      <c r="O2886" s="108"/>
    </row>
    <row r="2887" spans="14:15" x14ac:dyDescent="0.35">
      <c r="N2887" s="108"/>
      <c r="O2887" s="108"/>
    </row>
    <row r="2888" spans="14:15" x14ac:dyDescent="0.35">
      <c r="N2888" s="108"/>
      <c r="O2888" s="108"/>
    </row>
    <row r="2889" spans="14:15" x14ac:dyDescent="0.35">
      <c r="N2889" s="108"/>
      <c r="O2889" s="108"/>
    </row>
    <row r="2890" spans="14:15" x14ac:dyDescent="0.35">
      <c r="N2890" s="108"/>
      <c r="O2890" s="108"/>
    </row>
    <row r="2891" spans="14:15" x14ac:dyDescent="0.35">
      <c r="N2891" s="108"/>
      <c r="O2891" s="108"/>
    </row>
    <row r="2892" spans="14:15" x14ac:dyDescent="0.35">
      <c r="N2892" s="108"/>
      <c r="O2892" s="108"/>
    </row>
    <row r="2893" spans="14:15" x14ac:dyDescent="0.35">
      <c r="N2893" s="108"/>
      <c r="O2893" s="108"/>
    </row>
    <row r="2894" spans="14:15" x14ac:dyDescent="0.35">
      <c r="N2894" s="108"/>
      <c r="O2894" s="108"/>
    </row>
    <row r="2895" spans="14:15" x14ac:dyDescent="0.35">
      <c r="N2895" s="108"/>
      <c r="O2895" s="108"/>
    </row>
    <row r="2896" spans="14:15" x14ac:dyDescent="0.35">
      <c r="N2896" s="108"/>
      <c r="O2896" s="108"/>
    </row>
    <row r="2897" spans="14:15" x14ac:dyDescent="0.35">
      <c r="N2897" s="108"/>
      <c r="O2897" s="108"/>
    </row>
    <row r="2898" spans="14:15" x14ac:dyDescent="0.35">
      <c r="N2898" s="108"/>
      <c r="O2898" s="108"/>
    </row>
    <row r="2899" spans="14:15" x14ac:dyDescent="0.35">
      <c r="N2899" s="108"/>
      <c r="O2899" s="108"/>
    </row>
    <row r="2900" spans="14:15" x14ac:dyDescent="0.35">
      <c r="N2900" s="108"/>
      <c r="O2900" s="108"/>
    </row>
    <row r="2901" spans="14:15" x14ac:dyDescent="0.35">
      <c r="N2901" s="108"/>
      <c r="O2901" s="108"/>
    </row>
    <row r="2902" spans="14:15" x14ac:dyDescent="0.35">
      <c r="N2902" s="108"/>
      <c r="O2902" s="108"/>
    </row>
    <row r="2903" spans="14:15" x14ac:dyDescent="0.35">
      <c r="N2903" s="108"/>
      <c r="O2903" s="108"/>
    </row>
    <row r="2904" spans="14:15" x14ac:dyDescent="0.35">
      <c r="N2904" s="108"/>
      <c r="O2904" s="108"/>
    </row>
    <row r="2905" spans="14:15" x14ac:dyDescent="0.35">
      <c r="N2905" s="108"/>
      <c r="O2905" s="108"/>
    </row>
    <row r="2906" spans="14:15" x14ac:dyDescent="0.35">
      <c r="N2906" s="108"/>
      <c r="O2906" s="108"/>
    </row>
    <row r="2907" spans="14:15" x14ac:dyDescent="0.35">
      <c r="N2907" s="108"/>
      <c r="O2907" s="108"/>
    </row>
    <row r="2908" spans="14:15" x14ac:dyDescent="0.35">
      <c r="N2908" s="108"/>
      <c r="O2908" s="108"/>
    </row>
    <row r="2909" spans="14:15" x14ac:dyDescent="0.35">
      <c r="N2909" s="108"/>
      <c r="O2909" s="108"/>
    </row>
    <row r="2910" spans="14:15" x14ac:dyDescent="0.35">
      <c r="N2910" s="108"/>
      <c r="O2910" s="108"/>
    </row>
    <row r="2911" spans="14:15" x14ac:dyDescent="0.35">
      <c r="N2911" s="108"/>
      <c r="O2911" s="108"/>
    </row>
    <row r="2912" spans="14:15" x14ac:dyDescent="0.35">
      <c r="N2912" s="108"/>
      <c r="O2912" s="108"/>
    </row>
    <row r="2913" spans="14:15" x14ac:dyDescent="0.35">
      <c r="N2913" s="108"/>
      <c r="O2913" s="108"/>
    </row>
    <row r="2914" spans="14:15" x14ac:dyDescent="0.35">
      <c r="N2914" s="108"/>
      <c r="O2914" s="108"/>
    </row>
    <row r="2915" spans="14:15" x14ac:dyDescent="0.35">
      <c r="N2915" s="108"/>
      <c r="O2915" s="108"/>
    </row>
    <row r="2916" spans="14:15" x14ac:dyDescent="0.35">
      <c r="N2916" s="108"/>
      <c r="O2916" s="108"/>
    </row>
    <row r="2917" spans="14:15" x14ac:dyDescent="0.35">
      <c r="N2917" s="108"/>
      <c r="O2917" s="108"/>
    </row>
    <row r="2918" spans="14:15" x14ac:dyDescent="0.35">
      <c r="N2918" s="108"/>
      <c r="O2918" s="108"/>
    </row>
    <row r="2919" spans="14:15" x14ac:dyDescent="0.35">
      <c r="N2919" s="108"/>
      <c r="O2919" s="108"/>
    </row>
    <row r="2920" spans="14:15" x14ac:dyDescent="0.35">
      <c r="N2920" s="108"/>
      <c r="O2920" s="108"/>
    </row>
    <row r="2921" spans="14:15" x14ac:dyDescent="0.35">
      <c r="N2921" s="108"/>
      <c r="O2921" s="108"/>
    </row>
    <row r="2922" spans="14:15" x14ac:dyDescent="0.35">
      <c r="N2922" s="108"/>
      <c r="O2922" s="108"/>
    </row>
    <row r="2923" spans="14:15" x14ac:dyDescent="0.35">
      <c r="N2923" s="108"/>
      <c r="O2923" s="108"/>
    </row>
    <row r="2924" spans="14:15" x14ac:dyDescent="0.35">
      <c r="N2924" s="108"/>
      <c r="O2924" s="108"/>
    </row>
    <row r="2925" spans="14:15" x14ac:dyDescent="0.35">
      <c r="N2925" s="108"/>
      <c r="O2925" s="108"/>
    </row>
    <row r="2926" spans="14:15" x14ac:dyDescent="0.35">
      <c r="N2926" s="108"/>
      <c r="O2926" s="108"/>
    </row>
    <row r="2927" spans="14:15" x14ac:dyDescent="0.35">
      <c r="N2927" s="108"/>
      <c r="O2927" s="108"/>
    </row>
    <row r="2928" spans="14:15" x14ac:dyDescent="0.35">
      <c r="N2928" s="108"/>
      <c r="O2928" s="108"/>
    </row>
    <row r="2929" spans="14:15" x14ac:dyDescent="0.35">
      <c r="N2929" s="108"/>
      <c r="O2929" s="108"/>
    </row>
    <row r="2930" spans="14:15" x14ac:dyDescent="0.35">
      <c r="N2930" s="108"/>
      <c r="O2930" s="108"/>
    </row>
    <row r="2931" spans="14:15" x14ac:dyDescent="0.35">
      <c r="N2931" s="108"/>
      <c r="O2931" s="108"/>
    </row>
    <row r="2932" spans="14:15" x14ac:dyDescent="0.35">
      <c r="N2932" s="108"/>
      <c r="O2932" s="108"/>
    </row>
    <row r="2933" spans="14:15" x14ac:dyDescent="0.35">
      <c r="N2933" s="108"/>
      <c r="O2933" s="108"/>
    </row>
    <row r="2934" spans="14:15" x14ac:dyDescent="0.35">
      <c r="N2934" s="108"/>
      <c r="O2934" s="108"/>
    </row>
    <row r="2935" spans="14:15" x14ac:dyDescent="0.35">
      <c r="N2935" s="108"/>
      <c r="O2935" s="108"/>
    </row>
    <row r="2936" spans="14:15" x14ac:dyDescent="0.35">
      <c r="N2936" s="108"/>
      <c r="O2936" s="108"/>
    </row>
    <row r="2937" spans="14:15" x14ac:dyDescent="0.35">
      <c r="N2937" s="108"/>
      <c r="O2937" s="108"/>
    </row>
    <row r="2938" spans="14:15" x14ac:dyDescent="0.35">
      <c r="N2938" s="108"/>
      <c r="O2938" s="108"/>
    </row>
    <row r="2939" spans="14:15" x14ac:dyDescent="0.35">
      <c r="N2939" s="108"/>
      <c r="O2939" s="108"/>
    </row>
    <row r="2940" spans="14:15" x14ac:dyDescent="0.35">
      <c r="N2940" s="108"/>
      <c r="O2940" s="108"/>
    </row>
    <row r="2941" spans="14:15" x14ac:dyDescent="0.35">
      <c r="N2941" s="108"/>
      <c r="O2941" s="108"/>
    </row>
    <row r="2942" spans="14:15" x14ac:dyDescent="0.35">
      <c r="N2942" s="108"/>
      <c r="O2942" s="108"/>
    </row>
    <row r="2943" spans="14:15" x14ac:dyDescent="0.35">
      <c r="N2943" s="108"/>
      <c r="O2943" s="108"/>
    </row>
    <row r="2944" spans="14:15" x14ac:dyDescent="0.35">
      <c r="N2944" s="108"/>
      <c r="O2944" s="108"/>
    </row>
    <row r="2945" spans="14:15" x14ac:dyDescent="0.35">
      <c r="N2945" s="108"/>
      <c r="O2945" s="108"/>
    </row>
    <row r="2946" spans="14:15" x14ac:dyDescent="0.35">
      <c r="N2946" s="108"/>
      <c r="O2946" s="108"/>
    </row>
    <row r="2947" spans="14:15" x14ac:dyDescent="0.35">
      <c r="N2947" s="108"/>
      <c r="O2947" s="108"/>
    </row>
    <row r="2948" spans="14:15" x14ac:dyDescent="0.35">
      <c r="N2948" s="108"/>
      <c r="O2948" s="108"/>
    </row>
    <row r="2949" spans="14:15" x14ac:dyDescent="0.35">
      <c r="N2949" s="108"/>
      <c r="O2949" s="108"/>
    </row>
    <row r="2950" spans="14:15" x14ac:dyDescent="0.35">
      <c r="N2950" s="108"/>
      <c r="O2950" s="108"/>
    </row>
    <row r="2951" spans="14:15" x14ac:dyDescent="0.35">
      <c r="N2951" s="108"/>
      <c r="O2951" s="108"/>
    </row>
    <row r="2952" spans="14:15" x14ac:dyDescent="0.35">
      <c r="N2952" s="108"/>
      <c r="O2952" s="108"/>
    </row>
    <row r="2953" spans="14:15" x14ac:dyDescent="0.35">
      <c r="N2953" s="108"/>
      <c r="O2953" s="108"/>
    </row>
    <row r="2954" spans="14:15" x14ac:dyDescent="0.35">
      <c r="N2954" s="108"/>
      <c r="O2954" s="108"/>
    </row>
    <row r="2955" spans="14:15" x14ac:dyDescent="0.35">
      <c r="N2955" s="108"/>
      <c r="O2955" s="108"/>
    </row>
    <row r="2956" spans="14:15" x14ac:dyDescent="0.35">
      <c r="N2956" s="108"/>
      <c r="O2956" s="108"/>
    </row>
    <row r="2957" spans="14:15" x14ac:dyDescent="0.35">
      <c r="N2957" s="108"/>
      <c r="O2957" s="108"/>
    </row>
    <row r="2958" spans="14:15" x14ac:dyDescent="0.35">
      <c r="N2958" s="108"/>
      <c r="O2958" s="108"/>
    </row>
    <row r="2959" spans="14:15" x14ac:dyDescent="0.35">
      <c r="N2959" s="108"/>
      <c r="O2959" s="108"/>
    </row>
    <row r="2960" spans="14:15" x14ac:dyDescent="0.35">
      <c r="N2960" s="108"/>
      <c r="O2960" s="108"/>
    </row>
    <row r="2961" spans="14:15" x14ac:dyDescent="0.35">
      <c r="N2961" s="108"/>
      <c r="O2961" s="108"/>
    </row>
    <row r="2962" spans="14:15" x14ac:dyDescent="0.35">
      <c r="N2962" s="108"/>
      <c r="O2962" s="108"/>
    </row>
    <row r="2963" spans="14:15" x14ac:dyDescent="0.35">
      <c r="N2963" s="108"/>
      <c r="O2963" s="108"/>
    </row>
    <row r="2964" spans="14:15" x14ac:dyDescent="0.35">
      <c r="N2964" s="108"/>
      <c r="O2964" s="108"/>
    </row>
    <row r="2965" spans="14:15" x14ac:dyDescent="0.35">
      <c r="N2965" s="108"/>
      <c r="O2965" s="108"/>
    </row>
    <row r="2966" spans="14:15" x14ac:dyDescent="0.35">
      <c r="N2966" s="108"/>
      <c r="O2966" s="108"/>
    </row>
    <row r="2967" spans="14:15" x14ac:dyDescent="0.35">
      <c r="N2967" s="108"/>
      <c r="O2967" s="108"/>
    </row>
    <row r="2968" spans="14:15" x14ac:dyDescent="0.35">
      <c r="N2968" s="108"/>
      <c r="O2968" s="108"/>
    </row>
    <row r="2969" spans="14:15" x14ac:dyDescent="0.35">
      <c r="N2969" s="108"/>
      <c r="O2969" s="108"/>
    </row>
    <row r="2970" spans="14:15" x14ac:dyDescent="0.35">
      <c r="N2970" s="108"/>
      <c r="O2970" s="108"/>
    </row>
    <row r="2971" spans="14:15" x14ac:dyDescent="0.35">
      <c r="N2971" s="108"/>
      <c r="O2971" s="108"/>
    </row>
    <row r="2972" spans="14:15" x14ac:dyDescent="0.35">
      <c r="N2972" s="108"/>
      <c r="O2972" s="108"/>
    </row>
    <row r="2973" spans="14:15" x14ac:dyDescent="0.35">
      <c r="N2973" s="108"/>
      <c r="O2973" s="108"/>
    </row>
    <row r="2974" spans="14:15" x14ac:dyDescent="0.35">
      <c r="N2974" s="108"/>
      <c r="O2974" s="108"/>
    </row>
    <row r="2975" spans="14:15" x14ac:dyDescent="0.35">
      <c r="N2975" s="108"/>
      <c r="O2975" s="108"/>
    </row>
    <row r="2976" spans="14:15" x14ac:dyDescent="0.35">
      <c r="N2976" s="108"/>
      <c r="O2976" s="108"/>
    </row>
    <row r="2977" spans="14:15" x14ac:dyDescent="0.35">
      <c r="N2977" s="108"/>
      <c r="O2977" s="108"/>
    </row>
    <row r="2978" spans="14:15" x14ac:dyDescent="0.35">
      <c r="N2978" s="108"/>
      <c r="O2978" s="108"/>
    </row>
    <row r="2979" spans="14:15" x14ac:dyDescent="0.35">
      <c r="N2979" s="108"/>
      <c r="O2979" s="108"/>
    </row>
    <row r="2980" spans="14:15" x14ac:dyDescent="0.35">
      <c r="N2980" s="108"/>
      <c r="O2980" s="108"/>
    </row>
    <row r="2981" spans="14:15" x14ac:dyDescent="0.35">
      <c r="N2981" s="108"/>
      <c r="O2981" s="108"/>
    </row>
    <row r="2982" spans="14:15" x14ac:dyDescent="0.35">
      <c r="N2982" s="108"/>
      <c r="O2982" s="108"/>
    </row>
    <row r="2983" spans="14:15" x14ac:dyDescent="0.35">
      <c r="N2983" s="108"/>
      <c r="O2983" s="108"/>
    </row>
    <row r="2984" spans="14:15" x14ac:dyDescent="0.35">
      <c r="N2984" s="108"/>
      <c r="O2984" s="108"/>
    </row>
    <row r="2985" spans="14:15" x14ac:dyDescent="0.35">
      <c r="N2985" s="108"/>
      <c r="O2985" s="108"/>
    </row>
    <row r="2986" spans="14:15" x14ac:dyDescent="0.35">
      <c r="N2986" s="108"/>
      <c r="O2986" s="108"/>
    </row>
    <row r="2987" spans="14:15" x14ac:dyDescent="0.35">
      <c r="N2987" s="108"/>
      <c r="O2987" s="108"/>
    </row>
    <row r="2988" spans="14:15" x14ac:dyDescent="0.35">
      <c r="N2988" s="108"/>
      <c r="O2988" s="108"/>
    </row>
    <row r="2989" spans="14:15" x14ac:dyDescent="0.35">
      <c r="N2989" s="108"/>
      <c r="O2989" s="108"/>
    </row>
    <row r="2990" spans="14:15" x14ac:dyDescent="0.35">
      <c r="N2990" s="108"/>
      <c r="O2990" s="108"/>
    </row>
    <row r="2991" spans="14:15" x14ac:dyDescent="0.35">
      <c r="N2991" s="108"/>
      <c r="O2991" s="108"/>
    </row>
    <row r="2992" spans="14:15" x14ac:dyDescent="0.35">
      <c r="N2992" s="108"/>
      <c r="O2992" s="108"/>
    </row>
    <row r="2993" spans="14:15" x14ac:dyDescent="0.35">
      <c r="N2993" s="108"/>
      <c r="O2993" s="108"/>
    </row>
    <row r="2994" spans="14:15" x14ac:dyDescent="0.35">
      <c r="N2994" s="108"/>
      <c r="O2994" s="108"/>
    </row>
    <row r="2995" spans="14:15" x14ac:dyDescent="0.35">
      <c r="N2995" s="108"/>
      <c r="O2995" s="108"/>
    </row>
    <row r="2996" spans="14:15" x14ac:dyDescent="0.35">
      <c r="N2996" s="108"/>
      <c r="O2996" s="108"/>
    </row>
    <row r="2997" spans="14:15" x14ac:dyDescent="0.35">
      <c r="N2997" s="108"/>
      <c r="O2997" s="108"/>
    </row>
    <row r="2998" spans="14:15" x14ac:dyDescent="0.35">
      <c r="N2998" s="108"/>
      <c r="O2998" s="108"/>
    </row>
    <row r="2999" spans="14:15" x14ac:dyDescent="0.35">
      <c r="N2999" s="108"/>
      <c r="O2999" s="108"/>
    </row>
    <row r="3000" spans="14:15" x14ac:dyDescent="0.35">
      <c r="N3000" s="108"/>
      <c r="O3000" s="108"/>
    </row>
    <row r="3001" spans="14:15" x14ac:dyDescent="0.35">
      <c r="N3001" s="108"/>
      <c r="O3001" s="108"/>
    </row>
    <row r="3002" spans="14:15" x14ac:dyDescent="0.35">
      <c r="N3002" s="108"/>
      <c r="O3002" s="108"/>
    </row>
    <row r="3003" spans="14:15" x14ac:dyDescent="0.35">
      <c r="N3003" s="108"/>
      <c r="O3003" s="108"/>
    </row>
    <row r="3004" spans="14:15" x14ac:dyDescent="0.35">
      <c r="N3004" s="108"/>
      <c r="O3004" s="108"/>
    </row>
    <row r="3005" spans="14:15" x14ac:dyDescent="0.35">
      <c r="N3005" s="108"/>
      <c r="O3005" s="108"/>
    </row>
    <row r="3006" spans="14:15" x14ac:dyDescent="0.35">
      <c r="N3006" s="108"/>
      <c r="O3006" s="108"/>
    </row>
    <row r="3007" spans="14:15" x14ac:dyDescent="0.35">
      <c r="N3007" s="108"/>
      <c r="O3007" s="108"/>
    </row>
    <row r="3008" spans="14:15" x14ac:dyDescent="0.35">
      <c r="N3008" s="108"/>
      <c r="O3008" s="108"/>
    </row>
    <row r="3009" spans="14:15" x14ac:dyDescent="0.35">
      <c r="N3009" s="108"/>
      <c r="O3009" s="108"/>
    </row>
    <row r="3010" spans="14:15" x14ac:dyDescent="0.35">
      <c r="N3010" s="108"/>
      <c r="O3010" s="108"/>
    </row>
    <row r="3011" spans="14:15" x14ac:dyDescent="0.35">
      <c r="N3011" s="108"/>
      <c r="O3011" s="108"/>
    </row>
    <row r="3012" spans="14:15" x14ac:dyDescent="0.35">
      <c r="N3012" s="108"/>
      <c r="O3012" s="108"/>
    </row>
    <row r="3013" spans="14:15" x14ac:dyDescent="0.35">
      <c r="N3013" s="108"/>
      <c r="O3013" s="108"/>
    </row>
    <row r="3014" spans="14:15" x14ac:dyDescent="0.35">
      <c r="N3014" s="108"/>
      <c r="O3014" s="108"/>
    </row>
    <row r="3015" spans="14:15" x14ac:dyDescent="0.35">
      <c r="N3015" s="108"/>
      <c r="O3015" s="108"/>
    </row>
    <row r="3016" spans="14:15" x14ac:dyDescent="0.35">
      <c r="N3016" s="108"/>
      <c r="O3016" s="108"/>
    </row>
    <row r="3017" spans="14:15" x14ac:dyDescent="0.35">
      <c r="N3017" s="108"/>
      <c r="O3017" s="108"/>
    </row>
    <row r="3018" spans="14:15" x14ac:dyDescent="0.35">
      <c r="N3018" s="108"/>
      <c r="O3018" s="108"/>
    </row>
    <row r="3019" spans="14:15" x14ac:dyDescent="0.35">
      <c r="N3019" s="108"/>
      <c r="O3019" s="108"/>
    </row>
    <row r="3020" spans="14:15" x14ac:dyDescent="0.35">
      <c r="N3020" s="108"/>
      <c r="O3020" s="108"/>
    </row>
    <row r="3021" spans="14:15" x14ac:dyDescent="0.35">
      <c r="N3021" s="108"/>
      <c r="O3021" s="108"/>
    </row>
    <row r="3022" spans="14:15" x14ac:dyDescent="0.35">
      <c r="N3022" s="108"/>
      <c r="O3022" s="108"/>
    </row>
    <row r="3023" spans="14:15" x14ac:dyDescent="0.35">
      <c r="N3023" s="108"/>
      <c r="O3023" s="108"/>
    </row>
    <row r="3024" spans="14:15" x14ac:dyDescent="0.35">
      <c r="N3024" s="108"/>
      <c r="O3024" s="108"/>
    </row>
    <row r="3025" spans="14:15" x14ac:dyDescent="0.35">
      <c r="N3025" s="108"/>
      <c r="O3025" s="108"/>
    </row>
    <row r="3026" spans="14:15" x14ac:dyDescent="0.35">
      <c r="N3026" s="108"/>
      <c r="O3026" s="108"/>
    </row>
    <row r="3027" spans="14:15" x14ac:dyDescent="0.35">
      <c r="N3027" s="108"/>
      <c r="O3027" s="108"/>
    </row>
    <row r="3028" spans="14:15" x14ac:dyDescent="0.35">
      <c r="N3028" s="108"/>
      <c r="O3028" s="108"/>
    </row>
    <row r="3029" spans="14:15" x14ac:dyDescent="0.35">
      <c r="N3029" s="108"/>
      <c r="O3029" s="108"/>
    </row>
    <row r="3030" spans="14:15" x14ac:dyDescent="0.35">
      <c r="N3030" s="108"/>
      <c r="O3030" s="108"/>
    </row>
    <row r="3031" spans="14:15" x14ac:dyDescent="0.35">
      <c r="N3031" s="108"/>
      <c r="O3031" s="108"/>
    </row>
    <row r="3032" spans="14:15" x14ac:dyDescent="0.35">
      <c r="N3032" s="108"/>
      <c r="O3032" s="108"/>
    </row>
    <row r="3033" spans="14:15" x14ac:dyDescent="0.35">
      <c r="N3033" s="108"/>
      <c r="O3033" s="108"/>
    </row>
    <row r="3034" spans="14:15" x14ac:dyDescent="0.35">
      <c r="N3034" s="108"/>
      <c r="O3034" s="108"/>
    </row>
    <row r="3035" spans="14:15" x14ac:dyDescent="0.35">
      <c r="N3035" s="108"/>
      <c r="O3035" s="108"/>
    </row>
    <row r="3036" spans="14:15" x14ac:dyDescent="0.35">
      <c r="N3036" s="108"/>
      <c r="O3036" s="108"/>
    </row>
    <row r="3037" spans="14:15" x14ac:dyDescent="0.35">
      <c r="N3037" s="108"/>
      <c r="O3037" s="108"/>
    </row>
    <row r="3038" spans="14:15" x14ac:dyDescent="0.35">
      <c r="N3038" s="108"/>
      <c r="O3038" s="108"/>
    </row>
    <row r="3039" spans="14:15" x14ac:dyDescent="0.35">
      <c r="N3039" s="108"/>
      <c r="O3039" s="108"/>
    </row>
    <row r="3040" spans="14:15" x14ac:dyDescent="0.35">
      <c r="N3040" s="108"/>
      <c r="O3040" s="108"/>
    </row>
    <row r="3041" spans="14:15" x14ac:dyDescent="0.35">
      <c r="N3041" s="108"/>
      <c r="O3041" s="108"/>
    </row>
    <row r="3042" spans="14:15" x14ac:dyDescent="0.35">
      <c r="N3042" s="108"/>
      <c r="O3042" s="108"/>
    </row>
    <row r="3043" spans="14:15" x14ac:dyDescent="0.35">
      <c r="N3043" s="108"/>
      <c r="O3043" s="108"/>
    </row>
    <row r="3044" spans="14:15" x14ac:dyDescent="0.35">
      <c r="N3044" s="108"/>
      <c r="O3044" s="108"/>
    </row>
    <row r="3045" spans="14:15" x14ac:dyDescent="0.35">
      <c r="N3045" s="108"/>
      <c r="O3045" s="108"/>
    </row>
    <row r="3046" spans="14:15" x14ac:dyDescent="0.35">
      <c r="N3046" s="108"/>
      <c r="O3046" s="108"/>
    </row>
    <row r="3047" spans="14:15" x14ac:dyDescent="0.35">
      <c r="N3047" s="108"/>
      <c r="O3047" s="108"/>
    </row>
    <row r="3048" spans="14:15" x14ac:dyDescent="0.35">
      <c r="N3048" s="108"/>
      <c r="O3048" s="108"/>
    </row>
    <row r="3049" spans="14:15" x14ac:dyDescent="0.35">
      <c r="N3049" s="108"/>
      <c r="O3049" s="108"/>
    </row>
    <row r="3050" spans="14:15" x14ac:dyDescent="0.35">
      <c r="N3050" s="108"/>
      <c r="O3050" s="108"/>
    </row>
    <row r="3051" spans="14:15" x14ac:dyDescent="0.35">
      <c r="N3051" s="108"/>
      <c r="O3051" s="108"/>
    </row>
    <row r="3052" spans="14:15" x14ac:dyDescent="0.35">
      <c r="N3052" s="108"/>
      <c r="O3052" s="108"/>
    </row>
    <row r="3053" spans="14:15" x14ac:dyDescent="0.35">
      <c r="N3053" s="108"/>
      <c r="O3053" s="108"/>
    </row>
    <row r="3054" spans="14:15" x14ac:dyDescent="0.35">
      <c r="N3054" s="108"/>
      <c r="O3054" s="108"/>
    </row>
    <row r="3055" spans="14:15" x14ac:dyDescent="0.35">
      <c r="N3055" s="108"/>
      <c r="O3055" s="108"/>
    </row>
    <row r="3056" spans="14:15" x14ac:dyDescent="0.35">
      <c r="N3056" s="108"/>
      <c r="O3056" s="108"/>
    </row>
    <row r="3057" spans="14:15" x14ac:dyDescent="0.35">
      <c r="N3057" s="108"/>
      <c r="O3057" s="108"/>
    </row>
    <row r="3058" spans="14:15" x14ac:dyDescent="0.35">
      <c r="N3058" s="108"/>
      <c r="O3058" s="108"/>
    </row>
    <row r="3059" spans="14:15" x14ac:dyDescent="0.35">
      <c r="N3059" s="108"/>
      <c r="O3059" s="108"/>
    </row>
    <row r="3060" spans="14:15" x14ac:dyDescent="0.35">
      <c r="N3060" s="108"/>
      <c r="O3060" s="108"/>
    </row>
    <row r="3061" spans="14:15" x14ac:dyDescent="0.35">
      <c r="N3061" s="108"/>
      <c r="O3061" s="108"/>
    </row>
    <row r="3062" spans="14:15" x14ac:dyDescent="0.35">
      <c r="N3062" s="108"/>
      <c r="O3062" s="108"/>
    </row>
    <row r="3063" spans="14:15" x14ac:dyDescent="0.35">
      <c r="N3063" s="108"/>
      <c r="O3063" s="108"/>
    </row>
    <row r="3064" spans="14:15" x14ac:dyDescent="0.35">
      <c r="N3064" s="108"/>
      <c r="O3064" s="108"/>
    </row>
    <row r="3065" spans="14:15" x14ac:dyDescent="0.35">
      <c r="N3065" s="108"/>
      <c r="O3065" s="108"/>
    </row>
    <row r="3066" spans="14:15" x14ac:dyDescent="0.35">
      <c r="N3066" s="108"/>
      <c r="O3066" s="108"/>
    </row>
    <row r="3067" spans="14:15" x14ac:dyDescent="0.35">
      <c r="N3067" s="108"/>
      <c r="O3067" s="108"/>
    </row>
    <row r="3068" spans="14:15" x14ac:dyDescent="0.35">
      <c r="N3068" s="108"/>
      <c r="O3068" s="108"/>
    </row>
    <row r="3069" spans="14:15" x14ac:dyDescent="0.35">
      <c r="N3069" s="108"/>
      <c r="O3069" s="108"/>
    </row>
    <row r="3070" spans="14:15" x14ac:dyDescent="0.35">
      <c r="N3070" s="108"/>
      <c r="O3070" s="108"/>
    </row>
    <row r="3071" spans="14:15" x14ac:dyDescent="0.35">
      <c r="N3071" s="108"/>
      <c r="O3071" s="108"/>
    </row>
    <row r="3072" spans="14:15" x14ac:dyDescent="0.35">
      <c r="N3072" s="108"/>
      <c r="O3072" s="108"/>
    </row>
    <row r="3073" spans="14:15" x14ac:dyDescent="0.35">
      <c r="N3073" s="108"/>
      <c r="O3073" s="108"/>
    </row>
    <row r="3074" spans="14:15" x14ac:dyDescent="0.35">
      <c r="N3074" s="108"/>
      <c r="O3074" s="108"/>
    </row>
    <row r="3075" spans="14:15" x14ac:dyDescent="0.35">
      <c r="N3075" s="108"/>
      <c r="O3075" s="108"/>
    </row>
    <row r="3076" spans="14:15" x14ac:dyDescent="0.35">
      <c r="N3076" s="108"/>
      <c r="O3076" s="108"/>
    </row>
    <row r="3077" spans="14:15" x14ac:dyDescent="0.35">
      <c r="N3077" s="108"/>
      <c r="O3077" s="108"/>
    </row>
    <row r="3078" spans="14:15" x14ac:dyDescent="0.35">
      <c r="N3078" s="108"/>
      <c r="O3078" s="108"/>
    </row>
    <row r="3079" spans="14:15" x14ac:dyDescent="0.35">
      <c r="N3079" s="108"/>
      <c r="O3079" s="108"/>
    </row>
    <row r="3080" spans="14:15" x14ac:dyDescent="0.35">
      <c r="N3080" s="108"/>
      <c r="O3080" s="108"/>
    </row>
    <row r="3081" spans="14:15" x14ac:dyDescent="0.35">
      <c r="N3081" s="108"/>
      <c r="O3081" s="108"/>
    </row>
    <row r="3082" spans="14:15" x14ac:dyDescent="0.35">
      <c r="N3082" s="108"/>
      <c r="O3082" s="108"/>
    </row>
    <row r="3083" spans="14:15" x14ac:dyDescent="0.35">
      <c r="N3083" s="108"/>
      <c r="O3083" s="108"/>
    </row>
    <row r="3084" spans="14:15" x14ac:dyDescent="0.35">
      <c r="N3084" s="108"/>
      <c r="O3084" s="108"/>
    </row>
    <row r="3085" spans="14:15" x14ac:dyDescent="0.35">
      <c r="N3085" s="108"/>
      <c r="O3085" s="108"/>
    </row>
    <row r="3086" spans="14:15" x14ac:dyDescent="0.35">
      <c r="N3086" s="108"/>
      <c r="O3086" s="108"/>
    </row>
    <row r="3087" spans="14:15" x14ac:dyDescent="0.35">
      <c r="N3087" s="108"/>
      <c r="O3087" s="108"/>
    </row>
    <row r="3088" spans="14:15" x14ac:dyDescent="0.35">
      <c r="N3088" s="108"/>
      <c r="O3088" s="108"/>
    </row>
    <row r="3089" spans="14:15" x14ac:dyDescent="0.35">
      <c r="N3089" s="108"/>
      <c r="O3089" s="108"/>
    </row>
    <row r="3090" spans="14:15" x14ac:dyDescent="0.35">
      <c r="N3090" s="108"/>
      <c r="O3090" s="108"/>
    </row>
    <row r="3091" spans="14:15" x14ac:dyDescent="0.35">
      <c r="N3091" s="108"/>
      <c r="O3091" s="108"/>
    </row>
    <row r="3092" spans="14:15" x14ac:dyDescent="0.35">
      <c r="N3092" s="108"/>
      <c r="O3092" s="108"/>
    </row>
    <row r="3093" spans="14:15" x14ac:dyDescent="0.35">
      <c r="N3093" s="108"/>
      <c r="O3093" s="108"/>
    </row>
    <row r="3094" spans="14:15" x14ac:dyDescent="0.35">
      <c r="N3094" s="108"/>
      <c r="O3094" s="108"/>
    </row>
    <row r="3095" spans="14:15" x14ac:dyDescent="0.35">
      <c r="N3095" s="108"/>
      <c r="O3095" s="108"/>
    </row>
    <row r="3096" spans="14:15" x14ac:dyDescent="0.35">
      <c r="N3096" s="108"/>
      <c r="O3096" s="108"/>
    </row>
    <row r="3097" spans="14:15" x14ac:dyDescent="0.35">
      <c r="N3097" s="108"/>
      <c r="O3097" s="108"/>
    </row>
    <row r="3098" spans="14:15" x14ac:dyDescent="0.35">
      <c r="N3098" s="108"/>
      <c r="O3098" s="108"/>
    </row>
    <row r="3099" spans="14:15" x14ac:dyDescent="0.35">
      <c r="N3099" s="108"/>
      <c r="O3099" s="108"/>
    </row>
    <row r="3100" spans="14:15" x14ac:dyDescent="0.35">
      <c r="N3100" s="108"/>
      <c r="O3100" s="108"/>
    </row>
    <row r="3101" spans="14:15" x14ac:dyDescent="0.35">
      <c r="N3101" s="108"/>
      <c r="O3101" s="108"/>
    </row>
    <row r="3102" spans="14:15" x14ac:dyDescent="0.35">
      <c r="N3102" s="108"/>
      <c r="O3102" s="108"/>
    </row>
    <row r="3103" spans="14:15" x14ac:dyDescent="0.35">
      <c r="N3103" s="108"/>
      <c r="O3103" s="108"/>
    </row>
    <row r="3104" spans="14:15" x14ac:dyDescent="0.35">
      <c r="N3104" s="108"/>
      <c r="O3104" s="108"/>
    </row>
    <row r="3105" spans="14:15" x14ac:dyDescent="0.35">
      <c r="N3105" s="108"/>
      <c r="O3105" s="108"/>
    </row>
    <row r="3106" spans="14:15" x14ac:dyDescent="0.35">
      <c r="N3106" s="108"/>
      <c r="O3106" s="108"/>
    </row>
    <row r="3107" spans="14:15" x14ac:dyDescent="0.35">
      <c r="N3107" s="108"/>
      <c r="O3107" s="108"/>
    </row>
    <row r="3108" spans="14:15" x14ac:dyDescent="0.35">
      <c r="N3108" s="108"/>
      <c r="O3108" s="108"/>
    </row>
    <row r="3109" spans="14:15" x14ac:dyDescent="0.35">
      <c r="N3109" s="108"/>
      <c r="O3109" s="108"/>
    </row>
    <row r="3110" spans="14:15" x14ac:dyDescent="0.35">
      <c r="N3110" s="108"/>
      <c r="O3110" s="108"/>
    </row>
    <row r="3111" spans="14:15" x14ac:dyDescent="0.35">
      <c r="N3111" s="108"/>
      <c r="O3111" s="108"/>
    </row>
    <row r="3112" spans="14:15" x14ac:dyDescent="0.35">
      <c r="N3112" s="108"/>
      <c r="O3112" s="108"/>
    </row>
    <row r="3113" spans="14:15" x14ac:dyDescent="0.35">
      <c r="N3113" s="108"/>
      <c r="O3113" s="108"/>
    </row>
    <row r="3114" spans="14:15" x14ac:dyDescent="0.35">
      <c r="N3114" s="108"/>
      <c r="O3114" s="108"/>
    </row>
    <row r="3115" spans="14:15" x14ac:dyDescent="0.35">
      <c r="N3115" s="108"/>
      <c r="O3115" s="108"/>
    </row>
    <row r="3116" spans="14:15" x14ac:dyDescent="0.35">
      <c r="N3116" s="108"/>
      <c r="O3116" s="108"/>
    </row>
    <row r="3117" spans="14:15" x14ac:dyDescent="0.35">
      <c r="N3117" s="108"/>
      <c r="O3117" s="108"/>
    </row>
    <row r="3118" spans="14:15" x14ac:dyDescent="0.35">
      <c r="N3118" s="108"/>
      <c r="O3118" s="108"/>
    </row>
    <row r="3119" spans="14:15" x14ac:dyDescent="0.35">
      <c r="N3119" s="108"/>
      <c r="O3119" s="108"/>
    </row>
    <row r="3120" spans="14:15" x14ac:dyDescent="0.35">
      <c r="N3120" s="108"/>
      <c r="O3120" s="108"/>
    </row>
    <row r="3121" spans="14:15" x14ac:dyDescent="0.35">
      <c r="N3121" s="108"/>
      <c r="O3121" s="108"/>
    </row>
    <row r="3122" spans="14:15" x14ac:dyDescent="0.35">
      <c r="N3122" s="108"/>
      <c r="O3122" s="108"/>
    </row>
    <row r="3123" spans="14:15" x14ac:dyDescent="0.35">
      <c r="N3123" s="108"/>
      <c r="O3123" s="108"/>
    </row>
    <row r="3124" spans="14:15" x14ac:dyDescent="0.35">
      <c r="N3124" s="108"/>
      <c r="O3124" s="108"/>
    </row>
    <row r="3125" spans="14:15" x14ac:dyDescent="0.35">
      <c r="N3125" s="108"/>
      <c r="O3125" s="108"/>
    </row>
    <row r="3126" spans="14:15" x14ac:dyDescent="0.35">
      <c r="N3126" s="108"/>
      <c r="O3126" s="108"/>
    </row>
    <row r="3127" spans="14:15" x14ac:dyDescent="0.35">
      <c r="N3127" s="108"/>
      <c r="O3127" s="108"/>
    </row>
    <row r="3128" spans="14:15" x14ac:dyDescent="0.35">
      <c r="N3128" s="108"/>
      <c r="O3128" s="108"/>
    </row>
    <row r="3129" spans="14:15" x14ac:dyDescent="0.35">
      <c r="N3129" s="108"/>
      <c r="O3129" s="108"/>
    </row>
    <row r="3130" spans="14:15" x14ac:dyDescent="0.35">
      <c r="N3130" s="108"/>
      <c r="O3130" s="108"/>
    </row>
    <row r="3131" spans="14:15" x14ac:dyDescent="0.35">
      <c r="N3131" s="108"/>
      <c r="O3131" s="108"/>
    </row>
    <row r="3132" spans="14:15" x14ac:dyDescent="0.35">
      <c r="N3132" s="108"/>
      <c r="O3132" s="108"/>
    </row>
    <row r="3133" spans="14:15" x14ac:dyDescent="0.35">
      <c r="N3133" s="108"/>
      <c r="O3133" s="108"/>
    </row>
    <row r="3134" spans="14:15" x14ac:dyDescent="0.35">
      <c r="N3134" s="108"/>
      <c r="O3134" s="108"/>
    </row>
    <row r="3135" spans="14:15" x14ac:dyDescent="0.35">
      <c r="N3135" s="108"/>
      <c r="O3135" s="108"/>
    </row>
    <row r="3136" spans="14:15" x14ac:dyDescent="0.35">
      <c r="N3136" s="108"/>
      <c r="O3136" s="108"/>
    </row>
    <row r="3137" spans="14:15" x14ac:dyDescent="0.35">
      <c r="N3137" s="108"/>
      <c r="O3137" s="108"/>
    </row>
    <row r="3138" spans="14:15" x14ac:dyDescent="0.35">
      <c r="N3138" s="108"/>
      <c r="O3138" s="108"/>
    </row>
    <row r="3139" spans="14:15" x14ac:dyDescent="0.35">
      <c r="N3139" s="108"/>
      <c r="O3139" s="108"/>
    </row>
    <row r="3140" spans="14:15" x14ac:dyDescent="0.35">
      <c r="N3140" s="108"/>
      <c r="O3140" s="108"/>
    </row>
    <row r="3141" spans="14:15" x14ac:dyDescent="0.35">
      <c r="N3141" s="108"/>
      <c r="O3141" s="108"/>
    </row>
    <row r="3142" spans="14:15" x14ac:dyDescent="0.35">
      <c r="N3142" s="108"/>
      <c r="O3142" s="108"/>
    </row>
    <row r="3143" spans="14:15" x14ac:dyDescent="0.35">
      <c r="N3143" s="108"/>
      <c r="O3143" s="108"/>
    </row>
    <row r="3144" spans="14:15" x14ac:dyDescent="0.35">
      <c r="N3144" s="108"/>
      <c r="O3144" s="108"/>
    </row>
    <row r="3145" spans="14:15" x14ac:dyDescent="0.35">
      <c r="N3145" s="108"/>
      <c r="O3145" s="108"/>
    </row>
    <row r="3146" spans="14:15" x14ac:dyDescent="0.35">
      <c r="N3146" s="108"/>
      <c r="O3146" s="108"/>
    </row>
    <row r="3147" spans="14:15" x14ac:dyDescent="0.35">
      <c r="N3147" s="108"/>
      <c r="O3147" s="108"/>
    </row>
    <row r="3148" spans="14:15" x14ac:dyDescent="0.35">
      <c r="N3148" s="108"/>
      <c r="O3148" s="108"/>
    </row>
    <row r="3149" spans="14:15" x14ac:dyDescent="0.35">
      <c r="N3149" s="108"/>
      <c r="O3149" s="108"/>
    </row>
    <row r="3150" spans="14:15" x14ac:dyDescent="0.35">
      <c r="N3150" s="108"/>
      <c r="O3150" s="108"/>
    </row>
    <row r="3151" spans="14:15" x14ac:dyDescent="0.35">
      <c r="N3151" s="108"/>
      <c r="O3151" s="108"/>
    </row>
    <row r="3152" spans="14:15" x14ac:dyDescent="0.35">
      <c r="N3152" s="108"/>
      <c r="O3152" s="108"/>
    </row>
    <row r="3153" spans="14:15" x14ac:dyDescent="0.35">
      <c r="N3153" s="108"/>
      <c r="O3153" s="108"/>
    </row>
    <row r="3154" spans="14:15" x14ac:dyDescent="0.35">
      <c r="N3154" s="108"/>
      <c r="O3154" s="108"/>
    </row>
    <row r="3155" spans="14:15" x14ac:dyDescent="0.35">
      <c r="N3155" s="108"/>
      <c r="O3155" s="108"/>
    </row>
    <row r="3156" spans="14:15" x14ac:dyDescent="0.35">
      <c r="N3156" s="108"/>
      <c r="O3156" s="108"/>
    </row>
    <row r="3157" spans="14:15" x14ac:dyDescent="0.35">
      <c r="N3157" s="108"/>
      <c r="O3157" s="108"/>
    </row>
    <row r="3158" spans="14:15" x14ac:dyDescent="0.35">
      <c r="N3158" s="108"/>
      <c r="O3158" s="108"/>
    </row>
    <row r="3159" spans="14:15" x14ac:dyDescent="0.35">
      <c r="N3159" s="108"/>
      <c r="O3159" s="108"/>
    </row>
    <row r="3160" spans="14:15" x14ac:dyDescent="0.35">
      <c r="N3160" s="108"/>
      <c r="O3160" s="108"/>
    </row>
    <row r="3161" spans="14:15" x14ac:dyDescent="0.35">
      <c r="N3161" s="108"/>
      <c r="O3161" s="108"/>
    </row>
    <row r="3162" spans="14:15" x14ac:dyDescent="0.35">
      <c r="N3162" s="108"/>
      <c r="O3162" s="108"/>
    </row>
    <row r="3163" spans="14:15" x14ac:dyDescent="0.35">
      <c r="N3163" s="108"/>
      <c r="O3163" s="108"/>
    </row>
    <row r="3164" spans="14:15" x14ac:dyDescent="0.35">
      <c r="N3164" s="108"/>
      <c r="O3164" s="108"/>
    </row>
    <row r="3165" spans="14:15" x14ac:dyDescent="0.35">
      <c r="N3165" s="108"/>
      <c r="O3165" s="108"/>
    </row>
    <row r="3166" spans="14:15" x14ac:dyDescent="0.35">
      <c r="N3166" s="108"/>
      <c r="O3166" s="108"/>
    </row>
    <row r="3167" spans="14:15" x14ac:dyDescent="0.35">
      <c r="N3167" s="108"/>
      <c r="O3167" s="108"/>
    </row>
    <row r="3168" spans="14:15" x14ac:dyDescent="0.35">
      <c r="N3168" s="108"/>
      <c r="O3168" s="108"/>
    </row>
    <row r="3169" spans="14:15" x14ac:dyDescent="0.35">
      <c r="N3169" s="108"/>
      <c r="O3169" s="108"/>
    </row>
    <row r="3170" spans="14:15" x14ac:dyDescent="0.35">
      <c r="N3170" s="108"/>
      <c r="O3170" s="108"/>
    </row>
    <row r="3171" spans="14:15" x14ac:dyDescent="0.35">
      <c r="N3171" s="108"/>
      <c r="O3171" s="108"/>
    </row>
    <row r="3172" spans="14:15" x14ac:dyDescent="0.35">
      <c r="N3172" s="108"/>
      <c r="O3172" s="108"/>
    </row>
    <row r="3173" spans="14:15" x14ac:dyDescent="0.35">
      <c r="N3173" s="108"/>
      <c r="O3173" s="108"/>
    </row>
    <row r="3174" spans="14:15" x14ac:dyDescent="0.35">
      <c r="N3174" s="108"/>
      <c r="O3174" s="108"/>
    </row>
    <row r="3175" spans="14:15" x14ac:dyDescent="0.35">
      <c r="N3175" s="108"/>
      <c r="O3175" s="108"/>
    </row>
    <row r="3176" spans="14:15" x14ac:dyDescent="0.35">
      <c r="N3176" s="108"/>
      <c r="O3176" s="108"/>
    </row>
    <row r="3177" spans="14:15" x14ac:dyDescent="0.35">
      <c r="N3177" s="108"/>
      <c r="O3177" s="108"/>
    </row>
    <row r="3178" spans="14:15" x14ac:dyDescent="0.35">
      <c r="N3178" s="108"/>
      <c r="O3178" s="108"/>
    </row>
    <row r="3179" spans="14:15" x14ac:dyDescent="0.35">
      <c r="N3179" s="108"/>
      <c r="O3179" s="108"/>
    </row>
    <row r="3180" spans="14:15" x14ac:dyDescent="0.35">
      <c r="N3180" s="108"/>
      <c r="O3180" s="108"/>
    </row>
    <row r="3181" spans="14:15" x14ac:dyDescent="0.35">
      <c r="N3181" s="108"/>
      <c r="O3181" s="108"/>
    </row>
    <row r="3182" spans="14:15" x14ac:dyDescent="0.35">
      <c r="N3182" s="108"/>
      <c r="O3182" s="108"/>
    </row>
    <row r="3183" spans="14:15" x14ac:dyDescent="0.35">
      <c r="N3183" s="108"/>
      <c r="O3183" s="108"/>
    </row>
    <row r="3184" spans="14:15" x14ac:dyDescent="0.35">
      <c r="N3184" s="108"/>
      <c r="O3184" s="108"/>
    </row>
    <row r="3185" spans="14:15" x14ac:dyDescent="0.35">
      <c r="N3185" s="108"/>
      <c r="O3185" s="108"/>
    </row>
    <row r="3186" spans="14:15" x14ac:dyDescent="0.35">
      <c r="N3186" s="108"/>
      <c r="O3186" s="108"/>
    </row>
    <row r="3187" spans="14:15" x14ac:dyDescent="0.35">
      <c r="N3187" s="108"/>
      <c r="O3187" s="108"/>
    </row>
    <row r="3188" spans="14:15" x14ac:dyDescent="0.35">
      <c r="N3188" s="108"/>
      <c r="O3188" s="108"/>
    </row>
    <row r="3189" spans="14:15" x14ac:dyDescent="0.35">
      <c r="N3189" s="108"/>
      <c r="O3189" s="108"/>
    </row>
    <row r="3190" spans="14:15" x14ac:dyDescent="0.35">
      <c r="N3190" s="108"/>
      <c r="O3190" s="108"/>
    </row>
    <row r="3191" spans="14:15" x14ac:dyDescent="0.35">
      <c r="N3191" s="108"/>
      <c r="O3191" s="108"/>
    </row>
    <row r="3192" spans="14:15" x14ac:dyDescent="0.35">
      <c r="N3192" s="108"/>
      <c r="O3192" s="108"/>
    </row>
    <row r="3193" spans="14:15" x14ac:dyDescent="0.35">
      <c r="N3193" s="108"/>
      <c r="O3193" s="108"/>
    </row>
    <row r="3194" spans="14:15" x14ac:dyDescent="0.35">
      <c r="N3194" s="108"/>
      <c r="O3194" s="108"/>
    </row>
    <row r="3195" spans="14:15" x14ac:dyDescent="0.35">
      <c r="N3195" s="108"/>
      <c r="O3195" s="108"/>
    </row>
    <row r="3196" spans="14:15" x14ac:dyDescent="0.35">
      <c r="N3196" s="108"/>
      <c r="O3196" s="108"/>
    </row>
    <row r="3197" spans="14:15" x14ac:dyDescent="0.35">
      <c r="N3197" s="108"/>
      <c r="O3197" s="108"/>
    </row>
    <row r="3198" spans="14:15" x14ac:dyDescent="0.35">
      <c r="N3198" s="108"/>
      <c r="O3198" s="108"/>
    </row>
    <row r="3199" spans="14:15" x14ac:dyDescent="0.35">
      <c r="N3199" s="108"/>
      <c r="O3199" s="108"/>
    </row>
    <row r="3200" spans="14:15" x14ac:dyDescent="0.35">
      <c r="N3200" s="108"/>
      <c r="O3200" s="108"/>
    </row>
    <row r="3201" spans="14:15" x14ac:dyDescent="0.35">
      <c r="N3201" s="108"/>
      <c r="O3201" s="108"/>
    </row>
    <row r="3202" spans="14:15" x14ac:dyDescent="0.35">
      <c r="N3202" s="108"/>
      <c r="O3202" s="108"/>
    </row>
    <row r="3203" spans="14:15" x14ac:dyDescent="0.35">
      <c r="N3203" s="108"/>
      <c r="O3203" s="108"/>
    </row>
    <row r="3204" spans="14:15" x14ac:dyDescent="0.35">
      <c r="N3204" s="108"/>
      <c r="O3204" s="108"/>
    </row>
    <row r="3205" spans="14:15" x14ac:dyDescent="0.35">
      <c r="N3205" s="108"/>
      <c r="O3205" s="108"/>
    </row>
    <row r="3206" spans="14:15" x14ac:dyDescent="0.35">
      <c r="N3206" s="108"/>
      <c r="O3206" s="108"/>
    </row>
    <row r="3207" spans="14:15" x14ac:dyDescent="0.35">
      <c r="N3207" s="108"/>
      <c r="O3207" s="108"/>
    </row>
    <row r="3208" spans="14:15" x14ac:dyDescent="0.35">
      <c r="N3208" s="108"/>
      <c r="O3208" s="108"/>
    </row>
    <row r="3209" spans="14:15" x14ac:dyDescent="0.35">
      <c r="N3209" s="108"/>
      <c r="O3209" s="108"/>
    </row>
    <row r="3210" spans="14:15" x14ac:dyDescent="0.35">
      <c r="N3210" s="108"/>
      <c r="O3210" s="108"/>
    </row>
    <row r="3211" spans="14:15" x14ac:dyDescent="0.35">
      <c r="N3211" s="108"/>
      <c r="O3211" s="108"/>
    </row>
    <row r="3212" spans="14:15" x14ac:dyDescent="0.35">
      <c r="N3212" s="108"/>
      <c r="O3212" s="108"/>
    </row>
    <row r="3213" spans="14:15" x14ac:dyDescent="0.35">
      <c r="N3213" s="108"/>
      <c r="O3213" s="108"/>
    </row>
    <row r="3214" spans="14:15" x14ac:dyDescent="0.35">
      <c r="N3214" s="108"/>
      <c r="O3214" s="108"/>
    </row>
    <row r="3215" spans="14:15" x14ac:dyDescent="0.35">
      <c r="N3215" s="108"/>
      <c r="O3215" s="108"/>
    </row>
    <row r="3216" spans="14:15" x14ac:dyDescent="0.35">
      <c r="N3216" s="108"/>
      <c r="O3216" s="108"/>
    </row>
    <row r="3217" spans="14:15" x14ac:dyDescent="0.35">
      <c r="N3217" s="108"/>
      <c r="O3217" s="108"/>
    </row>
    <row r="3218" spans="14:15" x14ac:dyDescent="0.35">
      <c r="N3218" s="108"/>
      <c r="O3218" s="108"/>
    </row>
    <row r="3219" spans="14:15" x14ac:dyDescent="0.35">
      <c r="N3219" s="108"/>
      <c r="O3219" s="108"/>
    </row>
    <row r="3220" spans="14:15" x14ac:dyDescent="0.35">
      <c r="N3220" s="108"/>
      <c r="O3220" s="108"/>
    </row>
    <row r="3221" spans="14:15" x14ac:dyDescent="0.35">
      <c r="N3221" s="108"/>
      <c r="O3221" s="108"/>
    </row>
    <row r="3222" spans="14:15" x14ac:dyDescent="0.35">
      <c r="N3222" s="108"/>
      <c r="O3222" s="108"/>
    </row>
    <row r="3223" spans="14:15" x14ac:dyDescent="0.35">
      <c r="N3223" s="108"/>
      <c r="O3223" s="108"/>
    </row>
    <row r="3224" spans="14:15" x14ac:dyDescent="0.35">
      <c r="N3224" s="108"/>
      <c r="O3224" s="108"/>
    </row>
    <row r="3225" spans="14:15" x14ac:dyDescent="0.35">
      <c r="N3225" s="108"/>
      <c r="O3225" s="108"/>
    </row>
    <row r="3226" spans="14:15" x14ac:dyDescent="0.35">
      <c r="N3226" s="108"/>
      <c r="O3226" s="108"/>
    </row>
    <row r="3227" spans="14:15" x14ac:dyDescent="0.35">
      <c r="N3227" s="108"/>
      <c r="O3227" s="108"/>
    </row>
    <row r="3228" spans="14:15" x14ac:dyDescent="0.35">
      <c r="N3228" s="108"/>
      <c r="O3228" s="108"/>
    </row>
    <row r="3229" spans="14:15" x14ac:dyDescent="0.35">
      <c r="N3229" s="108"/>
      <c r="O3229" s="108"/>
    </row>
    <row r="3230" spans="14:15" x14ac:dyDescent="0.35">
      <c r="N3230" s="108"/>
      <c r="O3230" s="108"/>
    </row>
    <row r="3231" spans="14:15" x14ac:dyDescent="0.35">
      <c r="N3231" s="108"/>
      <c r="O3231" s="108"/>
    </row>
    <row r="3232" spans="14:15" x14ac:dyDescent="0.35">
      <c r="N3232" s="108"/>
      <c r="O3232" s="108"/>
    </row>
    <row r="3233" spans="14:15" x14ac:dyDescent="0.35">
      <c r="N3233" s="108"/>
      <c r="O3233" s="108"/>
    </row>
    <row r="3234" spans="14:15" x14ac:dyDescent="0.35">
      <c r="N3234" s="108"/>
      <c r="O3234" s="108"/>
    </row>
    <row r="3235" spans="14:15" x14ac:dyDescent="0.35">
      <c r="N3235" s="108"/>
      <c r="O3235" s="108"/>
    </row>
    <row r="3236" spans="14:15" x14ac:dyDescent="0.35">
      <c r="N3236" s="108"/>
      <c r="O3236" s="108"/>
    </row>
    <row r="3237" spans="14:15" x14ac:dyDescent="0.35">
      <c r="N3237" s="108"/>
      <c r="O3237" s="108"/>
    </row>
    <row r="3238" spans="14:15" x14ac:dyDescent="0.35">
      <c r="N3238" s="108"/>
      <c r="O3238" s="108"/>
    </row>
    <row r="3239" spans="14:15" x14ac:dyDescent="0.35">
      <c r="N3239" s="108"/>
      <c r="O3239" s="108"/>
    </row>
    <row r="3240" spans="14:15" x14ac:dyDescent="0.35">
      <c r="N3240" s="108"/>
      <c r="O3240" s="108"/>
    </row>
    <row r="3241" spans="14:15" x14ac:dyDescent="0.35">
      <c r="N3241" s="108"/>
      <c r="O3241" s="108"/>
    </row>
    <row r="3242" spans="14:15" x14ac:dyDescent="0.35">
      <c r="N3242" s="108"/>
      <c r="O3242" s="108"/>
    </row>
    <row r="3243" spans="14:15" x14ac:dyDescent="0.35">
      <c r="N3243" s="108"/>
      <c r="O3243" s="108"/>
    </row>
    <row r="3244" spans="14:15" x14ac:dyDescent="0.35">
      <c r="N3244" s="108"/>
      <c r="O3244" s="108"/>
    </row>
    <row r="3245" spans="14:15" x14ac:dyDescent="0.35">
      <c r="N3245" s="108"/>
      <c r="O3245" s="108"/>
    </row>
    <row r="3246" spans="14:15" x14ac:dyDescent="0.35">
      <c r="N3246" s="108"/>
      <c r="O3246" s="108"/>
    </row>
    <row r="3247" spans="14:15" x14ac:dyDescent="0.35">
      <c r="N3247" s="108"/>
      <c r="O3247" s="108"/>
    </row>
    <row r="3248" spans="14:15" x14ac:dyDescent="0.35">
      <c r="N3248" s="108"/>
      <c r="O3248" s="108"/>
    </row>
    <row r="3249" spans="14:15" x14ac:dyDescent="0.35">
      <c r="N3249" s="108"/>
      <c r="O3249" s="108"/>
    </row>
    <row r="3250" spans="14:15" x14ac:dyDescent="0.35">
      <c r="N3250" s="108"/>
      <c r="O3250" s="108"/>
    </row>
    <row r="3251" spans="14:15" x14ac:dyDescent="0.35">
      <c r="N3251" s="108"/>
      <c r="O3251" s="108"/>
    </row>
    <row r="3252" spans="14:15" x14ac:dyDescent="0.35">
      <c r="N3252" s="108"/>
      <c r="O3252" s="108"/>
    </row>
    <row r="3253" spans="14:15" x14ac:dyDescent="0.35">
      <c r="N3253" s="108"/>
      <c r="O3253" s="108"/>
    </row>
    <row r="3254" spans="14:15" x14ac:dyDescent="0.35">
      <c r="N3254" s="108"/>
      <c r="O3254" s="108"/>
    </row>
    <row r="3255" spans="14:15" x14ac:dyDescent="0.35">
      <c r="N3255" s="108"/>
      <c r="O3255" s="108"/>
    </row>
    <row r="3256" spans="14:15" x14ac:dyDescent="0.35">
      <c r="N3256" s="108"/>
      <c r="O3256" s="108"/>
    </row>
    <row r="3257" spans="14:15" x14ac:dyDescent="0.35">
      <c r="N3257" s="108"/>
      <c r="O3257" s="108"/>
    </row>
    <row r="3258" spans="14:15" x14ac:dyDescent="0.35">
      <c r="N3258" s="108"/>
      <c r="O3258" s="108"/>
    </row>
    <row r="3259" spans="14:15" x14ac:dyDescent="0.35">
      <c r="N3259" s="108"/>
      <c r="O3259" s="108"/>
    </row>
    <row r="3260" spans="14:15" x14ac:dyDescent="0.35">
      <c r="N3260" s="108"/>
      <c r="O3260" s="108"/>
    </row>
    <row r="3261" spans="14:15" x14ac:dyDescent="0.35">
      <c r="N3261" s="108"/>
      <c r="O3261" s="108"/>
    </row>
    <row r="3262" spans="14:15" x14ac:dyDescent="0.35">
      <c r="N3262" s="108"/>
      <c r="O3262" s="108"/>
    </row>
    <row r="3263" spans="14:15" x14ac:dyDescent="0.35">
      <c r="N3263" s="108"/>
      <c r="O3263" s="108"/>
    </row>
    <row r="3264" spans="14:15" x14ac:dyDescent="0.35">
      <c r="N3264" s="108"/>
      <c r="O3264" s="108"/>
    </row>
    <row r="3265" spans="14:15" x14ac:dyDescent="0.35">
      <c r="N3265" s="108"/>
      <c r="O3265" s="108"/>
    </row>
    <row r="3266" spans="14:15" x14ac:dyDescent="0.35">
      <c r="N3266" s="108"/>
      <c r="O3266" s="108"/>
    </row>
    <row r="3267" spans="14:15" x14ac:dyDescent="0.35">
      <c r="N3267" s="108"/>
      <c r="O3267" s="108"/>
    </row>
    <row r="3268" spans="14:15" x14ac:dyDescent="0.35">
      <c r="N3268" s="108"/>
      <c r="O3268" s="108"/>
    </row>
    <row r="3269" spans="14:15" x14ac:dyDescent="0.35">
      <c r="N3269" s="108"/>
      <c r="O3269" s="108"/>
    </row>
    <row r="3270" spans="14:15" x14ac:dyDescent="0.35">
      <c r="N3270" s="108"/>
      <c r="O3270" s="108"/>
    </row>
    <row r="3271" spans="14:15" x14ac:dyDescent="0.35">
      <c r="N3271" s="108"/>
      <c r="O3271" s="108"/>
    </row>
    <row r="3272" spans="14:15" x14ac:dyDescent="0.35">
      <c r="N3272" s="108"/>
      <c r="O3272" s="108"/>
    </row>
    <row r="3273" spans="14:15" x14ac:dyDescent="0.35">
      <c r="N3273" s="108"/>
      <c r="O3273" s="108"/>
    </row>
    <row r="3274" spans="14:15" x14ac:dyDescent="0.35">
      <c r="N3274" s="108"/>
      <c r="O3274" s="108"/>
    </row>
    <row r="3275" spans="14:15" x14ac:dyDescent="0.35">
      <c r="N3275" s="108"/>
      <c r="O3275" s="108"/>
    </row>
    <row r="3276" spans="14:15" x14ac:dyDescent="0.35">
      <c r="N3276" s="108"/>
      <c r="O3276" s="108"/>
    </row>
    <row r="3277" spans="14:15" x14ac:dyDescent="0.35">
      <c r="N3277" s="108"/>
      <c r="O3277" s="108"/>
    </row>
    <row r="3278" spans="14:15" x14ac:dyDescent="0.35">
      <c r="N3278" s="108"/>
      <c r="O3278" s="108"/>
    </row>
    <row r="3279" spans="14:15" x14ac:dyDescent="0.35">
      <c r="N3279" s="108"/>
      <c r="O3279" s="108"/>
    </row>
    <row r="3280" spans="14:15" x14ac:dyDescent="0.35">
      <c r="N3280" s="108"/>
      <c r="O3280" s="108"/>
    </row>
    <row r="3281" spans="14:15" x14ac:dyDescent="0.35">
      <c r="N3281" s="108"/>
      <c r="O3281" s="108"/>
    </row>
    <row r="3282" spans="14:15" x14ac:dyDescent="0.35">
      <c r="N3282" s="108"/>
      <c r="O3282" s="108"/>
    </row>
    <row r="3283" spans="14:15" x14ac:dyDescent="0.35">
      <c r="N3283" s="108"/>
      <c r="O3283" s="108"/>
    </row>
    <row r="3284" spans="14:15" x14ac:dyDescent="0.35">
      <c r="N3284" s="108"/>
      <c r="O3284" s="108"/>
    </row>
    <row r="3285" spans="14:15" x14ac:dyDescent="0.35">
      <c r="N3285" s="108"/>
      <c r="O3285" s="108"/>
    </row>
    <row r="3286" spans="14:15" x14ac:dyDescent="0.35">
      <c r="N3286" s="108"/>
      <c r="O3286" s="108"/>
    </row>
    <row r="3287" spans="14:15" x14ac:dyDescent="0.35">
      <c r="N3287" s="108"/>
      <c r="O3287" s="108"/>
    </row>
    <row r="3288" spans="14:15" x14ac:dyDescent="0.35">
      <c r="N3288" s="108"/>
      <c r="O3288" s="108"/>
    </row>
    <row r="3289" spans="14:15" x14ac:dyDescent="0.35">
      <c r="N3289" s="108"/>
      <c r="O3289" s="108"/>
    </row>
    <row r="3290" spans="14:15" x14ac:dyDescent="0.35">
      <c r="N3290" s="108"/>
      <c r="O3290" s="108"/>
    </row>
    <row r="3291" spans="14:15" x14ac:dyDescent="0.35">
      <c r="N3291" s="108"/>
      <c r="O3291" s="108"/>
    </row>
    <row r="3292" spans="14:15" x14ac:dyDescent="0.35">
      <c r="N3292" s="108"/>
      <c r="O3292" s="108"/>
    </row>
    <row r="3293" spans="14:15" x14ac:dyDescent="0.35">
      <c r="N3293" s="108"/>
      <c r="O3293" s="108"/>
    </row>
    <row r="3294" spans="14:15" x14ac:dyDescent="0.35">
      <c r="N3294" s="108"/>
      <c r="O3294" s="108"/>
    </row>
    <row r="3295" spans="14:15" x14ac:dyDescent="0.35">
      <c r="N3295" s="108"/>
      <c r="O3295" s="108"/>
    </row>
    <row r="3296" spans="14:15" x14ac:dyDescent="0.35">
      <c r="N3296" s="108"/>
      <c r="O3296" s="108"/>
    </row>
    <row r="3297" spans="14:15" x14ac:dyDescent="0.35">
      <c r="N3297" s="108"/>
      <c r="O3297" s="108"/>
    </row>
    <row r="3298" spans="14:15" x14ac:dyDescent="0.35">
      <c r="N3298" s="108"/>
      <c r="O3298" s="108"/>
    </row>
    <row r="3299" spans="14:15" x14ac:dyDescent="0.35">
      <c r="N3299" s="108"/>
      <c r="O3299" s="108"/>
    </row>
    <row r="3300" spans="14:15" x14ac:dyDescent="0.35">
      <c r="N3300" s="108"/>
      <c r="O3300" s="108"/>
    </row>
    <row r="3301" spans="14:15" x14ac:dyDescent="0.35">
      <c r="N3301" s="108"/>
      <c r="O3301" s="108"/>
    </row>
    <row r="3302" spans="14:15" x14ac:dyDescent="0.35">
      <c r="N3302" s="108"/>
      <c r="O3302" s="108"/>
    </row>
    <row r="3303" spans="14:15" x14ac:dyDescent="0.35">
      <c r="N3303" s="108"/>
      <c r="O3303" s="108"/>
    </row>
    <row r="3304" spans="14:15" x14ac:dyDescent="0.35">
      <c r="N3304" s="108"/>
      <c r="O3304" s="108"/>
    </row>
    <row r="3305" spans="14:15" x14ac:dyDescent="0.35">
      <c r="N3305" s="108"/>
      <c r="O3305" s="108"/>
    </row>
    <row r="3306" spans="14:15" x14ac:dyDescent="0.35">
      <c r="N3306" s="108"/>
      <c r="O3306" s="108"/>
    </row>
    <row r="3307" spans="14:15" x14ac:dyDescent="0.35">
      <c r="N3307" s="108"/>
      <c r="O3307" s="108"/>
    </row>
    <row r="3308" spans="14:15" x14ac:dyDescent="0.35">
      <c r="N3308" s="108"/>
      <c r="O3308" s="108"/>
    </row>
    <row r="3309" spans="14:15" x14ac:dyDescent="0.35">
      <c r="N3309" s="108"/>
      <c r="O3309" s="108"/>
    </row>
    <row r="3310" spans="14:15" x14ac:dyDescent="0.35">
      <c r="N3310" s="108"/>
      <c r="O3310" s="108"/>
    </row>
    <row r="3311" spans="14:15" x14ac:dyDescent="0.35">
      <c r="N3311" s="108"/>
      <c r="O3311" s="108"/>
    </row>
    <row r="3312" spans="14:15" x14ac:dyDescent="0.35">
      <c r="N3312" s="108"/>
      <c r="O3312" s="108"/>
    </row>
    <row r="3313" spans="14:15" x14ac:dyDescent="0.35">
      <c r="N3313" s="108"/>
      <c r="O3313" s="108"/>
    </row>
    <row r="3314" spans="14:15" x14ac:dyDescent="0.35">
      <c r="N3314" s="108"/>
      <c r="O3314" s="108"/>
    </row>
    <row r="3315" spans="14:15" x14ac:dyDescent="0.35">
      <c r="N3315" s="108"/>
      <c r="O3315" s="108"/>
    </row>
    <row r="3316" spans="14:15" x14ac:dyDescent="0.35">
      <c r="N3316" s="108"/>
      <c r="O3316" s="108"/>
    </row>
    <row r="3317" spans="14:15" x14ac:dyDescent="0.35">
      <c r="N3317" s="108"/>
      <c r="O3317" s="108"/>
    </row>
    <row r="3318" spans="14:15" x14ac:dyDescent="0.35">
      <c r="N3318" s="108"/>
      <c r="O3318" s="108"/>
    </row>
    <row r="3319" spans="14:15" x14ac:dyDescent="0.35">
      <c r="N3319" s="108"/>
      <c r="O3319" s="108"/>
    </row>
    <row r="3320" spans="14:15" x14ac:dyDescent="0.35">
      <c r="N3320" s="108"/>
      <c r="O3320" s="108"/>
    </row>
    <row r="3321" spans="14:15" x14ac:dyDescent="0.35">
      <c r="N3321" s="108"/>
      <c r="O3321" s="108"/>
    </row>
    <row r="3322" spans="14:15" x14ac:dyDescent="0.35">
      <c r="N3322" s="108"/>
      <c r="O3322" s="108"/>
    </row>
    <row r="3323" spans="14:15" x14ac:dyDescent="0.35">
      <c r="N3323" s="108"/>
      <c r="O3323" s="108"/>
    </row>
    <row r="3324" spans="14:15" x14ac:dyDescent="0.35">
      <c r="N3324" s="108"/>
      <c r="O3324" s="108"/>
    </row>
    <row r="3325" spans="14:15" x14ac:dyDescent="0.35">
      <c r="N3325" s="108"/>
      <c r="O3325" s="108"/>
    </row>
    <row r="3326" spans="14:15" x14ac:dyDescent="0.35">
      <c r="N3326" s="108"/>
      <c r="O3326" s="108"/>
    </row>
    <row r="3327" spans="14:15" x14ac:dyDescent="0.35">
      <c r="N3327" s="108"/>
      <c r="O3327" s="108"/>
    </row>
    <row r="3328" spans="14:15" x14ac:dyDescent="0.35">
      <c r="N3328" s="108"/>
      <c r="O3328" s="108"/>
    </row>
    <row r="3329" spans="14:15" x14ac:dyDescent="0.35">
      <c r="N3329" s="108"/>
      <c r="O3329" s="108"/>
    </row>
    <row r="3330" spans="14:15" x14ac:dyDescent="0.35">
      <c r="N3330" s="108"/>
      <c r="O3330" s="108"/>
    </row>
    <row r="3331" spans="14:15" x14ac:dyDescent="0.35">
      <c r="N3331" s="108"/>
      <c r="O3331" s="108"/>
    </row>
    <row r="3332" spans="14:15" x14ac:dyDescent="0.35">
      <c r="N3332" s="108"/>
      <c r="O3332" s="108"/>
    </row>
    <row r="3333" spans="14:15" x14ac:dyDescent="0.35">
      <c r="N3333" s="108"/>
      <c r="O3333" s="108"/>
    </row>
    <row r="3334" spans="14:15" x14ac:dyDescent="0.35">
      <c r="N3334" s="108"/>
      <c r="O3334" s="108"/>
    </row>
    <row r="3335" spans="14:15" x14ac:dyDescent="0.35">
      <c r="N3335" s="108"/>
      <c r="O3335" s="108"/>
    </row>
    <row r="3336" spans="14:15" x14ac:dyDescent="0.35">
      <c r="N3336" s="108"/>
      <c r="O3336" s="108"/>
    </row>
    <row r="3337" spans="14:15" x14ac:dyDescent="0.35">
      <c r="N3337" s="108"/>
      <c r="O3337" s="108"/>
    </row>
    <row r="3338" spans="14:15" x14ac:dyDescent="0.35">
      <c r="N3338" s="108"/>
      <c r="O3338" s="108"/>
    </row>
    <row r="3339" spans="14:15" x14ac:dyDescent="0.35">
      <c r="N3339" s="108"/>
      <c r="O3339" s="108"/>
    </row>
    <row r="3340" spans="14:15" x14ac:dyDescent="0.35">
      <c r="N3340" s="108"/>
      <c r="O3340" s="108"/>
    </row>
    <row r="3341" spans="14:15" x14ac:dyDescent="0.35">
      <c r="N3341" s="108"/>
      <c r="O3341" s="108"/>
    </row>
    <row r="3342" spans="14:15" x14ac:dyDescent="0.35">
      <c r="N3342" s="108"/>
      <c r="O3342" s="108"/>
    </row>
    <row r="3343" spans="14:15" x14ac:dyDescent="0.35">
      <c r="N3343" s="108"/>
      <c r="O3343" s="108"/>
    </row>
    <row r="3344" spans="14:15" x14ac:dyDescent="0.35">
      <c r="N3344" s="108"/>
      <c r="O3344" s="108"/>
    </row>
    <row r="3345" spans="14:15" x14ac:dyDescent="0.35">
      <c r="N3345" s="108"/>
      <c r="O3345" s="108"/>
    </row>
    <row r="3346" spans="14:15" x14ac:dyDescent="0.35">
      <c r="N3346" s="108"/>
      <c r="O3346" s="108"/>
    </row>
    <row r="3347" spans="14:15" x14ac:dyDescent="0.35">
      <c r="N3347" s="108"/>
      <c r="O3347" s="108"/>
    </row>
    <row r="3348" spans="14:15" x14ac:dyDescent="0.35">
      <c r="N3348" s="108"/>
      <c r="O3348" s="108"/>
    </row>
    <row r="3349" spans="14:15" x14ac:dyDescent="0.35">
      <c r="N3349" s="108"/>
      <c r="O3349" s="108"/>
    </row>
    <row r="3350" spans="14:15" x14ac:dyDescent="0.35">
      <c r="N3350" s="108"/>
      <c r="O3350" s="108"/>
    </row>
    <row r="3351" spans="14:15" x14ac:dyDescent="0.35">
      <c r="N3351" s="108"/>
      <c r="O3351" s="108"/>
    </row>
    <row r="3352" spans="14:15" x14ac:dyDescent="0.35">
      <c r="N3352" s="108"/>
      <c r="O3352" s="108"/>
    </row>
    <row r="3353" spans="14:15" x14ac:dyDescent="0.35">
      <c r="N3353" s="108"/>
      <c r="O3353" s="108"/>
    </row>
    <row r="3354" spans="14:15" x14ac:dyDescent="0.35">
      <c r="N3354" s="108"/>
      <c r="O3354" s="108"/>
    </row>
    <row r="3355" spans="14:15" x14ac:dyDescent="0.35">
      <c r="N3355" s="108"/>
      <c r="O3355" s="108"/>
    </row>
    <row r="3356" spans="14:15" x14ac:dyDescent="0.35">
      <c r="N3356" s="108"/>
      <c r="O3356" s="108"/>
    </row>
    <row r="3357" spans="14:15" x14ac:dyDescent="0.35">
      <c r="N3357" s="108"/>
      <c r="O3357" s="108"/>
    </row>
    <row r="3358" spans="14:15" x14ac:dyDescent="0.35">
      <c r="N3358" s="108"/>
      <c r="O3358" s="108"/>
    </row>
    <row r="3359" spans="14:15" x14ac:dyDescent="0.35">
      <c r="N3359" s="108"/>
      <c r="O3359" s="108"/>
    </row>
    <row r="3360" spans="14:15" x14ac:dyDescent="0.35">
      <c r="N3360" s="108"/>
      <c r="O3360" s="108"/>
    </row>
    <row r="3361" spans="14:15" x14ac:dyDescent="0.35">
      <c r="N3361" s="108"/>
      <c r="O3361" s="108"/>
    </row>
    <row r="3362" spans="14:15" x14ac:dyDescent="0.35">
      <c r="N3362" s="108"/>
      <c r="O3362" s="108"/>
    </row>
    <row r="3363" spans="14:15" x14ac:dyDescent="0.35">
      <c r="N3363" s="108"/>
      <c r="O3363" s="108"/>
    </row>
    <row r="3364" spans="14:15" x14ac:dyDescent="0.35">
      <c r="N3364" s="108"/>
      <c r="O3364" s="108"/>
    </row>
    <row r="3365" spans="14:15" x14ac:dyDescent="0.35">
      <c r="N3365" s="108"/>
      <c r="O3365" s="108"/>
    </row>
    <row r="3366" spans="14:15" x14ac:dyDescent="0.35">
      <c r="N3366" s="108"/>
      <c r="O3366" s="108"/>
    </row>
    <row r="3367" spans="14:15" x14ac:dyDescent="0.35">
      <c r="N3367" s="108"/>
      <c r="O3367" s="108"/>
    </row>
    <row r="3368" spans="14:15" x14ac:dyDescent="0.35">
      <c r="N3368" s="108"/>
      <c r="O3368" s="108"/>
    </row>
    <row r="3369" spans="14:15" x14ac:dyDescent="0.35">
      <c r="N3369" s="108"/>
      <c r="O3369" s="108"/>
    </row>
    <row r="3370" spans="14:15" x14ac:dyDescent="0.35">
      <c r="N3370" s="108"/>
      <c r="O3370" s="108"/>
    </row>
    <row r="3371" spans="14:15" x14ac:dyDescent="0.35">
      <c r="N3371" s="108"/>
      <c r="O3371" s="108"/>
    </row>
    <row r="3372" spans="14:15" x14ac:dyDescent="0.35">
      <c r="N3372" s="108"/>
      <c r="O3372" s="108"/>
    </row>
    <row r="3373" spans="14:15" x14ac:dyDescent="0.35">
      <c r="N3373" s="108"/>
      <c r="O3373" s="108"/>
    </row>
    <row r="3374" spans="14:15" x14ac:dyDescent="0.35">
      <c r="N3374" s="108"/>
      <c r="O3374" s="108"/>
    </row>
    <row r="3375" spans="14:15" x14ac:dyDescent="0.35">
      <c r="N3375" s="108"/>
      <c r="O3375" s="108"/>
    </row>
    <row r="3376" spans="14:15" x14ac:dyDescent="0.35">
      <c r="N3376" s="108"/>
      <c r="O3376" s="108"/>
    </row>
    <row r="3377" spans="14:15" x14ac:dyDescent="0.35">
      <c r="N3377" s="108"/>
      <c r="O3377" s="108"/>
    </row>
    <row r="3378" spans="14:15" x14ac:dyDescent="0.35">
      <c r="N3378" s="108"/>
      <c r="O3378" s="108"/>
    </row>
    <row r="3379" spans="14:15" x14ac:dyDescent="0.35">
      <c r="N3379" s="108"/>
      <c r="O3379" s="108"/>
    </row>
    <row r="3380" spans="14:15" x14ac:dyDescent="0.35">
      <c r="N3380" s="108"/>
      <c r="O3380" s="108"/>
    </row>
    <row r="3381" spans="14:15" x14ac:dyDescent="0.35">
      <c r="N3381" s="108"/>
      <c r="O3381" s="108"/>
    </row>
    <row r="3382" spans="14:15" x14ac:dyDescent="0.35">
      <c r="N3382" s="108"/>
      <c r="O3382" s="108"/>
    </row>
    <row r="3383" spans="14:15" x14ac:dyDescent="0.35">
      <c r="N3383" s="108"/>
      <c r="O3383" s="108"/>
    </row>
    <row r="3384" spans="14:15" x14ac:dyDescent="0.35">
      <c r="N3384" s="108"/>
      <c r="O3384" s="108"/>
    </row>
    <row r="3385" spans="14:15" x14ac:dyDescent="0.35">
      <c r="N3385" s="108"/>
      <c r="O3385" s="108"/>
    </row>
    <row r="3386" spans="14:15" x14ac:dyDescent="0.35">
      <c r="N3386" s="108"/>
      <c r="O3386" s="108"/>
    </row>
    <row r="3387" spans="14:15" x14ac:dyDescent="0.35">
      <c r="N3387" s="108"/>
      <c r="O3387" s="108"/>
    </row>
    <row r="3388" spans="14:15" x14ac:dyDescent="0.35">
      <c r="N3388" s="108"/>
      <c r="O3388" s="108"/>
    </row>
    <row r="3389" spans="14:15" x14ac:dyDescent="0.35">
      <c r="N3389" s="108"/>
      <c r="O3389" s="108"/>
    </row>
    <row r="3390" spans="14:15" x14ac:dyDescent="0.35">
      <c r="N3390" s="108"/>
      <c r="O3390" s="108"/>
    </row>
    <row r="3391" spans="14:15" x14ac:dyDescent="0.35">
      <c r="N3391" s="108"/>
      <c r="O3391" s="108"/>
    </row>
    <row r="3392" spans="14:15" x14ac:dyDescent="0.35">
      <c r="N3392" s="108"/>
      <c r="O3392" s="108"/>
    </row>
    <row r="3393" spans="14:15" x14ac:dyDescent="0.35">
      <c r="N3393" s="108"/>
      <c r="O3393" s="108"/>
    </row>
    <row r="3394" spans="14:15" x14ac:dyDescent="0.35">
      <c r="N3394" s="108"/>
      <c r="O3394" s="108"/>
    </row>
    <row r="3395" spans="14:15" x14ac:dyDescent="0.35">
      <c r="N3395" s="108"/>
      <c r="O3395" s="108"/>
    </row>
    <row r="3396" spans="14:15" x14ac:dyDescent="0.35">
      <c r="N3396" s="108"/>
      <c r="O3396" s="108"/>
    </row>
    <row r="3397" spans="14:15" x14ac:dyDescent="0.35">
      <c r="N3397" s="108"/>
      <c r="O3397" s="108"/>
    </row>
    <row r="3398" spans="14:15" x14ac:dyDescent="0.35">
      <c r="N3398" s="108"/>
      <c r="O3398" s="108"/>
    </row>
    <row r="3399" spans="14:15" x14ac:dyDescent="0.35">
      <c r="N3399" s="108"/>
      <c r="O3399" s="108"/>
    </row>
    <row r="3400" spans="14:15" x14ac:dyDescent="0.35">
      <c r="N3400" s="108"/>
      <c r="O3400" s="108"/>
    </row>
    <row r="3401" spans="14:15" x14ac:dyDescent="0.35">
      <c r="N3401" s="108"/>
      <c r="O3401" s="108"/>
    </row>
    <row r="3402" spans="14:15" x14ac:dyDescent="0.35">
      <c r="N3402" s="108"/>
      <c r="O3402" s="108"/>
    </row>
    <row r="3403" spans="14:15" x14ac:dyDescent="0.35">
      <c r="N3403" s="108"/>
      <c r="O3403" s="108"/>
    </row>
    <row r="3404" spans="14:15" x14ac:dyDescent="0.35">
      <c r="N3404" s="108"/>
      <c r="O3404" s="108"/>
    </row>
    <row r="3405" spans="14:15" x14ac:dyDescent="0.35">
      <c r="N3405" s="108"/>
      <c r="O3405" s="108"/>
    </row>
    <row r="3406" spans="14:15" x14ac:dyDescent="0.35">
      <c r="N3406" s="108"/>
      <c r="O3406" s="108"/>
    </row>
    <row r="3407" spans="14:15" x14ac:dyDescent="0.35">
      <c r="N3407" s="108"/>
      <c r="O3407" s="108"/>
    </row>
    <row r="3408" spans="14:15" x14ac:dyDescent="0.35">
      <c r="N3408" s="108"/>
      <c r="O3408" s="108"/>
    </row>
    <row r="3409" spans="14:15" x14ac:dyDescent="0.35">
      <c r="N3409" s="108"/>
      <c r="O3409" s="108"/>
    </row>
    <row r="3410" spans="14:15" x14ac:dyDescent="0.35">
      <c r="N3410" s="108"/>
      <c r="O3410" s="108"/>
    </row>
    <row r="3411" spans="14:15" x14ac:dyDescent="0.35">
      <c r="N3411" s="108"/>
      <c r="O3411" s="108"/>
    </row>
    <row r="3412" spans="14:15" x14ac:dyDescent="0.35">
      <c r="N3412" s="108"/>
      <c r="O3412" s="108"/>
    </row>
    <row r="3413" spans="14:15" x14ac:dyDescent="0.35">
      <c r="N3413" s="108"/>
      <c r="O3413" s="108"/>
    </row>
    <row r="3414" spans="14:15" x14ac:dyDescent="0.35">
      <c r="N3414" s="108"/>
      <c r="O3414" s="108"/>
    </row>
    <row r="3415" spans="14:15" x14ac:dyDescent="0.35">
      <c r="N3415" s="108"/>
      <c r="O3415" s="108"/>
    </row>
    <row r="3416" spans="14:15" x14ac:dyDescent="0.35">
      <c r="N3416" s="108"/>
      <c r="O3416" s="108"/>
    </row>
    <row r="3417" spans="14:15" x14ac:dyDescent="0.35">
      <c r="N3417" s="108"/>
      <c r="O3417" s="108"/>
    </row>
    <row r="3418" spans="14:15" x14ac:dyDescent="0.35">
      <c r="N3418" s="108"/>
      <c r="O3418" s="108"/>
    </row>
    <row r="3419" spans="14:15" x14ac:dyDescent="0.35">
      <c r="N3419" s="108"/>
      <c r="O3419" s="108"/>
    </row>
    <row r="3420" spans="14:15" x14ac:dyDescent="0.35">
      <c r="N3420" s="108"/>
      <c r="O3420" s="108"/>
    </row>
    <row r="3421" spans="14:15" x14ac:dyDescent="0.35">
      <c r="N3421" s="108"/>
      <c r="O3421" s="108"/>
    </row>
    <row r="3422" spans="14:15" x14ac:dyDescent="0.35">
      <c r="N3422" s="108"/>
      <c r="O3422" s="108"/>
    </row>
    <row r="3423" spans="14:15" x14ac:dyDescent="0.35">
      <c r="N3423" s="108"/>
      <c r="O3423" s="108"/>
    </row>
    <row r="3424" spans="14:15" x14ac:dyDescent="0.35">
      <c r="N3424" s="108"/>
      <c r="O3424" s="108"/>
    </row>
    <row r="3425" spans="14:15" x14ac:dyDescent="0.35">
      <c r="N3425" s="108"/>
      <c r="O3425" s="108"/>
    </row>
    <row r="3426" spans="14:15" x14ac:dyDescent="0.35">
      <c r="N3426" s="108"/>
      <c r="O3426" s="108"/>
    </row>
    <row r="3427" spans="14:15" x14ac:dyDescent="0.35">
      <c r="N3427" s="108"/>
      <c r="O3427" s="108"/>
    </row>
    <row r="3428" spans="14:15" x14ac:dyDescent="0.35">
      <c r="N3428" s="108"/>
      <c r="O3428" s="108"/>
    </row>
    <row r="3429" spans="14:15" x14ac:dyDescent="0.35">
      <c r="N3429" s="108"/>
      <c r="O3429" s="108"/>
    </row>
    <row r="3430" spans="14:15" x14ac:dyDescent="0.35">
      <c r="N3430" s="108"/>
      <c r="O3430" s="108"/>
    </row>
    <row r="3431" spans="14:15" x14ac:dyDescent="0.35">
      <c r="N3431" s="108"/>
      <c r="O3431" s="108"/>
    </row>
    <row r="3432" spans="14:15" x14ac:dyDescent="0.35">
      <c r="N3432" s="108"/>
      <c r="O3432" s="108"/>
    </row>
    <row r="3433" spans="14:15" x14ac:dyDescent="0.35">
      <c r="N3433" s="108"/>
      <c r="O3433" s="108"/>
    </row>
    <row r="3434" spans="14:15" x14ac:dyDescent="0.35">
      <c r="N3434" s="108"/>
      <c r="O3434" s="108"/>
    </row>
    <row r="3435" spans="14:15" x14ac:dyDescent="0.35">
      <c r="N3435" s="108"/>
      <c r="O3435" s="108"/>
    </row>
    <row r="3436" spans="14:15" x14ac:dyDescent="0.35">
      <c r="N3436" s="108"/>
      <c r="O3436" s="108"/>
    </row>
    <row r="3437" spans="14:15" x14ac:dyDescent="0.35">
      <c r="N3437" s="108"/>
      <c r="O3437" s="108"/>
    </row>
    <row r="3438" spans="14:15" x14ac:dyDescent="0.35">
      <c r="N3438" s="108"/>
      <c r="O3438" s="108"/>
    </row>
    <row r="3439" spans="14:15" x14ac:dyDescent="0.35">
      <c r="N3439" s="108"/>
      <c r="O3439" s="108"/>
    </row>
    <row r="3440" spans="14:15" x14ac:dyDescent="0.35">
      <c r="N3440" s="108"/>
      <c r="O3440" s="108"/>
    </row>
    <row r="3441" spans="14:15" x14ac:dyDescent="0.35">
      <c r="N3441" s="108"/>
      <c r="O3441" s="108"/>
    </row>
    <row r="3442" spans="14:15" x14ac:dyDescent="0.35">
      <c r="N3442" s="108"/>
      <c r="O3442" s="108"/>
    </row>
    <row r="3443" spans="14:15" x14ac:dyDescent="0.35">
      <c r="N3443" s="108"/>
      <c r="O3443" s="108"/>
    </row>
    <row r="3444" spans="14:15" x14ac:dyDescent="0.35">
      <c r="N3444" s="108"/>
      <c r="O3444" s="108"/>
    </row>
    <row r="3445" spans="14:15" x14ac:dyDescent="0.35">
      <c r="N3445" s="108"/>
      <c r="O3445" s="108"/>
    </row>
    <row r="3446" spans="14:15" x14ac:dyDescent="0.35">
      <c r="N3446" s="108"/>
      <c r="O3446" s="108"/>
    </row>
    <row r="3447" spans="14:15" x14ac:dyDescent="0.35">
      <c r="N3447" s="108"/>
      <c r="O3447" s="108"/>
    </row>
    <row r="3448" spans="14:15" x14ac:dyDescent="0.35">
      <c r="N3448" s="108"/>
      <c r="O3448" s="108"/>
    </row>
    <row r="3449" spans="14:15" x14ac:dyDescent="0.35">
      <c r="N3449" s="108"/>
      <c r="O3449" s="108"/>
    </row>
    <row r="3450" spans="14:15" x14ac:dyDescent="0.35">
      <c r="N3450" s="108"/>
      <c r="O3450" s="108"/>
    </row>
    <row r="3451" spans="14:15" x14ac:dyDescent="0.35">
      <c r="N3451" s="108"/>
      <c r="O3451" s="108"/>
    </row>
    <row r="3452" spans="14:15" x14ac:dyDescent="0.35">
      <c r="N3452" s="108"/>
      <c r="O3452" s="108"/>
    </row>
    <row r="3453" spans="14:15" x14ac:dyDescent="0.35">
      <c r="N3453" s="108"/>
      <c r="O3453" s="108"/>
    </row>
    <row r="3454" spans="14:15" x14ac:dyDescent="0.35">
      <c r="N3454" s="108"/>
      <c r="O3454" s="108"/>
    </row>
    <row r="3455" spans="14:15" x14ac:dyDescent="0.35">
      <c r="N3455" s="108"/>
      <c r="O3455" s="108"/>
    </row>
    <row r="3456" spans="14:15" x14ac:dyDescent="0.35">
      <c r="N3456" s="108"/>
      <c r="O3456" s="108"/>
    </row>
    <row r="3457" spans="14:15" x14ac:dyDescent="0.35">
      <c r="N3457" s="108"/>
      <c r="O3457" s="108"/>
    </row>
    <row r="3458" spans="14:15" x14ac:dyDescent="0.35">
      <c r="N3458" s="108"/>
      <c r="O3458" s="108"/>
    </row>
    <row r="3459" spans="14:15" x14ac:dyDescent="0.35">
      <c r="N3459" s="108"/>
      <c r="O3459" s="108"/>
    </row>
    <row r="3460" spans="14:15" x14ac:dyDescent="0.35">
      <c r="N3460" s="108"/>
      <c r="O3460" s="108"/>
    </row>
    <row r="3461" spans="14:15" x14ac:dyDescent="0.35">
      <c r="N3461" s="108"/>
      <c r="O3461" s="108"/>
    </row>
    <row r="3462" spans="14:15" x14ac:dyDescent="0.35">
      <c r="N3462" s="108"/>
      <c r="O3462" s="108"/>
    </row>
    <row r="3463" spans="14:15" x14ac:dyDescent="0.35">
      <c r="N3463" s="108"/>
      <c r="O3463" s="108"/>
    </row>
    <row r="3464" spans="14:15" x14ac:dyDescent="0.35">
      <c r="N3464" s="108"/>
      <c r="O3464" s="108"/>
    </row>
    <row r="3465" spans="14:15" x14ac:dyDescent="0.35">
      <c r="N3465" s="108"/>
      <c r="O3465" s="108"/>
    </row>
    <row r="3466" spans="14:15" x14ac:dyDescent="0.35">
      <c r="N3466" s="108"/>
      <c r="O3466" s="108"/>
    </row>
    <row r="3467" spans="14:15" x14ac:dyDescent="0.35">
      <c r="N3467" s="108"/>
      <c r="O3467" s="108"/>
    </row>
    <row r="3468" spans="14:15" x14ac:dyDescent="0.35">
      <c r="N3468" s="108"/>
      <c r="O3468" s="108"/>
    </row>
    <row r="3469" spans="14:15" x14ac:dyDescent="0.35">
      <c r="N3469" s="108"/>
      <c r="O3469" s="108"/>
    </row>
    <row r="3470" spans="14:15" x14ac:dyDescent="0.35">
      <c r="N3470" s="108"/>
      <c r="O3470" s="108"/>
    </row>
    <row r="3471" spans="14:15" x14ac:dyDescent="0.35">
      <c r="N3471" s="108"/>
      <c r="O3471" s="108"/>
    </row>
    <row r="3472" spans="14:15" x14ac:dyDescent="0.35">
      <c r="N3472" s="108"/>
      <c r="O3472" s="108"/>
    </row>
    <row r="3473" spans="14:15" x14ac:dyDescent="0.35">
      <c r="N3473" s="108"/>
      <c r="O3473" s="108"/>
    </row>
    <row r="3474" spans="14:15" x14ac:dyDescent="0.35">
      <c r="N3474" s="108"/>
      <c r="O3474" s="108"/>
    </row>
    <row r="3475" spans="14:15" x14ac:dyDescent="0.35">
      <c r="N3475" s="108"/>
      <c r="O3475" s="108"/>
    </row>
    <row r="3476" spans="14:15" x14ac:dyDescent="0.35">
      <c r="N3476" s="108"/>
      <c r="O3476" s="108"/>
    </row>
    <row r="3477" spans="14:15" x14ac:dyDescent="0.35">
      <c r="N3477" s="108"/>
      <c r="O3477" s="108"/>
    </row>
    <row r="3478" spans="14:15" x14ac:dyDescent="0.35">
      <c r="N3478" s="108"/>
      <c r="O3478" s="108"/>
    </row>
    <row r="3479" spans="14:15" x14ac:dyDescent="0.35">
      <c r="N3479" s="108"/>
      <c r="O3479" s="108"/>
    </row>
    <row r="3480" spans="14:15" x14ac:dyDescent="0.35">
      <c r="N3480" s="108"/>
      <c r="O3480" s="108"/>
    </row>
    <row r="3481" spans="14:15" x14ac:dyDescent="0.35">
      <c r="N3481" s="108"/>
      <c r="O3481" s="108"/>
    </row>
    <row r="3482" spans="14:15" x14ac:dyDescent="0.35">
      <c r="N3482" s="108"/>
      <c r="O3482" s="108"/>
    </row>
    <row r="3483" spans="14:15" x14ac:dyDescent="0.35">
      <c r="N3483" s="108"/>
      <c r="O3483" s="108"/>
    </row>
    <row r="3484" spans="14:15" x14ac:dyDescent="0.35">
      <c r="N3484" s="108"/>
      <c r="O3484" s="108"/>
    </row>
    <row r="3485" spans="14:15" x14ac:dyDescent="0.35">
      <c r="N3485" s="108"/>
      <c r="O3485" s="108"/>
    </row>
    <row r="3486" spans="14:15" x14ac:dyDescent="0.35">
      <c r="N3486" s="108"/>
      <c r="O3486" s="108"/>
    </row>
    <row r="3487" spans="14:15" x14ac:dyDescent="0.35">
      <c r="N3487" s="108"/>
      <c r="O3487" s="108"/>
    </row>
    <row r="3488" spans="14:15" x14ac:dyDescent="0.35">
      <c r="N3488" s="108"/>
      <c r="O3488" s="108"/>
    </row>
    <row r="3489" spans="14:15" x14ac:dyDescent="0.35">
      <c r="N3489" s="108"/>
      <c r="O3489" s="108"/>
    </row>
    <row r="3490" spans="14:15" x14ac:dyDescent="0.35">
      <c r="N3490" s="108"/>
      <c r="O3490" s="108"/>
    </row>
    <row r="3491" spans="14:15" x14ac:dyDescent="0.35">
      <c r="N3491" s="108"/>
      <c r="O3491" s="108"/>
    </row>
    <row r="3492" spans="14:15" x14ac:dyDescent="0.35">
      <c r="N3492" s="108"/>
      <c r="O3492" s="108"/>
    </row>
    <row r="3493" spans="14:15" x14ac:dyDescent="0.35">
      <c r="N3493" s="108"/>
      <c r="O3493" s="108"/>
    </row>
    <row r="3494" spans="14:15" x14ac:dyDescent="0.35">
      <c r="N3494" s="108"/>
      <c r="O3494" s="108"/>
    </row>
    <row r="3495" spans="14:15" x14ac:dyDescent="0.35">
      <c r="N3495" s="108"/>
      <c r="O3495" s="108"/>
    </row>
    <row r="3496" spans="14:15" x14ac:dyDescent="0.35">
      <c r="N3496" s="108"/>
      <c r="O3496" s="108"/>
    </row>
    <row r="3497" spans="14:15" x14ac:dyDescent="0.35">
      <c r="N3497" s="108"/>
      <c r="O3497" s="108"/>
    </row>
    <row r="3498" spans="14:15" x14ac:dyDescent="0.35">
      <c r="N3498" s="108"/>
      <c r="O3498" s="108"/>
    </row>
    <row r="3499" spans="14:15" x14ac:dyDescent="0.35">
      <c r="N3499" s="108"/>
      <c r="O3499" s="108"/>
    </row>
    <row r="3500" spans="14:15" x14ac:dyDescent="0.35">
      <c r="N3500" s="108"/>
      <c r="O3500" s="108"/>
    </row>
    <row r="3501" spans="14:15" x14ac:dyDescent="0.35">
      <c r="N3501" s="108"/>
      <c r="O3501" s="108"/>
    </row>
    <row r="3502" spans="14:15" x14ac:dyDescent="0.35">
      <c r="N3502" s="108"/>
      <c r="O3502" s="108"/>
    </row>
    <row r="3503" spans="14:15" x14ac:dyDescent="0.35">
      <c r="N3503" s="108"/>
      <c r="O3503" s="108"/>
    </row>
    <row r="3504" spans="14:15" x14ac:dyDescent="0.35">
      <c r="N3504" s="108"/>
      <c r="O3504" s="108"/>
    </row>
    <row r="3505" spans="14:15" x14ac:dyDescent="0.35">
      <c r="N3505" s="108"/>
      <c r="O3505" s="108"/>
    </row>
    <row r="3506" spans="14:15" x14ac:dyDescent="0.35">
      <c r="N3506" s="108"/>
      <c r="O3506" s="108"/>
    </row>
    <row r="3507" spans="14:15" x14ac:dyDescent="0.35">
      <c r="N3507" s="108"/>
      <c r="O3507" s="108"/>
    </row>
    <row r="3508" spans="14:15" x14ac:dyDescent="0.35">
      <c r="N3508" s="108"/>
      <c r="O3508" s="108"/>
    </row>
    <row r="3509" spans="14:15" x14ac:dyDescent="0.35">
      <c r="N3509" s="108"/>
      <c r="O3509" s="108"/>
    </row>
    <row r="3510" spans="14:15" x14ac:dyDescent="0.35">
      <c r="N3510" s="108"/>
      <c r="O3510" s="108"/>
    </row>
    <row r="3511" spans="14:15" x14ac:dyDescent="0.35">
      <c r="N3511" s="108"/>
      <c r="O3511" s="108"/>
    </row>
    <row r="3512" spans="14:15" x14ac:dyDescent="0.35">
      <c r="N3512" s="108"/>
      <c r="O3512" s="108"/>
    </row>
    <row r="3513" spans="14:15" x14ac:dyDescent="0.35">
      <c r="N3513" s="108"/>
      <c r="O3513" s="108"/>
    </row>
    <row r="3514" spans="14:15" x14ac:dyDescent="0.35">
      <c r="N3514" s="108"/>
      <c r="O3514" s="108"/>
    </row>
    <row r="3515" spans="14:15" x14ac:dyDescent="0.35">
      <c r="N3515" s="108"/>
      <c r="O3515" s="108"/>
    </row>
    <row r="3516" spans="14:15" x14ac:dyDescent="0.35">
      <c r="N3516" s="108"/>
      <c r="O3516" s="108"/>
    </row>
    <row r="3517" spans="14:15" x14ac:dyDescent="0.35">
      <c r="N3517" s="108"/>
      <c r="O3517" s="108"/>
    </row>
    <row r="3518" spans="14:15" x14ac:dyDescent="0.35">
      <c r="N3518" s="108"/>
      <c r="O3518" s="108"/>
    </row>
    <row r="3519" spans="14:15" x14ac:dyDescent="0.35">
      <c r="N3519" s="108"/>
      <c r="O3519" s="108"/>
    </row>
    <row r="3520" spans="14:15" x14ac:dyDescent="0.35">
      <c r="N3520" s="108"/>
      <c r="O3520" s="108"/>
    </row>
    <row r="3521" spans="14:15" x14ac:dyDescent="0.35">
      <c r="N3521" s="108"/>
      <c r="O3521" s="108"/>
    </row>
    <row r="3522" spans="14:15" x14ac:dyDescent="0.35">
      <c r="N3522" s="108"/>
      <c r="O3522" s="108"/>
    </row>
    <row r="3523" spans="14:15" x14ac:dyDescent="0.35">
      <c r="N3523" s="108"/>
      <c r="O3523" s="108"/>
    </row>
    <row r="3524" spans="14:15" x14ac:dyDescent="0.35">
      <c r="N3524" s="108"/>
      <c r="O3524" s="108"/>
    </row>
    <row r="3525" spans="14:15" x14ac:dyDescent="0.35">
      <c r="N3525" s="108"/>
      <c r="O3525" s="108"/>
    </row>
    <row r="3526" spans="14:15" x14ac:dyDescent="0.35">
      <c r="N3526" s="108"/>
      <c r="O3526" s="108"/>
    </row>
    <row r="3527" spans="14:15" x14ac:dyDescent="0.35">
      <c r="N3527" s="108"/>
      <c r="O3527" s="108"/>
    </row>
    <row r="3528" spans="14:15" x14ac:dyDescent="0.35">
      <c r="N3528" s="108"/>
      <c r="O3528" s="108"/>
    </row>
    <row r="3529" spans="14:15" x14ac:dyDescent="0.35">
      <c r="N3529" s="108"/>
      <c r="O3529" s="108"/>
    </row>
    <row r="3530" spans="14:15" x14ac:dyDescent="0.35">
      <c r="N3530" s="108"/>
      <c r="O3530" s="108"/>
    </row>
    <row r="3531" spans="14:15" x14ac:dyDescent="0.35">
      <c r="N3531" s="108"/>
      <c r="O3531" s="108"/>
    </row>
    <row r="3532" spans="14:15" x14ac:dyDescent="0.35">
      <c r="N3532" s="108"/>
      <c r="O3532" s="108"/>
    </row>
    <row r="3533" spans="14:15" x14ac:dyDescent="0.35">
      <c r="N3533" s="108"/>
      <c r="O3533" s="108"/>
    </row>
    <row r="3534" spans="14:15" x14ac:dyDescent="0.35">
      <c r="N3534" s="108"/>
      <c r="O3534" s="108"/>
    </row>
    <row r="3535" spans="14:15" x14ac:dyDescent="0.35">
      <c r="N3535" s="108"/>
      <c r="O3535" s="108"/>
    </row>
    <row r="3536" spans="14:15" x14ac:dyDescent="0.35">
      <c r="N3536" s="108"/>
      <c r="O3536" s="108"/>
    </row>
    <row r="3537" spans="14:15" x14ac:dyDescent="0.35">
      <c r="N3537" s="108"/>
      <c r="O3537" s="108"/>
    </row>
    <row r="3538" spans="14:15" x14ac:dyDescent="0.35">
      <c r="N3538" s="108"/>
      <c r="O3538" s="108"/>
    </row>
    <row r="3539" spans="14:15" x14ac:dyDescent="0.35">
      <c r="N3539" s="108"/>
      <c r="O3539" s="108"/>
    </row>
    <row r="3540" spans="14:15" x14ac:dyDescent="0.35">
      <c r="N3540" s="108"/>
      <c r="O3540" s="108"/>
    </row>
    <row r="3541" spans="14:15" x14ac:dyDescent="0.35">
      <c r="N3541" s="108"/>
      <c r="O3541" s="108"/>
    </row>
    <row r="3542" spans="14:15" x14ac:dyDescent="0.35">
      <c r="N3542" s="108"/>
      <c r="O3542" s="108"/>
    </row>
    <row r="3543" spans="14:15" x14ac:dyDescent="0.35">
      <c r="N3543" s="108"/>
      <c r="O3543" s="108"/>
    </row>
    <row r="3544" spans="14:15" x14ac:dyDescent="0.35">
      <c r="N3544" s="108"/>
      <c r="O3544" s="108"/>
    </row>
    <row r="3545" spans="14:15" x14ac:dyDescent="0.35">
      <c r="N3545" s="108"/>
      <c r="O3545" s="108"/>
    </row>
    <row r="3546" spans="14:15" x14ac:dyDescent="0.35">
      <c r="N3546" s="108"/>
      <c r="O3546" s="108"/>
    </row>
    <row r="3547" spans="14:15" x14ac:dyDescent="0.35">
      <c r="N3547" s="108"/>
      <c r="O3547" s="108"/>
    </row>
    <row r="3548" spans="14:15" x14ac:dyDescent="0.35">
      <c r="N3548" s="108"/>
      <c r="O3548" s="108"/>
    </row>
    <row r="3549" spans="14:15" x14ac:dyDescent="0.35">
      <c r="N3549" s="108"/>
      <c r="O3549" s="108"/>
    </row>
    <row r="3550" spans="14:15" x14ac:dyDescent="0.35">
      <c r="N3550" s="108"/>
      <c r="O3550" s="108"/>
    </row>
    <row r="3551" spans="14:15" x14ac:dyDescent="0.35">
      <c r="N3551" s="108"/>
      <c r="O3551" s="108"/>
    </row>
    <row r="3552" spans="14:15" x14ac:dyDescent="0.35">
      <c r="N3552" s="108"/>
      <c r="O3552" s="108"/>
    </row>
    <row r="3553" spans="14:15" x14ac:dyDescent="0.35">
      <c r="N3553" s="108"/>
      <c r="O3553" s="108"/>
    </row>
    <row r="3554" spans="14:15" x14ac:dyDescent="0.35">
      <c r="N3554" s="108"/>
      <c r="O3554" s="108"/>
    </row>
    <row r="3555" spans="14:15" x14ac:dyDescent="0.35">
      <c r="N3555" s="108"/>
      <c r="O3555" s="108"/>
    </row>
    <row r="3556" spans="14:15" x14ac:dyDescent="0.35">
      <c r="N3556" s="108"/>
      <c r="O3556" s="108"/>
    </row>
    <row r="3557" spans="14:15" x14ac:dyDescent="0.35">
      <c r="N3557" s="108"/>
      <c r="O3557" s="108"/>
    </row>
    <row r="3558" spans="14:15" x14ac:dyDescent="0.35">
      <c r="N3558" s="108"/>
      <c r="O3558" s="108"/>
    </row>
    <row r="3559" spans="14:15" x14ac:dyDescent="0.35">
      <c r="N3559" s="108"/>
      <c r="O3559" s="108"/>
    </row>
    <row r="3560" spans="14:15" x14ac:dyDescent="0.35">
      <c r="N3560" s="108"/>
      <c r="O3560" s="108"/>
    </row>
    <row r="3561" spans="14:15" x14ac:dyDescent="0.35">
      <c r="N3561" s="108"/>
      <c r="O3561" s="108"/>
    </row>
    <row r="3562" spans="14:15" x14ac:dyDescent="0.35">
      <c r="N3562" s="108"/>
      <c r="O3562" s="108"/>
    </row>
    <row r="3563" spans="14:15" x14ac:dyDescent="0.35">
      <c r="N3563" s="108"/>
      <c r="O3563" s="108"/>
    </row>
    <row r="3564" spans="14:15" x14ac:dyDescent="0.35">
      <c r="N3564" s="108"/>
      <c r="O3564" s="108"/>
    </row>
    <row r="3565" spans="14:15" x14ac:dyDescent="0.35">
      <c r="N3565" s="108"/>
      <c r="O3565" s="108"/>
    </row>
    <row r="3566" spans="14:15" x14ac:dyDescent="0.35">
      <c r="N3566" s="108"/>
      <c r="O3566" s="108"/>
    </row>
    <row r="3567" spans="14:15" x14ac:dyDescent="0.35">
      <c r="N3567" s="108"/>
      <c r="O3567" s="108"/>
    </row>
    <row r="3568" spans="14:15" x14ac:dyDescent="0.35">
      <c r="N3568" s="108"/>
      <c r="O3568" s="108"/>
    </row>
    <row r="3569" spans="14:15" x14ac:dyDescent="0.35">
      <c r="N3569" s="108"/>
      <c r="O3569" s="108"/>
    </row>
    <row r="3570" spans="14:15" x14ac:dyDescent="0.35">
      <c r="N3570" s="108"/>
      <c r="O3570" s="108"/>
    </row>
    <row r="3571" spans="14:15" x14ac:dyDescent="0.35">
      <c r="N3571" s="108"/>
      <c r="O3571" s="108"/>
    </row>
    <row r="3572" spans="14:15" x14ac:dyDescent="0.35">
      <c r="N3572" s="108"/>
      <c r="O3572" s="108"/>
    </row>
    <row r="3573" spans="14:15" x14ac:dyDescent="0.35">
      <c r="N3573" s="108"/>
      <c r="O3573" s="108"/>
    </row>
    <row r="3574" spans="14:15" x14ac:dyDescent="0.35">
      <c r="N3574" s="108"/>
      <c r="O3574" s="108"/>
    </row>
    <row r="3575" spans="14:15" x14ac:dyDescent="0.35">
      <c r="N3575" s="108"/>
      <c r="O3575" s="108"/>
    </row>
    <row r="3576" spans="14:15" x14ac:dyDescent="0.35">
      <c r="N3576" s="108"/>
      <c r="O3576" s="108"/>
    </row>
    <row r="3577" spans="14:15" x14ac:dyDescent="0.35">
      <c r="N3577" s="108"/>
      <c r="O3577" s="108"/>
    </row>
    <row r="3578" spans="14:15" x14ac:dyDescent="0.35">
      <c r="N3578" s="108"/>
      <c r="O3578" s="108"/>
    </row>
    <row r="3579" spans="14:15" x14ac:dyDescent="0.35">
      <c r="N3579" s="108"/>
      <c r="O3579" s="108"/>
    </row>
    <row r="3580" spans="14:15" x14ac:dyDescent="0.35">
      <c r="N3580" s="108"/>
      <c r="O3580" s="108"/>
    </row>
    <row r="3581" spans="14:15" x14ac:dyDescent="0.35">
      <c r="N3581" s="108"/>
      <c r="O3581" s="108"/>
    </row>
    <row r="3582" spans="14:15" x14ac:dyDescent="0.35">
      <c r="N3582" s="108"/>
      <c r="O3582" s="108"/>
    </row>
    <row r="3583" spans="14:15" x14ac:dyDescent="0.35">
      <c r="N3583" s="108"/>
      <c r="O3583" s="108"/>
    </row>
    <row r="3584" spans="14:15" x14ac:dyDescent="0.35">
      <c r="N3584" s="108"/>
      <c r="O3584" s="108"/>
    </row>
    <row r="3585" spans="14:15" x14ac:dyDescent="0.35">
      <c r="N3585" s="108"/>
      <c r="O3585" s="108"/>
    </row>
    <row r="3586" spans="14:15" x14ac:dyDescent="0.35">
      <c r="N3586" s="108"/>
      <c r="O3586" s="108"/>
    </row>
    <row r="3587" spans="14:15" x14ac:dyDescent="0.35">
      <c r="N3587" s="108"/>
      <c r="O3587" s="108"/>
    </row>
    <row r="3588" spans="14:15" x14ac:dyDescent="0.35">
      <c r="N3588" s="108"/>
      <c r="O3588" s="108"/>
    </row>
    <row r="3589" spans="14:15" x14ac:dyDescent="0.35">
      <c r="N3589" s="108"/>
      <c r="O3589" s="108"/>
    </row>
    <row r="3590" spans="14:15" x14ac:dyDescent="0.35">
      <c r="N3590" s="108"/>
      <c r="O3590" s="108"/>
    </row>
    <row r="3591" spans="14:15" x14ac:dyDescent="0.35">
      <c r="N3591" s="108"/>
      <c r="O3591" s="108"/>
    </row>
    <row r="3592" spans="14:15" x14ac:dyDescent="0.35">
      <c r="N3592" s="108"/>
      <c r="O3592" s="108"/>
    </row>
    <row r="3593" spans="14:15" x14ac:dyDescent="0.35">
      <c r="N3593" s="108"/>
      <c r="O3593" s="108"/>
    </row>
    <row r="3594" spans="14:15" x14ac:dyDescent="0.35">
      <c r="N3594" s="108"/>
      <c r="O3594" s="108"/>
    </row>
    <row r="3595" spans="14:15" x14ac:dyDescent="0.35">
      <c r="N3595" s="108"/>
      <c r="O3595" s="108"/>
    </row>
    <row r="3596" spans="14:15" x14ac:dyDescent="0.35">
      <c r="N3596" s="108"/>
      <c r="O3596" s="108"/>
    </row>
    <row r="3597" spans="14:15" x14ac:dyDescent="0.35">
      <c r="N3597" s="108"/>
      <c r="O3597" s="108"/>
    </row>
    <row r="3598" spans="14:15" x14ac:dyDescent="0.35">
      <c r="N3598" s="108"/>
      <c r="O3598" s="108"/>
    </row>
    <row r="3599" spans="14:15" x14ac:dyDescent="0.35">
      <c r="N3599" s="108"/>
      <c r="O3599" s="108"/>
    </row>
    <row r="3600" spans="14:15" x14ac:dyDescent="0.35">
      <c r="N3600" s="108"/>
      <c r="O3600" s="108"/>
    </row>
    <row r="3601" spans="14:15" x14ac:dyDescent="0.35">
      <c r="N3601" s="108"/>
      <c r="O3601" s="108"/>
    </row>
    <row r="3602" spans="14:15" x14ac:dyDescent="0.35">
      <c r="N3602" s="108"/>
      <c r="O3602" s="108"/>
    </row>
    <row r="3603" spans="14:15" x14ac:dyDescent="0.35">
      <c r="N3603" s="108"/>
      <c r="O3603" s="108"/>
    </row>
    <row r="3604" spans="14:15" x14ac:dyDescent="0.35">
      <c r="N3604" s="108"/>
      <c r="O3604" s="108"/>
    </row>
    <row r="3605" spans="14:15" x14ac:dyDescent="0.35">
      <c r="N3605" s="108"/>
      <c r="O3605" s="108"/>
    </row>
    <row r="3606" spans="14:15" x14ac:dyDescent="0.35">
      <c r="N3606" s="108"/>
      <c r="O3606" s="108"/>
    </row>
    <row r="3607" spans="14:15" x14ac:dyDescent="0.35">
      <c r="N3607" s="108"/>
      <c r="O3607" s="108"/>
    </row>
    <row r="3608" spans="14:15" x14ac:dyDescent="0.35">
      <c r="N3608" s="108"/>
      <c r="O3608" s="108"/>
    </row>
    <row r="3609" spans="14:15" x14ac:dyDescent="0.35">
      <c r="N3609" s="108"/>
      <c r="O3609" s="108"/>
    </row>
    <row r="3610" spans="14:15" x14ac:dyDescent="0.35">
      <c r="N3610" s="108"/>
      <c r="O3610" s="108"/>
    </row>
    <row r="3611" spans="14:15" x14ac:dyDescent="0.35">
      <c r="N3611" s="108"/>
      <c r="O3611" s="108"/>
    </row>
    <row r="3612" spans="14:15" x14ac:dyDescent="0.35">
      <c r="N3612" s="108"/>
      <c r="O3612" s="108"/>
    </row>
    <row r="3613" spans="14:15" x14ac:dyDescent="0.35">
      <c r="N3613" s="108"/>
      <c r="O3613" s="108"/>
    </row>
    <row r="3614" spans="14:15" x14ac:dyDescent="0.35">
      <c r="N3614" s="108"/>
      <c r="O3614" s="108"/>
    </row>
    <row r="3615" spans="14:15" x14ac:dyDescent="0.35">
      <c r="N3615" s="108"/>
      <c r="O3615" s="108"/>
    </row>
    <row r="3616" spans="14:15" x14ac:dyDescent="0.35">
      <c r="N3616" s="108"/>
      <c r="O3616" s="108"/>
    </row>
    <row r="3617" spans="14:15" x14ac:dyDescent="0.35">
      <c r="N3617" s="108"/>
      <c r="O3617" s="108"/>
    </row>
    <row r="3618" spans="14:15" x14ac:dyDescent="0.35">
      <c r="N3618" s="108"/>
      <c r="O3618" s="108"/>
    </row>
    <row r="3619" spans="14:15" x14ac:dyDescent="0.35">
      <c r="N3619" s="108"/>
      <c r="O3619" s="108"/>
    </row>
    <row r="3620" spans="14:15" x14ac:dyDescent="0.35">
      <c r="N3620" s="108"/>
      <c r="O3620" s="108"/>
    </row>
    <row r="3621" spans="14:15" x14ac:dyDescent="0.35">
      <c r="N3621" s="108"/>
      <c r="O3621" s="108"/>
    </row>
    <row r="3622" spans="14:15" x14ac:dyDescent="0.35">
      <c r="N3622" s="108"/>
      <c r="O3622" s="108"/>
    </row>
    <row r="3623" spans="14:15" x14ac:dyDescent="0.35">
      <c r="N3623" s="108"/>
      <c r="O3623" s="108"/>
    </row>
    <row r="3624" spans="14:15" x14ac:dyDescent="0.35">
      <c r="N3624" s="108"/>
      <c r="O3624" s="108"/>
    </row>
    <row r="3625" spans="14:15" x14ac:dyDescent="0.35">
      <c r="N3625" s="108"/>
      <c r="O3625" s="108"/>
    </row>
    <row r="3626" spans="14:15" x14ac:dyDescent="0.35">
      <c r="N3626" s="108"/>
      <c r="O3626" s="108"/>
    </row>
    <row r="3627" spans="14:15" x14ac:dyDescent="0.35">
      <c r="N3627" s="108"/>
      <c r="O3627" s="108"/>
    </row>
    <row r="3628" spans="14:15" x14ac:dyDescent="0.35">
      <c r="N3628" s="108"/>
      <c r="O3628" s="108"/>
    </row>
    <row r="3629" spans="14:15" x14ac:dyDescent="0.35">
      <c r="N3629" s="108"/>
      <c r="O3629" s="108"/>
    </row>
    <row r="3630" spans="14:15" x14ac:dyDescent="0.35">
      <c r="N3630" s="108"/>
      <c r="O3630" s="108"/>
    </row>
    <row r="3631" spans="14:15" x14ac:dyDescent="0.35">
      <c r="N3631" s="108"/>
      <c r="O3631" s="108"/>
    </row>
    <row r="3632" spans="14:15" x14ac:dyDescent="0.35">
      <c r="N3632" s="108"/>
      <c r="O3632" s="108"/>
    </row>
    <row r="3633" spans="14:15" x14ac:dyDescent="0.35">
      <c r="N3633" s="108"/>
      <c r="O3633" s="108"/>
    </row>
    <row r="3634" spans="14:15" x14ac:dyDescent="0.35">
      <c r="N3634" s="108"/>
      <c r="O3634" s="108"/>
    </row>
    <row r="3635" spans="14:15" x14ac:dyDescent="0.35">
      <c r="N3635" s="108"/>
      <c r="O3635" s="108"/>
    </row>
    <row r="3636" spans="14:15" x14ac:dyDescent="0.35">
      <c r="N3636" s="108"/>
      <c r="O3636" s="108"/>
    </row>
    <row r="3637" spans="14:15" x14ac:dyDescent="0.35">
      <c r="N3637" s="108"/>
      <c r="O3637" s="108"/>
    </row>
    <row r="3638" spans="14:15" x14ac:dyDescent="0.35">
      <c r="N3638" s="108"/>
      <c r="O3638" s="108"/>
    </row>
    <row r="3639" spans="14:15" x14ac:dyDescent="0.35">
      <c r="N3639" s="108"/>
      <c r="O3639" s="108"/>
    </row>
    <row r="3640" spans="14:15" x14ac:dyDescent="0.35">
      <c r="N3640" s="108"/>
      <c r="O3640" s="108"/>
    </row>
    <row r="3641" spans="14:15" x14ac:dyDescent="0.35">
      <c r="N3641" s="108"/>
      <c r="O3641" s="108"/>
    </row>
    <row r="3642" spans="14:15" x14ac:dyDescent="0.35">
      <c r="N3642" s="108"/>
      <c r="O3642" s="108"/>
    </row>
    <row r="3643" spans="14:15" x14ac:dyDescent="0.35">
      <c r="N3643" s="108"/>
      <c r="O3643" s="108"/>
    </row>
    <row r="3644" spans="14:15" x14ac:dyDescent="0.35">
      <c r="N3644" s="108"/>
      <c r="O3644" s="108"/>
    </row>
    <row r="3645" spans="14:15" x14ac:dyDescent="0.35">
      <c r="N3645" s="108"/>
      <c r="O3645" s="108"/>
    </row>
    <row r="3646" spans="14:15" x14ac:dyDescent="0.35">
      <c r="N3646" s="108"/>
      <c r="O3646" s="108"/>
    </row>
    <row r="3647" spans="14:15" x14ac:dyDescent="0.35">
      <c r="N3647" s="108"/>
      <c r="O3647" s="108"/>
    </row>
    <row r="3648" spans="14:15" x14ac:dyDescent="0.35">
      <c r="N3648" s="108"/>
      <c r="O3648" s="108"/>
    </row>
    <row r="3649" spans="14:15" x14ac:dyDescent="0.35">
      <c r="N3649" s="108"/>
      <c r="O3649" s="108"/>
    </row>
    <row r="3650" spans="14:15" x14ac:dyDescent="0.35">
      <c r="N3650" s="108"/>
      <c r="O3650" s="108"/>
    </row>
    <row r="3651" spans="14:15" x14ac:dyDescent="0.35">
      <c r="N3651" s="108"/>
      <c r="O3651" s="108"/>
    </row>
    <row r="3652" spans="14:15" x14ac:dyDescent="0.35">
      <c r="N3652" s="108"/>
      <c r="O3652" s="108"/>
    </row>
    <row r="3653" spans="14:15" x14ac:dyDescent="0.35">
      <c r="N3653" s="108"/>
      <c r="O3653" s="108"/>
    </row>
    <row r="3654" spans="14:15" x14ac:dyDescent="0.35">
      <c r="N3654" s="108"/>
      <c r="O3654" s="108"/>
    </row>
    <row r="3655" spans="14:15" x14ac:dyDescent="0.35">
      <c r="N3655" s="108"/>
      <c r="O3655" s="108"/>
    </row>
    <row r="3656" spans="14:15" x14ac:dyDescent="0.35">
      <c r="N3656" s="108"/>
      <c r="O3656" s="108"/>
    </row>
    <row r="3657" spans="14:15" x14ac:dyDescent="0.35">
      <c r="N3657" s="108"/>
      <c r="O3657" s="108"/>
    </row>
    <row r="3658" spans="14:15" x14ac:dyDescent="0.35">
      <c r="N3658" s="108"/>
      <c r="O3658" s="108"/>
    </row>
    <row r="3659" spans="14:15" x14ac:dyDescent="0.35">
      <c r="N3659" s="108"/>
      <c r="O3659" s="108"/>
    </row>
    <row r="3660" spans="14:15" x14ac:dyDescent="0.35">
      <c r="N3660" s="108"/>
      <c r="O3660" s="108"/>
    </row>
    <row r="3661" spans="14:15" x14ac:dyDescent="0.35">
      <c r="N3661" s="108"/>
      <c r="O3661" s="108"/>
    </row>
    <row r="3662" spans="14:15" x14ac:dyDescent="0.35">
      <c r="N3662" s="108"/>
      <c r="O3662" s="108"/>
    </row>
    <row r="3663" spans="14:15" x14ac:dyDescent="0.35">
      <c r="N3663" s="108"/>
      <c r="O3663" s="108"/>
    </row>
    <row r="3664" spans="14:15" x14ac:dyDescent="0.35">
      <c r="N3664" s="108"/>
      <c r="O3664" s="108"/>
    </row>
    <row r="3665" spans="14:15" x14ac:dyDescent="0.35">
      <c r="N3665" s="108"/>
      <c r="O3665" s="108"/>
    </row>
    <row r="3666" spans="14:15" x14ac:dyDescent="0.35">
      <c r="N3666" s="108"/>
      <c r="O3666" s="108"/>
    </row>
    <row r="3667" spans="14:15" x14ac:dyDescent="0.35">
      <c r="N3667" s="108"/>
      <c r="O3667" s="108"/>
    </row>
    <row r="3668" spans="14:15" x14ac:dyDescent="0.35">
      <c r="N3668" s="108"/>
      <c r="O3668" s="108"/>
    </row>
    <row r="3669" spans="14:15" x14ac:dyDescent="0.35">
      <c r="N3669" s="108"/>
      <c r="O3669" s="108"/>
    </row>
    <row r="3670" spans="14:15" x14ac:dyDescent="0.35">
      <c r="N3670" s="108"/>
      <c r="O3670" s="108"/>
    </row>
    <row r="3671" spans="14:15" x14ac:dyDescent="0.35">
      <c r="N3671" s="108"/>
      <c r="O3671" s="108"/>
    </row>
    <row r="3672" spans="14:15" x14ac:dyDescent="0.35">
      <c r="N3672" s="108"/>
      <c r="O3672" s="108"/>
    </row>
    <row r="3673" spans="14:15" x14ac:dyDescent="0.35">
      <c r="N3673" s="108"/>
      <c r="O3673" s="108"/>
    </row>
    <row r="3674" spans="14:15" x14ac:dyDescent="0.35">
      <c r="N3674" s="108"/>
      <c r="O3674" s="108"/>
    </row>
    <row r="3675" spans="14:15" x14ac:dyDescent="0.35">
      <c r="N3675" s="108"/>
      <c r="O3675" s="108"/>
    </row>
    <row r="3676" spans="14:15" x14ac:dyDescent="0.35">
      <c r="N3676" s="108"/>
      <c r="O3676" s="108"/>
    </row>
    <row r="3677" spans="14:15" x14ac:dyDescent="0.35">
      <c r="N3677" s="108"/>
      <c r="O3677" s="108"/>
    </row>
    <row r="3678" spans="14:15" x14ac:dyDescent="0.35">
      <c r="N3678" s="108"/>
      <c r="O3678" s="108"/>
    </row>
    <row r="3679" spans="14:15" x14ac:dyDescent="0.35">
      <c r="N3679" s="108"/>
      <c r="O3679" s="108"/>
    </row>
    <row r="3680" spans="14:15" x14ac:dyDescent="0.35">
      <c r="N3680" s="108"/>
      <c r="O3680" s="108"/>
    </row>
    <row r="3681" spans="14:15" x14ac:dyDescent="0.35">
      <c r="N3681" s="108"/>
      <c r="O3681" s="108"/>
    </row>
    <row r="3682" spans="14:15" x14ac:dyDescent="0.35">
      <c r="N3682" s="108"/>
      <c r="O3682" s="108"/>
    </row>
    <row r="3683" spans="14:15" x14ac:dyDescent="0.35">
      <c r="N3683" s="108"/>
      <c r="O3683" s="108"/>
    </row>
    <row r="3684" spans="14:15" x14ac:dyDescent="0.35">
      <c r="N3684" s="108"/>
      <c r="O3684" s="108"/>
    </row>
    <row r="3685" spans="14:15" x14ac:dyDescent="0.35">
      <c r="N3685" s="108"/>
      <c r="O3685" s="108"/>
    </row>
    <row r="3686" spans="14:15" x14ac:dyDescent="0.35">
      <c r="N3686" s="108"/>
      <c r="O3686" s="108"/>
    </row>
    <row r="3687" spans="14:15" x14ac:dyDescent="0.35">
      <c r="N3687" s="108"/>
      <c r="O3687" s="108"/>
    </row>
    <row r="3688" spans="14:15" x14ac:dyDescent="0.35">
      <c r="N3688" s="108"/>
      <c r="O3688" s="108"/>
    </row>
    <row r="3689" spans="14:15" x14ac:dyDescent="0.35">
      <c r="N3689" s="108"/>
      <c r="O3689" s="108"/>
    </row>
    <row r="3690" spans="14:15" x14ac:dyDescent="0.35">
      <c r="N3690" s="108"/>
      <c r="O3690" s="108"/>
    </row>
    <row r="3691" spans="14:15" x14ac:dyDescent="0.35">
      <c r="N3691" s="108"/>
      <c r="O3691" s="108"/>
    </row>
    <row r="3692" spans="14:15" x14ac:dyDescent="0.35">
      <c r="N3692" s="108"/>
      <c r="O3692" s="108"/>
    </row>
    <row r="3693" spans="14:15" x14ac:dyDescent="0.35">
      <c r="N3693" s="108"/>
      <c r="O3693" s="108"/>
    </row>
    <row r="3694" spans="14:15" x14ac:dyDescent="0.35">
      <c r="N3694" s="108"/>
      <c r="O3694" s="108"/>
    </row>
    <row r="3695" spans="14:15" x14ac:dyDescent="0.35">
      <c r="N3695" s="108"/>
      <c r="O3695" s="108"/>
    </row>
    <row r="3696" spans="14:15" x14ac:dyDescent="0.35">
      <c r="N3696" s="108"/>
      <c r="O3696" s="108"/>
    </row>
    <row r="3697" spans="14:15" x14ac:dyDescent="0.35">
      <c r="N3697" s="108"/>
      <c r="O3697" s="108"/>
    </row>
    <row r="3698" spans="14:15" x14ac:dyDescent="0.35">
      <c r="N3698" s="108"/>
      <c r="O3698" s="108"/>
    </row>
    <row r="3699" spans="14:15" x14ac:dyDescent="0.35">
      <c r="N3699" s="108"/>
      <c r="O3699" s="108"/>
    </row>
    <row r="3700" spans="14:15" x14ac:dyDescent="0.35">
      <c r="N3700" s="108"/>
      <c r="O3700" s="108"/>
    </row>
    <row r="3701" spans="14:15" x14ac:dyDescent="0.35">
      <c r="N3701" s="108"/>
      <c r="O3701" s="108"/>
    </row>
    <row r="3702" spans="14:15" x14ac:dyDescent="0.35">
      <c r="N3702" s="108"/>
      <c r="O3702" s="108"/>
    </row>
    <row r="3703" spans="14:15" x14ac:dyDescent="0.35">
      <c r="N3703" s="108"/>
      <c r="O3703" s="108"/>
    </row>
    <row r="3704" spans="14:15" x14ac:dyDescent="0.35">
      <c r="N3704" s="108"/>
      <c r="O3704" s="108"/>
    </row>
    <row r="3705" spans="14:15" x14ac:dyDescent="0.35">
      <c r="N3705" s="108"/>
      <c r="O3705" s="108"/>
    </row>
    <row r="3706" spans="14:15" x14ac:dyDescent="0.35">
      <c r="N3706" s="108"/>
      <c r="O3706" s="108"/>
    </row>
    <row r="3707" spans="14:15" x14ac:dyDescent="0.35">
      <c r="N3707" s="108"/>
      <c r="O3707" s="108"/>
    </row>
    <row r="3708" spans="14:15" x14ac:dyDescent="0.35">
      <c r="N3708" s="108"/>
      <c r="O3708" s="108"/>
    </row>
    <row r="3709" spans="14:15" x14ac:dyDescent="0.35">
      <c r="N3709" s="108"/>
      <c r="O3709" s="108"/>
    </row>
    <row r="3710" spans="14:15" x14ac:dyDescent="0.35">
      <c r="N3710" s="108"/>
      <c r="O3710" s="108"/>
    </row>
    <row r="3711" spans="14:15" x14ac:dyDescent="0.35">
      <c r="N3711" s="108"/>
      <c r="O3711" s="108"/>
    </row>
    <row r="3712" spans="14:15" x14ac:dyDescent="0.35">
      <c r="N3712" s="108"/>
      <c r="O3712" s="108"/>
    </row>
    <row r="3713" spans="14:15" x14ac:dyDescent="0.35">
      <c r="N3713" s="108"/>
      <c r="O3713" s="108"/>
    </row>
    <row r="3714" spans="14:15" x14ac:dyDescent="0.35">
      <c r="N3714" s="108"/>
      <c r="O3714" s="108"/>
    </row>
    <row r="3715" spans="14:15" x14ac:dyDescent="0.35">
      <c r="N3715" s="108"/>
      <c r="O3715" s="108"/>
    </row>
    <row r="3716" spans="14:15" x14ac:dyDescent="0.35">
      <c r="N3716" s="108"/>
      <c r="O3716" s="108"/>
    </row>
    <row r="3717" spans="14:15" x14ac:dyDescent="0.35">
      <c r="N3717" s="108"/>
      <c r="O3717" s="108"/>
    </row>
    <row r="3718" spans="14:15" x14ac:dyDescent="0.35">
      <c r="N3718" s="108"/>
      <c r="O3718" s="108"/>
    </row>
    <row r="3719" spans="14:15" x14ac:dyDescent="0.35">
      <c r="N3719" s="108"/>
      <c r="O3719" s="108"/>
    </row>
    <row r="3720" spans="14:15" x14ac:dyDescent="0.35">
      <c r="N3720" s="108"/>
      <c r="O3720" s="108"/>
    </row>
    <row r="3721" spans="14:15" x14ac:dyDescent="0.35">
      <c r="N3721" s="108"/>
      <c r="O3721" s="108"/>
    </row>
    <row r="3722" spans="14:15" x14ac:dyDescent="0.35">
      <c r="N3722" s="108"/>
      <c r="O3722" s="108"/>
    </row>
    <row r="3723" spans="14:15" x14ac:dyDescent="0.35">
      <c r="N3723" s="108"/>
      <c r="O3723" s="108"/>
    </row>
    <row r="3724" spans="14:15" x14ac:dyDescent="0.35">
      <c r="N3724" s="108"/>
      <c r="O3724" s="108"/>
    </row>
    <row r="3725" spans="14:15" x14ac:dyDescent="0.35">
      <c r="N3725" s="108"/>
      <c r="O3725" s="108"/>
    </row>
    <row r="3726" spans="14:15" x14ac:dyDescent="0.35">
      <c r="N3726" s="108"/>
      <c r="O3726" s="108"/>
    </row>
    <row r="3727" spans="14:15" x14ac:dyDescent="0.35">
      <c r="N3727" s="108"/>
      <c r="O3727" s="108"/>
    </row>
    <row r="3728" spans="14:15" x14ac:dyDescent="0.35">
      <c r="N3728" s="108"/>
      <c r="O3728" s="108"/>
    </row>
    <row r="3729" spans="14:15" x14ac:dyDescent="0.35">
      <c r="N3729" s="108"/>
      <c r="O3729" s="108"/>
    </row>
    <row r="3730" spans="14:15" x14ac:dyDescent="0.35">
      <c r="N3730" s="108"/>
      <c r="O3730" s="108"/>
    </row>
    <row r="3731" spans="14:15" x14ac:dyDescent="0.35">
      <c r="N3731" s="108"/>
      <c r="O3731" s="108"/>
    </row>
    <row r="3732" spans="14:15" x14ac:dyDescent="0.35">
      <c r="N3732" s="108"/>
      <c r="O3732" s="108"/>
    </row>
    <row r="3733" spans="14:15" x14ac:dyDescent="0.35">
      <c r="N3733" s="108"/>
      <c r="O3733" s="108"/>
    </row>
    <row r="3734" spans="14:15" x14ac:dyDescent="0.35">
      <c r="N3734" s="108"/>
      <c r="O3734" s="108"/>
    </row>
    <row r="3735" spans="14:15" x14ac:dyDescent="0.35">
      <c r="N3735" s="108"/>
      <c r="O3735" s="108"/>
    </row>
    <row r="3736" spans="14:15" x14ac:dyDescent="0.35">
      <c r="N3736" s="108"/>
      <c r="O3736" s="108"/>
    </row>
    <row r="3737" spans="14:15" x14ac:dyDescent="0.35">
      <c r="N3737" s="108"/>
      <c r="O3737" s="108"/>
    </row>
    <row r="3738" spans="14:15" x14ac:dyDescent="0.35">
      <c r="N3738" s="108"/>
      <c r="O3738" s="108"/>
    </row>
    <row r="3739" spans="14:15" x14ac:dyDescent="0.35">
      <c r="N3739" s="108"/>
      <c r="O3739" s="108"/>
    </row>
    <row r="3740" spans="14:15" x14ac:dyDescent="0.35">
      <c r="N3740" s="108"/>
      <c r="O3740" s="108"/>
    </row>
    <row r="3741" spans="14:15" x14ac:dyDescent="0.35">
      <c r="N3741" s="108"/>
      <c r="O3741" s="108"/>
    </row>
    <row r="3742" spans="14:15" x14ac:dyDescent="0.35">
      <c r="N3742" s="108"/>
      <c r="O3742" s="108"/>
    </row>
    <row r="3743" spans="14:15" x14ac:dyDescent="0.35">
      <c r="N3743" s="108"/>
      <c r="O3743" s="108"/>
    </row>
    <row r="3744" spans="14:15" x14ac:dyDescent="0.35">
      <c r="N3744" s="108"/>
      <c r="O3744" s="108"/>
    </row>
    <row r="3745" spans="14:15" x14ac:dyDescent="0.35">
      <c r="N3745" s="108"/>
      <c r="O3745" s="108"/>
    </row>
    <row r="3746" spans="14:15" x14ac:dyDescent="0.35">
      <c r="N3746" s="108"/>
      <c r="O3746" s="108"/>
    </row>
    <row r="3747" spans="14:15" x14ac:dyDescent="0.35">
      <c r="N3747" s="108"/>
      <c r="O3747" s="108"/>
    </row>
    <row r="3748" spans="14:15" x14ac:dyDescent="0.35">
      <c r="N3748" s="108"/>
      <c r="O3748" s="108"/>
    </row>
    <row r="3749" spans="14:15" x14ac:dyDescent="0.35">
      <c r="N3749" s="108"/>
      <c r="O3749" s="108"/>
    </row>
    <row r="3750" spans="14:15" x14ac:dyDescent="0.35">
      <c r="N3750" s="108"/>
      <c r="O3750" s="108"/>
    </row>
    <row r="3751" spans="14:15" x14ac:dyDescent="0.35">
      <c r="N3751" s="108"/>
      <c r="O3751" s="108"/>
    </row>
    <row r="3752" spans="14:15" x14ac:dyDescent="0.35">
      <c r="N3752" s="108"/>
      <c r="O3752" s="108"/>
    </row>
    <row r="3753" spans="14:15" x14ac:dyDescent="0.35">
      <c r="N3753" s="108"/>
      <c r="O3753" s="108"/>
    </row>
    <row r="3754" spans="14:15" x14ac:dyDescent="0.35">
      <c r="N3754" s="108"/>
      <c r="O3754" s="108"/>
    </row>
    <row r="3755" spans="14:15" x14ac:dyDescent="0.35">
      <c r="N3755" s="108"/>
      <c r="O3755" s="108"/>
    </row>
    <row r="3756" spans="14:15" x14ac:dyDescent="0.35">
      <c r="N3756" s="108"/>
      <c r="O3756" s="108"/>
    </row>
    <row r="3757" spans="14:15" x14ac:dyDescent="0.35">
      <c r="N3757" s="108"/>
      <c r="O3757" s="108"/>
    </row>
    <row r="3758" spans="14:15" x14ac:dyDescent="0.35">
      <c r="N3758" s="108"/>
      <c r="O3758" s="108"/>
    </row>
    <row r="3759" spans="14:15" x14ac:dyDescent="0.35">
      <c r="N3759" s="108"/>
      <c r="O3759" s="108"/>
    </row>
    <row r="3760" spans="14:15" x14ac:dyDescent="0.35">
      <c r="N3760" s="108"/>
      <c r="O3760" s="108"/>
    </row>
    <row r="3761" spans="14:15" x14ac:dyDescent="0.35">
      <c r="N3761" s="108"/>
      <c r="O3761" s="108"/>
    </row>
    <row r="3762" spans="14:15" x14ac:dyDescent="0.35">
      <c r="N3762" s="108"/>
      <c r="O3762" s="108"/>
    </row>
    <row r="3763" spans="14:15" x14ac:dyDescent="0.35">
      <c r="N3763" s="108"/>
      <c r="O3763" s="108"/>
    </row>
    <row r="3764" spans="14:15" x14ac:dyDescent="0.35">
      <c r="N3764" s="108"/>
      <c r="O3764" s="108"/>
    </row>
    <row r="3765" spans="14:15" x14ac:dyDescent="0.35">
      <c r="N3765" s="108"/>
      <c r="O3765" s="108"/>
    </row>
    <row r="3766" spans="14:15" x14ac:dyDescent="0.35">
      <c r="N3766" s="108"/>
      <c r="O3766" s="108"/>
    </row>
    <row r="3767" spans="14:15" x14ac:dyDescent="0.35">
      <c r="N3767" s="108"/>
      <c r="O3767" s="108"/>
    </row>
    <row r="3768" spans="14:15" x14ac:dyDescent="0.35">
      <c r="N3768" s="108"/>
      <c r="O3768" s="108"/>
    </row>
    <row r="3769" spans="14:15" x14ac:dyDescent="0.35">
      <c r="N3769" s="108"/>
      <c r="O3769" s="108"/>
    </row>
    <row r="3770" spans="14:15" x14ac:dyDescent="0.35">
      <c r="N3770" s="108"/>
      <c r="O3770" s="108"/>
    </row>
    <row r="3771" spans="14:15" x14ac:dyDescent="0.35">
      <c r="N3771" s="108"/>
      <c r="O3771" s="108"/>
    </row>
    <row r="3772" spans="14:15" x14ac:dyDescent="0.35">
      <c r="N3772" s="108"/>
      <c r="O3772" s="108"/>
    </row>
    <row r="3773" spans="14:15" x14ac:dyDescent="0.35">
      <c r="N3773" s="108"/>
      <c r="O3773" s="108"/>
    </row>
    <row r="3774" spans="14:15" x14ac:dyDescent="0.35">
      <c r="N3774" s="108"/>
      <c r="O3774" s="108"/>
    </row>
    <row r="3775" spans="14:15" x14ac:dyDescent="0.35">
      <c r="N3775" s="108"/>
      <c r="O3775" s="108"/>
    </row>
    <row r="3776" spans="14:15" x14ac:dyDescent="0.35">
      <c r="N3776" s="108"/>
      <c r="O3776" s="108"/>
    </row>
    <row r="3777" spans="14:15" x14ac:dyDescent="0.35">
      <c r="N3777" s="108"/>
      <c r="O3777" s="108"/>
    </row>
    <row r="3778" spans="14:15" x14ac:dyDescent="0.35">
      <c r="N3778" s="108"/>
      <c r="O3778" s="108"/>
    </row>
    <row r="3779" spans="14:15" x14ac:dyDescent="0.35">
      <c r="N3779" s="108"/>
      <c r="O3779" s="108"/>
    </row>
    <row r="3780" spans="14:15" x14ac:dyDescent="0.35">
      <c r="N3780" s="108"/>
      <c r="O3780" s="108"/>
    </row>
    <row r="3781" spans="14:15" x14ac:dyDescent="0.35">
      <c r="N3781" s="108"/>
      <c r="O3781" s="108"/>
    </row>
    <row r="3782" spans="14:15" x14ac:dyDescent="0.35">
      <c r="N3782" s="108"/>
      <c r="O3782" s="108"/>
    </row>
    <row r="3783" spans="14:15" x14ac:dyDescent="0.35">
      <c r="N3783" s="108"/>
      <c r="O3783" s="108"/>
    </row>
    <row r="3784" spans="14:15" x14ac:dyDescent="0.35">
      <c r="N3784" s="108"/>
      <c r="O3784" s="108"/>
    </row>
    <row r="3785" spans="14:15" x14ac:dyDescent="0.35">
      <c r="N3785" s="108"/>
      <c r="O3785" s="108"/>
    </row>
    <row r="3786" spans="14:15" x14ac:dyDescent="0.35">
      <c r="N3786" s="108"/>
      <c r="O3786" s="108"/>
    </row>
    <row r="3787" spans="14:15" x14ac:dyDescent="0.35">
      <c r="N3787" s="108"/>
      <c r="O3787" s="108"/>
    </row>
    <row r="3788" spans="14:15" x14ac:dyDescent="0.35">
      <c r="N3788" s="108"/>
      <c r="O3788" s="108"/>
    </row>
    <row r="3789" spans="14:15" x14ac:dyDescent="0.35">
      <c r="N3789" s="108"/>
      <c r="O3789" s="108"/>
    </row>
    <row r="3790" spans="14:15" x14ac:dyDescent="0.35">
      <c r="N3790" s="108"/>
      <c r="O3790" s="108"/>
    </row>
    <row r="3791" spans="14:15" x14ac:dyDescent="0.35">
      <c r="N3791" s="108"/>
      <c r="O3791" s="108"/>
    </row>
    <row r="3792" spans="14:15" x14ac:dyDescent="0.35">
      <c r="N3792" s="108"/>
      <c r="O3792" s="108"/>
    </row>
    <row r="3793" spans="14:15" x14ac:dyDescent="0.35">
      <c r="N3793" s="108"/>
      <c r="O3793" s="108"/>
    </row>
    <row r="3794" spans="14:15" x14ac:dyDescent="0.35">
      <c r="N3794" s="108"/>
      <c r="O3794" s="108"/>
    </row>
    <row r="3795" spans="14:15" x14ac:dyDescent="0.35">
      <c r="N3795" s="108"/>
      <c r="O3795" s="108"/>
    </row>
    <row r="3796" spans="14:15" x14ac:dyDescent="0.35">
      <c r="N3796" s="108"/>
      <c r="O3796" s="108"/>
    </row>
    <row r="3797" spans="14:15" x14ac:dyDescent="0.35">
      <c r="N3797" s="108"/>
      <c r="O3797" s="108"/>
    </row>
    <row r="3798" spans="14:15" x14ac:dyDescent="0.35">
      <c r="N3798" s="108"/>
      <c r="O3798" s="108"/>
    </row>
    <row r="3799" spans="14:15" x14ac:dyDescent="0.35">
      <c r="N3799" s="108"/>
      <c r="O3799" s="108"/>
    </row>
    <row r="3800" spans="14:15" x14ac:dyDescent="0.35">
      <c r="N3800" s="108"/>
      <c r="O3800" s="108"/>
    </row>
    <row r="3801" spans="14:15" x14ac:dyDescent="0.35">
      <c r="N3801" s="108"/>
      <c r="O3801" s="108"/>
    </row>
    <row r="3802" spans="14:15" x14ac:dyDescent="0.35">
      <c r="N3802" s="108"/>
      <c r="O3802" s="108"/>
    </row>
    <row r="3803" spans="14:15" x14ac:dyDescent="0.35">
      <c r="N3803" s="108"/>
      <c r="O3803" s="108"/>
    </row>
    <row r="3804" spans="14:15" x14ac:dyDescent="0.35">
      <c r="N3804" s="108"/>
      <c r="O3804" s="108"/>
    </row>
    <row r="3805" spans="14:15" x14ac:dyDescent="0.35">
      <c r="N3805" s="108"/>
      <c r="O3805" s="108"/>
    </row>
    <row r="3806" spans="14:15" x14ac:dyDescent="0.35">
      <c r="N3806" s="108"/>
      <c r="O3806" s="108"/>
    </row>
    <row r="3807" spans="14:15" x14ac:dyDescent="0.35">
      <c r="N3807" s="108"/>
      <c r="O3807" s="108"/>
    </row>
    <row r="3808" spans="14:15" x14ac:dyDescent="0.35">
      <c r="N3808" s="108"/>
      <c r="O3808" s="108"/>
    </row>
    <row r="3809" spans="14:15" x14ac:dyDescent="0.35">
      <c r="N3809" s="108"/>
      <c r="O3809" s="108"/>
    </row>
    <row r="3810" spans="14:15" x14ac:dyDescent="0.35">
      <c r="N3810" s="108"/>
      <c r="O3810" s="108"/>
    </row>
    <row r="3811" spans="14:15" x14ac:dyDescent="0.35">
      <c r="N3811" s="108"/>
      <c r="O3811" s="108"/>
    </row>
    <row r="3812" spans="14:15" x14ac:dyDescent="0.35">
      <c r="N3812" s="108"/>
      <c r="O3812" s="108"/>
    </row>
    <row r="3813" spans="14:15" x14ac:dyDescent="0.35">
      <c r="N3813" s="108"/>
      <c r="O3813" s="108"/>
    </row>
    <row r="3814" spans="14:15" x14ac:dyDescent="0.35">
      <c r="N3814" s="108"/>
      <c r="O3814" s="108"/>
    </row>
    <row r="3815" spans="14:15" x14ac:dyDescent="0.35">
      <c r="N3815" s="108"/>
      <c r="O3815" s="108"/>
    </row>
    <row r="3816" spans="14:15" x14ac:dyDescent="0.35">
      <c r="N3816" s="108"/>
      <c r="O3816" s="108"/>
    </row>
    <row r="3817" spans="14:15" x14ac:dyDescent="0.35">
      <c r="N3817" s="108"/>
      <c r="O3817" s="108"/>
    </row>
    <row r="3818" spans="14:15" x14ac:dyDescent="0.35">
      <c r="N3818" s="108"/>
      <c r="O3818" s="108"/>
    </row>
    <row r="3819" spans="14:15" x14ac:dyDescent="0.35">
      <c r="N3819" s="108"/>
      <c r="O3819" s="108"/>
    </row>
    <row r="3820" spans="14:15" x14ac:dyDescent="0.35">
      <c r="N3820" s="108"/>
      <c r="O3820" s="108"/>
    </row>
    <row r="3821" spans="14:15" x14ac:dyDescent="0.35">
      <c r="N3821" s="108"/>
      <c r="O3821" s="108"/>
    </row>
    <row r="3822" spans="14:15" x14ac:dyDescent="0.35">
      <c r="N3822" s="108"/>
      <c r="O3822" s="108"/>
    </row>
    <row r="3823" spans="14:15" x14ac:dyDescent="0.35">
      <c r="N3823" s="108"/>
      <c r="O3823" s="108"/>
    </row>
    <row r="3824" spans="14:15" x14ac:dyDescent="0.35">
      <c r="N3824" s="108"/>
      <c r="O3824" s="108"/>
    </row>
    <row r="3825" spans="14:15" x14ac:dyDescent="0.35">
      <c r="N3825" s="108"/>
      <c r="O3825" s="108"/>
    </row>
    <row r="3826" spans="14:15" x14ac:dyDescent="0.35">
      <c r="N3826" s="108"/>
      <c r="O3826" s="108"/>
    </row>
    <row r="3827" spans="14:15" x14ac:dyDescent="0.35">
      <c r="N3827" s="108"/>
      <c r="O3827" s="108"/>
    </row>
    <row r="3828" spans="14:15" x14ac:dyDescent="0.35">
      <c r="N3828" s="108"/>
      <c r="O3828" s="108"/>
    </row>
    <row r="3829" spans="14:15" x14ac:dyDescent="0.35">
      <c r="N3829" s="108"/>
      <c r="O3829" s="108"/>
    </row>
    <row r="3830" spans="14:15" x14ac:dyDescent="0.35">
      <c r="N3830" s="108"/>
      <c r="O3830" s="108"/>
    </row>
    <row r="3831" spans="14:15" x14ac:dyDescent="0.35">
      <c r="N3831" s="108"/>
      <c r="O3831" s="108"/>
    </row>
    <row r="3832" spans="14:15" x14ac:dyDescent="0.35">
      <c r="N3832" s="108"/>
      <c r="O3832" s="108"/>
    </row>
    <row r="3833" spans="14:15" x14ac:dyDescent="0.35">
      <c r="N3833" s="108"/>
      <c r="O3833" s="108"/>
    </row>
    <row r="3834" spans="14:15" x14ac:dyDescent="0.35">
      <c r="N3834" s="108"/>
      <c r="O3834" s="108"/>
    </row>
    <row r="3835" spans="14:15" x14ac:dyDescent="0.35">
      <c r="N3835" s="108"/>
      <c r="O3835" s="108"/>
    </row>
    <row r="3836" spans="14:15" x14ac:dyDescent="0.35">
      <c r="N3836" s="108"/>
      <c r="O3836" s="108"/>
    </row>
    <row r="3837" spans="14:15" x14ac:dyDescent="0.35">
      <c r="N3837" s="108"/>
      <c r="O3837" s="108"/>
    </row>
    <row r="3838" spans="14:15" x14ac:dyDescent="0.35">
      <c r="N3838" s="108"/>
      <c r="O3838" s="108"/>
    </row>
    <row r="3839" spans="14:15" x14ac:dyDescent="0.35">
      <c r="N3839" s="108"/>
      <c r="O3839" s="108"/>
    </row>
    <row r="3840" spans="14:15" x14ac:dyDescent="0.35">
      <c r="N3840" s="108"/>
      <c r="O3840" s="108"/>
    </row>
    <row r="3841" spans="14:15" x14ac:dyDescent="0.35">
      <c r="N3841" s="108"/>
      <c r="O3841" s="108"/>
    </row>
    <row r="3842" spans="14:15" x14ac:dyDescent="0.35">
      <c r="N3842" s="108"/>
      <c r="O3842" s="108"/>
    </row>
    <row r="3843" spans="14:15" x14ac:dyDescent="0.35">
      <c r="N3843" s="108"/>
      <c r="O3843" s="108"/>
    </row>
    <row r="3844" spans="14:15" x14ac:dyDescent="0.35">
      <c r="N3844" s="108"/>
      <c r="O3844" s="108"/>
    </row>
    <row r="3845" spans="14:15" x14ac:dyDescent="0.35">
      <c r="N3845" s="108"/>
      <c r="O3845" s="108"/>
    </row>
    <row r="3846" spans="14:15" x14ac:dyDescent="0.35">
      <c r="N3846" s="108"/>
      <c r="O3846" s="108"/>
    </row>
    <row r="3847" spans="14:15" x14ac:dyDescent="0.35">
      <c r="N3847" s="108"/>
      <c r="O3847" s="108"/>
    </row>
    <row r="3848" spans="14:15" x14ac:dyDescent="0.35">
      <c r="N3848" s="108"/>
      <c r="O3848" s="108"/>
    </row>
    <row r="3849" spans="14:15" x14ac:dyDescent="0.35">
      <c r="N3849" s="108"/>
      <c r="O3849" s="108"/>
    </row>
    <row r="3850" spans="14:15" x14ac:dyDescent="0.35">
      <c r="N3850" s="108"/>
      <c r="O3850" s="108"/>
    </row>
    <row r="3851" spans="14:15" x14ac:dyDescent="0.35">
      <c r="N3851" s="108"/>
      <c r="O3851" s="108"/>
    </row>
    <row r="3852" spans="14:15" x14ac:dyDescent="0.35">
      <c r="N3852" s="108"/>
      <c r="O3852" s="108"/>
    </row>
    <row r="3853" spans="14:15" x14ac:dyDescent="0.35">
      <c r="N3853" s="108"/>
      <c r="O3853" s="108"/>
    </row>
    <row r="3854" spans="14:15" x14ac:dyDescent="0.35">
      <c r="N3854" s="108"/>
      <c r="O3854" s="108"/>
    </row>
    <row r="3855" spans="14:15" x14ac:dyDescent="0.35">
      <c r="N3855" s="108"/>
      <c r="O3855" s="108"/>
    </row>
    <row r="3856" spans="14:15" x14ac:dyDescent="0.35">
      <c r="N3856" s="108"/>
      <c r="O3856" s="108"/>
    </row>
    <row r="3857" spans="14:15" x14ac:dyDescent="0.35">
      <c r="N3857" s="108"/>
      <c r="O3857" s="108"/>
    </row>
    <row r="3858" spans="14:15" x14ac:dyDescent="0.35">
      <c r="N3858" s="108"/>
      <c r="O3858" s="108"/>
    </row>
    <row r="3859" spans="14:15" x14ac:dyDescent="0.35">
      <c r="N3859" s="108"/>
      <c r="O3859" s="108"/>
    </row>
    <row r="3860" spans="14:15" x14ac:dyDescent="0.35">
      <c r="N3860" s="108"/>
      <c r="O3860" s="108"/>
    </row>
    <row r="3861" spans="14:15" x14ac:dyDescent="0.35">
      <c r="N3861" s="108"/>
      <c r="O3861" s="108"/>
    </row>
    <row r="3862" spans="14:15" x14ac:dyDescent="0.35">
      <c r="N3862" s="108"/>
      <c r="O3862" s="108"/>
    </row>
    <row r="3863" spans="14:15" x14ac:dyDescent="0.35">
      <c r="N3863" s="108"/>
      <c r="O3863" s="108"/>
    </row>
    <row r="3864" spans="14:15" x14ac:dyDescent="0.35">
      <c r="N3864" s="108"/>
      <c r="O3864" s="108"/>
    </row>
    <row r="3865" spans="14:15" x14ac:dyDescent="0.35">
      <c r="N3865" s="108"/>
      <c r="O3865" s="108"/>
    </row>
    <row r="3866" spans="14:15" x14ac:dyDescent="0.35">
      <c r="N3866" s="108"/>
      <c r="O3866" s="108"/>
    </row>
    <row r="3867" spans="14:15" x14ac:dyDescent="0.35">
      <c r="N3867" s="108"/>
      <c r="O3867" s="108"/>
    </row>
    <row r="3868" spans="14:15" x14ac:dyDescent="0.35">
      <c r="N3868" s="108"/>
      <c r="O3868" s="108"/>
    </row>
    <row r="3869" spans="14:15" x14ac:dyDescent="0.35">
      <c r="N3869" s="108"/>
      <c r="O3869" s="108"/>
    </row>
    <row r="3870" spans="14:15" x14ac:dyDescent="0.35">
      <c r="N3870" s="108"/>
      <c r="O3870" s="108"/>
    </row>
    <row r="3871" spans="14:15" x14ac:dyDescent="0.35">
      <c r="N3871" s="108"/>
      <c r="O3871" s="108"/>
    </row>
    <row r="3872" spans="14:15" x14ac:dyDescent="0.35">
      <c r="N3872" s="108"/>
      <c r="O3872" s="108"/>
    </row>
    <row r="3873" spans="14:15" x14ac:dyDescent="0.35">
      <c r="N3873" s="108"/>
      <c r="O3873" s="108"/>
    </row>
    <row r="3874" spans="14:15" x14ac:dyDescent="0.35">
      <c r="N3874" s="108"/>
      <c r="O3874" s="108"/>
    </row>
    <row r="3875" spans="14:15" x14ac:dyDescent="0.35">
      <c r="N3875" s="108"/>
      <c r="O3875" s="108"/>
    </row>
    <row r="3876" spans="14:15" x14ac:dyDescent="0.35">
      <c r="N3876" s="108"/>
      <c r="O3876" s="108"/>
    </row>
    <row r="3877" spans="14:15" x14ac:dyDescent="0.35">
      <c r="N3877" s="108"/>
      <c r="O3877" s="108"/>
    </row>
    <row r="3878" spans="14:15" x14ac:dyDescent="0.35">
      <c r="N3878" s="108"/>
      <c r="O3878" s="108"/>
    </row>
    <row r="3879" spans="14:15" x14ac:dyDescent="0.35">
      <c r="N3879" s="108"/>
      <c r="O3879" s="108"/>
    </row>
    <row r="3880" spans="14:15" x14ac:dyDescent="0.35">
      <c r="N3880" s="108"/>
      <c r="O3880" s="108"/>
    </row>
    <row r="3881" spans="14:15" x14ac:dyDescent="0.35">
      <c r="N3881" s="108"/>
      <c r="O3881" s="108"/>
    </row>
    <row r="3882" spans="14:15" x14ac:dyDescent="0.35">
      <c r="N3882" s="108"/>
      <c r="O3882" s="108"/>
    </row>
    <row r="3883" spans="14:15" x14ac:dyDescent="0.35">
      <c r="N3883" s="108"/>
      <c r="O3883" s="108"/>
    </row>
    <row r="3884" spans="14:15" x14ac:dyDescent="0.35">
      <c r="N3884" s="108"/>
      <c r="O3884" s="108"/>
    </row>
    <row r="3885" spans="14:15" x14ac:dyDescent="0.35">
      <c r="N3885" s="108"/>
      <c r="O3885" s="108"/>
    </row>
    <row r="3886" spans="14:15" x14ac:dyDescent="0.35">
      <c r="N3886" s="108"/>
      <c r="O3886" s="108"/>
    </row>
    <row r="3887" spans="14:15" x14ac:dyDescent="0.35">
      <c r="N3887" s="108"/>
      <c r="O3887" s="108"/>
    </row>
    <row r="3888" spans="14:15" x14ac:dyDescent="0.35">
      <c r="N3888" s="108"/>
      <c r="O3888" s="108"/>
    </row>
    <row r="3889" spans="14:15" x14ac:dyDescent="0.35">
      <c r="N3889" s="108"/>
      <c r="O3889" s="108"/>
    </row>
    <row r="3890" spans="14:15" x14ac:dyDescent="0.35">
      <c r="N3890" s="108"/>
      <c r="O3890" s="108"/>
    </row>
    <row r="3891" spans="14:15" x14ac:dyDescent="0.35">
      <c r="N3891" s="108"/>
      <c r="O3891" s="108"/>
    </row>
    <row r="3892" spans="14:15" x14ac:dyDescent="0.35">
      <c r="N3892" s="108"/>
      <c r="O3892" s="108"/>
    </row>
    <row r="3893" spans="14:15" x14ac:dyDescent="0.35">
      <c r="N3893" s="108"/>
      <c r="O3893" s="108"/>
    </row>
    <row r="3894" spans="14:15" x14ac:dyDescent="0.35">
      <c r="N3894" s="108"/>
      <c r="O3894" s="108"/>
    </row>
    <row r="3895" spans="14:15" x14ac:dyDescent="0.35">
      <c r="N3895" s="108"/>
      <c r="O3895" s="108"/>
    </row>
    <row r="3896" spans="14:15" x14ac:dyDescent="0.35">
      <c r="N3896" s="108"/>
      <c r="O3896" s="108"/>
    </row>
    <row r="3897" spans="14:15" x14ac:dyDescent="0.35">
      <c r="N3897" s="108"/>
      <c r="O3897" s="108"/>
    </row>
    <row r="3898" spans="14:15" x14ac:dyDescent="0.35">
      <c r="N3898" s="108"/>
      <c r="O3898" s="108"/>
    </row>
    <row r="3899" spans="14:15" x14ac:dyDescent="0.35">
      <c r="N3899" s="108"/>
      <c r="O3899" s="108"/>
    </row>
    <row r="3900" spans="14:15" x14ac:dyDescent="0.35">
      <c r="N3900" s="108"/>
      <c r="O3900" s="108"/>
    </row>
    <row r="3901" spans="14:15" x14ac:dyDescent="0.35">
      <c r="N3901" s="108"/>
      <c r="O3901" s="108"/>
    </row>
    <row r="3902" spans="14:15" x14ac:dyDescent="0.35">
      <c r="N3902" s="108"/>
      <c r="O3902" s="108"/>
    </row>
    <row r="3903" spans="14:15" x14ac:dyDescent="0.35">
      <c r="N3903" s="108"/>
      <c r="O3903" s="108"/>
    </row>
    <row r="3904" spans="14:15" x14ac:dyDescent="0.35">
      <c r="N3904" s="108"/>
      <c r="O3904" s="108"/>
    </row>
    <row r="3905" spans="14:15" x14ac:dyDescent="0.35">
      <c r="N3905" s="108"/>
      <c r="O3905" s="108"/>
    </row>
    <row r="3906" spans="14:15" x14ac:dyDescent="0.35">
      <c r="N3906" s="108"/>
      <c r="O3906" s="108"/>
    </row>
    <row r="3907" spans="14:15" x14ac:dyDescent="0.35">
      <c r="N3907" s="108"/>
      <c r="O3907" s="108"/>
    </row>
    <row r="3908" spans="14:15" x14ac:dyDescent="0.35">
      <c r="N3908" s="108"/>
      <c r="O3908" s="108"/>
    </row>
    <row r="3909" spans="14:15" x14ac:dyDescent="0.35">
      <c r="N3909" s="108"/>
      <c r="O3909" s="108"/>
    </row>
    <row r="3910" spans="14:15" x14ac:dyDescent="0.35">
      <c r="N3910" s="108"/>
      <c r="O3910" s="108"/>
    </row>
    <row r="3911" spans="14:15" x14ac:dyDescent="0.35">
      <c r="N3911" s="108"/>
      <c r="O3911" s="108"/>
    </row>
    <row r="3912" spans="14:15" x14ac:dyDescent="0.35">
      <c r="N3912" s="108"/>
      <c r="O3912" s="108"/>
    </row>
    <row r="3913" spans="14:15" x14ac:dyDescent="0.35">
      <c r="N3913" s="108"/>
      <c r="O3913" s="108"/>
    </row>
    <row r="3914" spans="14:15" x14ac:dyDescent="0.35">
      <c r="N3914" s="108"/>
      <c r="O3914" s="108"/>
    </row>
    <row r="3915" spans="14:15" x14ac:dyDescent="0.35">
      <c r="N3915" s="108"/>
      <c r="O3915" s="108"/>
    </row>
    <row r="3916" spans="14:15" x14ac:dyDescent="0.35">
      <c r="N3916" s="108"/>
      <c r="O3916" s="108"/>
    </row>
    <row r="3917" spans="14:15" x14ac:dyDescent="0.35">
      <c r="N3917" s="108"/>
      <c r="O3917" s="108"/>
    </row>
    <row r="3918" spans="14:15" x14ac:dyDescent="0.35">
      <c r="N3918" s="108"/>
      <c r="O3918" s="108"/>
    </row>
    <row r="3919" spans="14:15" x14ac:dyDescent="0.35">
      <c r="N3919" s="108"/>
      <c r="O3919" s="108"/>
    </row>
    <row r="3920" spans="14:15" x14ac:dyDescent="0.35">
      <c r="N3920" s="108"/>
      <c r="O3920" s="108"/>
    </row>
    <row r="3921" spans="14:15" x14ac:dyDescent="0.35">
      <c r="N3921" s="108"/>
      <c r="O3921" s="108"/>
    </row>
    <row r="3922" spans="14:15" x14ac:dyDescent="0.35">
      <c r="N3922" s="108"/>
      <c r="O3922" s="108"/>
    </row>
    <row r="3923" spans="14:15" x14ac:dyDescent="0.35">
      <c r="N3923" s="108"/>
      <c r="O3923" s="108"/>
    </row>
    <row r="3924" spans="14:15" x14ac:dyDescent="0.35">
      <c r="N3924" s="108"/>
      <c r="O3924" s="108"/>
    </row>
    <row r="3925" spans="14:15" x14ac:dyDescent="0.35">
      <c r="N3925" s="108"/>
      <c r="O3925" s="108"/>
    </row>
    <row r="3926" spans="14:15" x14ac:dyDescent="0.35">
      <c r="N3926" s="108"/>
      <c r="O3926" s="108"/>
    </row>
    <row r="3927" spans="14:15" x14ac:dyDescent="0.35">
      <c r="N3927" s="108"/>
      <c r="O3927" s="108"/>
    </row>
    <row r="3928" spans="14:15" x14ac:dyDescent="0.35">
      <c r="N3928" s="108"/>
      <c r="O3928" s="108"/>
    </row>
    <row r="3929" spans="14:15" x14ac:dyDescent="0.35">
      <c r="N3929" s="108"/>
      <c r="O3929" s="108"/>
    </row>
    <row r="3930" spans="14:15" x14ac:dyDescent="0.35">
      <c r="N3930" s="108"/>
      <c r="O3930" s="108"/>
    </row>
    <row r="3931" spans="14:15" x14ac:dyDescent="0.35">
      <c r="N3931" s="108"/>
      <c r="O3931" s="108"/>
    </row>
    <row r="3932" spans="14:15" x14ac:dyDescent="0.35">
      <c r="N3932" s="108"/>
      <c r="O3932" s="108"/>
    </row>
    <row r="3933" spans="14:15" x14ac:dyDescent="0.35">
      <c r="N3933" s="108"/>
      <c r="O3933" s="108"/>
    </row>
    <row r="3934" spans="14:15" x14ac:dyDescent="0.35">
      <c r="N3934" s="108"/>
      <c r="O3934" s="108"/>
    </row>
    <row r="3935" spans="14:15" x14ac:dyDescent="0.35">
      <c r="N3935" s="108"/>
      <c r="O3935" s="108"/>
    </row>
    <row r="3936" spans="14:15" x14ac:dyDescent="0.35">
      <c r="N3936" s="108"/>
      <c r="O3936" s="108"/>
    </row>
    <row r="3937" spans="14:15" x14ac:dyDescent="0.35">
      <c r="N3937" s="108"/>
      <c r="O3937" s="108"/>
    </row>
    <row r="3938" spans="14:15" x14ac:dyDescent="0.35">
      <c r="N3938" s="108"/>
      <c r="O3938" s="108"/>
    </row>
    <row r="3939" spans="14:15" x14ac:dyDescent="0.35">
      <c r="N3939" s="108"/>
      <c r="O3939" s="108"/>
    </row>
    <row r="3940" spans="14:15" x14ac:dyDescent="0.35">
      <c r="N3940" s="108"/>
      <c r="O3940" s="108"/>
    </row>
    <row r="3941" spans="14:15" x14ac:dyDescent="0.35">
      <c r="N3941" s="108"/>
      <c r="O3941" s="108"/>
    </row>
    <row r="3942" spans="14:15" x14ac:dyDescent="0.35">
      <c r="N3942" s="108"/>
      <c r="O3942" s="108"/>
    </row>
    <row r="3943" spans="14:15" x14ac:dyDescent="0.35">
      <c r="N3943" s="108"/>
      <c r="O3943" s="108"/>
    </row>
    <row r="3944" spans="14:15" x14ac:dyDescent="0.35">
      <c r="N3944" s="108"/>
      <c r="O3944" s="108"/>
    </row>
    <row r="3945" spans="14:15" x14ac:dyDescent="0.35">
      <c r="N3945" s="108"/>
      <c r="O3945" s="108"/>
    </row>
    <row r="3946" spans="14:15" x14ac:dyDescent="0.35">
      <c r="N3946" s="108"/>
      <c r="O3946" s="108"/>
    </row>
    <row r="3947" spans="14:15" x14ac:dyDescent="0.35">
      <c r="N3947" s="108"/>
      <c r="O3947" s="108"/>
    </row>
    <row r="3948" spans="14:15" x14ac:dyDescent="0.35">
      <c r="N3948" s="108"/>
      <c r="O3948" s="108"/>
    </row>
    <row r="3949" spans="14:15" x14ac:dyDescent="0.35">
      <c r="N3949" s="108"/>
      <c r="O3949" s="108"/>
    </row>
    <row r="3950" spans="14:15" x14ac:dyDescent="0.35">
      <c r="N3950" s="108"/>
      <c r="O3950" s="108"/>
    </row>
    <row r="3951" spans="14:15" x14ac:dyDescent="0.35">
      <c r="N3951" s="108"/>
      <c r="O3951" s="108"/>
    </row>
    <row r="3952" spans="14:15" x14ac:dyDescent="0.35">
      <c r="N3952" s="108"/>
      <c r="O3952" s="108"/>
    </row>
    <row r="3953" spans="14:15" x14ac:dyDescent="0.35">
      <c r="N3953" s="108"/>
      <c r="O3953" s="108"/>
    </row>
    <row r="3954" spans="14:15" x14ac:dyDescent="0.35">
      <c r="N3954" s="108"/>
      <c r="O3954" s="108"/>
    </row>
    <row r="3955" spans="14:15" x14ac:dyDescent="0.35">
      <c r="N3955" s="108"/>
      <c r="O3955" s="108"/>
    </row>
    <row r="3956" spans="14:15" x14ac:dyDescent="0.35">
      <c r="N3956" s="108"/>
      <c r="O3956" s="108"/>
    </row>
    <row r="3957" spans="14:15" x14ac:dyDescent="0.35">
      <c r="N3957" s="108"/>
      <c r="O3957" s="108"/>
    </row>
    <row r="3958" spans="14:15" x14ac:dyDescent="0.35">
      <c r="N3958" s="108"/>
      <c r="O3958" s="108"/>
    </row>
    <row r="3959" spans="14:15" x14ac:dyDescent="0.35">
      <c r="N3959" s="108"/>
      <c r="O3959" s="108"/>
    </row>
    <row r="3960" spans="14:15" x14ac:dyDescent="0.35">
      <c r="N3960" s="108"/>
      <c r="O3960" s="108"/>
    </row>
    <row r="3961" spans="14:15" x14ac:dyDescent="0.35">
      <c r="N3961" s="108"/>
      <c r="O3961" s="108"/>
    </row>
    <row r="3962" spans="14:15" x14ac:dyDescent="0.35">
      <c r="N3962" s="108"/>
      <c r="O3962" s="108"/>
    </row>
    <row r="3963" spans="14:15" x14ac:dyDescent="0.35">
      <c r="N3963" s="108"/>
      <c r="O3963" s="108"/>
    </row>
    <row r="3964" spans="14:15" x14ac:dyDescent="0.35">
      <c r="N3964" s="108"/>
      <c r="O3964" s="108"/>
    </row>
    <row r="3965" spans="14:15" x14ac:dyDescent="0.35">
      <c r="N3965" s="108"/>
      <c r="O3965" s="108"/>
    </row>
    <row r="3966" spans="14:15" x14ac:dyDescent="0.35">
      <c r="N3966" s="108"/>
      <c r="O3966" s="108"/>
    </row>
    <row r="3967" spans="14:15" x14ac:dyDescent="0.35">
      <c r="N3967" s="108"/>
      <c r="O3967" s="108"/>
    </row>
    <row r="3968" spans="14:15" x14ac:dyDescent="0.35">
      <c r="N3968" s="108"/>
      <c r="O3968" s="108"/>
    </row>
    <row r="3969" spans="14:15" x14ac:dyDescent="0.35">
      <c r="N3969" s="108"/>
      <c r="O3969" s="108"/>
    </row>
    <row r="3970" spans="14:15" x14ac:dyDescent="0.35">
      <c r="N3970" s="108"/>
      <c r="O3970" s="108"/>
    </row>
    <row r="3971" spans="14:15" x14ac:dyDescent="0.35">
      <c r="N3971" s="108"/>
      <c r="O3971" s="108"/>
    </row>
    <row r="3972" spans="14:15" x14ac:dyDescent="0.35">
      <c r="N3972" s="108"/>
      <c r="O3972" s="108"/>
    </row>
    <row r="3973" spans="14:15" x14ac:dyDescent="0.35">
      <c r="N3973" s="108"/>
      <c r="O3973" s="108"/>
    </row>
    <row r="3974" spans="14:15" x14ac:dyDescent="0.35">
      <c r="N3974" s="108"/>
      <c r="O3974" s="108"/>
    </row>
    <row r="3975" spans="14:15" x14ac:dyDescent="0.35">
      <c r="N3975" s="108"/>
      <c r="O3975" s="108"/>
    </row>
    <row r="3976" spans="14:15" x14ac:dyDescent="0.35">
      <c r="N3976" s="108"/>
      <c r="O3976" s="108"/>
    </row>
    <row r="3977" spans="14:15" x14ac:dyDescent="0.35">
      <c r="N3977" s="108"/>
      <c r="O3977" s="108"/>
    </row>
    <row r="3978" spans="14:15" x14ac:dyDescent="0.35">
      <c r="N3978" s="108"/>
      <c r="O3978" s="108"/>
    </row>
    <row r="3979" spans="14:15" x14ac:dyDescent="0.35">
      <c r="N3979" s="108"/>
      <c r="O3979" s="108"/>
    </row>
    <row r="3980" spans="14:15" x14ac:dyDescent="0.35">
      <c r="N3980" s="108"/>
      <c r="O3980" s="108"/>
    </row>
    <row r="3981" spans="14:15" x14ac:dyDescent="0.35">
      <c r="N3981" s="108"/>
      <c r="O3981" s="108"/>
    </row>
    <row r="3982" spans="14:15" x14ac:dyDescent="0.35">
      <c r="N3982" s="108"/>
      <c r="O3982" s="108"/>
    </row>
    <row r="3983" spans="14:15" x14ac:dyDescent="0.35">
      <c r="N3983" s="108"/>
      <c r="O3983" s="108"/>
    </row>
    <row r="3984" spans="14:15" x14ac:dyDescent="0.35">
      <c r="N3984" s="108"/>
      <c r="O3984" s="108"/>
    </row>
    <row r="3985" spans="14:15" x14ac:dyDescent="0.35">
      <c r="N3985" s="108"/>
      <c r="O3985" s="108"/>
    </row>
    <row r="3986" spans="14:15" x14ac:dyDescent="0.35">
      <c r="N3986" s="108"/>
      <c r="O3986" s="108"/>
    </row>
    <row r="3987" spans="14:15" x14ac:dyDescent="0.35">
      <c r="N3987" s="108"/>
      <c r="O3987" s="108"/>
    </row>
    <row r="3988" spans="14:15" x14ac:dyDescent="0.35">
      <c r="N3988" s="108"/>
      <c r="O3988" s="108"/>
    </row>
    <row r="3989" spans="14:15" x14ac:dyDescent="0.35">
      <c r="N3989" s="108"/>
      <c r="O3989" s="108"/>
    </row>
    <row r="3990" spans="14:15" x14ac:dyDescent="0.35">
      <c r="N3990" s="108"/>
      <c r="O3990" s="108"/>
    </row>
    <row r="3991" spans="14:15" x14ac:dyDescent="0.35">
      <c r="N3991" s="108"/>
      <c r="O3991" s="108"/>
    </row>
    <row r="3992" spans="14:15" x14ac:dyDescent="0.35">
      <c r="N3992" s="108"/>
      <c r="O3992" s="108"/>
    </row>
    <row r="3993" spans="14:15" x14ac:dyDescent="0.35">
      <c r="N3993" s="108"/>
      <c r="O3993" s="108"/>
    </row>
    <row r="3994" spans="14:15" x14ac:dyDescent="0.35">
      <c r="N3994" s="108"/>
      <c r="O3994" s="108"/>
    </row>
    <row r="3995" spans="14:15" x14ac:dyDescent="0.35">
      <c r="N3995" s="108"/>
      <c r="O3995" s="108"/>
    </row>
    <row r="3996" spans="14:15" x14ac:dyDescent="0.35">
      <c r="N3996" s="108"/>
      <c r="O3996" s="108"/>
    </row>
    <row r="3997" spans="14:15" x14ac:dyDescent="0.35">
      <c r="N3997" s="108"/>
      <c r="O3997" s="108"/>
    </row>
    <row r="3998" spans="14:15" x14ac:dyDescent="0.35">
      <c r="N3998" s="108"/>
      <c r="O3998" s="108"/>
    </row>
    <row r="3999" spans="14:15" x14ac:dyDescent="0.35">
      <c r="N3999" s="108"/>
      <c r="O3999" s="108"/>
    </row>
    <row r="4000" spans="14:15" x14ac:dyDescent="0.35">
      <c r="N4000" s="108"/>
      <c r="O4000" s="108"/>
    </row>
    <row r="4001" spans="14:15" x14ac:dyDescent="0.35">
      <c r="N4001" s="108"/>
      <c r="O4001" s="108"/>
    </row>
    <row r="4002" spans="14:15" x14ac:dyDescent="0.35">
      <c r="N4002" s="108"/>
      <c r="O4002" s="108"/>
    </row>
    <row r="4003" spans="14:15" x14ac:dyDescent="0.35">
      <c r="N4003" s="108"/>
      <c r="O4003" s="108"/>
    </row>
    <row r="4004" spans="14:15" x14ac:dyDescent="0.35">
      <c r="N4004" s="108"/>
      <c r="O4004" s="108"/>
    </row>
    <row r="4005" spans="14:15" x14ac:dyDescent="0.35">
      <c r="N4005" s="108"/>
      <c r="O4005" s="108"/>
    </row>
    <row r="4006" spans="14:15" x14ac:dyDescent="0.35">
      <c r="N4006" s="108"/>
      <c r="O4006" s="108"/>
    </row>
    <row r="4007" spans="14:15" x14ac:dyDescent="0.35">
      <c r="N4007" s="108"/>
      <c r="O4007" s="108"/>
    </row>
    <row r="4008" spans="14:15" x14ac:dyDescent="0.35">
      <c r="N4008" s="108"/>
      <c r="O4008" s="108"/>
    </row>
    <row r="4009" spans="14:15" x14ac:dyDescent="0.35">
      <c r="N4009" s="108"/>
      <c r="O4009" s="108"/>
    </row>
    <row r="4010" spans="14:15" x14ac:dyDescent="0.35">
      <c r="N4010" s="108"/>
      <c r="O4010" s="108"/>
    </row>
    <row r="4011" spans="14:15" x14ac:dyDescent="0.35">
      <c r="N4011" s="108"/>
      <c r="O4011" s="108"/>
    </row>
    <row r="4012" spans="14:15" x14ac:dyDescent="0.35">
      <c r="N4012" s="108"/>
      <c r="O4012" s="108"/>
    </row>
    <row r="4013" spans="14:15" x14ac:dyDescent="0.35">
      <c r="N4013" s="108"/>
      <c r="O4013" s="108"/>
    </row>
    <row r="4014" spans="14:15" x14ac:dyDescent="0.35">
      <c r="N4014" s="108"/>
      <c r="O4014" s="108"/>
    </row>
    <row r="4015" spans="14:15" x14ac:dyDescent="0.35">
      <c r="N4015" s="108"/>
      <c r="O4015" s="108"/>
    </row>
    <row r="4016" spans="14:15" x14ac:dyDescent="0.35">
      <c r="N4016" s="108"/>
      <c r="O4016" s="108"/>
    </row>
    <row r="4017" spans="14:15" x14ac:dyDescent="0.35">
      <c r="N4017" s="108"/>
      <c r="O4017" s="108"/>
    </row>
    <row r="4018" spans="14:15" x14ac:dyDescent="0.35">
      <c r="N4018" s="108"/>
      <c r="O4018" s="108"/>
    </row>
    <row r="4019" spans="14:15" x14ac:dyDescent="0.35">
      <c r="N4019" s="108"/>
      <c r="O4019" s="108"/>
    </row>
    <row r="4020" spans="14:15" x14ac:dyDescent="0.35">
      <c r="N4020" s="108"/>
      <c r="O4020" s="108"/>
    </row>
    <row r="4021" spans="14:15" x14ac:dyDescent="0.35">
      <c r="N4021" s="108"/>
      <c r="O4021" s="108"/>
    </row>
    <row r="4022" spans="14:15" x14ac:dyDescent="0.35">
      <c r="N4022" s="108"/>
      <c r="O4022" s="108"/>
    </row>
    <row r="4023" spans="14:15" x14ac:dyDescent="0.35">
      <c r="N4023" s="108"/>
      <c r="O4023" s="108"/>
    </row>
    <row r="4024" spans="14:15" x14ac:dyDescent="0.35">
      <c r="N4024" s="108"/>
      <c r="O4024" s="108"/>
    </row>
    <row r="4025" spans="14:15" x14ac:dyDescent="0.35">
      <c r="N4025" s="108"/>
      <c r="O4025" s="108"/>
    </row>
    <row r="4026" spans="14:15" x14ac:dyDescent="0.35">
      <c r="N4026" s="108"/>
      <c r="O4026" s="108"/>
    </row>
    <row r="4027" spans="14:15" x14ac:dyDescent="0.35">
      <c r="N4027" s="108"/>
      <c r="O4027" s="108"/>
    </row>
    <row r="4028" spans="14:15" x14ac:dyDescent="0.35">
      <c r="N4028" s="108"/>
      <c r="O4028" s="108"/>
    </row>
    <row r="4029" spans="14:15" x14ac:dyDescent="0.35">
      <c r="N4029" s="108"/>
      <c r="O4029" s="108"/>
    </row>
    <row r="4030" spans="14:15" x14ac:dyDescent="0.35">
      <c r="N4030" s="108"/>
      <c r="O4030" s="108"/>
    </row>
    <row r="4031" spans="14:15" x14ac:dyDescent="0.35">
      <c r="N4031" s="108"/>
      <c r="O4031" s="108"/>
    </row>
    <row r="4032" spans="14:15" x14ac:dyDescent="0.35">
      <c r="N4032" s="108"/>
      <c r="O4032" s="108"/>
    </row>
    <row r="4033" spans="14:15" x14ac:dyDescent="0.35">
      <c r="N4033" s="108"/>
      <c r="O4033" s="108"/>
    </row>
    <row r="4034" spans="14:15" x14ac:dyDescent="0.35">
      <c r="N4034" s="108"/>
      <c r="O4034" s="108"/>
    </row>
    <row r="4035" spans="14:15" x14ac:dyDescent="0.35">
      <c r="N4035" s="108"/>
      <c r="O4035" s="108"/>
    </row>
    <row r="4036" spans="14:15" x14ac:dyDescent="0.35">
      <c r="N4036" s="108"/>
      <c r="O4036" s="108"/>
    </row>
    <row r="4037" spans="14:15" x14ac:dyDescent="0.35">
      <c r="N4037" s="108"/>
      <c r="O4037" s="108"/>
    </row>
    <row r="4038" spans="14:15" x14ac:dyDescent="0.35">
      <c r="N4038" s="108"/>
      <c r="O4038" s="108"/>
    </row>
    <row r="4039" spans="14:15" x14ac:dyDescent="0.35">
      <c r="N4039" s="108"/>
      <c r="O4039" s="108"/>
    </row>
    <row r="4040" spans="14:15" x14ac:dyDescent="0.35">
      <c r="N4040" s="108"/>
      <c r="O4040" s="108"/>
    </row>
    <row r="4041" spans="14:15" x14ac:dyDescent="0.35">
      <c r="N4041" s="108"/>
      <c r="O4041" s="108"/>
    </row>
    <row r="4042" spans="14:15" x14ac:dyDescent="0.35">
      <c r="N4042" s="108"/>
      <c r="O4042" s="108"/>
    </row>
    <row r="4043" spans="14:15" x14ac:dyDescent="0.35">
      <c r="N4043" s="108"/>
      <c r="O4043" s="108"/>
    </row>
    <row r="4044" spans="14:15" x14ac:dyDescent="0.35">
      <c r="N4044" s="108"/>
      <c r="O4044" s="108"/>
    </row>
    <row r="4045" spans="14:15" x14ac:dyDescent="0.35">
      <c r="N4045" s="108"/>
      <c r="O4045" s="108"/>
    </row>
    <row r="4046" spans="14:15" x14ac:dyDescent="0.35">
      <c r="N4046" s="108"/>
      <c r="O4046" s="108"/>
    </row>
    <row r="4047" spans="14:15" x14ac:dyDescent="0.35">
      <c r="N4047" s="108"/>
      <c r="O4047" s="108"/>
    </row>
    <row r="4048" spans="14:15" x14ac:dyDescent="0.35">
      <c r="N4048" s="108"/>
      <c r="O4048" s="108"/>
    </row>
    <row r="4049" spans="14:15" x14ac:dyDescent="0.35">
      <c r="N4049" s="108"/>
      <c r="O4049" s="108"/>
    </row>
    <row r="4050" spans="14:15" x14ac:dyDescent="0.35">
      <c r="N4050" s="108"/>
      <c r="O4050" s="108"/>
    </row>
    <row r="4051" spans="14:15" x14ac:dyDescent="0.35">
      <c r="N4051" s="108"/>
      <c r="O4051" s="108"/>
    </row>
    <row r="4052" spans="14:15" x14ac:dyDescent="0.35">
      <c r="N4052" s="108"/>
      <c r="O4052" s="108"/>
    </row>
    <row r="4053" spans="14:15" x14ac:dyDescent="0.35">
      <c r="N4053" s="108"/>
      <c r="O4053" s="108"/>
    </row>
    <row r="4054" spans="14:15" x14ac:dyDescent="0.35">
      <c r="N4054" s="108"/>
      <c r="O4054" s="108"/>
    </row>
    <row r="4055" spans="14:15" x14ac:dyDescent="0.35">
      <c r="N4055" s="108"/>
      <c r="O4055" s="108"/>
    </row>
    <row r="4056" spans="14:15" x14ac:dyDescent="0.35">
      <c r="N4056" s="108"/>
      <c r="O4056" s="108"/>
    </row>
    <row r="4057" spans="14:15" x14ac:dyDescent="0.35">
      <c r="N4057" s="108"/>
      <c r="O4057" s="108"/>
    </row>
    <row r="4058" spans="14:15" x14ac:dyDescent="0.35">
      <c r="N4058" s="108"/>
      <c r="O4058" s="108"/>
    </row>
    <row r="4059" spans="14:15" x14ac:dyDescent="0.35">
      <c r="N4059" s="108"/>
      <c r="O4059" s="108"/>
    </row>
    <row r="4060" spans="14:15" x14ac:dyDescent="0.35">
      <c r="N4060" s="108"/>
      <c r="O4060" s="108"/>
    </row>
    <row r="4061" spans="14:15" x14ac:dyDescent="0.35">
      <c r="N4061" s="108"/>
      <c r="O4061" s="108"/>
    </row>
    <row r="4062" spans="14:15" x14ac:dyDescent="0.35">
      <c r="N4062" s="108"/>
      <c r="O4062" s="108"/>
    </row>
    <row r="4063" spans="14:15" x14ac:dyDescent="0.35">
      <c r="N4063" s="108"/>
      <c r="O4063" s="108"/>
    </row>
    <row r="4064" spans="14:15" x14ac:dyDescent="0.35">
      <c r="N4064" s="108"/>
      <c r="O4064" s="108"/>
    </row>
    <row r="4065" spans="14:15" x14ac:dyDescent="0.35">
      <c r="N4065" s="108"/>
      <c r="O4065" s="108"/>
    </row>
    <row r="4066" spans="14:15" x14ac:dyDescent="0.35">
      <c r="N4066" s="108"/>
      <c r="O4066" s="108"/>
    </row>
    <row r="4067" spans="14:15" x14ac:dyDescent="0.35">
      <c r="N4067" s="108"/>
      <c r="O4067" s="108"/>
    </row>
    <row r="4068" spans="14:15" x14ac:dyDescent="0.35">
      <c r="N4068" s="108"/>
      <c r="O4068" s="108"/>
    </row>
    <row r="4069" spans="14:15" x14ac:dyDescent="0.35">
      <c r="N4069" s="108"/>
      <c r="O4069" s="108"/>
    </row>
    <row r="4070" spans="14:15" x14ac:dyDescent="0.35">
      <c r="N4070" s="108"/>
      <c r="O4070" s="108"/>
    </row>
    <row r="4071" spans="14:15" x14ac:dyDescent="0.35">
      <c r="N4071" s="108"/>
      <c r="O4071" s="108"/>
    </row>
    <row r="4072" spans="14:15" x14ac:dyDescent="0.35">
      <c r="N4072" s="108"/>
      <c r="O4072" s="108"/>
    </row>
    <row r="4073" spans="14:15" x14ac:dyDescent="0.35">
      <c r="N4073" s="108"/>
      <c r="O4073" s="108"/>
    </row>
    <row r="4074" spans="14:15" x14ac:dyDescent="0.35">
      <c r="N4074" s="108"/>
      <c r="O4074" s="108"/>
    </row>
    <row r="4075" spans="14:15" x14ac:dyDescent="0.35">
      <c r="N4075" s="108"/>
      <c r="O4075" s="108"/>
    </row>
    <row r="4076" spans="14:15" x14ac:dyDescent="0.35">
      <c r="N4076" s="108"/>
      <c r="O4076" s="108"/>
    </row>
    <row r="4077" spans="14:15" x14ac:dyDescent="0.35">
      <c r="N4077" s="108"/>
      <c r="O4077" s="108"/>
    </row>
    <row r="4078" spans="14:15" x14ac:dyDescent="0.35">
      <c r="N4078" s="108"/>
      <c r="O4078" s="108"/>
    </row>
    <row r="4079" spans="14:15" x14ac:dyDescent="0.35">
      <c r="N4079" s="108"/>
      <c r="O4079" s="108"/>
    </row>
    <row r="4080" spans="14:15" x14ac:dyDescent="0.35">
      <c r="N4080" s="108"/>
      <c r="O4080" s="108"/>
    </row>
    <row r="4081" spans="14:15" x14ac:dyDescent="0.35">
      <c r="N4081" s="108"/>
      <c r="O4081" s="108"/>
    </row>
    <row r="4082" spans="14:15" x14ac:dyDescent="0.35">
      <c r="N4082" s="108"/>
      <c r="O4082" s="108"/>
    </row>
    <row r="4083" spans="14:15" x14ac:dyDescent="0.35">
      <c r="N4083" s="108"/>
      <c r="O4083" s="108"/>
    </row>
    <row r="4084" spans="14:15" x14ac:dyDescent="0.35">
      <c r="N4084" s="108"/>
      <c r="O4084" s="108"/>
    </row>
    <row r="4085" spans="14:15" x14ac:dyDescent="0.35">
      <c r="N4085" s="108"/>
      <c r="O4085" s="108"/>
    </row>
    <row r="4086" spans="14:15" x14ac:dyDescent="0.35">
      <c r="N4086" s="108"/>
      <c r="O4086" s="108"/>
    </row>
    <row r="4087" spans="14:15" x14ac:dyDescent="0.35">
      <c r="N4087" s="108"/>
      <c r="O4087" s="108"/>
    </row>
    <row r="4088" spans="14:15" x14ac:dyDescent="0.35">
      <c r="N4088" s="108"/>
      <c r="O4088" s="108"/>
    </row>
    <row r="4089" spans="14:15" x14ac:dyDescent="0.35">
      <c r="N4089" s="108"/>
      <c r="O4089" s="108"/>
    </row>
    <row r="4090" spans="14:15" x14ac:dyDescent="0.35">
      <c r="N4090" s="108"/>
      <c r="O4090" s="108"/>
    </row>
    <row r="4091" spans="14:15" x14ac:dyDescent="0.35">
      <c r="N4091" s="108"/>
      <c r="O4091" s="108"/>
    </row>
    <row r="4092" spans="14:15" x14ac:dyDescent="0.35">
      <c r="N4092" s="108"/>
      <c r="O4092" s="108"/>
    </row>
    <row r="4093" spans="14:15" x14ac:dyDescent="0.35">
      <c r="N4093" s="108"/>
      <c r="O4093" s="108"/>
    </row>
    <row r="4094" spans="14:15" x14ac:dyDescent="0.35">
      <c r="N4094" s="108"/>
      <c r="O4094" s="108"/>
    </row>
    <row r="4095" spans="14:15" x14ac:dyDescent="0.35">
      <c r="N4095" s="108"/>
      <c r="O4095" s="108"/>
    </row>
    <row r="4096" spans="14:15" x14ac:dyDescent="0.35">
      <c r="N4096" s="108"/>
      <c r="O4096" s="108"/>
    </row>
    <row r="4097" spans="14:15" x14ac:dyDescent="0.35">
      <c r="N4097" s="108"/>
      <c r="O4097" s="108"/>
    </row>
    <row r="4098" spans="14:15" x14ac:dyDescent="0.35">
      <c r="N4098" s="108"/>
      <c r="O4098" s="108"/>
    </row>
    <row r="4099" spans="14:15" x14ac:dyDescent="0.35">
      <c r="N4099" s="108"/>
      <c r="O4099" s="108"/>
    </row>
    <row r="4100" spans="14:15" x14ac:dyDescent="0.35">
      <c r="N4100" s="108"/>
      <c r="O4100" s="108"/>
    </row>
    <row r="4101" spans="14:15" x14ac:dyDescent="0.35">
      <c r="N4101" s="108"/>
      <c r="O4101" s="108"/>
    </row>
    <row r="4102" spans="14:15" x14ac:dyDescent="0.35">
      <c r="N4102" s="108"/>
      <c r="O4102" s="108"/>
    </row>
    <row r="4103" spans="14:15" x14ac:dyDescent="0.35">
      <c r="N4103" s="108"/>
      <c r="O4103" s="108"/>
    </row>
    <row r="4104" spans="14:15" x14ac:dyDescent="0.35">
      <c r="N4104" s="108"/>
      <c r="O4104" s="108"/>
    </row>
    <row r="4105" spans="14:15" x14ac:dyDescent="0.35">
      <c r="N4105" s="108"/>
      <c r="O4105" s="108"/>
    </row>
    <row r="4106" spans="14:15" x14ac:dyDescent="0.35">
      <c r="N4106" s="108"/>
      <c r="O4106" s="108"/>
    </row>
    <row r="4107" spans="14:15" x14ac:dyDescent="0.35">
      <c r="N4107" s="108"/>
      <c r="O4107" s="108"/>
    </row>
    <row r="4108" spans="14:15" x14ac:dyDescent="0.35">
      <c r="N4108" s="108"/>
      <c r="O4108" s="108"/>
    </row>
    <row r="4109" spans="14:15" x14ac:dyDescent="0.35">
      <c r="N4109" s="108"/>
      <c r="O4109" s="108"/>
    </row>
    <row r="4110" spans="14:15" x14ac:dyDescent="0.35">
      <c r="N4110" s="108"/>
      <c r="O4110" s="108"/>
    </row>
    <row r="4111" spans="14:15" x14ac:dyDescent="0.35">
      <c r="N4111" s="108"/>
      <c r="O4111" s="108"/>
    </row>
    <row r="4112" spans="14:15" x14ac:dyDescent="0.35">
      <c r="N4112" s="108"/>
      <c r="O4112" s="108"/>
    </row>
    <row r="4113" spans="14:15" x14ac:dyDescent="0.35">
      <c r="N4113" s="108"/>
      <c r="O4113" s="108"/>
    </row>
    <row r="4114" spans="14:15" x14ac:dyDescent="0.35">
      <c r="N4114" s="108"/>
      <c r="O4114" s="108"/>
    </row>
    <row r="4115" spans="14:15" x14ac:dyDescent="0.35">
      <c r="N4115" s="108"/>
      <c r="O4115" s="108"/>
    </row>
    <row r="4116" spans="14:15" x14ac:dyDescent="0.35">
      <c r="N4116" s="108"/>
      <c r="O4116" s="108"/>
    </row>
    <row r="4117" spans="14:15" x14ac:dyDescent="0.35">
      <c r="N4117" s="108"/>
      <c r="O4117" s="108"/>
    </row>
    <row r="4118" spans="14:15" x14ac:dyDescent="0.35">
      <c r="N4118" s="108"/>
      <c r="O4118" s="108"/>
    </row>
    <row r="4119" spans="14:15" x14ac:dyDescent="0.35">
      <c r="N4119" s="108"/>
      <c r="O4119" s="108"/>
    </row>
    <row r="4120" spans="14:15" x14ac:dyDescent="0.35">
      <c r="N4120" s="108"/>
      <c r="O4120" s="108"/>
    </row>
    <row r="4121" spans="14:15" x14ac:dyDescent="0.35">
      <c r="N4121" s="108"/>
      <c r="O4121" s="108"/>
    </row>
    <row r="4122" spans="14:15" x14ac:dyDescent="0.35">
      <c r="N4122" s="108"/>
      <c r="O4122" s="108"/>
    </row>
    <row r="4123" spans="14:15" x14ac:dyDescent="0.35">
      <c r="N4123" s="108"/>
      <c r="O4123" s="108"/>
    </row>
    <row r="4124" spans="14:15" x14ac:dyDescent="0.35">
      <c r="N4124" s="108"/>
      <c r="O4124" s="108"/>
    </row>
    <row r="4125" spans="14:15" x14ac:dyDescent="0.35">
      <c r="N4125" s="108"/>
      <c r="O4125" s="108"/>
    </row>
    <row r="4126" spans="14:15" x14ac:dyDescent="0.35">
      <c r="N4126" s="108"/>
      <c r="O4126" s="108"/>
    </row>
    <row r="4127" spans="14:15" x14ac:dyDescent="0.35">
      <c r="N4127" s="108"/>
      <c r="O4127" s="108"/>
    </row>
    <row r="4128" spans="14:15" x14ac:dyDescent="0.35">
      <c r="N4128" s="108"/>
      <c r="O4128" s="108"/>
    </row>
    <row r="4129" spans="14:15" x14ac:dyDescent="0.35">
      <c r="N4129" s="108"/>
      <c r="O4129" s="108"/>
    </row>
    <row r="4130" spans="14:15" x14ac:dyDescent="0.35">
      <c r="N4130" s="108"/>
      <c r="O4130" s="108"/>
    </row>
    <row r="4131" spans="14:15" x14ac:dyDescent="0.35">
      <c r="N4131" s="108"/>
      <c r="O4131" s="108"/>
    </row>
    <row r="4132" spans="14:15" x14ac:dyDescent="0.35">
      <c r="N4132" s="108"/>
      <c r="O4132" s="108"/>
    </row>
    <row r="4133" spans="14:15" x14ac:dyDescent="0.35">
      <c r="N4133" s="108"/>
      <c r="O4133" s="108"/>
    </row>
    <row r="4134" spans="14:15" x14ac:dyDescent="0.35">
      <c r="N4134" s="108"/>
      <c r="O4134" s="108"/>
    </row>
    <row r="4135" spans="14:15" x14ac:dyDescent="0.35">
      <c r="N4135" s="108"/>
      <c r="O4135" s="108"/>
    </row>
    <row r="4136" spans="14:15" x14ac:dyDescent="0.35">
      <c r="N4136" s="108"/>
      <c r="O4136" s="108"/>
    </row>
    <row r="4137" spans="14:15" x14ac:dyDescent="0.35">
      <c r="N4137" s="108"/>
      <c r="O4137" s="108"/>
    </row>
    <row r="4138" spans="14:15" x14ac:dyDescent="0.35">
      <c r="N4138" s="108"/>
      <c r="O4138" s="108"/>
    </row>
    <row r="4139" spans="14:15" x14ac:dyDescent="0.35">
      <c r="N4139" s="108"/>
      <c r="O4139" s="108"/>
    </row>
    <row r="4140" spans="14:15" x14ac:dyDescent="0.35">
      <c r="N4140" s="108"/>
      <c r="O4140" s="108"/>
    </row>
    <row r="4141" spans="14:15" x14ac:dyDescent="0.35">
      <c r="N4141" s="108"/>
      <c r="O4141" s="108"/>
    </row>
    <row r="4142" spans="14:15" x14ac:dyDescent="0.35">
      <c r="N4142" s="108"/>
      <c r="O4142" s="108"/>
    </row>
    <row r="4143" spans="14:15" x14ac:dyDescent="0.35">
      <c r="N4143" s="108"/>
      <c r="O4143" s="108"/>
    </row>
    <row r="4144" spans="14:15" x14ac:dyDescent="0.35">
      <c r="N4144" s="108"/>
      <c r="O4144" s="108"/>
    </row>
    <row r="4145" spans="14:15" x14ac:dyDescent="0.35">
      <c r="N4145" s="108"/>
      <c r="O4145" s="108"/>
    </row>
    <row r="4146" spans="14:15" x14ac:dyDescent="0.35">
      <c r="N4146" s="108"/>
      <c r="O4146" s="108"/>
    </row>
    <row r="4147" spans="14:15" x14ac:dyDescent="0.35">
      <c r="N4147" s="108"/>
      <c r="O4147" s="108"/>
    </row>
    <row r="4148" spans="14:15" x14ac:dyDescent="0.35">
      <c r="N4148" s="108"/>
      <c r="O4148" s="108"/>
    </row>
    <row r="4149" spans="14:15" x14ac:dyDescent="0.35">
      <c r="N4149" s="108"/>
      <c r="O4149" s="108"/>
    </row>
    <row r="4150" spans="14:15" x14ac:dyDescent="0.35">
      <c r="N4150" s="108"/>
      <c r="O4150" s="108"/>
    </row>
    <row r="4151" spans="14:15" x14ac:dyDescent="0.35">
      <c r="N4151" s="108"/>
      <c r="O4151" s="108"/>
    </row>
    <row r="4152" spans="14:15" x14ac:dyDescent="0.35">
      <c r="N4152" s="108"/>
      <c r="O4152" s="108"/>
    </row>
    <row r="4153" spans="14:15" x14ac:dyDescent="0.35">
      <c r="N4153" s="108"/>
      <c r="O4153" s="108"/>
    </row>
    <row r="4154" spans="14:15" x14ac:dyDescent="0.35">
      <c r="N4154" s="108"/>
      <c r="O4154" s="108"/>
    </row>
    <row r="4155" spans="14:15" x14ac:dyDescent="0.35">
      <c r="N4155" s="108"/>
      <c r="O4155" s="108"/>
    </row>
    <row r="4156" spans="14:15" x14ac:dyDescent="0.35">
      <c r="N4156" s="108"/>
      <c r="O4156" s="108"/>
    </row>
    <row r="4157" spans="14:15" x14ac:dyDescent="0.35">
      <c r="N4157" s="108"/>
      <c r="O4157" s="108"/>
    </row>
    <row r="4158" spans="14:15" x14ac:dyDescent="0.35">
      <c r="N4158" s="108"/>
      <c r="O4158" s="108"/>
    </row>
    <row r="4159" spans="14:15" x14ac:dyDescent="0.35">
      <c r="N4159" s="108"/>
      <c r="O4159" s="108"/>
    </row>
    <row r="4160" spans="14:15" x14ac:dyDescent="0.35">
      <c r="N4160" s="108"/>
      <c r="O4160" s="108"/>
    </row>
    <row r="4161" spans="14:15" x14ac:dyDescent="0.35">
      <c r="N4161" s="108"/>
      <c r="O4161" s="108"/>
    </row>
    <row r="4162" spans="14:15" x14ac:dyDescent="0.35">
      <c r="N4162" s="108"/>
      <c r="O4162" s="108"/>
    </row>
    <row r="4163" spans="14:15" x14ac:dyDescent="0.35">
      <c r="N4163" s="108"/>
      <c r="O4163" s="108"/>
    </row>
    <row r="4164" spans="14:15" x14ac:dyDescent="0.35">
      <c r="N4164" s="108"/>
      <c r="O4164" s="108"/>
    </row>
    <row r="4165" spans="14:15" x14ac:dyDescent="0.35">
      <c r="N4165" s="108"/>
      <c r="O4165" s="108"/>
    </row>
    <row r="4166" spans="14:15" x14ac:dyDescent="0.35">
      <c r="N4166" s="108"/>
      <c r="O4166" s="108"/>
    </row>
    <row r="4167" spans="14:15" x14ac:dyDescent="0.35">
      <c r="N4167" s="108"/>
      <c r="O4167" s="108"/>
    </row>
    <row r="4168" spans="14:15" x14ac:dyDescent="0.35">
      <c r="N4168" s="108"/>
      <c r="O4168" s="108"/>
    </row>
    <row r="4169" spans="14:15" x14ac:dyDescent="0.35">
      <c r="N4169" s="108"/>
      <c r="O4169" s="108"/>
    </row>
    <row r="4170" spans="14:15" x14ac:dyDescent="0.35">
      <c r="N4170" s="108"/>
      <c r="O4170" s="108"/>
    </row>
    <row r="4171" spans="14:15" x14ac:dyDescent="0.35">
      <c r="N4171" s="108"/>
      <c r="O4171" s="108"/>
    </row>
    <row r="4172" spans="14:15" x14ac:dyDescent="0.35">
      <c r="N4172" s="108"/>
      <c r="O4172" s="108"/>
    </row>
    <row r="4173" spans="14:15" x14ac:dyDescent="0.35">
      <c r="N4173" s="108"/>
      <c r="O4173" s="108"/>
    </row>
    <row r="4174" spans="14:15" x14ac:dyDescent="0.35">
      <c r="N4174" s="108"/>
      <c r="O4174" s="108"/>
    </row>
    <row r="4175" spans="14:15" x14ac:dyDescent="0.35">
      <c r="N4175" s="108"/>
      <c r="O4175" s="108"/>
    </row>
    <row r="4176" spans="14:15" x14ac:dyDescent="0.35">
      <c r="N4176" s="108"/>
      <c r="O4176" s="108"/>
    </row>
    <row r="4177" spans="14:15" x14ac:dyDescent="0.35">
      <c r="N4177" s="108"/>
      <c r="O4177" s="108"/>
    </row>
    <row r="4178" spans="14:15" x14ac:dyDescent="0.35">
      <c r="N4178" s="108"/>
      <c r="O4178" s="108"/>
    </row>
    <row r="4179" spans="14:15" x14ac:dyDescent="0.35">
      <c r="N4179" s="108"/>
      <c r="O4179" s="108"/>
    </row>
    <row r="4180" spans="14:15" x14ac:dyDescent="0.35">
      <c r="N4180" s="108"/>
      <c r="O4180" s="108"/>
    </row>
    <row r="4181" spans="14:15" x14ac:dyDescent="0.35">
      <c r="N4181" s="108"/>
      <c r="O4181" s="108"/>
    </row>
    <row r="4182" spans="14:15" x14ac:dyDescent="0.35">
      <c r="N4182" s="108"/>
      <c r="O4182" s="108"/>
    </row>
    <row r="4183" spans="14:15" x14ac:dyDescent="0.35">
      <c r="N4183" s="108"/>
      <c r="O4183" s="108"/>
    </row>
    <row r="4184" spans="14:15" x14ac:dyDescent="0.35">
      <c r="N4184" s="108"/>
      <c r="O4184" s="108"/>
    </row>
    <row r="4185" spans="14:15" x14ac:dyDescent="0.35">
      <c r="N4185" s="108"/>
      <c r="O4185" s="108"/>
    </row>
    <row r="4186" spans="14:15" x14ac:dyDescent="0.35">
      <c r="N4186" s="108"/>
      <c r="O4186" s="108"/>
    </row>
    <row r="4187" spans="14:15" x14ac:dyDescent="0.35">
      <c r="N4187" s="108"/>
      <c r="O4187" s="108"/>
    </row>
    <row r="4188" spans="14:15" x14ac:dyDescent="0.35">
      <c r="N4188" s="108"/>
      <c r="O4188" s="108"/>
    </row>
    <row r="4189" spans="14:15" x14ac:dyDescent="0.35">
      <c r="N4189" s="108"/>
      <c r="O4189" s="108"/>
    </row>
    <row r="4190" spans="14:15" x14ac:dyDescent="0.35">
      <c r="N4190" s="108"/>
      <c r="O4190" s="108"/>
    </row>
    <row r="4191" spans="14:15" x14ac:dyDescent="0.35">
      <c r="N4191" s="108"/>
      <c r="O4191" s="108"/>
    </row>
    <row r="4192" spans="14:15" x14ac:dyDescent="0.35">
      <c r="N4192" s="108"/>
      <c r="O4192" s="108"/>
    </row>
    <row r="4193" spans="14:15" x14ac:dyDescent="0.35">
      <c r="N4193" s="108"/>
      <c r="O4193" s="108"/>
    </row>
    <row r="4194" spans="14:15" x14ac:dyDescent="0.35">
      <c r="N4194" s="108"/>
      <c r="O4194" s="108"/>
    </row>
    <row r="4195" spans="14:15" x14ac:dyDescent="0.35">
      <c r="N4195" s="108"/>
      <c r="O4195" s="108"/>
    </row>
    <row r="4196" spans="14:15" x14ac:dyDescent="0.35">
      <c r="N4196" s="108"/>
      <c r="O4196" s="108"/>
    </row>
    <row r="4197" spans="14:15" x14ac:dyDescent="0.35">
      <c r="N4197" s="108"/>
      <c r="O4197" s="108"/>
    </row>
    <row r="4198" spans="14:15" x14ac:dyDescent="0.35">
      <c r="N4198" s="108"/>
      <c r="O4198" s="108"/>
    </row>
    <row r="4199" spans="14:15" x14ac:dyDescent="0.35">
      <c r="N4199" s="108"/>
      <c r="O4199" s="108"/>
    </row>
    <row r="4200" spans="14:15" x14ac:dyDescent="0.35">
      <c r="N4200" s="108"/>
      <c r="O4200" s="108"/>
    </row>
    <row r="4201" spans="14:15" x14ac:dyDescent="0.35">
      <c r="N4201" s="108"/>
      <c r="O4201" s="108"/>
    </row>
    <row r="4202" spans="14:15" x14ac:dyDescent="0.35">
      <c r="N4202" s="108"/>
      <c r="O4202" s="108"/>
    </row>
    <row r="4203" spans="14:15" x14ac:dyDescent="0.35">
      <c r="N4203" s="108"/>
      <c r="O4203" s="108"/>
    </row>
    <row r="4204" spans="14:15" x14ac:dyDescent="0.35">
      <c r="N4204" s="108"/>
      <c r="O4204" s="108"/>
    </row>
    <row r="4205" spans="14:15" x14ac:dyDescent="0.35">
      <c r="N4205" s="108"/>
      <c r="O4205" s="108"/>
    </row>
    <row r="4206" spans="14:15" x14ac:dyDescent="0.35">
      <c r="N4206" s="108"/>
      <c r="O4206" s="108"/>
    </row>
    <row r="4207" spans="14:15" x14ac:dyDescent="0.35">
      <c r="N4207" s="108"/>
      <c r="O4207" s="108"/>
    </row>
    <row r="4208" spans="14:15" x14ac:dyDescent="0.35">
      <c r="N4208" s="108"/>
      <c r="O4208" s="108"/>
    </row>
    <row r="4209" spans="14:15" x14ac:dyDescent="0.35">
      <c r="N4209" s="108"/>
      <c r="O4209" s="108"/>
    </row>
    <row r="4210" spans="14:15" x14ac:dyDescent="0.35">
      <c r="N4210" s="108"/>
      <c r="O4210" s="108"/>
    </row>
    <row r="4211" spans="14:15" x14ac:dyDescent="0.35">
      <c r="N4211" s="108"/>
      <c r="O4211" s="108"/>
    </row>
    <row r="4212" spans="14:15" x14ac:dyDescent="0.35">
      <c r="N4212" s="108"/>
      <c r="O4212" s="108"/>
    </row>
    <row r="4213" spans="14:15" x14ac:dyDescent="0.35">
      <c r="N4213" s="108"/>
      <c r="O4213" s="108"/>
    </row>
    <row r="4214" spans="14:15" x14ac:dyDescent="0.35">
      <c r="N4214" s="108"/>
      <c r="O4214" s="108"/>
    </row>
    <row r="4215" spans="14:15" x14ac:dyDescent="0.35">
      <c r="N4215" s="108"/>
      <c r="O4215" s="108"/>
    </row>
    <row r="4216" spans="14:15" x14ac:dyDescent="0.35">
      <c r="N4216" s="108"/>
      <c r="O4216" s="108"/>
    </row>
    <row r="4217" spans="14:15" x14ac:dyDescent="0.35">
      <c r="N4217" s="108"/>
      <c r="O4217" s="108"/>
    </row>
    <row r="4218" spans="14:15" x14ac:dyDescent="0.35">
      <c r="N4218" s="108"/>
      <c r="O4218" s="108"/>
    </row>
    <row r="4219" spans="14:15" x14ac:dyDescent="0.35">
      <c r="N4219" s="108"/>
      <c r="O4219" s="108"/>
    </row>
    <row r="4220" spans="14:15" x14ac:dyDescent="0.35">
      <c r="N4220" s="108"/>
      <c r="O4220" s="108"/>
    </row>
    <row r="4221" spans="14:15" x14ac:dyDescent="0.35">
      <c r="N4221" s="108"/>
      <c r="O4221" s="108"/>
    </row>
    <row r="4222" spans="14:15" x14ac:dyDescent="0.35">
      <c r="N4222" s="108"/>
      <c r="O4222" s="108"/>
    </row>
    <row r="4223" spans="14:15" x14ac:dyDescent="0.35">
      <c r="N4223" s="108"/>
      <c r="O4223" s="108"/>
    </row>
    <row r="4224" spans="14:15" x14ac:dyDescent="0.35">
      <c r="N4224" s="108"/>
      <c r="O4224" s="108"/>
    </row>
    <row r="4225" spans="14:15" x14ac:dyDescent="0.35">
      <c r="N4225" s="108"/>
      <c r="O4225" s="108"/>
    </row>
    <row r="4226" spans="14:15" x14ac:dyDescent="0.35">
      <c r="N4226" s="108"/>
      <c r="O4226" s="108"/>
    </row>
    <row r="4227" spans="14:15" x14ac:dyDescent="0.35">
      <c r="N4227" s="108"/>
      <c r="O4227" s="108"/>
    </row>
    <row r="4228" spans="14:15" x14ac:dyDescent="0.35">
      <c r="N4228" s="108"/>
      <c r="O4228" s="108"/>
    </row>
    <row r="4229" spans="14:15" x14ac:dyDescent="0.35">
      <c r="N4229" s="108"/>
      <c r="O4229" s="108"/>
    </row>
    <row r="4230" spans="14:15" x14ac:dyDescent="0.35">
      <c r="N4230" s="108"/>
      <c r="O4230" s="108"/>
    </row>
    <row r="4231" spans="14:15" x14ac:dyDescent="0.35">
      <c r="N4231" s="108"/>
      <c r="O4231" s="108"/>
    </row>
    <row r="4232" spans="14:15" x14ac:dyDescent="0.35">
      <c r="N4232" s="108"/>
      <c r="O4232" s="108"/>
    </row>
    <row r="4233" spans="14:15" x14ac:dyDescent="0.35">
      <c r="N4233" s="108"/>
      <c r="O4233" s="108"/>
    </row>
    <row r="4234" spans="14:15" x14ac:dyDescent="0.35">
      <c r="N4234" s="108"/>
      <c r="O4234" s="108"/>
    </row>
    <row r="4235" spans="14:15" x14ac:dyDescent="0.35">
      <c r="N4235" s="108"/>
      <c r="O4235" s="108"/>
    </row>
    <row r="4236" spans="14:15" x14ac:dyDescent="0.35">
      <c r="N4236" s="108"/>
      <c r="O4236" s="108"/>
    </row>
    <row r="4237" spans="14:15" x14ac:dyDescent="0.35">
      <c r="N4237" s="108"/>
      <c r="O4237" s="108"/>
    </row>
    <row r="4238" spans="14:15" x14ac:dyDescent="0.35">
      <c r="N4238" s="108"/>
      <c r="O4238" s="108"/>
    </row>
    <row r="4239" spans="14:15" x14ac:dyDescent="0.35">
      <c r="N4239" s="108"/>
      <c r="O4239" s="108"/>
    </row>
    <row r="4240" spans="14:15" x14ac:dyDescent="0.35">
      <c r="N4240" s="108"/>
      <c r="O4240" s="108"/>
    </row>
    <row r="4241" spans="14:15" x14ac:dyDescent="0.35">
      <c r="N4241" s="108"/>
      <c r="O4241" s="108"/>
    </row>
    <row r="4242" spans="14:15" x14ac:dyDescent="0.35">
      <c r="N4242" s="108"/>
      <c r="O4242" s="108"/>
    </row>
    <row r="4243" spans="14:15" x14ac:dyDescent="0.35">
      <c r="N4243" s="108"/>
      <c r="O4243" s="108"/>
    </row>
    <row r="4244" spans="14:15" x14ac:dyDescent="0.35">
      <c r="N4244" s="108"/>
      <c r="O4244" s="108"/>
    </row>
    <row r="4245" spans="14:15" x14ac:dyDescent="0.35">
      <c r="N4245" s="108"/>
      <c r="O4245" s="108"/>
    </row>
    <row r="4246" spans="14:15" x14ac:dyDescent="0.35">
      <c r="N4246" s="108"/>
      <c r="O4246" s="108"/>
    </row>
    <row r="4247" spans="14:15" x14ac:dyDescent="0.35">
      <c r="N4247" s="108"/>
      <c r="O4247" s="108"/>
    </row>
    <row r="4248" spans="14:15" x14ac:dyDescent="0.35">
      <c r="N4248" s="108"/>
      <c r="O4248" s="108"/>
    </row>
    <row r="4249" spans="14:15" x14ac:dyDescent="0.35">
      <c r="N4249" s="108"/>
      <c r="O4249" s="108"/>
    </row>
    <row r="4250" spans="14:15" x14ac:dyDescent="0.35">
      <c r="N4250" s="108"/>
      <c r="O4250" s="108"/>
    </row>
    <row r="4251" spans="14:15" x14ac:dyDescent="0.35">
      <c r="N4251" s="108"/>
      <c r="O4251" s="108"/>
    </row>
    <row r="4252" spans="14:15" x14ac:dyDescent="0.35">
      <c r="N4252" s="108"/>
      <c r="O4252" s="108"/>
    </row>
    <row r="4253" spans="14:15" x14ac:dyDescent="0.35">
      <c r="N4253" s="108"/>
      <c r="O4253" s="108"/>
    </row>
    <row r="4254" spans="14:15" x14ac:dyDescent="0.35">
      <c r="N4254" s="108"/>
      <c r="O4254" s="108"/>
    </row>
    <row r="4255" spans="14:15" x14ac:dyDescent="0.35">
      <c r="N4255" s="108"/>
      <c r="O4255" s="108"/>
    </row>
    <row r="4256" spans="14:15" x14ac:dyDescent="0.35">
      <c r="N4256" s="108"/>
      <c r="O4256" s="108"/>
    </row>
    <row r="4257" spans="14:15" x14ac:dyDescent="0.35">
      <c r="N4257" s="108"/>
      <c r="O4257" s="108"/>
    </row>
    <row r="4258" spans="14:15" x14ac:dyDescent="0.35">
      <c r="N4258" s="108"/>
      <c r="O4258" s="108"/>
    </row>
    <row r="4259" spans="14:15" x14ac:dyDescent="0.35">
      <c r="N4259" s="108"/>
      <c r="O4259" s="108"/>
    </row>
    <row r="4260" spans="14:15" x14ac:dyDescent="0.35">
      <c r="N4260" s="108"/>
      <c r="O4260" s="108"/>
    </row>
    <row r="4261" spans="14:15" x14ac:dyDescent="0.35">
      <c r="N4261" s="108"/>
      <c r="O4261" s="108"/>
    </row>
    <row r="4262" spans="14:15" x14ac:dyDescent="0.35">
      <c r="N4262" s="108"/>
      <c r="O4262" s="108"/>
    </row>
    <row r="4263" spans="14:15" x14ac:dyDescent="0.35">
      <c r="N4263" s="108"/>
      <c r="O4263" s="108"/>
    </row>
    <row r="4264" spans="14:15" x14ac:dyDescent="0.35">
      <c r="N4264" s="108"/>
      <c r="O4264" s="108"/>
    </row>
    <row r="4265" spans="14:15" x14ac:dyDescent="0.35">
      <c r="N4265" s="108"/>
      <c r="O4265" s="108"/>
    </row>
    <row r="4266" spans="14:15" x14ac:dyDescent="0.35">
      <c r="N4266" s="108"/>
      <c r="O4266" s="108"/>
    </row>
    <row r="4267" spans="14:15" x14ac:dyDescent="0.35">
      <c r="N4267" s="108"/>
      <c r="O4267" s="108"/>
    </row>
    <row r="4268" spans="14:15" x14ac:dyDescent="0.35">
      <c r="N4268" s="108"/>
      <c r="O4268" s="108"/>
    </row>
    <row r="4269" spans="14:15" x14ac:dyDescent="0.35">
      <c r="N4269" s="108"/>
      <c r="O4269" s="108"/>
    </row>
    <row r="4270" spans="14:15" x14ac:dyDescent="0.35">
      <c r="N4270" s="108"/>
      <c r="O4270" s="108"/>
    </row>
    <row r="4271" spans="14:15" x14ac:dyDescent="0.35">
      <c r="N4271" s="108"/>
      <c r="O4271" s="108"/>
    </row>
    <row r="4272" spans="14:15" x14ac:dyDescent="0.35">
      <c r="N4272" s="108"/>
      <c r="O4272" s="108"/>
    </row>
    <row r="4273" spans="14:15" x14ac:dyDescent="0.35">
      <c r="N4273" s="108"/>
      <c r="O4273" s="108"/>
    </row>
    <row r="4274" spans="14:15" x14ac:dyDescent="0.35">
      <c r="N4274" s="108"/>
      <c r="O4274" s="108"/>
    </row>
    <row r="4275" spans="14:15" x14ac:dyDescent="0.35">
      <c r="N4275" s="108"/>
      <c r="O4275" s="108"/>
    </row>
    <row r="4276" spans="14:15" x14ac:dyDescent="0.35">
      <c r="N4276" s="108"/>
      <c r="O4276" s="108"/>
    </row>
    <row r="4277" spans="14:15" x14ac:dyDescent="0.35">
      <c r="N4277" s="108"/>
      <c r="O4277" s="108"/>
    </row>
    <row r="4278" spans="14:15" x14ac:dyDescent="0.35">
      <c r="N4278" s="108"/>
      <c r="O4278" s="108"/>
    </row>
    <row r="4279" spans="14:15" x14ac:dyDescent="0.35">
      <c r="N4279" s="108"/>
      <c r="O4279" s="108"/>
    </row>
    <row r="4280" spans="14:15" x14ac:dyDescent="0.35">
      <c r="N4280" s="108"/>
      <c r="O4280" s="108"/>
    </row>
    <row r="4281" spans="14:15" x14ac:dyDescent="0.35">
      <c r="N4281" s="108"/>
      <c r="O4281" s="108"/>
    </row>
    <row r="4282" spans="14:15" x14ac:dyDescent="0.35">
      <c r="N4282" s="108"/>
      <c r="O4282" s="108"/>
    </row>
    <row r="4283" spans="14:15" x14ac:dyDescent="0.35">
      <c r="N4283" s="108"/>
      <c r="O4283" s="108"/>
    </row>
    <row r="4284" spans="14:15" x14ac:dyDescent="0.35">
      <c r="N4284" s="108"/>
      <c r="O4284" s="108"/>
    </row>
    <row r="4285" spans="14:15" x14ac:dyDescent="0.35">
      <c r="N4285" s="108"/>
      <c r="O4285" s="108"/>
    </row>
    <row r="4286" spans="14:15" x14ac:dyDescent="0.35">
      <c r="N4286" s="108"/>
      <c r="O4286" s="108"/>
    </row>
    <row r="4287" spans="14:15" x14ac:dyDescent="0.35">
      <c r="N4287" s="108"/>
      <c r="O4287" s="108"/>
    </row>
    <row r="4288" spans="14:15" x14ac:dyDescent="0.35">
      <c r="N4288" s="108"/>
      <c r="O4288" s="108"/>
    </row>
    <row r="4289" spans="14:15" x14ac:dyDescent="0.35">
      <c r="N4289" s="108"/>
      <c r="O4289" s="108"/>
    </row>
    <row r="4290" spans="14:15" x14ac:dyDescent="0.35">
      <c r="N4290" s="108"/>
      <c r="O4290" s="108"/>
    </row>
    <row r="4291" spans="14:15" x14ac:dyDescent="0.35">
      <c r="N4291" s="108"/>
      <c r="O4291" s="108"/>
    </row>
    <row r="4292" spans="14:15" x14ac:dyDescent="0.35">
      <c r="N4292" s="108"/>
      <c r="O4292" s="108"/>
    </row>
    <row r="4293" spans="14:15" x14ac:dyDescent="0.35">
      <c r="N4293" s="108"/>
      <c r="O4293" s="108"/>
    </row>
    <row r="4294" spans="14:15" x14ac:dyDescent="0.35">
      <c r="N4294" s="108"/>
      <c r="O4294" s="108"/>
    </row>
    <row r="4295" spans="14:15" x14ac:dyDescent="0.35">
      <c r="N4295" s="108"/>
      <c r="O4295" s="108"/>
    </row>
    <row r="4296" spans="14:15" x14ac:dyDescent="0.35">
      <c r="N4296" s="108"/>
      <c r="O4296" s="108"/>
    </row>
    <row r="4297" spans="14:15" x14ac:dyDescent="0.35">
      <c r="N4297" s="108"/>
      <c r="O4297" s="108"/>
    </row>
    <row r="4298" spans="14:15" x14ac:dyDescent="0.35">
      <c r="N4298" s="108"/>
      <c r="O4298" s="108"/>
    </row>
    <row r="4299" spans="14:15" x14ac:dyDescent="0.35">
      <c r="N4299" s="108"/>
      <c r="O4299" s="108"/>
    </row>
    <row r="4300" spans="14:15" x14ac:dyDescent="0.35">
      <c r="N4300" s="108"/>
      <c r="O4300" s="108"/>
    </row>
    <row r="4301" spans="14:15" x14ac:dyDescent="0.35">
      <c r="N4301" s="108"/>
      <c r="O4301" s="108"/>
    </row>
    <row r="4302" spans="14:15" x14ac:dyDescent="0.35">
      <c r="N4302" s="108"/>
      <c r="O4302" s="108"/>
    </row>
    <row r="4303" spans="14:15" x14ac:dyDescent="0.35">
      <c r="N4303" s="108"/>
      <c r="O4303" s="108"/>
    </row>
    <row r="4304" spans="14:15" x14ac:dyDescent="0.35">
      <c r="N4304" s="108"/>
      <c r="O4304" s="108"/>
    </row>
    <row r="4305" spans="14:15" x14ac:dyDescent="0.35">
      <c r="N4305" s="108"/>
      <c r="O4305" s="108"/>
    </row>
    <row r="4306" spans="14:15" x14ac:dyDescent="0.35">
      <c r="N4306" s="108"/>
      <c r="O4306" s="108"/>
    </row>
    <row r="4307" spans="14:15" x14ac:dyDescent="0.35">
      <c r="N4307" s="108"/>
      <c r="O4307" s="108"/>
    </row>
    <row r="4308" spans="14:15" x14ac:dyDescent="0.35">
      <c r="N4308" s="108"/>
      <c r="O4308" s="108"/>
    </row>
    <row r="4309" spans="14:15" x14ac:dyDescent="0.35">
      <c r="N4309" s="108"/>
      <c r="O4309" s="108"/>
    </row>
    <row r="4310" spans="14:15" x14ac:dyDescent="0.35">
      <c r="N4310" s="108"/>
      <c r="O4310" s="108"/>
    </row>
    <row r="4311" spans="14:15" x14ac:dyDescent="0.35">
      <c r="N4311" s="108"/>
      <c r="O4311" s="108"/>
    </row>
    <row r="4312" spans="14:15" x14ac:dyDescent="0.35">
      <c r="N4312" s="108"/>
      <c r="O4312" s="108"/>
    </row>
    <row r="4313" spans="14:15" x14ac:dyDescent="0.35">
      <c r="N4313" s="108"/>
      <c r="O4313" s="108"/>
    </row>
    <row r="4314" spans="14:15" x14ac:dyDescent="0.35">
      <c r="N4314" s="108"/>
      <c r="O4314" s="108"/>
    </row>
    <row r="4315" spans="14:15" x14ac:dyDescent="0.35">
      <c r="N4315" s="108"/>
      <c r="O4315" s="108"/>
    </row>
    <row r="4316" spans="14:15" x14ac:dyDescent="0.35">
      <c r="N4316" s="108"/>
      <c r="O4316" s="108"/>
    </row>
    <row r="4317" spans="14:15" x14ac:dyDescent="0.35">
      <c r="N4317" s="108"/>
      <c r="O4317" s="108"/>
    </row>
    <row r="4318" spans="14:15" x14ac:dyDescent="0.35">
      <c r="N4318" s="108"/>
      <c r="O4318" s="108"/>
    </row>
    <row r="4319" spans="14:15" x14ac:dyDescent="0.35">
      <c r="N4319" s="108"/>
      <c r="O4319" s="108"/>
    </row>
    <row r="4320" spans="14:15" x14ac:dyDescent="0.35">
      <c r="N4320" s="108"/>
      <c r="O4320" s="108"/>
    </row>
    <row r="4321" spans="14:15" x14ac:dyDescent="0.35">
      <c r="N4321" s="108"/>
      <c r="O4321" s="108"/>
    </row>
    <row r="4322" spans="14:15" x14ac:dyDescent="0.35">
      <c r="N4322" s="108"/>
      <c r="O4322" s="108"/>
    </row>
    <row r="4323" spans="14:15" x14ac:dyDescent="0.35">
      <c r="N4323" s="108"/>
      <c r="O4323" s="108"/>
    </row>
    <row r="4324" spans="14:15" x14ac:dyDescent="0.35">
      <c r="N4324" s="108"/>
      <c r="O4324" s="108"/>
    </row>
    <row r="4325" spans="14:15" x14ac:dyDescent="0.35">
      <c r="N4325" s="108"/>
      <c r="O4325" s="108"/>
    </row>
    <row r="4326" spans="14:15" x14ac:dyDescent="0.35">
      <c r="N4326" s="108"/>
      <c r="O4326" s="108"/>
    </row>
    <row r="4327" spans="14:15" x14ac:dyDescent="0.35">
      <c r="N4327" s="108"/>
      <c r="O4327" s="108"/>
    </row>
    <row r="4328" spans="14:15" x14ac:dyDescent="0.35">
      <c r="N4328" s="108"/>
      <c r="O4328" s="108"/>
    </row>
    <row r="4329" spans="14:15" x14ac:dyDescent="0.35">
      <c r="N4329" s="108"/>
      <c r="O4329" s="108"/>
    </row>
    <row r="4330" spans="14:15" x14ac:dyDescent="0.35">
      <c r="N4330" s="108"/>
      <c r="O4330" s="108"/>
    </row>
    <row r="4331" spans="14:15" x14ac:dyDescent="0.35">
      <c r="N4331" s="108"/>
      <c r="O4331" s="108"/>
    </row>
    <row r="4332" spans="14:15" x14ac:dyDescent="0.35">
      <c r="N4332" s="108"/>
      <c r="O4332" s="108"/>
    </row>
    <row r="4333" spans="14:15" x14ac:dyDescent="0.35">
      <c r="N4333" s="108"/>
      <c r="O4333" s="108"/>
    </row>
    <row r="4334" spans="14:15" x14ac:dyDescent="0.35">
      <c r="N4334" s="108"/>
      <c r="O4334" s="108"/>
    </row>
    <row r="4335" spans="14:15" x14ac:dyDescent="0.35">
      <c r="N4335" s="108"/>
      <c r="O4335" s="108"/>
    </row>
    <row r="4336" spans="14:15" x14ac:dyDescent="0.35">
      <c r="N4336" s="108"/>
      <c r="O4336" s="108"/>
    </row>
    <row r="4337" spans="14:15" x14ac:dyDescent="0.35">
      <c r="N4337" s="108"/>
      <c r="O4337" s="108"/>
    </row>
    <row r="4338" spans="14:15" x14ac:dyDescent="0.35">
      <c r="N4338" s="108"/>
      <c r="O4338" s="108"/>
    </row>
    <row r="4339" spans="14:15" x14ac:dyDescent="0.35">
      <c r="N4339" s="108"/>
      <c r="O4339" s="108"/>
    </row>
    <row r="4340" spans="14:15" x14ac:dyDescent="0.35">
      <c r="N4340" s="108"/>
      <c r="O4340" s="108"/>
    </row>
    <row r="4341" spans="14:15" x14ac:dyDescent="0.35">
      <c r="N4341" s="108"/>
      <c r="O4341" s="108"/>
    </row>
    <row r="4342" spans="14:15" x14ac:dyDescent="0.35">
      <c r="N4342" s="108"/>
      <c r="O4342" s="108"/>
    </row>
    <row r="4343" spans="14:15" x14ac:dyDescent="0.35">
      <c r="N4343" s="108"/>
      <c r="O4343" s="108"/>
    </row>
    <row r="4344" spans="14:15" x14ac:dyDescent="0.35">
      <c r="N4344" s="108"/>
      <c r="O4344" s="108"/>
    </row>
    <row r="4345" spans="14:15" x14ac:dyDescent="0.35">
      <c r="N4345" s="108"/>
      <c r="O4345" s="108"/>
    </row>
    <row r="4346" spans="14:15" x14ac:dyDescent="0.35">
      <c r="N4346" s="108"/>
      <c r="O4346" s="108"/>
    </row>
    <row r="4347" spans="14:15" x14ac:dyDescent="0.35">
      <c r="N4347" s="108"/>
      <c r="O4347" s="108"/>
    </row>
    <row r="4348" spans="14:15" x14ac:dyDescent="0.35">
      <c r="N4348" s="108"/>
      <c r="O4348" s="108"/>
    </row>
    <row r="4349" spans="14:15" x14ac:dyDescent="0.35">
      <c r="N4349" s="108"/>
      <c r="O4349" s="108"/>
    </row>
    <row r="4350" spans="14:15" x14ac:dyDescent="0.35">
      <c r="N4350" s="108"/>
      <c r="O4350" s="108"/>
    </row>
    <row r="4351" spans="14:15" x14ac:dyDescent="0.35">
      <c r="N4351" s="108"/>
      <c r="O4351" s="108"/>
    </row>
    <row r="4352" spans="14:15" x14ac:dyDescent="0.35">
      <c r="N4352" s="108"/>
      <c r="O4352" s="108"/>
    </row>
    <row r="4353" spans="14:15" x14ac:dyDescent="0.35">
      <c r="N4353" s="108"/>
      <c r="O4353" s="108"/>
    </row>
    <row r="4354" spans="14:15" x14ac:dyDescent="0.35">
      <c r="N4354" s="108"/>
      <c r="O4354" s="108"/>
    </row>
    <row r="4355" spans="14:15" x14ac:dyDescent="0.35">
      <c r="N4355" s="108"/>
      <c r="O4355" s="108"/>
    </row>
    <row r="4356" spans="14:15" x14ac:dyDescent="0.35">
      <c r="N4356" s="108"/>
      <c r="O4356" s="108"/>
    </row>
    <row r="4357" spans="14:15" x14ac:dyDescent="0.35">
      <c r="N4357" s="108"/>
      <c r="O4357" s="108"/>
    </row>
    <row r="4358" spans="14:15" x14ac:dyDescent="0.35">
      <c r="N4358" s="108"/>
      <c r="O4358" s="108"/>
    </row>
    <row r="4359" spans="14:15" x14ac:dyDescent="0.35">
      <c r="N4359" s="108"/>
      <c r="O4359" s="108"/>
    </row>
    <row r="4360" spans="14:15" x14ac:dyDescent="0.35">
      <c r="N4360" s="108"/>
      <c r="O4360" s="108"/>
    </row>
    <row r="4361" spans="14:15" x14ac:dyDescent="0.35">
      <c r="N4361" s="108"/>
      <c r="O4361" s="108"/>
    </row>
    <row r="4362" spans="14:15" x14ac:dyDescent="0.35">
      <c r="N4362" s="108"/>
      <c r="O4362" s="108"/>
    </row>
    <row r="4363" spans="14:15" x14ac:dyDescent="0.35">
      <c r="N4363" s="108"/>
      <c r="O4363" s="108"/>
    </row>
    <row r="4364" spans="14:15" x14ac:dyDescent="0.35">
      <c r="N4364" s="108"/>
      <c r="O4364" s="108"/>
    </row>
    <row r="4365" spans="14:15" x14ac:dyDescent="0.35">
      <c r="N4365" s="108"/>
      <c r="O4365" s="108"/>
    </row>
    <row r="4366" spans="14:15" x14ac:dyDescent="0.35">
      <c r="N4366" s="108"/>
      <c r="O4366" s="108"/>
    </row>
    <row r="4367" spans="14:15" x14ac:dyDescent="0.35">
      <c r="N4367" s="108"/>
      <c r="O4367" s="108"/>
    </row>
    <row r="4368" spans="14:15" x14ac:dyDescent="0.35">
      <c r="N4368" s="108"/>
      <c r="O4368" s="108"/>
    </row>
    <row r="4369" spans="14:15" x14ac:dyDescent="0.35">
      <c r="N4369" s="108"/>
      <c r="O4369" s="108"/>
    </row>
    <row r="4370" spans="14:15" x14ac:dyDescent="0.35">
      <c r="N4370" s="108"/>
      <c r="O4370" s="108"/>
    </row>
    <row r="4371" spans="14:15" x14ac:dyDescent="0.35">
      <c r="N4371" s="108"/>
      <c r="O4371" s="108"/>
    </row>
    <row r="4372" spans="14:15" x14ac:dyDescent="0.35">
      <c r="N4372" s="108"/>
      <c r="O4372" s="108"/>
    </row>
    <row r="4373" spans="14:15" x14ac:dyDescent="0.35">
      <c r="N4373" s="108"/>
      <c r="O4373" s="108"/>
    </row>
    <row r="4374" spans="14:15" x14ac:dyDescent="0.35">
      <c r="N4374" s="108"/>
      <c r="O4374" s="108"/>
    </row>
    <row r="4375" spans="14:15" x14ac:dyDescent="0.35">
      <c r="N4375" s="108"/>
      <c r="O4375" s="108"/>
    </row>
    <row r="4376" spans="14:15" x14ac:dyDescent="0.35">
      <c r="N4376" s="108"/>
      <c r="O4376" s="108"/>
    </row>
    <row r="4377" spans="14:15" x14ac:dyDescent="0.35">
      <c r="N4377" s="108"/>
      <c r="O4377" s="108"/>
    </row>
    <row r="4378" spans="14:15" x14ac:dyDescent="0.35">
      <c r="N4378" s="108"/>
      <c r="O4378" s="108"/>
    </row>
    <row r="4379" spans="14:15" x14ac:dyDescent="0.35">
      <c r="N4379" s="108"/>
      <c r="O4379" s="108"/>
    </row>
    <row r="4380" spans="14:15" x14ac:dyDescent="0.35">
      <c r="N4380" s="108"/>
      <c r="O4380" s="108"/>
    </row>
    <row r="4381" spans="14:15" x14ac:dyDescent="0.35">
      <c r="N4381" s="108"/>
      <c r="O4381" s="108"/>
    </row>
    <row r="4382" spans="14:15" x14ac:dyDescent="0.35">
      <c r="N4382" s="108"/>
      <c r="O4382" s="108"/>
    </row>
    <row r="4383" spans="14:15" x14ac:dyDescent="0.35">
      <c r="N4383" s="108"/>
      <c r="O4383" s="108"/>
    </row>
    <row r="4384" spans="14:15" x14ac:dyDescent="0.35">
      <c r="N4384" s="108"/>
      <c r="O4384" s="108"/>
    </row>
    <row r="4385" spans="14:15" x14ac:dyDescent="0.35">
      <c r="N4385" s="108"/>
      <c r="O4385" s="108"/>
    </row>
    <row r="4386" spans="14:15" x14ac:dyDescent="0.35">
      <c r="N4386" s="108"/>
      <c r="O4386" s="108"/>
    </row>
    <row r="4387" spans="14:15" x14ac:dyDescent="0.35">
      <c r="N4387" s="108"/>
      <c r="O4387" s="108"/>
    </row>
    <row r="4388" spans="14:15" x14ac:dyDescent="0.35">
      <c r="N4388" s="108"/>
      <c r="O4388" s="108"/>
    </row>
    <row r="4389" spans="14:15" x14ac:dyDescent="0.35">
      <c r="N4389" s="108"/>
      <c r="O4389" s="108"/>
    </row>
    <row r="4390" spans="14:15" x14ac:dyDescent="0.35">
      <c r="N4390" s="108"/>
      <c r="O4390" s="108"/>
    </row>
    <row r="4391" spans="14:15" x14ac:dyDescent="0.35">
      <c r="N4391" s="108"/>
      <c r="O4391" s="108"/>
    </row>
    <row r="4392" spans="14:15" x14ac:dyDescent="0.35">
      <c r="N4392" s="108"/>
      <c r="O4392" s="108"/>
    </row>
    <row r="4393" spans="14:15" x14ac:dyDescent="0.35">
      <c r="N4393" s="108"/>
      <c r="O4393" s="108"/>
    </row>
    <row r="4394" spans="14:15" x14ac:dyDescent="0.35">
      <c r="N4394" s="108"/>
      <c r="O4394" s="108"/>
    </row>
    <row r="4395" spans="14:15" x14ac:dyDescent="0.35">
      <c r="N4395" s="108"/>
      <c r="O4395" s="108"/>
    </row>
    <row r="4396" spans="14:15" x14ac:dyDescent="0.35">
      <c r="N4396" s="108"/>
      <c r="O4396" s="108"/>
    </row>
    <row r="4397" spans="14:15" x14ac:dyDescent="0.35">
      <c r="N4397" s="108"/>
      <c r="O4397" s="108"/>
    </row>
    <row r="4398" spans="14:15" x14ac:dyDescent="0.35">
      <c r="N4398" s="108"/>
      <c r="O4398" s="108"/>
    </row>
    <row r="4399" spans="14:15" x14ac:dyDescent="0.35">
      <c r="N4399" s="108"/>
      <c r="O4399" s="108"/>
    </row>
    <row r="4400" spans="14:15" x14ac:dyDescent="0.35">
      <c r="N4400" s="108"/>
      <c r="O4400" s="108"/>
    </row>
    <row r="4401" spans="14:15" x14ac:dyDescent="0.35">
      <c r="N4401" s="108"/>
      <c r="O4401" s="108"/>
    </row>
    <row r="4402" spans="14:15" x14ac:dyDescent="0.35">
      <c r="N4402" s="108"/>
      <c r="O4402" s="108"/>
    </row>
    <row r="4403" spans="14:15" x14ac:dyDescent="0.35">
      <c r="N4403" s="108"/>
      <c r="O4403" s="108"/>
    </row>
    <row r="4404" spans="14:15" x14ac:dyDescent="0.35">
      <c r="N4404" s="108"/>
      <c r="O4404" s="108"/>
    </row>
    <row r="4405" spans="14:15" x14ac:dyDescent="0.35">
      <c r="N4405" s="108"/>
      <c r="O4405" s="108"/>
    </row>
    <row r="4406" spans="14:15" x14ac:dyDescent="0.35">
      <c r="N4406" s="108"/>
      <c r="O4406" s="108"/>
    </row>
    <row r="4407" spans="14:15" x14ac:dyDescent="0.35">
      <c r="N4407" s="108"/>
      <c r="O4407" s="108"/>
    </row>
    <row r="4408" spans="14:15" x14ac:dyDescent="0.35">
      <c r="N4408" s="108"/>
      <c r="O4408" s="108"/>
    </row>
    <row r="4409" spans="14:15" x14ac:dyDescent="0.35">
      <c r="N4409" s="108"/>
      <c r="O4409" s="108"/>
    </row>
    <row r="4410" spans="14:15" x14ac:dyDescent="0.35">
      <c r="N4410" s="108"/>
      <c r="O4410" s="108"/>
    </row>
    <row r="4411" spans="14:15" x14ac:dyDescent="0.35">
      <c r="N4411" s="108"/>
      <c r="O4411" s="108"/>
    </row>
    <row r="4412" spans="14:15" x14ac:dyDescent="0.35">
      <c r="N4412" s="108"/>
      <c r="O4412" s="108"/>
    </row>
    <row r="4413" spans="14:15" x14ac:dyDescent="0.35">
      <c r="N4413" s="108"/>
      <c r="O4413" s="108"/>
    </row>
    <row r="4414" spans="14:15" x14ac:dyDescent="0.35">
      <c r="N4414" s="108"/>
      <c r="O4414" s="108"/>
    </row>
    <row r="4415" spans="14:15" x14ac:dyDescent="0.35">
      <c r="N4415" s="108"/>
      <c r="O4415" s="108"/>
    </row>
    <row r="4416" spans="14:15" x14ac:dyDescent="0.35">
      <c r="N4416" s="108"/>
      <c r="O4416" s="108"/>
    </row>
    <row r="4417" spans="14:15" x14ac:dyDescent="0.35">
      <c r="N4417" s="108"/>
      <c r="O4417" s="108"/>
    </row>
    <row r="4418" spans="14:15" x14ac:dyDescent="0.35">
      <c r="N4418" s="108"/>
      <c r="O4418" s="108"/>
    </row>
    <row r="4419" spans="14:15" x14ac:dyDescent="0.35">
      <c r="N4419" s="108"/>
      <c r="O4419" s="108"/>
    </row>
    <row r="4420" spans="14:15" x14ac:dyDescent="0.35">
      <c r="N4420" s="108"/>
      <c r="O4420" s="108"/>
    </row>
    <row r="4421" spans="14:15" x14ac:dyDescent="0.35">
      <c r="N4421" s="108"/>
      <c r="O4421" s="108"/>
    </row>
    <row r="4422" spans="14:15" x14ac:dyDescent="0.35">
      <c r="N4422" s="108"/>
      <c r="O4422" s="108"/>
    </row>
    <row r="4423" spans="14:15" x14ac:dyDescent="0.35">
      <c r="N4423" s="108"/>
      <c r="O4423" s="108"/>
    </row>
    <row r="4424" spans="14:15" x14ac:dyDescent="0.35">
      <c r="N4424" s="108"/>
      <c r="O4424" s="108"/>
    </row>
    <row r="4425" spans="14:15" x14ac:dyDescent="0.35">
      <c r="N4425" s="108"/>
      <c r="O4425" s="108"/>
    </row>
    <row r="4426" spans="14:15" x14ac:dyDescent="0.35">
      <c r="N4426" s="108"/>
      <c r="O4426" s="108"/>
    </row>
    <row r="4427" spans="14:15" x14ac:dyDescent="0.35">
      <c r="N4427" s="108"/>
      <c r="O4427" s="108"/>
    </row>
    <row r="4428" spans="14:15" x14ac:dyDescent="0.35">
      <c r="N4428" s="108"/>
      <c r="O4428" s="108"/>
    </row>
    <row r="4429" spans="14:15" x14ac:dyDescent="0.35">
      <c r="N4429" s="108"/>
      <c r="O4429" s="108"/>
    </row>
    <row r="4430" spans="14:15" x14ac:dyDescent="0.35">
      <c r="N4430" s="108"/>
      <c r="O4430" s="108"/>
    </row>
    <row r="4431" spans="14:15" x14ac:dyDescent="0.35">
      <c r="N4431" s="108"/>
      <c r="O4431" s="108"/>
    </row>
    <row r="4432" spans="14:15" x14ac:dyDescent="0.35">
      <c r="N4432" s="108"/>
      <c r="O4432" s="108"/>
    </row>
    <row r="4433" spans="14:15" x14ac:dyDescent="0.35">
      <c r="N4433" s="108"/>
      <c r="O4433" s="108"/>
    </row>
    <row r="4434" spans="14:15" x14ac:dyDescent="0.35">
      <c r="N4434" s="108"/>
      <c r="O4434" s="108"/>
    </row>
    <row r="4435" spans="14:15" x14ac:dyDescent="0.35">
      <c r="N4435" s="108"/>
      <c r="O4435" s="108"/>
    </row>
    <row r="4436" spans="14:15" x14ac:dyDescent="0.35">
      <c r="N4436" s="108"/>
      <c r="O4436" s="108"/>
    </row>
    <row r="4437" spans="14:15" x14ac:dyDescent="0.35">
      <c r="N4437" s="108"/>
      <c r="O4437" s="108"/>
    </row>
    <row r="4438" spans="14:15" x14ac:dyDescent="0.35">
      <c r="N4438" s="108"/>
      <c r="O4438" s="108"/>
    </row>
    <row r="4439" spans="14:15" x14ac:dyDescent="0.35">
      <c r="N4439" s="108"/>
      <c r="O4439" s="108"/>
    </row>
    <row r="4440" spans="14:15" x14ac:dyDescent="0.35">
      <c r="N4440" s="108"/>
      <c r="O4440" s="108"/>
    </row>
    <row r="4441" spans="14:15" x14ac:dyDescent="0.35">
      <c r="N4441" s="108"/>
      <c r="O4441" s="108"/>
    </row>
    <row r="4442" spans="14:15" x14ac:dyDescent="0.35">
      <c r="N4442" s="108"/>
      <c r="O4442" s="108"/>
    </row>
    <row r="4443" spans="14:15" x14ac:dyDescent="0.35">
      <c r="N4443" s="108"/>
      <c r="O4443" s="108"/>
    </row>
    <row r="4444" spans="14:15" x14ac:dyDescent="0.35">
      <c r="N4444" s="108"/>
      <c r="O4444" s="108"/>
    </row>
    <row r="4445" spans="14:15" x14ac:dyDescent="0.35">
      <c r="N4445" s="108"/>
      <c r="O4445" s="108"/>
    </row>
    <row r="4446" spans="14:15" x14ac:dyDescent="0.35">
      <c r="N4446" s="108"/>
      <c r="O4446" s="108"/>
    </row>
    <row r="4447" spans="14:15" x14ac:dyDescent="0.35">
      <c r="N4447" s="108"/>
      <c r="O4447" s="108"/>
    </row>
    <row r="4448" spans="14:15" x14ac:dyDescent="0.35">
      <c r="N4448" s="108"/>
      <c r="O4448" s="108"/>
    </row>
    <row r="4449" spans="14:15" x14ac:dyDescent="0.35">
      <c r="N4449" s="108"/>
      <c r="O4449" s="108"/>
    </row>
    <row r="4450" spans="14:15" x14ac:dyDescent="0.35">
      <c r="N4450" s="108"/>
      <c r="O4450" s="108"/>
    </row>
    <row r="4451" spans="14:15" x14ac:dyDescent="0.35">
      <c r="N4451" s="108"/>
      <c r="O4451" s="108"/>
    </row>
    <row r="4452" spans="14:15" x14ac:dyDescent="0.35">
      <c r="N4452" s="108"/>
      <c r="O4452" s="108"/>
    </row>
    <row r="4453" spans="14:15" x14ac:dyDescent="0.35">
      <c r="N4453" s="108"/>
      <c r="O4453" s="108"/>
    </row>
    <row r="4454" spans="14:15" x14ac:dyDescent="0.35">
      <c r="N4454" s="108"/>
      <c r="O4454" s="108"/>
    </row>
    <row r="4455" spans="14:15" x14ac:dyDescent="0.35">
      <c r="N4455" s="108"/>
      <c r="O4455" s="108"/>
    </row>
    <row r="4456" spans="14:15" x14ac:dyDescent="0.35">
      <c r="N4456" s="108"/>
      <c r="O4456" s="108"/>
    </row>
    <row r="4457" spans="14:15" x14ac:dyDescent="0.35">
      <c r="N4457" s="108"/>
      <c r="O4457" s="108"/>
    </row>
    <row r="4458" spans="14:15" x14ac:dyDescent="0.35">
      <c r="N4458" s="108"/>
      <c r="O4458" s="108"/>
    </row>
    <row r="4459" spans="14:15" x14ac:dyDescent="0.35">
      <c r="N4459" s="108"/>
      <c r="O4459" s="108"/>
    </row>
    <row r="4460" spans="14:15" x14ac:dyDescent="0.35">
      <c r="N4460" s="108"/>
      <c r="O4460" s="108"/>
    </row>
    <row r="4461" spans="14:15" x14ac:dyDescent="0.35">
      <c r="N4461" s="108"/>
      <c r="O4461" s="108"/>
    </row>
    <row r="4462" spans="14:15" x14ac:dyDescent="0.35">
      <c r="N4462" s="108"/>
      <c r="O4462" s="108"/>
    </row>
    <row r="4463" spans="14:15" x14ac:dyDescent="0.35">
      <c r="N4463" s="108"/>
      <c r="O4463" s="108"/>
    </row>
    <row r="4464" spans="14:15" x14ac:dyDescent="0.35">
      <c r="N4464" s="108"/>
      <c r="O4464" s="108"/>
    </row>
    <row r="4465" spans="14:15" x14ac:dyDescent="0.35">
      <c r="N4465" s="108"/>
      <c r="O4465" s="108"/>
    </row>
    <row r="4466" spans="14:15" x14ac:dyDescent="0.35">
      <c r="N4466" s="108"/>
      <c r="O4466" s="108"/>
    </row>
    <row r="4467" spans="14:15" x14ac:dyDescent="0.35">
      <c r="N4467" s="108"/>
      <c r="O4467" s="108"/>
    </row>
    <row r="4468" spans="14:15" x14ac:dyDescent="0.35">
      <c r="N4468" s="108"/>
      <c r="O4468" s="108"/>
    </row>
    <row r="4469" spans="14:15" x14ac:dyDescent="0.35">
      <c r="N4469" s="108"/>
      <c r="O4469" s="108"/>
    </row>
    <row r="4470" spans="14:15" x14ac:dyDescent="0.35">
      <c r="N4470" s="108"/>
      <c r="O4470" s="108"/>
    </row>
    <row r="4471" spans="14:15" x14ac:dyDescent="0.35">
      <c r="N4471" s="108"/>
      <c r="O4471" s="108"/>
    </row>
    <row r="4472" spans="14:15" x14ac:dyDescent="0.35">
      <c r="N4472" s="108"/>
      <c r="O4472" s="108"/>
    </row>
    <row r="4473" spans="14:15" x14ac:dyDescent="0.35">
      <c r="N4473" s="108"/>
      <c r="O4473" s="108"/>
    </row>
    <row r="4474" spans="14:15" x14ac:dyDescent="0.35">
      <c r="N4474" s="108"/>
      <c r="O4474" s="108"/>
    </row>
    <row r="4475" spans="14:15" x14ac:dyDescent="0.35">
      <c r="N4475" s="108"/>
      <c r="O4475" s="108"/>
    </row>
    <row r="4476" spans="14:15" x14ac:dyDescent="0.35">
      <c r="N4476" s="108"/>
      <c r="O4476" s="108"/>
    </row>
    <row r="4477" spans="14:15" x14ac:dyDescent="0.35">
      <c r="N4477" s="108"/>
      <c r="O4477" s="108"/>
    </row>
    <row r="4478" spans="14:15" x14ac:dyDescent="0.35">
      <c r="N4478" s="108"/>
      <c r="O4478" s="108"/>
    </row>
    <row r="4479" spans="14:15" x14ac:dyDescent="0.35">
      <c r="N4479" s="108"/>
      <c r="O4479" s="108"/>
    </row>
    <row r="4480" spans="14:15" x14ac:dyDescent="0.35">
      <c r="N4480" s="108"/>
      <c r="O4480" s="108"/>
    </row>
    <row r="4481" spans="14:15" x14ac:dyDescent="0.35">
      <c r="N4481" s="108"/>
      <c r="O4481" s="108"/>
    </row>
    <row r="4482" spans="14:15" x14ac:dyDescent="0.35">
      <c r="N4482" s="108"/>
      <c r="O4482" s="108"/>
    </row>
    <row r="4483" spans="14:15" x14ac:dyDescent="0.35">
      <c r="N4483" s="108"/>
      <c r="O4483" s="108"/>
    </row>
    <row r="4484" spans="14:15" x14ac:dyDescent="0.35">
      <c r="N4484" s="108"/>
      <c r="O4484" s="108"/>
    </row>
    <row r="4485" spans="14:15" x14ac:dyDescent="0.35">
      <c r="N4485" s="108"/>
      <c r="O4485" s="108"/>
    </row>
    <row r="4486" spans="14:15" x14ac:dyDescent="0.35">
      <c r="N4486" s="108"/>
      <c r="O4486" s="108"/>
    </row>
    <row r="4487" spans="14:15" x14ac:dyDescent="0.35">
      <c r="N4487" s="108"/>
      <c r="O4487" s="108"/>
    </row>
    <row r="4488" spans="14:15" x14ac:dyDescent="0.35">
      <c r="N4488" s="108"/>
      <c r="O4488" s="108"/>
    </row>
    <row r="4489" spans="14:15" x14ac:dyDescent="0.35">
      <c r="N4489" s="108"/>
      <c r="O4489" s="108"/>
    </row>
    <row r="4490" spans="14:15" x14ac:dyDescent="0.35">
      <c r="N4490" s="108"/>
      <c r="O4490" s="108"/>
    </row>
    <row r="4491" spans="14:15" x14ac:dyDescent="0.35">
      <c r="N4491" s="108"/>
      <c r="O4491" s="108"/>
    </row>
    <row r="4492" spans="14:15" x14ac:dyDescent="0.35">
      <c r="N4492" s="108"/>
      <c r="O4492" s="108"/>
    </row>
    <row r="4493" spans="14:15" x14ac:dyDescent="0.35">
      <c r="N4493" s="108"/>
      <c r="O4493" s="108"/>
    </row>
    <row r="4494" spans="14:15" x14ac:dyDescent="0.35">
      <c r="N4494" s="108"/>
      <c r="O4494" s="108"/>
    </row>
    <row r="4495" spans="14:15" x14ac:dyDescent="0.35">
      <c r="N4495" s="108"/>
      <c r="O4495" s="108"/>
    </row>
    <row r="4496" spans="14:15" x14ac:dyDescent="0.35">
      <c r="N4496" s="108"/>
      <c r="O4496" s="108"/>
    </row>
    <row r="4497" spans="14:15" x14ac:dyDescent="0.35">
      <c r="N4497" s="108"/>
      <c r="O4497" s="108"/>
    </row>
    <row r="4498" spans="14:15" x14ac:dyDescent="0.35">
      <c r="N4498" s="108"/>
      <c r="O4498" s="108"/>
    </row>
    <row r="4499" spans="14:15" x14ac:dyDescent="0.35">
      <c r="N4499" s="108"/>
      <c r="O4499" s="108"/>
    </row>
    <row r="4500" spans="14:15" x14ac:dyDescent="0.35">
      <c r="N4500" s="108"/>
      <c r="O4500" s="108"/>
    </row>
    <row r="4501" spans="14:15" x14ac:dyDescent="0.35">
      <c r="N4501" s="108"/>
      <c r="O4501" s="108"/>
    </row>
    <row r="4502" spans="14:15" x14ac:dyDescent="0.35">
      <c r="N4502" s="108"/>
      <c r="O4502" s="108"/>
    </row>
    <row r="4503" spans="14:15" x14ac:dyDescent="0.35">
      <c r="N4503" s="108"/>
      <c r="O4503" s="108"/>
    </row>
    <row r="4504" spans="14:15" x14ac:dyDescent="0.35">
      <c r="N4504" s="108"/>
      <c r="O4504" s="108"/>
    </row>
    <row r="4505" spans="14:15" x14ac:dyDescent="0.35">
      <c r="N4505" s="108"/>
      <c r="O4505" s="108"/>
    </row>
    <row r="4506" spans="14:15" x14ac:dyDescent="0.35">
      <c r="N4506" s="108"/>
      <c r="O4506" s="108"/>
    </row>
    <row r="4507" spans="14:15" x14ac:dyDescent="0.35">
      <c r="N4507" s="108"/>
      <c r="O4507" s="108"/>
    </row>
    <row r="4508" spans="14:15" x14ac:dyDescent="0.35">
      <c r="N4508" s="108"/>
      <c r="O4508" s="108"/>
    </row>
    <row r="4509" spans="14:15" x14ac:dyDescent="0.35">
      <c r="N4509" s="108"/>
      <c r="O4509" s="108"/>
    </row>
    <row r="4510" spans="14:15" x14ac:dyDescent="0.35">
      <c r="N4510" s="108"/>
      <c r="O4510" s="108"/>
    </row>
    <row r="4511" spans="14:15" x14ac:dyDescent="0.35">
      <c r="N4511" s="108"/>
      <c r="O4511" s="108"/>
    </row>
    <row r="4512" spans="14:15" x14ac:dyDescent="0.35">
      <c r="N4512" s="108"/>
      <c r="O4512" s="108"/>
    </row>
    <row r="4513" spans="14:15" x14ac:dyDescent="0.35">
      <c r="N4513" s="108"/>
      <c r="O4513" s="108"/>
    </row>
    <row r="4514" spans="14:15" x14ac:dyDescent="0.35">
      <c r="N4514" s="108"/>
      <c r="O4514" s="108"/>
    </row>
    <row r="4515" spans="14:15" x14ac:dyDescent="0.35">
      <c r="N4515" s="108"/>
      <c r="O4515" s="108"/>
    </row>
    <row r="4516" spans="14:15" x14ac:dyDescent="0.35">
      <c r="N4516" s="108"/>
      <c r="O4516" s="108"/>
    </row>
    <row r="4517" spans="14:15" x14ac:dyDescent="0.35">
      <c r="N4517" s="108"/>
      <c r="O4517" s="108"/>
    </row>
    <row r="4518" spans="14:15" x14ac:dyDescent="0.35">
      <c r="N4518" s="108"/>
      <c r="O4518" s="108"/>
    </row>
    <row r="4519" spans="14:15" x14ac:dyDescent="0.35">
      <c r="N4519" s="108"/>
      <c r="O4519" s="108"/>
    </row>
    <row r="4520" spans="14:15" x14ac:dyDescent="0.35">
      <c r="N4520" s="108"/>
      <c r="O4520" s="108"/>
    </row>
    <row r="4521" spans="14:15" x14ac:dyDescent="0.35">
      <c r="N4521" s="108"/>
      <c r="O4521" s="108"/>
    </row>
    <row r="4522" spans="14:15" x14ac:dyDescent="0.35">
      <c r="N4522" s="108"/>
      <c r="O4522" s="108"/>
    </row>
    <row r="4523" spans="14:15" x14ac:dyDescent="0.35">
      <c r="N4523" s="108"/>
      <c r="O4523" s="108"/>
    </row>
    <row r="4524" spans="14:15" x14ac:dyDescent="0.35">
      <c r="N4524" s="108"/>
      <c r="O4524" s="108"/>
    </row>
    <row r="4525" spans="14:15" x14ac:dyDescent="0.35">
      <c r="N4525" s="108"/>
      <c r="O4525" s="108"/>
    </row>
    <row r="4526" spans="14:15" x14ac:dyDescent="0.35">
      <c r="N4526" s="108"/>
      <c r="O4526" s="108"/>
    </row>
    <row r="4527" spans="14:15" x14ac:dyDescent="0.35">
      <c r="N4527" s="108"/>
      <c r="O4527" s="108"/>
    </row>
    <row r="4528" spans="14:15" x14ac:dyDescent="0.35">
      <c r="N4528" s="108"/>
      <c r="O4528" s="108"/>
    </row>
    <row r="4529" spans="14:15" x14ac:dyDescent="0.35">
      <c r="N4529" s="108"/>
      <c r="O4529" s="108"/>
    </row>
    <row r="4530" spans="14:15" x14ac:dyDescent="0.35">
      <c r="N4530" s="108"/>
      <c r="O4530" s="108"/>
    </row>
    <row r="4531" spans="14:15" x14ac:dyDescent="0.35">
      <c r="N4531" s="108"/>
      <c r="O4531" s="108"/>
    </row>
    <row r="4532" spans="14:15" x14ac:dyDescent="0.35">
      <c r="N4532" s="108"/>
      <c r="O4532" s="108"/>
    </row>
    <row r="4533" spans="14:15" x14ac:dyDescent="0.35">
      <c r="N4533" s="108"/>
      <c r="O4533" s="108"/>
    </row>
    <row r="4534" spans="14:15" x14ac:dyDescent="0.35">
      <c r="N4534" s="108"/>
      <c r="O4534" s="108"/>
    </row>
    <row r="4535" spans="14:15" x14ac:dyDescent="0.35">
      <c r="N4535" s="108"/>
      <c r="O4535" s="108"/>
    </row>
    <row r="4536" spans="14:15" x14ac:dyDescent="0.35">
      <c r="N4536" s="108"/>
      <c r="O4536" s="108"/>
    </row>
    <row r="4537" spans="14:15" x14ac:dyDescent="0.35">
      <c r="N4537" s="108"/>
      <c r="O4537" s="108"/>
    </row>
    <row r="4538" spans="14:15" x14ac:dyDescent="0.35">
      <c r="N4538" s="108"/>
      <c r="O4538" s="108"/>
    </row>
    <row r="4539" spans="14:15" x14ac:dyDescent="0.35">
      <c r="N4539" s="108"/>
      <c r="O4539" s="108"/>
    </row>
    <row r="4540" spans="14:15" x14ac:dyDescent="0.35">
      <c r="N4540" s="108"/>
      <c r="O4540" s="108"/>
    </row>
    <row r="4541" spans="14:15" x14ac:dyDescent="0.35">
      <c r="N4541" s="108"/>
      <c r="O4541" s="108"/>
    </row>
    <row r="4542" spans="14:15" x14ac:dyDescent="0.35">
      <c r="N4542" s="108"/>
      <c r="O4542" s="108"/>
    </row>
    <row r="4543" spans="14:15" x14ac:dyDescent="0.35">
      <c r="N4543" s="108"/>
      <c r="O4543" s="108"/>
    </row>
    <row r="4544" spans="14:15" x14ac:dyDescent="0.35">
      <c r="N4544" s="108"/>
      <c r="O4544" s="108"/>
    </row>
    <row r="4545" spans="14:15" x14ac:dyDescent="0.35">
      <c r="N4545" s="108"/>
      <c r="O4545" s="108"/>
    </row>
    <row r="4546" spans="14:15" x14ac:dyDescent="0.35">
      <c r="N4546" s="108"/>
      <c r="O4546" s="108"/>
    </row>
    <row r="4547" spans="14:15" x14ac:dyDescent="0.35">
      <c r="N4547" s="108"/>
      <c r="O4547" s="108"/>
    </row>
    <row r="4548" spans="14:15" x14ac:dyDescent="0.35">
      <c r="N4548" s="108"/>
      <c r="O4548" s="108"/>
    </row>
    <row r="4549" spans="14:15" x14ac:dyDescent="0.35">
      <c r="N4549" s="108"/>
      <c r="O4549" s="108"/>
    </row>
    <row r="4550" spans="14:15" x14ac:dyDescent="0.35">
      <c r="N4550" s="108"/>
      <c r="O4550" s="108"/>
    </row>
    <row r="4551" spans="14:15" x14ac:dyDescent="0.35">
      <c r="N4551" s="108"/>
      <c r="O4551" s="108"/>
    </row>
    <row r="4552" spans="14:15" x14ac:dyDescent="0.35">
      <c r="N4552" s="108"/>
      <c r="O4552" s="108"/>
    </row>
    <row r="4553" spans="14:15" x14ac:dyDescent="0.35">
      <c r="N4553" s="108"/>
      <c r="O4553" s="108"/>
    </row>
    <row r="4554" spans="14:15" x14ac:dyDescent="0.35">
      <c r="N4554" s="108"/>
      <c r="O4554" s="108"/>
    </row>
    <row r="4555" spans="14:15" x14ac:dyDescent="0.35">
      <c r="N4555" s="108"/>
      <c r="O4555" s="108"/>
    </row>
    <row r="4556" spans="14:15" x14ac:dyDescent="0.35">
      <c r="N4556" s="108"/>
      <c r="O4556" s="108"/>
    </row>
    <row r="4557" spans="14:15" x14ac:dyDescent="0.35">
      <c r="N4557" s="108"/>
      <c r="O4557" s="108"/>
    </row>
    <row r="4558" spans="14:15" x14ac:dyDescent="0.35">
      <c r="N4558" s="108"/>
      <c r="O4558" s="108"/>
    </row>
    <row r="4559" spans="14:15" x14ac:dyDescent="0.35">
      <c r="N4559" s="108"/>
      <c r="O4559" s="108"/>
    </row>
    <row r="4560" spans="14:15" x14ac:dyDescent="0.35">
      <c r="N4560" s="108"/>
      <c r="O4560" s="108"/>
    </row>
    <row r="4561" spans="14:15" x14ac:dyDescent="0.35">
      <c r="N4561" s="108"/>
      <c r="O4561" s="108"/>
    </row>
    <row r="4562" spans="14:15" x14ac:dyDescent="0.35">
      <c r="N4562" s="108"/>
      <c r="O4562" s="108"/>
    </row>
    <row r="4563" spans="14:15" x14ac:dyDescent="0.35">
      <c r="N4563" s="108"/>
      <c r="O4563" s="108"/>
    </row>
    <row r="4564" spans="14:15" x14ac:dyDescent="0.35">
      <c r="N4564" s="108"/>
      <c r="O4564" s="108"/>
    </row>
    <row r="4565" spans="14:15" x14ac:dyDescent="0.35">
      <c r="N4565" s="108"/>
      <c r="O4565" s="108"/>
    </row>
    <row r="4566" spans="14:15" x14ac:dyDescent="0.35">
      <c r="N4566" s="108"/>
      <c r="O4566" s="108"/>
    </row>
    <row r="4567" spans="14:15" x14ac:dyDescent="0.35">
      <c r="N4567" s="108"/>
      <c r="O4567" s="108"/>
    </row>
    <row r="4568" spans="14:15" x14ac:dyDescent="0.35">
      <c r="N4568" s="108"/>
      <c r="O4568" s="108"/>
    </row>
    <row r="4569" spans="14:15" x14ac:dyDescent="0.35">
      <c r="N4569" s="108"/>
      <c r="O4569" s="108"/>
    </row>
    <row r="4570" spans="14:15" x14ac:dyDescent="0.35">
      <c r="N4570" s="108"/>
      <c r="O4570" s="108"/>
    </row>
    <row r="4571" spans="14:15" x14ac:dyDescent="0.35">
      <c r="N4571" s="108"/>
      <c r="O4571" s="108"/>
    </row>
    <row r="4572" spans="14:15" x14ac:dyDescent="0.35">
      <c r="N4572" s="108"/>
      <c r="O4572" s="108"/>
    </row>
    <row r="4573" spans="14:15" x14ac:dyDescent="0.35">
      <c r="N4573" s="108"/>
      <c r="O4573" s="108"/>
    </row>
    <row r="4574" spans="14:15" x14ac:dyDescent="0.35">
      <c r="N4574" s="108"/>
      <c r="O4574" s="108"/>
    </row>
    <row r="4575" spans="14:15" x14ac:dyDescent="0.35">
      <c r="N4575" s="108"/>
      <c r="O4575" s="108"/>
    </row>
    <row r="4576" spans="14:15" x14ac:dyDescent="0.35">
      <c r="N4576" s="108"/>
      <c r="O4576" s="108"/>
    </row>
    <row r="4577" spans="14:15" x14ac:dyDescent="0.35">
      <c r="N4577" s="108"/>
      <c r="O4577" s="108"/>
    </row>
    <row r="4578" spans="14:15" x14ac:dyDescent="0.35">
      <c r="N4578" s="108"/>
      <c r="O4578" s="108"/>
    </row>
    <row r="4579" spans="14:15" x14ac:dyDescent="0.35">
      <c r="N4579" s="108"/>
      <c r="O4579" s="108"/>
    </row>
    <row r="4580" spans="14:15" x14ac:dyDescent="0.35">
      <c r="N4580" s="108"/>
      <c r="O4580" s="108"/>
    </row>
    <row r="4581" spans="14:15" x14ac:dyDescent="0.35">
      <c r="N4581" s="108"/>
      <c r="O4581" s="108"/>
    </row>
    <row r="4582" spans="14:15" x14ac:dyDescent="0.35">
      <c r="N4582" s="108"/>
      <c r="O4582" s="108"/>
    </row>
    <row r="4583" spans="14:15" x14ac:dyDescent="0.35">
      <c r="N4583" s="108"/>
      <c r="O4583" s="108"/>
    </row>
    <row r="4584" spans="14:15" x14ac:dyDescent="0.35">
      <c r="N4584" s="108"/>
      <c r="O4584" s="108"/>
    </row>
    <row r="4585" spans="14:15" x14ac:dyDescent="0.35">
      <c r="N4585" s="108"/>
      <c r="O4585" s="108"/>
    </row>
    <row r="4586" spans="14:15" x14ac:dyDescent="0.35">
      <c r="N4586" s="108"/>
      <c r="O4586" s="108"/>
    </row>
  </sheetData>
  <mergeCells count="9">
    <mergeCell ref="A1:F2"/>
    <mergeCell ref="G1:G2"/>
    <mergeCell ref="I1:I2"/>
    <mergeCell ref="J1:J2"/>
    <mergeCell ref="P3:R12"/>
    <mergeCell ref="L1:M2"/>
    <mergeCell ref="N1:N2"/>
    <mergeCell ref="O1:O2"/>
    <mergeCell ref="K1:K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A605-5218-4742-A783-CBCC234459D1}">
  <sheetPr codeName="Sheet2">
    <tabColor rgb="FF92D050"/>
  </sheetPr>
  <dimension ref="A1:D3"/>
  <sheetViews>
    <sheetView showGridLines="0" workbookViewId="0">
      <selection activeCell="A2" sqref="A2:A3"/>
    </sheetView>
  </sheetViews>
  <sheetFormatPr defaultRowHeight="14.5" x14ac:dyDescent="0.35"/>
  <sheetData>
    <row r="1" spans="1:4" ht="15" thickBot="1" x14ac:dyDescent="0.4">
      <c r="A1" s="196" t="s">
        <v>105</v>
      </c>
      <c r="B1" s="197"/>
      <c r="C1" s="197"/>
      <c r="D1" s="198"/>
    </row>
    <row r="2" spans="1:4" ht="15" customHeight="1" x14ac:dyDescent="0.35">
      <c r="A2" s="189" t="s">
        <v>102</v>
      </c>
      <c r="B2" s="189" t="s">
        <v>103</v>
      </c>
      <c r="C2" s="189" t="s">
        <v>104</v>
      </c>
      <c r="D2" s="194" t="s">
        <v>61</v>
      </c>
    </row>
    <row r="3" spans="1:4" ht="15.75" customHeight="1" thickBot="1" x14ac:dyDescent="0.4">
      <c r="A3" s="190"/>
      <c r="B3" s="190"/>
      <c r="C3" s="190"/>
      <c r="D3" s="195"/>
    </row>
  </sheetData>
  <mergeCells count="5">
    <mergeCell ref="D2:D3"/>
    <mergeCell ref="A1:D1"/>
    <mergeCell ref="C2:C3"/>
    <mergeCell ref="B2:B3"/>
    <mergeCell ref="A2:A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56"/>
  <sheetViews>
    <sheetView showGridLines="0" topLeftCell="A25" zoomScaleNormal="100" workbookViewId="0">
      <selection activeCell="C52" sqref="C52"/>
    </sheetView>
  </sheetViews>
  <sheetFormatPr defaultColWidth="0" defaultRowHeight="14.5" x14ac:dyDescent="0.35"/>
  <cols>
    <col min="1" max="1" width="21.81640625" customWidth="1"/>
    <col min="2" max="2" width="12.7265625" customWidth="1"/>
    <col min="3" max="3" width="19.7265625" customWidth="1"/>
    <col min="4" max="4" width="12.7265625" customWidth="1"/>
    <col min="5" max="5" width="19.7265625" customWidth="1"/>
    <col min="6" max="6" width="12.7265625" customWidth="1"/>
    <col min="7" max="7" width="11.453125" customWidth="1"/>
    <col min="8" max="8" width="9.54296875" customWidth="1"/>
    <col min="9" max="9" width="100.7265625" hidden="1" customWidth="1"/>
    <col min="10" max="16380" width="9.1796875" hidden="1"/>
    <col min="16381" max="16381" width="7" hidden="1" customWidth="1"/>
    <col min="16382" max="16382" width="5.26953125" hidden="1" customWidth="1"/>
    <col min="16383" max="16383" width="12.1796875" hidden="1" customWidth="1"/>
    <col min="16384" max="16384" width="17.81640625" hidden="1" customWidth="1"/>
  </cols>
  <sheetData>
    <row r="1" spans="1:8" x14ac:dyDescent="0.35">
      <c r="A1" s="82" t="s">
        <v>84</v>
      </c>
      <c r="B1" s="82"/>
      <c r="C1" s="82"/>
      <c r="D1" s="83"/>
      <c r="E1" s="83"/>
      <c r="F1" s="83"/>
      <c r="G1" s="3"/>
      <c r="H1" s="4"/>
    </row>
    <row r="2" spans="1:8" ht="28.5" customHeight="1" x14ac:dyDescent="0.35">
      <c r="A2" s="84"/>
      <c r="B2" s="84"/>
      <c r="C2" s="111" t="s">
        <v>0</v>
      </c>
      <c r="D2" s="85"/>
      <c r="E2" s="86"/>
      <c r="F2" s="85"/>
      <c r="G2" s="86"/>
      <c r="H2" s="4"/>
    </row>
    <row r="3" spans="1:8" x14ac:dyDescent="0.35">
      <c r="A3" s="87"/>
      <c r="B3" s="3"/>
      <c r="C3" s="3"/>
      <c r="D3" s="88"/>
      <c r="E3" s="89"/>
      <c r="F3" s="89"/>
      <c r="G3" s="89"/>
      <c r="H3" s="4"/>
    </row>
    <row r="4" spans="1:8" x14ac:dyDescent="0.35">
      <c r="A4" s="167" t="s">
        <v>1</v>
      </c>
      <c r="B4" s="167"/>
      <c r="C4" s="96">
        <v>25</v>
      </c>
      <c r="D4" s="89"/>
      <c r="E4" s="89"/>
      <c r="F4" s="89"/>
      <c r="G4" s="89"/>
      <c r="H4" s="4"/>
    </row>
    <row r="5" spans="1:8" x14ac:dyDescent="0.35">
      <c r="A5" s="111"/>
      <c r="B5" s="111"/>
      <c r="C5" s="111"/>
      <c r="D5" s="89"/>
      <c r="E5" s="89"/>
      <c r="F5" s="89"/>
      <c r="G5" s="89"/>
      <c r="H5" s="4"/>
    </row>
    <row r="6" spans="1:8" x14ac:dyDescent="0.35">
      <c r="A6" s="167" t="s">
        <v>2</v>
      </c>
      <c r="B6" s="167"/>
      <c r="C6" s="97" t="s">
        <v>3</v>
      </c>
      <c r="D6" s="86"/>
      <c r="E6" s="6"/>
      <c r="F6" s="3"/>
      <c r="G6" s="98"/>
      <c r="H6" s="4"/>
    </row>
    <row r="7" spans="1:8" x14ac:dyDescent="0.35">
      <c r="A7" s="111"/>
      <c r="B7" s="111"/>
      <c r="C7" s="111"/>
      <c r="D7" s="111"/>
      <c r="E7" s="111"/>
      <c r="F7" s="111"/>
      <c r="G7" s="3"/>
      <c r="H7" s="4"/>
    </row>
    <row r="8" spans="1:8" x14ac:dyDescent="0.35">
      <c r="A8" s="167" t="s">
        <v>4</v>
      </c>
      <c r="B8" s="167"/>
      <c r="C8" s="96" t="s">
        <v>32</v>
      </c>
      <c r="D8" s="111" t="s">
        <v>5</v>
      </c>
      <c r="E8" s="99">
        <v>5.21</v>
      </c>
      <c r="F8" s="3" t="s">
        <v>33</v>
      </c>
      <c r="G8" s="3"/>
      <c r="H8" s="4"/>
    </row>
    <row r="9" spans="1:8" x14ac:dyDescent="0.35">
      <c r="A9" s="168"/>
      <c r="B9" s="169"/>
      <c r="C9" s="169"/>
      <c r="D9" s="169"/>
      <c r="E9" s="169"/>
      <c r="F9" s="169"/>
      <c r="G9" s="170"/>
      <c r="H9" s="4"/>
    </row>
    <row r="10" spans="1:8" x14ac:dyDescent="0.35">
      <c r="A10" s="167" t="s">
        <v>83</v>
      </c>
      <c r="B10" s="167"/>
      <c r="C10" s="96" t="s">
        <v>6</v>
      </c>
      <c r="D10" s="4"/>
      <c r="E10" s="90"/>
      <c r="F10" s="90"/>
      <c r="G10" s="4"/>
      <c r="H10" s="4"/>
    </row>
    <row r="11" spans="1:8" x14ac:dyDescent="0.35">
      <c r="A11" s="4"/>
      <c r="B11" s="4"/>
      <c r="C11" s="4"/>
      <c r="D11" s="6"/>
      <c r="E11" s="4"/>
      <c r="F11" s="4"/>
      <c r="G11" s="4"/>
      <c r="H11" s="4"/>
    </row>
    <row r="12" spans="1:8" x14ac:dyDescent="0.35">
      <c r="A12" s="90" t="s">
        <v>7</v>
      </c>
      <c r="B12" s="90"/>
      <c r="C12" s="90"/>
      <c r="D12" s="90"/>
      <c r="E12" s="90"/>
      <c r="F12" s="4"/>
      <c r="G12" s="4"/>
      <c r="H12" s="4"/>
    </row>
    <row r="13" spans="1:8" x14ac:dyDescent="0.35">
      <c r="A13" s="4"/>
      <c r="B13" s="4"/>
      <c r="C13" s="4"/>
      <c r="D13" s="4"/>
      <c r="E13" s="4"/>
      <c r="F13" s="4"/>
      <c r="G13" s="4"/>
      <c r="H13" s="4"/>
    </row>
    <row r="14" spans="1:8" x14ac:dyDescent="0.35">
      <c r="A14" s="171" t="s">
        <v>112</v>
      </c>
      <c r="B14" s="172"/>
      <c r="C14" s="173"/>
      <c r="D14" s="100">
        <v>1</v>
      </c>
      <c r="E14" s="4"/>
      <c r="F14" s="4"/>
      <c r="G14" s="4"/>
      <c r="H14" s="4"/>
    </row>
    <row r="15" spans="1:8" x14ac:dyDescent="0.35">
      <c r="A15" s="123"/>
      <c r="B15" s="4"/>
      <c r="C15" s="124"/>
      <c r="D15" s="4"/>
      <c r="E15" s="4"/>
      <c r="F15" s="4"/>
      <c r="G15" s="4"/>
      <c r="H15" s="4"/>
    </row>
    <row r="16" spans="1:8" ht="28" x14ac:dyDescent="0.35">
      <c r="A16" s="10" t="s">
        <v>51</v>
      </c>
      <c r="B16" s="10" t="s">
        <v>50</v>
      </c>
      <c r="C16" s="1" t="s">
        <v>39</v>
      </c>
      <c r="D16" s="10" t="s">
        <v>49</v>
      </c>
      <c r="E16" s="1" t="s">
        <v>40</v>
      </c>
      <c r="F16" s="37" t="s">
        <v>8</v>
      </c>
      <c r="G16" s="1">
        <v>4</v>
      </c>
      <c r="H16" s="59"/>
    </row>
    <row r="17" spans="1:8" x14ac:dyDescent="0.35">
      <c r="A17" s="38"/>
      <c r="B17" s="38"/>
      <c r="C17" s="38"/>
      <c r="D17" s="38"/>
      <c r="E17" s="39"/>
      <c r="F17" s="40"/>
      <c r="G17" s="40"/>
      <c r="H17" s="4"/>
    </row>
    <row r="18" spans="1:8" x14ac:dyDescent="0.35">
      <c r="A18" s="36" t="s">
        <v>37</v>
      </c>
      <c r="B18" s="33"/>
      <c r="C18" s="35" t="s">
        <v>9</v>
      </c>
      <c r="D18" s="33"/>
      <c r="E18" s="49" t="s">
        <v>10</v>
      </c>
      <c r="F18" s="3"/>
      <c r="G18" s="3"/>
      <c r="H18" s="4"/>
    </row>
    <row r="19" spans="1:8" x14ac:dyDescent="0.35">
      <c r="A19" s="41">
        <v>1</v>
      </c>
      <c r="B19" s="29"/>
      <c r="C19" s="47">
        <v>0</v>
      </c>
      <c r="D19" s="48"/>
      <c r="E19" s="47">
        <v>0</v>
      </c>
      <c r="F19" s="30"/>
      <c r="G19" s="3"/>
      <c r="H19" s="4"/>
    </row>
    <row r="20" spans="1:8" x14ac:dyDescent="0.35">
      <c r="A20" s="42">
        <v>2</v>
      </c>
      <c r="B20" s="29"/>
      <c r="C20" s="47">
        <v>0</v>
      </c>
      <c r="D20" s="48"/>
      <c r="E20" s="47">
        <v>0</v>
      </c>
      <c r="F20" s="30"/>
      <c r="G20" s="3"/>
      <c r="H20" s="4"/>
    </row>
    <row r="21" spans="1:8" x14ac:dyDescent="0.35">
      <c r="A21" s="42">
        <v>3</v>
      </c>
      <c r="B21" s="29"/>
      <c r="C21" s="47">
        <v>0</v>
      </c>
      <c r="D21" s="48"/>
      <c r="E21" s="47">
        <v>0</v>
      </c>
      <c r="F21" s="30"/>
      <c r="G21" s="3"/>
      <c r="H21" s="4"/>
    </row>
    <row r="22" spans="1:8" x14ac:dyDescent="0.35">
      <c r="A22" s="43">
        <f>A21+1</f>
        <v>4</v>
      </c>
      <c r="B22" s="29"/>
      <c r="C22" s="47">
        <v>0</v>
      </c>
      <c r="D22" s="48"/>
      <c r="E22" s="47">
        <v>0</v>
      </c>
      <c r="F22" s="30"/>
      <c r="G22" s="3"/>
      <c r="H22" s="4"/>
    </row>
    <row r="23" spans="1:8" x14ac:dyDescent="0.35">
      <c r="A23" s="3"/>
      <c r="B23" s="3"/>
      <c r="C23" s="4"/>
      <c r="D23" s="3"/>
      <c r="E23" s="3"/>
      <c r="F23" s="3"/>
      <c r="G23" s="3"/>
      <c r="H23" s="4"/>
    </row>
    <row r="24" spans="1:8" x14ac:dyDescent="0.35">
      <c r="A24" s="91" t="s">
        <v>11</v>
      </c>
      <c r="B24" s="92"/>
      <c r="C24" s="93"/>
      <c r="D24" s="4"/>
      <c r="E24" s="4"/>
      <c r="F24" s="4"/>
      <c r="G24" s="4"/>
    </row>
    <row r="25" spans="1:8" x14ac:dyDescent="0.35">
      <c r="A25" s="4"/>
      <c r="B25" s="4"/>
      <c r="C25" s="4"/>
      <c r="D25" s="4"/>
      <c r="E25" s="4"/>
      <c r="F25" s="4"/>
      <c r="G25" s="4"/>
    </row>
    <row r="26" spans="1:8" x14ac:dyDescent="0.35">
      <c r="A26" s="171" t="s">
        <v>12</v>
      </c>
      <c r="B26" s="172"/>
      <c r="C26" s="173"/>
      <c r="D26" s="101">
        <v>0</v>
      </c>
      <c r="E26" s="4"/>
      <c r="F26" s="4"/>
      <c r="G26" s="4"/>
    </row>
    <row r="27" spans="1:8" x14ac:dyDescent="0.35">
      <c r="A27" s="4"/>
      <c r="B27" s="4"/>
      <c r="C27" s="4"/>
      <c r="D27" s="4"/>
      <c r="E27" s="4"/>
      <c r="F27" s="4"/>
      <c r="G27" s="4"/>
    </row>
    <row r="28" spans="1:8" x14ac:dyDescent="0.35">
      <c r="A28" s="122" t="s">
        <v>13</v>
      </c>
      <c r="B28" s="4"/>
      <c r="C28" s="122" t="s">
        <v>9</v>
      </c>
      <c r="D28" s="4"/>
      <c r="E28" s="122" t="s">
        <v>10</v>
      </c>
      <c r="F28" s="4"/>
      <c r="G28" s="94" t="s">
        <v>64</v>
      </c>
    </row>
    <row r="29" spans="1:8" x14ac:dyDescent="0.35">
      <c r="A29" s="174"/>
      <c r="B29" s="175"/>
      <c r="C29" s="175"/>
      <c r="D29" s="175"/>
      <c r="E29" s="175"/>
      <c r="F29" s="175"/>
      <c r="G29" s="176"/>
    </row>
    <row r="30" spans="1:8" x14ac:dyDescent="0.35">
      <c r="A30" s="91" t="s">
        <v>14</v>
      </c>
      <c r="B30" s="92"/>
      <c r="C30" s="93"/>
      <c r="D30" s="6"/>
      <c r="E30" s="4"/>
      <c r="F30" s="6"/>
      <c r="G30" s="6"/>
    </row>
    <row r="31" spans="1:8" x14ac:dyDescent="0.35">
      <c r="A31" s="4"/>
      <c r="B31" s="4"/>
      <c r="C31" s="4"/>
      <c r="D31" s="4"/>
      <c r="E31" s="4"/>
      <c r="F31" s="4"/>
      <c r="G31" s="4"/>
    </row>
    <row r="32" spans="1:8" x14ac:dyDescent="0.35">
      <c r="A32" s="171" t="s">
        <v>12</v>
      </c>
      <c r="B32" s="172"/>
      <c r="C32" s="173"/>
      <c r="D32" s="101">
        <v>0</v>
      </c>
      <c r="E32" s="4"/>
      <c r="F32" s="4"/>
      <c r="G32" s="4"/>
    </row>
    <row r="33" spans="1:8" x14ac:dyDescent="0.35">
      <c r="A33" s="4"/>
      <c r="B33" s="4"/>
      <c r="C33" s="4"/>
      <c r="D33" s="4"/>
      <c r="E33" s="4"/>
      <c r="F33" s="4"/>
      <c r="G33" s="4"/>
    </row>
    <row r="34" spans="1:8" x14ac:dyDescent="0.35">
      <c r="A34" s="122" t="s">
        <v>13</v>
      </c>
      <c r="B34" s="4"/>
      <c r="C34" s="122" t="s">
        <v>9</v>
      </c>
      <c r="D34" s="4"/>
      <c r="E34" s="122" t="s">
        <v>10</v>
      </c>
      <c r="F34" s="4"/>
      <c r="G34" s="94" t="s">
        <v>15</v>
      </c>
    </row>
    <row r="35" spans="1:8" x14ac:dyDescent="0.35">
      <c r="A35" s="3"/>
      <c r="B35" s="3"/>
      <c r="C35" s="33"/>
      <c r="D35" s="3"/>
      <c r="E35" s="33"/>
      <c r="F35" s="3"/>
    </row>
    <row r="36" spans="1:8" x14ac:dyDescent="0.35">
      <c r="A36" s="91" t="s">
        <v>16</v>
      </c>
      <c r="B36" s="92"/>
      <c r="C36" s="4"/>
      <c r="D36" s="4"/>
      <c r="E36" s="4"/>
      <c r="F36" s="4"/>
      <c r="G36" s="4"/>
    </row>
    <row r="37" spans="1:8" x14ac:dyDescent="0.35">
      <c r="A37" s="4"/>
      <c r="B37" s="4"/>
      <c r="C37" s="4"/>
      <c r="D37" s="4"/>
      <c r="E37" s="4"/>
      <c r="F37" s="4"/>
      <c r="G37" s="4"/>
    </row>
    <row r="38" spans="1:8" x14ac:dyDescent="0.35">
      <c r="A38" s="171" t="s">
        <v>52</v>
      </c>
      <c r="B38" s="172"/>
      <c r="C38" s="177" t="s">
        <v>95</v>
      </c>
      <c r="D38" s="177"/>
      <c r="E38" s="102"/>
      <c r="F38" s="4"/>
      <c r="G38" s="4"/>
    </row>
    <row r="39" spans="1:8" x14ac:dyDescent="0.35">
      <c r="A39" s="4"/>
      <c r="B39" s="4"/>
      <c r="C39" s="33"/>
      <c r="D39" s="4"/>
      <c r="E39" s="4"/>
      <c r="F39" s="4"/>
      <c r="G39" s="4"/>
    </row>
    <row r="40" spans="1:8" hidden="1" x14ac:dyDescent="0.35">
      <c r="A40" s="180" t="s">
        <v>65</v>
      </c>
      <c r="B40" s="180"/>
      <c r="C40" s="5">
        <v>2</v>
      </c>
      <c r="D40" s="4"/>
      <c r="E40" s="95" t="s">
        <v>63</v>
      </c>
      <c r="F40" s="95"/>
      <c r="G40" s="95"/>
    </row>
    <row r="41" spans="1:8" hidden="1" x14ac:dyDescent="0.35">
      <c r="A41" s="4"/>
      <c r="B41" s="4"/>
      <c r="C41" s="7"/>
      <c r="D41" s="4"/>
      <c r="E41" s="95" t="s">
        <v>62</v>
      </c>
      <c r="F41" s="95"/>
      <c r="G41" s="95"/>
    </row>
    <row r="42" spans="1:8" hidden="1" x14ac:dyDescent="0.35">
      <c r="A42" s="180" t="s">
        <v>98</v>
      </c>
      <c r="B42" s="180"/>
      <c r="C42" s="5">
        <v>2</v>
      </c>
      <c r="D42" s="4"/>
      <c r="E42" s="95" t="s">
        <v>99</v>
      </c>
      <c r="F42" s="95"/>
      <c r="G42" s="95"/>
    </row>
    <row r="43" spans="1:8" hidden="1" x14ac:dyDescent="0.35">
      <c r="A43" s="3"/>
      <c r="B43" s="3"/>
      <c r="C43" s="33"/>
      <c r="D43" s="3"/>
      <c r="E43" s="106" t="s">
        <v>100</v>
      </c>
      <c r="F43" s="95"/>
      <c r="G43" s="95"/>
    </row>
    <row r="44" spans="1:8" hidden="1" x14ac:dyDescent="0.35">
      <c r="A44" s="180" t="s">
        <v>101</v>
      </c>
      <c r="B44" s="180"/>
      <c r="C44" s="5">
        <v>2</v>
      </c>
      <c r="D44" s="4"/>
      <c r="F44" s="4"/>
      <c r="G44" s="4"/>
    </row>
    <row r="45" spans="1:8" hidden="1" x14ac:dyDescent="0.35">
      <c r="A45" s="3"/>
      <c r="B45" s="3"/>
      <c r="C45" s="33"/>
      <c r="D45" s="4"/>
      <c r="E45" s="4"/>
      <c r="F45" s="4"/>
      <c r="G45" s="4"/>
    </row>
    <row r="46" spans="1:8" x14ac:dyDescent="0.35">
      <c r="A46" s="91" t="s">
        <v>55</v>
      </c>
      <c r="B46" s="4"/>
      <c r="C46" s="4"/>
      <c r="D46" s="4"/>
      <c r="E46" s="4"/>
      <c r="F46" s="4"/>
      <c r="G46" s="4"/>
    </row>
    <row r="47" spans="1:8" x14ac:dyDescent="0.35">
      <c r="A47" s="6"/>
      <c r="B47" s="4"/>
      <c r="C47" s="33"/>
      <c r="D47" s="4"/>
      <c r="E47" s="4"/>
      <c r="F47" s="4"/>
      <c r="G47" s="4"/>
      <c r="H47" s="6"/>
    </row>
    <row r="48" spans="1:8" x14ac:dyDescent="0.35">
      <c r="A48" s="171" t="s">
        <v>49</v>
      </c>
      <c r="B48" s="173"/>
      <c r="C48" s="9" t="s">
        <v>115</v>
      </c>
      <c r="E48" s="4"/>
      <c r="F48" s="4"/>
      <c r="G48" s="4"/>
      <c r="H48" s="6"/>
    </row>
    <row r="50" spans="1:8" ht="28" x14ac:dyDescent="0.35">
      <c r="A50" s="178" t="s">
        <v>124</v>
      </c>
      <c r="B50" s="179"/>
      <c r="C50" s="121" t="s">
        <v>125</v>
      </c>
      <c r="D50" s="119"/>
      <c r="E50" s="4"/>
      <c r="F50" s="59"/>
      <c r="G50" s="59"/>
      <c r="H50" s="59"/>
    </row>
    <row r="51" spans="1:8" x14ac:dyDescent="0.35">
      <c r="A51" s="59"/>
      <c r="B51" s="59"/>
      <c r="C51" s="59"/>
      <c r="D51" s="4"/>
      <c r="E51" s="4"/>
      <c r="F51" s="59"/>
      <c r="G51" s="59"/>
      <c r="H51" s="59"/>
    </row>
    <row r="52" spans="1:8" x14ac:dyDescent="0.35">
      <c r="A52" s="171" t="s">
        <v>92</v>
      </c>
      <c r="B52" s="173"/>
      <c r="C52" s="5" t="s">
        <v>87</v>
      </c>
      <c r="D52" s="59"/>
      <c r="E52" s="4"/>
      <c r="F52" s="59"/>
      <c r="G52" s="59"/>
      <c r="H52" s="59"/>
    </row>
    <row r="53" spans="1:8" x14ac:dyDescent="0.35">
      <c r="A53" s="4"/>
      <c r="B53" s="4"/>
      <c r="C53" s="4"/>
      <c r="D53" s="4"/>
      <c r="E53" s="4"/>
      <c r="F53" s="4"/>
      <c r="G53" s="4"/>
      <c r="H53" s="4"/>
    </row>
    <row r="54" spans="1:8" x14ac:dyDescent="0.35">
      <c r="A54" s="171" t="s">
        <v>106</v>
      </c>
      <c r="B54" s="173"/>
      <c r="C54" s="5" t="s">
        <v>87</v>
      </c>
      <c r="D54" s="4"/>
      <c r="E54" s="4"/>
      <c r="F54" s="4"/>
      <c r="G54" s="4"/>
      <c r="H54" s="4"/>
    </row>
    <row r="55" spans="1:8" x14ac:dyDescent="0.35">
      <c r="A55" s="4"/>
      <c r="B55" s="4"/>
      <c r="C55" s="4"/>
      <c r="D55" s="4"/>
      <c r="E55" s="4"/>
      <c r="F55" s="4"/>
      <c r="G55" s="4"/>
      <c r="H55" s="4"/>
    </row>
    <row r="56" spans="1:8" x14ac:dyDescent="0.35">
      <c r="A56" s="171" t="s">
        <v>53</v>
      </c>
      <c r="B56" s="173"/>
      <c r="C56" s="8">
        <v>0</v>
      </c>
      <c r="D56" s="4"/>
      <c r="E56" s="4"/>
      <c r="F56" s="4"/>
      <c r="G56" s="4"/>
      <c r="H56" s="4"/>
    </row>
  </sheetData>
  <dataConsolidate/>
  <mergeCells count="19">
    <mergeCell ref="A56:B56"/>
    <mergeCell ref="A9:G9"/>
    <mergeCell ref="A14:C14"/>
    <mergeCell ref="A52:B52"/>
    <mergeCell ref="A54:B54"/>
    <mergeCell ref="A50:B50"/>
    <mergeCell ref="A4:B4"/>
    <mergeCell ref="A6:B6"/>
    <mergeCell ref="A8:B8"/>
    <mergeCell ref="A10:B10"/>
    <mergeCell ref="A48:B48"/>
    <mergeCell ref="A26:C26"/>
    <mergeCell ref="A40:B40"/>
    <mergeCell ref="A42:B42"/>
    <mergeCell ref="A44:B44"/>
    <mergeCell ref="A29:G29"/>
    <mergeCell ref="A32:C32"/>
    <mergeCell ref="A38:B38"/>
    <mergeCell ref="C38:D38"/>
  </mergeCells>
  <dataValidations count="17">
    <dataValidation type="whole" operator="greaterThanOrEqual" allowBlank="1" showInputMessage="1" showErrorMessage="1" errorTitle="Ingreso de Contornos" error="Por lo menos debe ingresar 1 contorno." sqref="D14" xr:uid="{E43D095F-76A9-41F8-8D4C-75610C1B0AA9}">
      <formula1>1</formula1>
    </dataValidation>
    <dataValidation type="whole" allowBlank="1" showInputMessage="1" showErrorMessage="1" errorTitle="Error" error="El número de barras debe ser mayor o igual a 0." sqref="D32 D26" xr:uid="{D6BC7C31-9D55-4FE9-9E5C-5C7A06193D13}">
      <formula1>0</formula1>
      <formula2>500</formula2>
    </dataValidation>
    <dataValidation type="list" allowBlank="1" showInputMessage="1" showErrorMessage="1" sqref="C16" xr:uid="{E5C06B9D-2B13-411A-A82A-E5686A493D82}">
      <formula1>"Positivo, Negativo"</formula1>
    </dataValidation>
    <dataValidation type="whole" allowBlank="1" showInputMessage="1" showErrorMessage="1" errorTitle="Error" error="El número de nodos debe estar comprendido entre 1 y 500" sqref="A19:A22" xr:uid="{129F99F8-7EC0-4167-AD78-D2884029FCB9}">
      <formula1>1</formula1>
      <formula2>500</formula2>
    </dataValidation>
    <dataValidation type="list" allowBlank="1" showInputMessage="1" showErrorMessage="1" sqref="C10" xr:uid="{4175466A-230F-49D8-AA1E-12952B93B927}">
      <formula1>"Estribos, Barras Zunchadas"</formula1>
    </dataValidation>
    <dataValidation type="list" allowBlank="1" showInputMessage="1" sqref="C4" xr:uid="{74E0FA47-1277-4F64-B2B4-3F217EA00AAF}">
      <formula1>"20,25,30,35,40,45,50,55, 60, Otro(Ingresar en misma Celda)"</formula1>
    </dataValidation>
    <dataValidation type="whole" allowBlank="1" showInputMessage="1" showErrorMessage="1" errorTitle="Error" error="El número de barras debe estar comprendido entre 1 y 500" sqref="A29 A35" xr:uid="{4906906A-B073-43E9-B1BF-DEBE37269A2D}">
      <formula1>1</formula1>
      <formula2>500</formula2>
    </dataValidation>
    <dataValidation type="list" allowBlank="1" showInputMessage="1" showErrorMessage="1" sqref="C38:D38 C44:D44" xr:uid="{56096F2F-8157-441C-BB9E-C8F740D85FF8}">
      <formula1>"Muy Fina, Fina, Media, Gruesa, Muy Gruesa, Avanzada (Ingreso Manual)"</formula1>
    </dataValidation>
    <dataValidation type="list" allowBlank="1" showInputMessage="1" showErrorMessage="1" sqref="E16" xr:uid="{D92EABB1-49DC-4214-897F-836479071071}">
      <formula1>"Poligonal, Circular"</formula1>
    </dataValidation>
    <dataValidation type="list" allowBlank="1" showInputMessage="1" showErrorMessage="1" sqref="C6" xr:uid="{D14B5CCE-9849-472D-928E-BC604AF37BDC}">
      <formula1>"ADN 420, ADN 500, AL 220, Provisto por usuario"</formula1>
    </dataValidation>
    <dataValidation type="list" allowBlank="1" showInputMessage="1" showErrorMessage="1" sqref="C48" xr:uid="{6D6A6C5C-2BF7-4664-AEAF-447E5AC029A5}">
      <formula1>"2D,3D"</formula1>
    </dataValidation>
    <dataValidation type="list" allowBlank="1" showInputMessage="1" showErrorMessage="1" sqref="C8" xr:uid="{75355F5B-A03F-4F07-9FD5-A36182E8353D}">
      <formula1>"Barras 1050, Trenzas C1650, Trenzas C1900, Provisto por usuario"</formula1>
    </dataValidation>
    <dataValidation type="list" allowBlank="1" showInputMessage="1" showErrorMessage="1" error="Por favor, ingrese únicamente los valores predeterminados." sqref="C52" xr:uid="{DF4386E8-B723-48DA-8DD1-FA279E493262}">
      <formula1>"No, Sí"</formula1>
    </dataValidation>
    <dataValidation type="list" allowBlank="1" showInputMessage="1" showErrorMessage="1" sqref="C54" xr:uid="{D0B74073-23CE-4023-BDC3-5DDE914BA45B}">
      <formula1>"Sí, No"</formula1>
    </dataValidation>
    <dataValidation type="decimal" allowBlank="1" showInputMessage="1" showErrorMessage="1" errorTitle="ERROR" error="El ángulo de inclinación del plano de carga debe estar comprendido entre 0º y 180º" sqref="C56" xr:uid="{DA776ED4-D11F-4F2D-8DEF-9D90855EE0F4}">
      <formula1>0</formula1>
      <formula2>180</formula2>
    </dataValidation>
    <dataValidation type="whole" operator="greaterThanOrEqual" allowBlank="1" showInputMessage="1" showErrorMessage="1" errorTitle="Error" error="El número de nodos debe ser mayor a 3." sqref="G16" xr:uid="{57FFE394-7EAE-4AEA-81F9-53CB942A65B2}">
      <formula1>3</formula1>
    </dataValidation>
    <dataValidation type="list" allowBlank="1" error="Por favor, ingrese únicamente los valores predeterminados." prompt="Ingresar valor" sqref="C50" xr:uid="{6B50202B-26FD-4793-A30C-EA1D7658715D}">
      <formula1>"Variable según CIRSOC 201, Constante (Ingresar Valor en Celda)"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546100</xdr:colOff>
                    <xdr:row>1</xdr:row>
                    <xdr:rowOff>285750</xdr:rowOff>
                  </from>
                  <to>
                    <xdr:col>6</xdr:col>
                    <xdr:colOff>774700</xdr:colOff>
                    <xdr:row>4</xdr:row>
                    <xdr:rowOff>0</xdr:rowOff>
                  </to>
                </anchor>
              </controlPr>
            </control>
          </mc:Choice>
        </mc:AlternateContent>
        <mc:AlternateContent xmlns:mc="http://schemas.openxmlformats.org/markup-compatibility/2006">
          <mc:Choice Requires="x14">
            <control shapeId="16441" r:id="rId5" name="Button 57">
              <controlPr defaultSize="0" print="0" autoFill="0" autoPict="0" macro="[0]!Sheet1.RunPyExe_Click">
                <anchor moveWithCells="1" sizeWithCells="1">
                  <from>
                    <xdr:col>3</xdr:col>
                    <xdr:colOff>393700</xdr:colOff>
                    <xdr:row>45</xdr:row>
                    <xdr:rowOff>76200</xdr:rowOff>
                  </from>
                  <to>
                    <xdr:col>6</xdr:col>
                    <xdr:colOff>736600</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topLeftCell="A49" zoomScaleNormal="100" workbookViewId="0">
      <selection activeCell="A55" sqref="A55"/>
    </sheetView>
  </sheetViews>
  <sheetFormatPr defaultColWidth="8.7265625" defaultRowHeight="14" x14ac:dyDescent="0.3"/>
  <cols>
    <col min="1" max="1" width="21.1796875" style="59" customWidth="1"/>
    <col min="2" max="2" width="8.7265625" style="59"/>
    <col min="3" max="3" width="14.453125" style="59" customWidth="1"/>
    <col min="4" max="5" width="8.7265625" style="59"/>
    <col min="6" max="6" width="13" style="59" customWidth="1"/>
    <col min="7" max="7" width="15.81640625" style="59" customWidth="1"/>
    <col min="8" max="16384" width="8.7265625" style="59"/>
  </cols>
  <sheetData>
    <row r="1" spans="1:8" ht="30" customHeight="1" x14ac:dyDescent="0.3">
      <c r="A1" s="10" t="s">
        <v>38</v>
      </c>
      <c r="B1" s="10" t="s">
        <v>50</v>
      </c>
      <c r="C1" s="1" t="s">
        <v>39</v>
      </c>
      <c r="D1" s="10" t="s">
        <v>49</v>
      </c>
      <c r="E1" s="1" t="s">
        <v>40</v>
      </c>
      <c r="F1" s="37" t="s">
        <v>8</v>
      </c>
      <c r="G1" s="1">
        <v>4</v>
      </c>
    </row>
    <row r="2" spans="1:8" x14ac:dyDescent="0.3">
      <c r="A2" s="38"/>
      <c r="B2" s="38"/>
      <c r="C2" s="38"/>
      <c r="D2" s="38"/>
      <c r="E2" s="39"/>
      <c r="F2" s="40"/>
      <c r="G2" s="40"/>
      <c r="H2" s="4"/>
    </row>
    <row r="3" spans="1:8" x14ac:dyDescent="0.3">
      <c r="A3" s="36" t="s">
        <v>37</v>
      </c>
      <c r="B3" s="33"/>
      <c r="C3" s="35" t="s">
        <v>9</v>
      </c>
      <c r="D3" s="33"/>
      <c r="E3" s="49" t="s">
        <v>10</v>
      </c>
      <c r="F3" s="3"/>
      <c r="G3" s="3"/>
      <c r="H3" s="4"/>
    </row>
    <row r="4" spans="1:8" x14ac:dyDescent="0.3">
      <c r="A4" s="41">
        <v>1</v>
      </c>
      <c r="B4" s="29"/>
      <c r="C4" s="47">
        <v>0</v>
      </c>
      <c r="D4" s="48"/>
      <c r="E4" s="47">
        <v>0</v>
      </c>
      <c r="F4" s="30"/>
      <c r="G4" s="3"/>
      <c r="H4" s="4"/>
    </row>
    <row r="5" spans="1:8" x14ac:dyDescent="0.3">
      <c r="A5" s="42">
        <v>2</v>
      </c>
      <c r="B5" s="29"/>
      <c r="C5" s="47">
        <v>0</v>
      </c>
      <c r="D5" s="48"/>
      <c r="E5" s="47">
        <v>0</v>
      </c>
      <c r="F5" s="30"/>
      <c r="G5" s="3"/>
      <c r="H5" s="4"/>
    </row>
    <row r="6" spans="1:8" x14ac:dyDescent="0.3">
      <c r="A6" s="42">
        <v>3</v>
      </c>
      <c r="B6" s="29"/>
      <c r="C6" s="47">
        <v>0</v>
      </c>
      <c r="D6" s="48"/>
      <c r="E6" s="47">
        <v>0</v>
      </c>
      <c r="F6" s="30"/>
      <c r="G6" s="3"/>
      <c r="H6" s="4"/>
    </row>
    <row r="7" spans="1:8" x14ac:dyDescent="0.3">
      <c r="A7" s="43">
        <f>A6+1</f>
        <v>4</v>
      </c>
      <c r="B7" s="29"/>
      <c r="C7" s="47">
        <v>0</v>
      </c>
      <c r="D7" s="48"/>
      <c r="E7" s="47">
        <v>0</v>
      </c>
      <c r="F7" s="30"/>
      <c r="G7" s="3"/>
      <c r="H7" s="4"/>
    </row>
    <row r="8" spans="1:8" x14ac:dyDescent="0.3">
      <c r="A8" s="3"/>
      <c r="B8" s="3"/>
      <c r="C8" s="4"/>
      <c r="D8" s="3"/>
      <c r="E8" s="3"/>
      <c r="F8" s="3"/>
      <c r="G8" s="3"/>
      <c r="H8" s="4"/>
    </row>
    <row r="9" spans="1:8" x14ac:dyDescent="0.3">
      <c r="A9" s="3"/>
      <c r="B9" s="3"/>
      <c r="C9" s="4"/>
      <c r="D9" s="3"/>
      <c r="E9" s="3"/>
      <c r="F9" s="3"/>
      <c r="G9" s="3"/>
      <c r="H9" s="4"/>
    </row>
    <row r="10" spans="1:8" ht="30" customHeight="1" x14ac:dyDescent="0.3">
      <c r="A10" s="10" t="s">
        <v>38</v>
      </c>
      <c r="B10" s="10" t="s">
        <v>50</v>
      </c>
      <c r="C10" s="1" t="s">
        <v>39</v>
      </c>
      <c r="D10" s="10" t="s">
        <v>49</v>
      </c>
      <c r="E10" s="1" t="s">
        <v>41</v>
      </c>
      <c r="F10" s="107" t="s">
        <v>8</v>
      </c>
      <c r="G10" s="3"/>
      <c r="H10" s="4"/>
    </row>
    <row r="11" spans="1:8" x14ac:dyDescent="0.3">
      <c r="A11" s="3"/>
      <c r="B11" s="3"/>
      <c r="C11" s="50"/>
      <c r="D11" s="3"/>
      <c r="E11" s="33"/>
      <c r="F11" s="33"/>
      <c r="G11" s="3"/>
      <c r="H11" s="4"/>
    </row>
    <row r="12" spans="1:8" ht="14.5" thickBot="1" x14ac:dyDescent="0.35">
      <c r="A12" s="51" t="s">
        <v>47</v>
      </c>
      <c r="B12" s="52" t="s">
        <v>9</v>
      </c>
      <c r="C12" s="47">
        <v>0</v>
      </c>
      <c r="D12" s="112" t="s">
        <v>10</v>
      </c>
      <c r="E12" s="31">
        <v>0</v>
      </c>
      <c r="F12" s="3"/>
      <c r="G12" s="3"/>
      <c r="H12" s="4"/>
    </row>
    <row r="13" spans="1:8" ht="14.5" thickBot="1" x14ac:dyDescent="0.35">
      <c r="A13" s="3" t="s">
        <v>43</v>
      </c>
      <c r="B13" s="29"/>
      <c r="C13" s="47">
        <v>0</v>
      </c>
      <c r="E13" s="117"/>
      <c r="F13" s="30"/>
      <c r="G13" s="3"/>
      <c r="H13" s="4"/>
    </row>
    <row r="14" spans="1:8" x14ac:dyDescent="0.3">
      <c r="A14" s="3" t="s">
        <v>44</v>
      </c>
      <c r="B14" s="29"/>
      <c r="C14" s="47">
        <v>0</v>
      </c>
      <c r="D14" s="30"/>
      <c r="E14" s="3"/>
      <c r="F14" s="3"/>
      <c r="G14" s="3"/>
      <c r="H14" s="3"/>
    </row>
    <row r="15" spans="1:8" x14ac:dyDescent="0.3">
      <c r="A15" s="4"/>
      <c r="B15" s="4"/>
      <c r="C15" s="4"/>
      <c r="D15" s="3"/>
      <c r="E15" s="3"/>
      <c r="F15" s="3"/>
      <c r="G15" s="3"/>
      <c r="H15" s="3"/>
    </row>
    <row r="16" spans="1:8" x14ac:dyDescent="0.3">
      <c r="A16" s="4"/>
      <c r="B16" s="4"/>
      <c r="C16" s="4"/>
      <c r="D16" s="4"/>
      <c r="E16" s="4"/>
      <c r="F16" s="3"/>
      <c r="G16" s="3"/>
      <c r="H16" s="3"/>
    </row>
    <row r="17" spans="1:8" x14ac:dyDescent="0.3">
      <c r="A17" s="111" t="s">
        <v>38</v>
      </c>
      <c r="B17" s="34" t="s">
        <v>39</v>
      </c>
      <c r="C17" s="34" t="s">
        <v>54</v>
      </c>
      <c r="D17" s="3"/>
      <c r="E17" s="3"/>
      <c r="F17" s="3" t="s">
        <v>8</v>
      </c>
      <c r="G17" s="3"/>
      <c r="H17" s="34"/>
    </row>
    <row r="18" spans="1:8" x14ac:dyDescent="0.3">
      <c r="A18" s="3"/>
      <c r="B18" s="3"/>
      <c r="C18" s="3"/>
      <c r="D18" s="3"/>
      <c r="E18" s="33"/>
      <c r="F18" s="33"/>
      <c r="G18" s="3"/>
      <c r="H18" s="4"/>
    </row>
    <row r="19" spans="1:8" x14ac:dyDescent="0.3">
      <c r="A19" s="111" t="s">
        <v>42</v>
      </c>
      <c r="B19" s="111" t="s">
        <v>9</v>
      </c>
      <c r="C19" s="31">
        <v>0</v>
      </c>
      <c r="D19" s="111" t="s">
        <v>10</v>
      </c>
      <c r="E19" s="31">
        <v>0</v>
      </c>
      <c r="F19" s="3"/>
      <c r="G19" s="3"/>
      <c r="H19" s="4"/>
    </row>
    <row r="20" spans="1:8" x14ac:dyDescent="0.3">
      <c r="A20" s="111" t="s">
        <v>43</v>
      </c>
      <c r="B20" s="111"/>
      <c r="C20" s="31">
        <v>0</v>
      </c>
      <c r="E20" s="3"/>
      <c r="F20" s="3"/>
      <c r="G20" s="4"/>
      <c r="H20" s="4"/>
    </row>
    <row r="21" spans="1:8" x14ac:dyDescent="0.3">
      <c r="A21" s="111" t="s">
        <v>44</v>
      </c>
      <c r="B21" s="111"/>
      <c r="C21" s="32">
        <v>0</v>
      </c>
      <c r="D21" s="3"/>
      <c r="E21" s="3"/>
      <c r="F21" s="3"/>
      <c r="G21" s="4"/>
      <c r="H21" s="4"/>
    </row>
    <row r="22" spans="1:8" x14ac:dyDescent="0.3">
      <c r="A22" s="111" t="s">
        <v>45</v>
      </c>
      <c r="B22" s="111"/>
      <c r="C22" s="32">
        <v>0</v>
      </c>
      <c r="D22" s="201" t="s">
        <v>48</v>
      </c>
      <c r="E22" s="202"/>
      <c r="F22" s="202"/>
      <c r="G22" s="203"/>
      <c r="H22" s="4"/>
    </row>
    <row r="23" spans="1:8" x14ac:dyDescent="0.3">
      <c r="A23" s="111" t="s">
        <v>46</v>
      </c>
      <c r="B23" s="111"/>
      <c r="C23" s="32">
        <v>0</v>
      </c>
      <c r="D23" s="204"/>
      <c r="E23" s="205"/>
      <c r="F23" s="205"/>
      <c r="G23" s="206"/>
      <c r="H23" s="4"/>
    </row>
    <row r="24" spans="1:8" x14ac:dyDescent="0.3">
      <c r="A24" s="111"/>
      <c r="B24" s="111"/>
      <c r="C24" s="111"/>
      <c r="D24" s="111"/>
      <c r="E24" s="111"/>
      <c r="F24" s="111"/>
      <c r="G24" s="111"/>
      <c r="H24" s="111"/>
    </row>
    <row r="25" spans="1:8" x14ac:dyDescent="0.3">
      <c r="A25" s="118" t="s">
        <v>123</v>
      </c>
      <c r="B25" s="111"/>
      <c r="C25" s="111"/>
      <c r="D25" s="111"/>
      <c r="E25" s="111"/>
      <c r="F25" s="111"/>
      <c r="G25" s="111"/>
      <c r="H25" s="111"/>
    </row>
    <row r="26" spans="1:8" x14ac:dyDescent="0.3">
      <c r="A26" s="207"/>
      <c r="B26" s="208"/>
      <c r="C26" s="208"/>
      <c r="D26" s="208"/>
      <c r="E26" s="209"/>
      <c r="F26" s="4"/>
      <c r="G26" s="4"/>
      <c r="H26" s="4"/>
    </row>
    <row r="27" spans="1:8" x14ac:dyDescent="0.3">
      <c r="A27" s="4"/>
      <c r="B27" s="4"/>
      <c r="C27" s="4"/>
      <c r="D27" s="4"/>
      <c r="E27" s="4"/>
      <c r="F27" s="4"/>
      <c r="G27" s="4"/>
      <c r="H27" s="4"/>
    </row>
    <row r="28" spans="1:8" ht="28" x14ac:dyDescent="0.3">
      <c r="A28" s="178" t="s">
        <v>124</v>
      </c>
      <c r="B28" s="179"/>
      <c r="C28" s="121" t="s">
        <v>125</v>
      </c>
      <c r="D28" s="4"/>
      <c r="E28" s="4"/>
      <c r="F28" s="4"/>
      <c r="G28" s="4"/>
      <c r="H28" s="4"/>
    </row>
    <row r="29" spans="1:8" x14ac:dyDescent="0.3">
      <c r="A29" s="4"/>
      <c r="B29" s="4"/>
      <c r="C29" s="4"/>
      <c r="D29" s="4"/>
      <c r="E29" s="4"/>
      <c r="F29" s="4"/>
      <c r="G29" s="4"/>
      <c r="H29" s="4"/>
    </row>
    <row r="30" spans="1:8" x14ac:dyDescent="0.3">
      <c r="A30" s="171" t="s">
        <v>92</v>
      </c>
      <c r="B30" s="173"/>
      <c r="C30" s="5" t="s">
        <v>87</v>
      </c>
      <c r="D30" s="4"/>
      <c r="E30" s="4"/>
      <c r="F30" s="4"/>
      <c r="G30" s="4"/>
      <c r="H30" s="4"/>
    </row>
    <row r="31" spans="1:8" x14ac:dyDescent="0.3">
      <c r="A31" s="4"/>
      <c r="B31" s="4"/>
      <c r="C31" s="4"/>
      <c r="D31" s="4"/>
      <c r="E31" s="4"/>
      <c r="F31" s="4"/>
      <c r="G31" s="4"/>
      <c r="H31" s="4"/>
    </row>
    <row r="32" spans="1:8" x14ac:dyDescent="0.3">
      <c r="A32" s="171" t="s">
        <v>106</v>
      </c>
      <c r="B32" s="173"/>
      <c r="C32" s="5" t="s">
        <v>87</v>
      </c>
      <c r="D32" s="4"/>
      <c r="E32" s="4"/>
      <c r="F32" s="4"/>
      <c r="G32" s="4"/>
      <c r="H32" s="4"/>
    </row>
    <row r="33" spans="1:16" x14ac:dyDescent="0.3">
      <c r="A33" s="4"/>
      <c r="B33" s="4"/>
      <c r="C33" s="4"/>
      <c r="D33" s="4"/>
      <c r="E33" s="4"/>
      <c r="F33" s="4"/>
      <c r="G33" s="4"/>
      <c r="H33" s="4"/>
    </row>
    <row r="34" spans="1:16" ht="14.15" customHeight="1" x14ac:dyDescent="0.3">
      <c r="A34" s="171" t="s">
        <v>91</v>
      </c>
      <c r="B34" s="173"/>
      <c r="C34" s="115">
        <v>1</v>
      </c>
      <c r="D34" s="4"/>
      <c r="E34" s="4"/>
      <c r="F34" s="4"/>
      <c r="G34" s="4"/>
      <c r="H34" s="4"/>
    </row>
    <row r="35" spans="1:16" x14ac:dyDescent="0.3">
      <c r="A35" s="4"/>
      <c r="B35" s="4"/>
      <c r="C35" s="111" t="s">
        <v>90</v>
      </c>
      <c r="D35" s="4"/>
      <c r="E35" s="4"/>
      <c r="F35" s="4"/>
      <c r="G35" s="4"/>
      <c r="H35" s="4"/>
      <c r="I35" s="4"/>
    </row>
    <row r="36" spans="1:16" x14ac:dyDescent="0.3">
      <c r="A36" s="4"/>
      <c r="B36" s="4"/>
      <c r="C36" s="8">
        <v>0</v>
      </c>
      <c r="D36" s="4"/>
      <c r="E36" s="4"/>
      <c r="F36" s="4"/>
      <c r="G36" s="4"/>
      <c r="H36" s="4"/>
    </row>
    <row r="37" spans="1:16" x14ac:dyDescent="0.3">
      <c r="D37" s="4"/>
      <c r="E37" s="4"/>
      <c r="F37" s="4"/>
      <c r="G37" s="4"/>
      <c r="H37" s="4"/>
    </row>
    <row r="38" spans="1:16" x14ac:dyDescent="0.3">
      <c r="A38" s="118" t="s">
        <v>107</v>
      </c>
      <c r="D38" s="4"/>
      <c r="E38" s="4"/>
      <c r="N38" s="4"/>
      <c r="O38" s="4"/>
      <c r="P38" s="4"/>
    </row>
    <row r="39" spans="1:16" x14ac:dyDescent="0.3">
      <c r="D39" s="4"/>
      <c r="E39" s="4"/>
      <c r="N39" s="4"/>
      <c r="O39" s="4"/>
      <c r="P39" s="4"/>
    </row>
    <row r="40" spans="1:16" ht="28" customHeight="1" x14ac:dyDescent="0.3">
      <c r="A40" s="178" t="s">
        <v>124</v>
      </c>
      <c r="B40" s="179"/>
      <c r="C40" s="121" t="s">
        <v>125</v>
      </c>
      <c r="D40" s="119"/>
      <c r="E40" s="4"/>
      <c r="I40" s="4"/>
      <c r="J40" s="4"/>
    </row>
    <row r="41" spans="1:16" x14ac:dyDescent="0.3">
      <c r="D41" s="4"/>
      <c r="E41" s="4"/>
    </row>
    <row r="42" spans="1:16" x14ac:dyDescent="0.3">
      <c r="A42" s="171" t="s">
        <v>92</v>
      </c>
      <c r="B42" s="173"/>
      <c r="C42" s="5" t="s">
        <v>87</v>
      </c>
      <c r="E42" s="4"/>
    </row>
    <row r="43" spans="1:16" x14ac:dyDescent="0.3">
      <c r="A43" s="4"/>
      <c r="B43" s="4"/>
      <c r="C43" s="4"/>
      <c r="D43" s="4"/>
      <c r="E43" s="4"/>
      <c r="F43" s="4"/>
      <c r="G43" s="4"/>
      <c r="H43" s="4"/>
    </row>
    <row r="44" spans="1:16" x14ac:dyDescent="0.3">
      <c r="A44" s="171" t="s">
        <v>106</v>
      </c>
      <c r="B44" s="173"/>
      <c r="C44" s="5" t="s">
        <v>87</v>
      </c>
      <c r="D44" s="4"/>
      <c r="E44" s="4"/>
      <c r="F44" s="4"/>
      <c r="G44" s="4"/>
      <c r="H44" s="4"/>
    </row>
    <row r="45" spans="1:16" x14ac:dyDescent="0.3">
      <c r="A45" s="4"/>
      <c r="B45" s="4"/>
      <c r="C45" s="4"/>
      <c r="D45" s="4"/>
      <c r="E45" s="4"/>
      <c r="F45" s="4"/>
      <c r="G45" s="4"/>
      <c r="H45" s="4"/>
    </row>
    <row r="46" spans="1:16" x14ac:dyDescent="0.3">
      <c r="A46" s="171" t="s">
        <v>53</v>
      </c>
      <c r="B46" s="173"/>
      <c r="C46" s="8">
        <v>0</v>
      </c>
      <c r="D46" s="4"/>
      <c r="E46" s="4"/>
      <c r="F46" s="4"/>
      <c r="G46" s="4"/>
      <c r="H46" s="4"/>
    </row>
    <row r="47" spans="1:16" x14ac:dyDescent="0.3">
      <c r="D47" s="4"/>
      <c r="E47" s="4"/>
      <c r="F47" s="4"/>
      <c r="G47" s="4"/>
      <c r="H47" s="4"/>
    </row>
    <row r="48" spans="1:16" x14ac:dyDescent="0.3">
      <c r="D48" s="4"/>
      <c r="E48" s="4"/>
      <c r="F48" s="4"/>
      <c r="G48" s="4"/>
      <c r="H48" s="4"/>
    </row>
    <row r="49" spans="1:9" x14ac:dyDescent="0.3">
      <c r="D49" s="4"/>
      <c r="E49" s="4"/>
      <c r="F49" s="4"/>
      <c r="G49" s="4"/>
      <c r="H49" s="4"/>
    </row>
    <row r="50" spans="1:9" x14ac:dyDescent="0.3">
      <c r="A50" s="118" t="s">
        <v>93</v>
      </c>
      <c r="E50" s="4"/>
      <c r="F50" s="4"/>
      <c r="G50" s="4"/>
      <c r="H50" s="4"/>
    </row>
    <row r="51" spans="1:9" x14ac:dyDescent="0.3">
      <c r="A51" s="4"/>
      <c r="B51" s="4"/>
      <c r="C51" s="4"/>
      <c r="D51" s="4"/>
      <c r="E51" s="4"/>
      <c r="F51" s="4"/>
      <c r="G51" s="4"/>
      <c r="H51" s="4"/>
    </row>
    <row r="52" spans="1:9" x14ac:dyDescent="0.3">
      <c r="A52" s="171" t="s">
        <v>89</v>
      </c>
      <c r="B52" s="173"/>
      <c r="C52" s="115">
        <v>1</v>
      </c>
      <c r="D52" s="74"/>
      <c r="E52" s="4"/>
      <c r="F52" s="4"/>
      <c r="G52" s="4"/>
      <c r="H52" s="4"/>
    </row>
    <row r="53" spans="1:9" x14ac:dyDescent="0.3">
      <c r="A53" s="74"/>
      <c r="B53" s="4"/>
      <c r="C53" s="4"/>
      <c r="D53" s="4"/>
      <c r="E53" s="4"/>
      <c r="F53" s="4"/>
      <c r="G53" s="4"/>
      <c r="H53" s="4"/>
    </row>
    <row r="54" spans="1:9" x14ac:dyDescent="0.3">
      <c r="A54" s="36" t="s">
        <v>144</v>
      </c>
      <c r="B54" s="3"/>
      <c r="C54" s="113" t="s">
        <v>116</v>
      </c>
      <c r="D54" s="46"/>
      <c r="E54" s="114" t="s">
        <v>117</v>
      </c>
      <c r="F54" s="3"/>
      <c r="G54" s="3"/>
      <c r="H54" s="4"/>
    </row>
    <row r="55" spans="1:9" x14ac:dyDescent="0.3">
      <c r="A55" s="45" t="s">
        <v>88</v>
      </c>
      <c r="B55" s="3"/>
      <c r="C55" s="44">
        <v>0</v>
      </c>
      <c r="D55" s="4"/>
      <c r="E55" s="72">
        <v>0</v>
      </c>
      <c r="F55" s="46"/>
      <c r="G55" s="46"/>
      <c r="H55" s="4"/>
    </row>
    <row r="56" spans="1:9" x14ac:dyDescent="0.3">
      <c r="A56" s="4"/>
      <c r="B56" s="4"/>
      <c r="C56" s="4"/>
      <c r="D56" s="4"/>
      <c r="E56" s="4"/>
      <c r="F56" s="4"/>
      <c r="H56" s="4"/>
    </row>
    <row r="57" spans="1:9" x14ac:dyDescent="0.3">
      <c r="A57" s="118" t="s">
        <v>94</v>
      </c>
      <c r="B57" s="120"/>
      <c r="C57" s="120"/>
      <c r="D57" s="4"/>
      <c r="E57" s="4"/>
      <c r="F57" s="4"/>
      <c r="G57" s="4"/>
      <c r="H57" s="4"/>
    </row>
    <row r="58" spans="1:9" x14ac:dyDescent="0.3">
      <c r="A58" s="4"/>
      <c r="B58" s="4"/>
      <c r="C58" s="4"/>
      <c r="D58" s="4"/>
      <c r="E58" s="4"/>
      <c r="F58" s="4"/>
      <c r="G58" s="4"/>
      <c r="H58" s="4"/>
    </row>
    <row r="59" spans="1:9" x14ac:dyDescent="0.3">
      <c r="A59" s="171" t="s">
        <v>89</v>
      </c>
      <c r="B59" s="173"/>
      <c r="C59" s="115">
        <v>1</v>
      </c>
      <c r="D59" s="75"/>
      <c r="E59" s="75"/>
      <c r="F59" s="75"/>
      <c r="G59" s="75"/>
      <c r="H59" s="75"/>
    </row>
    <row r="60" spans="1:9" x14ac:dyDescent="0.3">
      <c r="A60" s="199"/>
      <c r="B60" s="200"/>
      <c r="C60" s="4"/>
      <c r="D60" s="75"/>
      <c r="E60" s="75"/>
      <c r="F60" s="75"/>
      <c r="G60" s="75"/>
      <c r="H60" s="75"/>
      <c r="I60" s="4"/>
    </row>
    <row r="61" spans="1:9" x14ac:dyDescent="0.3">
      <c r="A61" s="36" t="s">
        <v>144</v>
      </c>
      <c r="B61" s="3"/>
      <c r="C61" s="113" t="s">
        <v>116</v>
      </c>
      <c r="D61" s="3"/>
      <c r="E61" s="114" t="s">
        <v>118</v>
      </c>
      <c r="F61" s="46"/>
      <c r="G61" s="114" t="s">
        <v>119</v>
      </c>
      <c r="H61" s="111" t="s">
        <v>90</v>
      </c>
    </row>
    <row r="62" spans="1:9" x14ac:dyDescent="0.3">
      <c r="A62" s="45" t="s">
        <v>88</v>
      </c>
      <c r="B62" s="3"/>
      <c r="C62" s="44">
        <v>0</v>
      </c>
      <c r="D62" s="46"/>
      <c r="E62" s="72">
        <v>0</v>
      </c>
      <c r="F62" s="4"/>
      <c r="G62" s="72">
        <v>0</v>
      </c>
      <c r="H62" s="73" t="str">
        <f>IF(AND(E62=0,G62=0),"",IF(E62=0, G62/ABS(G62)*90, IF(ROUND(DEGREES(ATAN(G62/E62)),1)&gt;0, 180-DEGREES(ATAN(G62/E62)), ABS(DEGREES(ATAN(G62/E62))))))</f>
        <v/>
      </c>
    </row>
    <row r="63" spans="1:9" x14ac:dyDescent="0.3">
      <c r="A63" s="4"/>
      <c r="B63" s="4"/>
      <c r="C63" s="4"/>
      <c r="D63" s="4"/>
      <c r="E63" s="4"/>
      <c r="F63" s="4"/>
      <c r="G63" s="4"/>
      <c r="H63" s="4"/>
    </row>
    <row r="64" spans="1:9" x14ac:dyDescent="0.3">
      <c r="A64" s="3"/>
      <c r="B64" s="3"/>
      <c r="C64" s="4"/>
      <c r="D64" s="3"/>
      <c r="E64" s="3"/>
      <c r="F64" s="4"/>
      <c r="G64" s="3"/>
      <c r="H64" s="3"/>
    </row>
    <row r="65" spans="1:8" x14ac:dyDescent="0.3">
      <c r="A65" s="4"/>
      <c r="B65" s="4"/>
      <c r="C65" s="4"/>
      <c r="D65" s="4"/>
      <c r="E65" s="4"/>
      <c r="F65" s="4"/>
      <c r="G65" s="4"/>
      <c r="H65" s="4"/>
    </row>
    <row r="66" spans="1:8" x14ac:dyDescent="0.3">
      <c r="A66" s="116">
        <v>1</v>
      </c>
      <c r="B66" s="4"/>
      <c r="C66" s="132">
        <v>0</v>
      </c>
      <c r="D66" s="4"/>
      <c r="E66" s="132">
        <v>0</v>
      </c>
      <c r="F66" s="4"/>
      <c r="G66" s="2">
        <v>12</v>
      </c>
    </row>
    <row r="67" spans="1:8" x14ac:dyDescent="0.3">
      <c r="A67" s="4"/>
      <c r="B67" s="4"/>
      <c r="C67" s="4"/>
      <c r="D67" s="4"/>
      <c r="E67" s="4"/>
      <c r="F67" s="4"/>
      <c r="G67" s="4"/>
      <c r="H67" s="4"/>
    </row>
    <row r="68" spans="1:8" x14ac:dyDescent="0.3">
      <c r="A68" s="4"/>
      <c r="B68" s="4"/>
      <c r="C68" s="4"/>
      <c r="D68" s="4"/>
      <c r="E68" s="4"/>
      <c r="F68" s="4"/>
      <c r="G68" s="4"/>
      <c r="H68" s="4"/>
    </row>
    <row r="69" spans="1:8" x14ac:dyDescent="0.3">
      <c r="A69" s="116">
        <v>1</v>
      </c>
      <c r="B69" s="4"/>
      <c r="C69" s="132">
        <v>0</v>
      </c>
      <c r="D69" s="4"/>
      <c r="E69" s="132">
        <v>0</v>
      </c>
      <c r="F69" s="4"/>
      <c r="G69" s="2">
        <v>1</v>
      </c>
    </row>
    <row r="70" spans="1:8" x14ac:dyDescent="0.3">
      <c r="A70" s="111"/>
      <c r="B70" s="111"/>
      <c r="C70" s="111"/>
      <c r="D70" s="111"/>
      <c r="E70" s="111"/>
      <c r="F70" s="111"/>
      <c r="G70" s="111"/>
      <c r="H70" s="111"/>
    </row>
    <row r="71" spans="1:8" x14ac:dyDescent="0.3">
      <c r="A71" s="111"/>
      <c r="B71" s="111"/>
      <c r="C71" s="111"/>
      <c r="D71" s="111"/>
      <c r="E71" s="111"/>
      <c r="F71" s="111"/>
      <c r="G71" s="111"/>
      <c r="H71" s="111"/>
    </row>
    <row r="72" spans="1:8" x14ac:dyDescent="0.3">
      <c r="A72" s="4"/>
      <c r="B72" s="4"/>
      <c r="C72" s="4"/>
      <c r="D72" s="4"/>
      <c r="E72" s="4"/>
      <c r="F72" s="4"/>
      <c r="G72" s="4"/>
      <c r="H72" s="4"/>
    </row>
    <row r="73" spans="1:8" x14ac:dyDescent="0.3">
      <c r="A73" s="4"/>
      <c r="B73" s="4"/>
      <c r="C73" s="4"/>
      <c r="D73" s="4"/>
      <c r="E73" s="4"/>
      <c r="F73" s="4"/>
      <c r="G73" s="4"/>
      <c r="H73" s="4"/>
    </row>
    <row r="74" spans="1:8" x14ac:dyDescent="0.3">
      <c r="A74" s="4"/>
      <c r="B74" s="4"/>
      <c r="C74" s="4"/>
      <c r="D74" s="4"/>
      <c r="E74" s="4"/>
      <c r="F74" s="4"/>
      <c r="G74" s="4"/>
      <c r="H74" s="4"/>
    </row>
    <row r="75" spans="1:8" x14ac:dyDescent="0.3">
      <c r="A75" s="4"/>
      <c r="B75" s="4"/>
      <c r="C75" s="4"/>
      <c r="D75" s="4"/>
      <c r="E75" s="4"/>
      <c r="F75" s="4"/>
      <c r="G75" s="4"/>
      <c r="H75" s="4"/>
    </row>
    <row r="76" spans="1:8" x14ac:dyDescent="0.3">
      <c r="A76" s="4"/>
      <c r="B76" s="4"/>
      <c r="C76" s="4"/>
      <c r="D76" s="4"/>
      <c r="E76" s="4"/>
      <c r="F76" s="4"/>
      <c r="G76" s="4"/>
      <c r="H76" s="4"/>
    </row>
    <row r="77" spans="1:8" x14ac:dyDescent="0.3">
      <c r="A77" s="4"/>
      <c r="B77" s="4"/>
      <c r="C77" s="4"/>
      <c r="D77" s="4"/>
      <c r="E77" s="4"/>
      <c r="F77" s="4"/>
      <c r="G77" s="4"/>
      <c r="H77" s="4"/>
    </row>
    <row r="78" spans="1:8" x14ac:dyDescent="0.3">
      <c r="A78" s="4"/>
      <c r="B78" s="4"/>
      <c r="C78" s="4"/>
      <c r="D78" s="4"/>
      <c r="E78" s="4"/>
      <c r="F78" s="4"/>
      <c r="G78" s="4"/>
      <c r="H78" s="4"/>
    </row>
    <row r="79" spans="1:8" x14ac:dyDescent="0.3">
      <c r="A79" s="4"/>
      <c r="B79" s="4"/>
      <c r="C79" s="4"/>
      <c r="D79" s="4"/>
      <c r="E79" s="4"/>
      <c r="F79" s="4"/>
      <c r="G79" s="4"/>
      <c r="H79" s="4"/>
    </row>
    <row r="80" spans="1:8" x14ac:dyDescent="0.3">
      <c r="A80" s="4"/>
      <c r="B80" s="4"/>
      <c r="C80" s="4"/>
      <c r="D80" s="4"/>
      <c r="E80" s="4"/>
      <c r="F80" s="4"/>
      <c r="G80" s="4"/>
      <c r="H80" s="4"/>
    </row>
    <row r="81" spans="1:8" x14ac:dyDescent="0.3">
      <c r="A81" s="4"/>
      <c r="B81" s="4"/>
      <c r="C81" s="4"/>
      <c r="D81" s="4"/>
      <c r="E81" s="4"/>
      <c r="F81" s="4"/>
      <c r="G81" s="4"/>
      <c r="H81" s="4"/>
    </row>
    <row r="82" spans="1:8" x14ac:dyDescent="0.3">
      <c r="A82" s="4"/>
      <c r="B82" s="4"/>
      <c r="C82" s="4"/>
      <c r="D82" s="4"/>
      <c r="E82" s="4"/>
      <c r="F82" s="4"/>
      <c r="G82" s="4"/>
      <c r="H82" s="4"/>
    </row>
    <row r="83" spans="1:8" x14ac:dyDescent="0.3">
      <c r="A83" s="4"/>
      <c r="B83" s="4"/>
      <c r="C83" s="4"/>
      <c r="D83" s="4"/>
      <c r="E83" s="4"/>
      <c r="F83" s="4"/>
      <c r="G83" s="4"/>
      <c r="H83" s="4"/>
    </row>
  </sheetData>
  <mergeCells count="13">
    <mergeCell ref="A40:B40"/>
    <mergeCell ref="A52:B52"/>
    <mergeCell ref="A59:B59"/>
    <mergeCell ref="A60:B60"/>
    <mergeCell ref="D22:G23"/>
    <mergeCell ref="A26:E26"/>
    <mergeCell ref="A28:B28"/>
    <mergeCell ref="A30:B30"/>
    <mergeCell ref="A42:B42"/>
    <mergeCell ref="A44:B44"/>
    <mergeCell ref="A32:B32"/>
    <mergeCell ref="A34:B34"/>
    <mergeCell ref="A46:B46"/>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30 C42" xr:uid="{8B27F687-FE2F-4124-9E9F-C509423B7EFF}">
      <formula1>"No, Sí"</formula1>
    </dataValidation>
    <dataValidation type="whole" allowBlank="1" showInputMessage="1" showErrorMessage="1" errorTitle="Error" error="El valor debe estar comprendido entre 0 y 500" sqref="C34"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32 C44"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36 C46"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 type="list" allowBlank="1" error="Por favor, ingrese únicamente los valores predeterminados." prompt="Ingresar valor" sqref="C40 C28" xr:uid="{3090FE92-58C8-4910-B632-B51F02B0A9A0}">
      <formula1>"Variable según CIRSOC 201, Constante (Ingresar Valor en Celda)"</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ACSAHE</dc:title>
  <dc:creator>Facundo L. Pfeffer</dc:creator>
  <cp:lastModifiedBy>Facundo Tomas Leguizamon</cp:lastModifiedBy>
  <dcterms:created xsi:type="dcterms:W3CDTF">2023-04-14T12:25:15Z</dcterms:created>
  <dcterms:modified xsi:type="dcterms:W3CDTF">2024-08-04T19:07:52Z</dcterms:modified>
</cp:coreProperties>
</file>