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:\PC Facundo L Pfeffer - Drive Backup\Ingeniería Civil\03 - Investigaciones\01 - Automatización de Diagramas de Interacción\01 - Archivos\ACSAHE\"/>
    </mc:Choice>
  </mc:AlternateContent>
  <xr:revisionPtr revIDLastSave="0" documentId="13_ncr:1_{B282C096-C542-4B09-8C4B-87996C1055D3}" xr6:coauthVersionLast="47" xr6:coauthVersionMax="47" xr10:uidLastSave="{00000000-0000-0000-0000-000000000000}"/>
  <bookViews>
    <workbookView xWindow="-105" yWindow="0" windowWidth="19410" windowHeight="20985" xr2:uid="{6C1792F0-6D7B-40E4-BF39-E06A9BBFB0A4}"/>
  </bookViews>
  <sheets>
    <sheet name="Ingreso de Datos" sheetId="1" r:id="rId1"/>
    <sheet name="BACKUP Ingreso de Datos" sheetId="11" r:id="rId2"/>
    <sheet name="Diagrama de Interacción" sheetId="7" r:id="rId3"/>
    <sheet name="Resultados" sheetId="6" r:id="rId4"/>
    <sheet name="Armaduras Pasivas" sheetId="3" r:id="rId5"/>
    <sheet name="Armaduras Activas" sheetId="4" r:id="rId6"/>
    <sheet name="AUX" sheetId="5" r:id="rId7"/>
  </sheets>
  <functionGroups builtInGroupCount="19"/>
  <externalReferences>
    <externalReference r:id="rId8"/>
  </externalReferences>
  <definedNames>
    <definedName name="INTERACCIÓN" localSheetId="2">'Diagrama de Interacción'!#REF!</definedName>
    <definedName name="_xlnm.Print_Area" localSheetId="2">'Diagrama de Interacción'!$A$1:$G$50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2" i="1" l="1"/>
  <c r="A22" i="11"/>
  <c r="G1" i="7" l="1"/>
  <c r="A7" i="5" l="1"/>
  <c r="B5" i="3"/>
  <c r="D5" i="3"/>
  <c r="C5" i="3"/>
</calcChain>
</file>

<file path=xl/sharedStrings.xml><?xml version="1.0" encoding="utf-8"?>
<sst xmlns="http://schemas.openxmlformats.org/spreadsheetml/2006/main" count="194" uniqueCount="104">
  <si>
    <t>MATERIALES</t>
  </si>
  <si>
    <t>Calidad/Tipo</t>
  </si>
  <si>
    <t>Hormigón Calidad  H -</t>
  </si>
  <si>
    <t>Acero Pasivo Tipo</t>
  </si>
  <si>
    <t>ADN 420</t>
  </si>
  <si>
    <t>Acero Pretensado Tipo</t>
  </si>
  <si>
    <t>Def. efectiva</t>
  </si>
  <si>
    <t>ARMADURAS TRANSVERSALES</t>
  </si>
  <si>
    <t xml:space="preserve"> mediante</t>
  </si>
  <si>
    <t>Estribos</t>
  </si>
  <si>
    <t>GEOMETRÍA DE LA SECCIÓN DE HORMIGÓN</t>
  </si>
  <si>
    <t>Cantidad de contornos convexos</t>
  </si>
  <si>
    <t>Cantidad de Nodos</t>
  </si>
  <si>
    <t>X [cm]</t>
  </si>
  <si>
    <t>Y [cm]</t>
  </si>
  <si>
    <t>ARMADURAS PASIVAS (H°- Armado)</t>
  </si>
  <si>
    <t>Cantidad de barras</t>
  </si>
  <si>
    <t>Barra nº</t>
  </si>
  <si>
    <t>ARMADURAS ACTIVAS (H°- Pretensado)</t>
  </si>
  <si>
    <t>Área [cm²]</t>
  </si>
  <si>
    <t>DISCRETIZACIÓN DE LA SECCIÓN</t>
  </si>
  <si>
    <t>ΔX =</t>
  </si>
  <si>
    <t>cm</t>
  </si>
  <si>
    <t>ΔY =</t>
  </si>
  <si>
    <t>AL 220</t>
  </si>
  <si>
    <t>ADN 500</t>
  </si>
  <si>
    <t>Propiedades</t>
  </si>
  <si>
    <t>Provisto por Usuario</t>
  </si>
  <si>
    <t>fy: Tensión de Fluencia [MPa]</t>
  </si>
  <si>
    <t>E [Mpa]</t>
  </si>
  <si>
    <t>ARMADURAS PASIVAS</t>
  </si>
  <si>
    <t>BARRAS
1050</t>
  </si>
  <si>
    <t>TRENZAS
C1650</t>
  </si>
  <si>
    <t>TRENZAS
C1900</t>
  </si>
  <si>
    <t>fpy: Tensión de Fluencia [MPa]</t>
  </si>
  <si>
    <t>fpu: Tensión de Rotura [MPa]</t>
  </si>
  <si>
    <t>N</t>
  </si>
  <si>
    <t>K</t>
  </si>
  <si>
    <t>Q</t>
  </si>
  <si>
    <t>ARMADURAS ACTIVAS</t>
  </si>
  <si>
    <t>Trenzas C1900</t>
  </si>
  <si>
    <t>Eps [Mpa]</t>
  </si>
  <si>
    <t>(Recomendado ≈ 5‰)</t>
  </si>
  <si>
    <t>εy: Alargamiento
 de fluencia</t>
  </si>
  <si>
    <t>εu: Alargamiento
de rotura</t>
  </si>
  <si>
    <t>εpu: Alargamiento
de rotura</t>
  </si>
  <si>
    <t>Nodo Nº</t>
  </si>
  <si>
    <t>Contorno</t>
  </si>
  <si>
    <t>Positivo</t>
  </si>
  <si>
    <t>Poligonal</t>
  </si>
  <si>
    <t>Circular</t>
  </si>
  <si>
    <t>Nodo Centroº</t>
  </si>
  <si>
    <t>Radio Interno [cm]</t>
  </si>
  <si>
    <t>Radio Externo [cm]</t>
  </si>
  <si>
    <t>Ángulo Inicial [°]</t>
  </si>
  <si>
    <t>Ángulo Final [°]</t>
  </si>
  <si>
    <t>Nodo Centro</t>
  </si>
  <si>
    <t>Los ángulos se definen con respecto al eje x en sentido antihorario</t>
  </si>
  <si>
    <t>Tipo</t>
  </si>
  <si>
    <t>Signo</t>
  </si>
  <si>
    <t>Contorno 1</t>
  </si>
  <si>
    <t>Nivel de Discretización</t>
  </si>
  <si>
    <t>2D</t>
  </si>
  <si>
    <t>RESULTADO</t>
  </si>
  <si>
    <t>Ángulo plano de carga λ =</t>
  </si>
  <si>
    <t>3D</t>
  </si>
  <si>
    <t>Número de planos</t>
  </si>
  <si>
    <t>Plano Nº</t>
  </si>
  <si>
    <t>Ángulo  λ [°]</t>
  </si>
  <si>
    <t>Verificación</t>
  </si>
  <si>
    <t>Número de estados</t>
  </si>
  <si>
    <t>Estado</t>
  </si>
  <si>
    <t>1.2D+1.6L</t>
  </si>
  <si>
    <t>1.4D</t>
  </si>
  <si>
    <t>P [kN]</t>
  </si>
  <si>
    <t>P positivo</t>
  </si>
  <si>
    <t>Tracción</t>
  </si>
  <si>
    <t>Anithorario</t>
  </si>
  <si>
    <t>M positivo</t>
  </si>
  <si>
    <t>M [kNm]</t>
  </si>
  <si>
    <t>P [kNm]</t>
  </si>
  <si>
    <t>Avanzada (Ingreso Manual)</t>
  </si>
  <si>
    <t>Región Circular</t>
  </si>
  <si>
    <t>RESULTADOS</t>
  </si>
  <si>
    <t>Generar Informe</t>
  </si>
  <si>
    <t>Si</t>
  </si>
  <si>
    <t>Diagrama de interacción  con inclinación del plano de carga λ =</t>
  </si>
  <si>
    <t>ΦPn    [KN]</t>
  </si>
  <si>
    <t>ΦMnλ [KNm]</t>
  </si>
  <si>
    <t>Verificar puntos</t>
  </si>
  <si>
    <t>Pu          [KN]</t>
  </si>
  <si>
    <t>Muλ   [KNm]</t>
  </si>
  <si>
    <t>(ΦMnλ es el momento compuesto en dirección perpendicular al plano de carga λ, se obtiene de la siguiente manera ΦMnλ = √(ΦMnx²+ΦMny²) y se considera positivo cuando ΦMnx es positivo)</t>
  </si>
  <si>
    <t>Φ</t>
  </si>
  <si>
    <t>d</t>
  </si>
  <si>
    <t>del tipo "Circular", la discretización del radio</t>
  </si>
  <si>
    <t>Nota: En el caso de ingresar elemento</t>
  </si>
  <si>
    <t xml:space="preserve">se tomará como el menor de los valores de </t>
  </si>
  <si>
    <t>ΔX y ΔY</t>
  </si>
  <si>
    <t>°</t>
  </si>
  <si>
    <t>Diámetro [mm]</t>
  </si>
  <si>
    <t>ΔX [cm] =</t>
  </si>
  <si>
    <t>ΔY [cm] =</t>
  </si>
  <si>
    <t>Δθ [°] =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</si>
</sst>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#,##0.00\ &quot;‰&quot;"/>
    <numFmt numFmtId="165" formatCode="0.0"/>
    <numFmt numFmtId="166" formatCode="0.000"/>
    <numFmt numFmtId="167" formatCode="00\º.0"/>
  </numFmts>
  <fonts count="1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u/>
      <sz val="11"/>
      <color theme="1"/>
      <name val="Arial"/>
      <family val="2"/>
    </font>
    <font>
      <b/>
      <i/>
      <sz val="11"/>
      <color rgb="FFFF0000"/>
      <name val="Arial"/>
      <family val="2"/>
    </font>
    <font>
      <sz val="11"/>
      <color theme="1"/>
      <name val="Arial"/>
      <family val="2"/>
    </font>
    <font>
      <u/>
      <sz val="11"/>
      <color theme="1"/>
      <name val="Arial"/>
      <family val="2"/>
    </font>
    <font>
      <sz val="10"/>
      <color theme="1"/>
      <name val="Arial"/>
      <family val="2"/>
    </font>
    <font>
      <b/>
      <sz val="11"/>
      <color theme="1"/>
      <name val="Arial"/>
      <family val="2"/>
    </font>
    <font>
      <sz val="11"/>
      <color theme="0"/>
      <name val="Arial"/>
      <family val="2"/>
    </font>
    <font>
      <sz val="11"/>
      <color rgb="FF000000"/>
      <name val="Calibri"/>
      <family val="2"/>
    </font>
    <font>
      <sz val="14"/>
      <color theme="1"/>
      <name val="Arial"/>
      <family val="2"/>
    </font>
    <font>
      <i/>
      <sz val="11"/>
      <color theme="1"/>
      <name val="Arial"/>
      <family val="2"/>
    </font>
    <font>
      <i/>
      <sz val="10"/>
      <color theme="1"/>
      <name val="Arial"/>
      <family val="2"/>
    </font>
    <font>
      <sz val="11"/>
      <color theme="0"/>
      <name val="Calibri"/>
      <family val="2"/>
      <scheme val="minor"/>
    </font>
    <font>
      <sz val="11"/>
      <color rgb="FF00000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</fills>
  <borders count="47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medium">
        <color theme="1"/>
      </left>
      <right/>
      <top/>
      <bottom/>
      <diagonal/>
    </border>
    <border>
      <left/>
      <right style="medium">
        <color theme="1"/>
      </right>
      <top/>
      <bottom/>
      <diagonal/>
    </border>
    <border>
      <left style="medium">
        <color theme="1"/>
      </left>
      <right/>
      <top/>
      <bottom style="medium">
        <color theme="1"/>
      </bottom>
      <diagonal/>
    </border>
    <border>
      <left/>
      <right/>
      <top/>
      <bottom style="medium">
        <color theme="1"/>
      </bottom>
      <diagonal/>
    </border>
    <border>
      <left/>
      <right style="medium">
        <color theme="1"/>
      </right>
      <top/>
      <bottom style="medium">
        <color theme="1"/>
      </bottom>
      <diagonal/>
    </border>
    <border>
      <left style="medium">
        <color theme="1"/>
      </left>
      <right/>
      <top style="medium">
        <color theme="1"/>
      </top>
      <bottom/>
      <diagonal/>
    </border>
    <border>
      <left/>
      <right/>
      <top style="medium">
        <color theme="1"/>
      </top>
      <bottom/>
      <diagonal/>
    </border>
    <border>
      <left/>
      <right style="medium">
        <color theme="1"/>
      </right>
      <top style="medium">
        <color theme="1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/>
      <top/>
      <bottom style="dashed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ck">
        <color indexed="64"/>
      </top>
      <bottom style="thick">
        <color indexed="64"/>
      </bottom>
      <diagonal/>
    </border>
    <border>
      <left/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dashed">
        <color indexed="64"/>
      </bottom>
      <diagonal/>
    </border>
    <border>
      <left/>
      <right style="medium">
        <color indexed="64"/>
      </right>
      <top/>
      <bottom style="dashed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 tint="-0.34998626667073579"/>
      </top>
      <bottom style="thin">
        <color theme="0"/>
      </bottom>
      <diagonal/>
    </border>
    <border>
      <left style="thin">
        <color theme="0"/>
      </left>
      <right/>
      <top style="thin">
        <color theme="0" tint="-0.34998626667073579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39">
    <xf numFmtId="0" fontId="0" fillId="0" borderId="0" xfId="0"/>
    <xf numFmtId="0" fontId="4" fillId="2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center"/>
    </xf>
    <xf numFmtId="0" fontId="4" fillId="0" borderId="1" xfId="0" applyFont="1" applyBorder="1" applyAlignment="1">
      <alignment vertical="center"/>
    </xf>
    <xf numFmtId="0" fontId="2" fillId="0" borderId="1" xfId="0" applyFont="1" applyBorder="1" applyAlignment="1">
      <alignment horizontal="left" vertical="center"/>
    </xf>
    <xf numFmtId="0" fontId="4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 wrapText="1"/>
    </xf>
    <xf numFmtId="0" fontId="5" fillId="0" borderId="1" xfId="0" applyFont="1" applyBorder="1" applyAlignment="1">
      <alignment vertical="center"/>
    </xf>
    <xf numFmtId="0" fontId="6" fillId="0" borderId="1" xfId="0" applyFont="1" applyBorder="1" applyAlignment="1">
      <alignment vertical="center" wrapText="1"/>
    </xf>
    <xf numFmtId="0" fontId="4" fillId="0" borderId="1" xfId="0" applyFont="1" applyBorder="1" applyAlignment="1">
      <alignment vertical="center" wrapText="1"/>
    </xf>
    <xf numFmtId="0" fontId="4" fillId="2" borderId="1" xfId="0" applyFont="1" applyFill="1" applyBorder="1" applyAlignment="1">
      <alignment horizontal="center" vertical="center"/>
    </xf>
    <xf numFmtId="164" fontId="4" fillId="2" borderId="1" xfId="1" applyNumberFormat="1" applyFont="1" applyFill="1" applyBorder="1" applyAlignment="1">
      <alignment horizontal="center" vertical="center"/>
    </xf>
    <xf numFmtId="0" fontId="4" fillId="0" borderId="1" xfId="0" applyFont="1" applyBorder="1"/>
    <xf numFmtId="0" fontId="4" fillId="0" borderId="1" xfId="0" applyFont="1" applyBorder="1" applyAlignment="1">
      <alignment horizontal="center"/>
    </xf>
    <xf numFmtId="165" fontId="4" fillId="2" borderId="1" xfId="0" applyNumberFormat="1" applyFont="1" applyFill="1" applyBorder="1" applyAlignment="1">
      <alignment horizontal="center"/>
    </xf>
    <xf numFmtId="0" fontId="0" fillId="0" borderId="1" xfId="0" applyBorder="1"/>
    <xf numFmtId="0" fontId="0" fillId="2" borderId="1" xfId="0" applyFill="1" applyBorder="1" applyAlignment="1">
      <alignment horizontal="center"/>
    </xf>
    <xf numFmtId="165" fontId="4" fillId="0" borderId="1" xfId="0" applyNumberFormat="1" applyFont="1" applyBorder="1"/>
    <xf numFmtId="167" fontId="4" fillId="2" borderId="1" xfId="0" applyNumberFormat="1" applyFont="1" applyFill="1" applyBorder="1" applyAlignment="1">
      <alignment horizontal="center"/>
    </xf>
    <xf numFmtId="166" fontId="4" fillId="2" borderId="4" xfId="0" applyNumberFormat="1" applyFont="1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10" fontId="4" fillId="3" borderId="1" xfId="1" applyNumberFormat="1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10" fontId="4" fillId="3" borderId="0" xfId="1" applyNumberFormat="1" applyFont="1" applyFill="1" applyBorder="1" applyAlignment="1">
      <alignment horizontal="center" vertical="center"/>
    </xf>
    <xf numFmtId="0" fontId="4" fillId="3" borderId="7" xfId="0" applyFont="1" applyFill="1" applyBorder="1" applyAlignment="1">
      <alignment horizontal="center" vertical="center"/>
    </xf>
    <xf numFmtId="0" fontId="4" fillId="3" borderId="7" xfId="0" applyFont="1" applyFill="1" applyBorder="1" applyAlignment="1">
      <alignment horizontal="center" vertical="center" wrapText="1"/>
    </xf>
    <xf numFmtId="0" fontId="4" fillId="3" borderId="9" xfId="0" applyFont="1" applyFill="1" applyBorder="1" applyAlignment="1">
      <alignment horizontal="center" vertical="center" wrapText="1"/>
    </xf>
    <xf numFmtId="9" fontId="4" fillId="3" borderId="10" xfId="1" applyFont="1" applyFill="1" applyBorder="1" applyAlignment="1">
      <alignment horizontal="center" vertical="center"/>
    </xf>
    <xf numFmtId="0" fontId="4" fillId="2" borderId="8" xfId="0" applyFont="1" applyFill="1" applyBorder="1" applyAlignment="1">
      <alignment horizontal="center" vertical="center"/>
    </xf>
    <xf numFmtId="9" fontId="4" fillId="2" borderId="11" xfId="1" applyFont="1" applyFill="1" applyBorder="1" applyAlignment="1">
      <alignment horizontal="center" vertical="center"/>
    </xf>
    <xf numFmtId="0" fontId="4" fillId="3" borderId="15" xfId="0" applyFont="1" applyFill="1" applyBorder="1" applyAlignment="1">
      <alignment horizontal="center" vertical="center"/>
    </xf>
    <xf numFmtId="0" fontId="4" fillId="3" borderId="16" xfId="0" applyFont="1" applyFill="1" applyBorder="1" applyAlignment="1">
      <alignment horizontal="center" vertical="center"/>
    </xf>
    <xf numFmtId="0" fontId="4" fillId="2" borderId="17" xfId="0" applyFont="1" applyFill="1" applyBorder="1" applyAlignment="1">
      <alignment horizontal="center" vertical="center" wrapText="1"/>
    </xf>
    <xf numFmtId="166" fontId="4" fillId="3" borderId="0" xfId="1" applyNumberFormat="1" applyFont="1" applyFill="1" applyBorder="1" applyAlignment="1">
      <alignment horizontal="center" vertical="center"/>
    </xf>
    <xf numFmtId="0" fontId="4" fillId="3" borderId="18" xfId="0" applyFont="1" applyFill="1" applyBorder="1" applyAlignment="1">
      <alignment horizontal="center" vertical="center" wrapText="1"/>
    </xf>
    <xf numFmtId="10" fontId="4" fillId="3" borderId="19" xfId="1" applyNumberFormat="1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/>
    </xf>
    <xf numFmtId="0" fontId="4" fillId="3" borderId="23" xfId="0" applyFont="1" applyFill="1" applyBorder="1" applyAlignment="1">
      <alignment horizontal="center" vertical="center"/>
    </xf>
    <xf numFmtId="0" fontId="4" fillId="2" borderId="24" xfId="0" applyFont="1" applyFill="1" applyBorder="1" applyAlignment="1">
      <alignment horizontal="center" vertical="center" wrapText="1"/>
    </xf>
    <xf numFmtId="0" fontId="4" fillId="3" borderId="25" xfId="0" applyFont="1" applyFill="1" applyBorder="1" applyAlignment="1">
      <alignment horizontal="center" vertical="center"/>
    </xf>
    <xf numFmtId="0" fontId="4" fillId="2" borderId="26" xfId="0" applyFont="1" applyFill="1" applyBorder="1" applyAlignment="1">
      <alignment horizontal="center" vertical="center" wrapText="1"/>
    </xf>
    <xf numFmtId="0" fontId="4" fillId="3" borderId="25" xfId="0" applyFont="1" applyFill="1" applyBorder="1" applyAlignment="1">
      <alignment horizontal="center" vertical="center" wrapText="1"/>
    </xf>
    <xf numFmtId="0" fontId="4" fillId="2" borderId="26" xfId="0" applyFont="1" applyFill="1" applyBorder="1" applyAlignment="1">
      <alignment horizontal="center" vertical="center"/>
    </xf>
    <xf numFmtId="0" fontId="4" fillId="3" borderId="27" xfId="0" applyFont="1" applyFill="1" applyBorder="1" applyAlignment="1">
      <alignment horizontal="center" vertical="center" wrapText="1"/>
    </xf>
    <xf numFmtId="10" fontId="4" fillId="2" borderId="28" xfId="0" applyNumberFormat="1" applyFont="1" applyFill="1" applyBorder="1" applyAlignment="1">
      <alignment horizontal="center" vertical="center"/>
    </xf>
    <xf numFmtId="0" fontId="4" fillId="3" borderId="29" xfId="0" applyFont="1" applyFill="1" applyBorder="1" applyAlignment="1">
      <alignment horizontal="center" vertical="center"/>
    </xf>
    <xf numFmtId="0" fontId="4" fillId="3" borderId="30" xfId="0" applyFont="1" applyFill="1" applyBorder="1" applyAlignment="1">
      <alignment horizontal="center" vertical="center"/>
    </xf>
    <xf numFmtId="9" fontId="4" fillId="2" borderId="31" xfId="1" applyFont="1" applyFill="1" applyBorder="1" applyAlignment="1">
      <alignment horizontal="center" vertical="center"/>
    </xf>
    <xf numFmtId="0" fontId="4" fillId="0" borderId="5" xfId="0" applyFont="1" applyBorder="1" applyAlignment="1">
      <alignment horizontal="center"/>
    </xf>
    <xf numFmtId="0" fontId="4" fillId="0" borderId="6" xfId="0" applyFont="1" applyBorder="1" applyAlignment="1">
      <alignment horizontal="center"/>
    </xf>
    <xf numFmtId="0" fontId="4" fillId="0" borderId="5" xfId="0" applyFont="1" applyBorder="1" applyAlignment="1">
      <alignment vertical="center"/>
    </xf>
    <xf numFmtId="0" fontId="4" fillId="0" borderId="6" xfId="0" applyFont="1" applyBorder="1" applyAlignment="1">
      <alignment vertical="center"/>
    </xf>
    <xf numFmtId="165" fontId="4" fillId="2" borderId="3" xfId="0" applyNumberFormat="1" applyFont="1" applyFill="1" applyBorder="1" applyAlignment="1">
      <alignment horizontal="center" vertical="center"/>
    </xf>
    <xf numFmtId="165" fontId="4" fillId="2" borderId="4" xfId="0" applyNumberFormat="1" applyFont="1" applyFill="1" applyBorder="1" applyAlignment="1">
      <alignment horizontal="center" vertical="center"/>
    </xf>
    <xf numFmtId="0" fontId="4" fillId="0" borderId="2" xfId="0" applyFont="1" applyBorder="1" applyAlignment="1">
      <alignment vertical="center"/>
    </xf>
    <xf numFmtId="0" fontId="4" fillId="0" borderId="33" xfId="0" applyFont="1" applyBorder="1" applyAlignment="1">
      <alignment horizontal="center" vertical="center"/>
    </xf>
    <xf numFmtId="0" fontId="4" fillId="2" borderId="34" xfId="0" applyFont="1" applyFill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4" fillId="0" borderId="0" xfId="0" applyFont="1" applyAlignment="1">
      <alignment vertical="center"/>
    </xf>
    <xf numFmtId="0" fontId="4" fillId="0" borderId="2" xfId="0" applyFont="1" applyBorder="1" applyAlignment="1">
      <alignment horizontal="center" vertical="center"/>
    </xf>
    <xf numFmtId="0" fontId="4" fillId="3" borderId="0" xfId="0" applyFont="1" applyFill="1" applyAlignment="1">
      <alignment horizontal="center" vertical="center" wrapText="1"/>
    </xf>
    <xf numFmtId="0" fontId="4" fillId="3" borderId="0" xfId="0" applyFont="1" applyFill="1" applyAlignment="1">
      <alignment vertical="center"/>
    </xf>
    <xf numFmtId="0" fontId="4" fillId="3" borderId="40" xfId="0" applyFont="1" applyFill="1" applyBorder="1" applyAlignment="1">
      <alignment vertical="center"/>
    </xf>
    <xf numFmtId="0" fontId="4" fillId="3" borderId="2" xfId="0" applyFont="1" applyFill="1" applyBorder="1" applyAlignment="1">
      <alignment vertical="center"/>
    </xf>
    <xf numFmtId="0" fontId="8" fillId="3" borderId="0" xfId="0" applyFont="1" applyFill="1" applyAlignment="1">
      <alignment horizontal="center" vertical="center" wrapText="1"/>
    </xf>
    <xf numFmtId="0" fontId="4" fillId="3" borderId="3" xfId="0" applyFont="1" applyFill="1" applyBorder="1" applyAlignment="1">
      <alignment horizontal="center" vertical="center"/>
    </xf>
    <xf numFmtId="0" fontId="4" fillId="3" borderId="4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center" vertical="center"/>
    </xf>
    <xf numFmtId="2" fontId="4" fillId="2" borderId="1" xfId="0" applyNumberFormat="1" applyFont="1" applyFill="1" applyBorder="1" applyAlignment="1">
      <alignment horizontal="center"/>
    </xf>
    <xf numFmtId="1" fontId="4" fillId="2" borderId="1" xfId="0" applyNumberFormat="1" applyFont="1" applyFill="1" applyBorder="1" applyAlignment="1">
      <alignment horizontal="center"/>
    </xf>
    <xf numFmtId="0" fontId="0" fillId="0" borderId="0" xfId="0" applyAlignment="1">
      <alignment horizontal="center" vertical="center"/>
    </xf>
    <xf numFmtId="0" fontId="4" fillId="2" borderId="3" xfId="0" applyFont="1" applyFill="1" applyBorder="1" applyAlignment="1">
      <alignment horizontal="center" vertical="center"/>
    </xf>
    <xf numFmtId="2" fontId="4" fillId="0" borderId="1" xfId="0" applyNumberFormat="1" applyFont="1" applyBorder="1" applyAlignment="1">
      <alignment vertical="center"/>
    </xf>
    <xf numFmtId="0" fontId="3" fillId="0" borderId="1" xfId="0" applyFont="1" applyBorder="1" applyAlignment="1">
      <alignment vertical="center"/>
    </xf>
    <xf numFmtId="0" fontId="0" fillId="2" borderId="1" xfId="0" applyFill="1" applyBorder="1"/>
    <xf numFmtId="0" fontId="2" fillId="0" borderId="5" xfId="0" applyFont="1" applyBorder="1"/>
    <xf numFmtId="0" fontId="2" fillId="0" borderId="32" xfId="0" applyFont="1" applyBorder="1"/>
    <xf numFmtId="0" fontId="4" fillId="0" borderId="6" xfId="0" applyFont="1" applyBorder="1" applyAlignment="1">
      <alignment horizontal="center" vertical="center"/>
    </xf>
    <xf numFmtId="165" fontId="4" fillId="2" borderId="0" xfId="0" applyNumberFormat="1" applyFont="1" applyFill="1" applyAlignment="1">
      <alignment horizontal="center" vertical="center"/>
    </xf>
    <xf numFmtId="0" fontId="4" fillId="0" borderId="32" xfId="0" applyFont="1" applyBorder="1" applyAlignment="1">
      <alignment vertical="center"/>
    </xf>
    <xf numFmtId="0" fontId="4" fillId="0" borderId="3" xfId="0" applyFont="1" applyBorder="1" applyAlignment="1">
      <alignment horizontal="center" vertical="center"/>
    </xf>
    <xf numFmtId="0" fontId="4" fillId="0" borderId="3" xfId="0" applyFont="1" applyBorder="1" applyAlignment="1">
      <alignment vertical="center"/>
    </xf>
    <xf numFmtId="0" fontId="4" fillId="0" borderId="3" xfId="0" applyFont="1" applyBorder="1" applyAlignment="1">
      <alignment horizontal="left" vertical="center"/>
    </xf>
    <xf numFmtId="0" fontId="4" fillId="0" borderId="35" xfId="0" applyFont="1" applyBorder="1" applyAlignment="1">
      <alignment horizontal="center" vertical="center"/>
    </xf>
    <xf numFmtId="0" fontId="0" fillId="0" borderId="41" xfId="0" applyBorder="1"/>
    <xf numFmtId="11" fontId="0" fillId="0" borderId="44" xfId="0" applyNumberFormat="1" applyBorder="1" applyProtection="1">
      <protection locked="0"/>
    </xf>
    <xf numFmtId="166" fontId="0" fillId="2" borderId="45" xfId="0" applyNumberFormat="1" applyFill="1" applyBorder="1" applyProtection="1">
      <protection locked="0"/>
    </xf>
    <xf numFmtId="0" fontId="0" fillId="0" borderId="0" xfId="0" applyProtection="1">
      <protection locked="0"/>
    </xf>
    <xf numFmtId="0" fontId="0" fillId="0" borderId="44" xfId="0" applyBorder="1" applyProtection="1">
      <protection locked="0"/>
    </xf>
    <xf numFmtId="165" fontId="4" fillId="3" borderId="6" xfId="0" applyNumberFormat="1" applyFont="1" applyFill="1" applyBorder="1"/>
    <xf numFmtId="0" fontId="2" fillId="0" borderId="1" xfId="0" applyFont="1" applyBorder="1"/>
    <xf numFmtId="0" fontId="2" fillId="0" borderId="6" xfId="0" applyFont="1" applyBorder="1"/>
    <xf numFmtId="0" fontId="2" fillId="0" borderId="1" xfId="0" applyFont="1" applyBorder="1" applyAlignment="1">
      <alignment vertical="center"/>
    </xf>
    <xf numFmtId="0" fontId="8" fillId="0" borderId="2" xfId="0" applyFont="1" applyBorder="1" applyAlignment="1">
      <alignment vertical="center"/>
    </xf>
    <xf numFmtId="0" fontId="14" fillId="0" borderId="46" xfId="0" applyFont="1" applyBorder="1" applyAlignment="1">
      <alignment horizontal="center"/>
    </xf>
    <xf numFmtId="0" fontId="4" fillId="0" borderId="1" xfId="0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32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4" fillId="2" borderId="1" xfId="0" applyFont="1" applyFill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32" xfId="0" applyBorder="1" applyAlignment="1">
      <alignment horizontal="center"/>
    </xf>
    <xf numFmtId="0" fontId="4" fillId="0" borderId="5" xfId="0" applyFont="1" applyBorder="1" applyAlignment="1">
      <alignment horizontal="center"/>
    </xf>
    <xf numFmtId="0" fontId="4" fillId="0" borderId="32" xfId="0" applyFont="1" applyBorder="1" applyAlignment="1">
      <alignment horizontal="center"/>
    </xf>
    <xf numFmtId="0" fontId="4" fillId="0" borderId="6" xfId="0" applyFont="1" applyBorder="1" applyAlignment="1">
      <alignment horizontal="center"/>
    </xf>
    <xf numFmtId="165" fontId="4" fillId="2" borderId="32" xfId="0" applyNumberFormat="1" applyFont="1" applyFill="1" applyBorder="1" applyAlignment="1">
      <alignment horizontal="center"/>
    </xf>
    <xf numFmtId="0" fontId="0" fillId="0" borderId="6" xfId="0" applyBorder="1" applyAlignment="1">
      <alignment horizontal="center"/>
    </xf>
    <xf numFmtId="0" fontId="13" fillId="3" borderId="38" xfId="0" applyFont="1" applyFill="1" applyBorder="1" applyAlignment="1">
      <alignment horizontal="center"/>
    </xf>
    <xf numFmtId="0" fontId="13" fillId="3" borderId="39" xfId="0" applyFont="1" applyFill="1" applyBorder="1" applyAlignment="1">
      <alignment horizontal="center"/>
    </xf>
    <xf numFmtId="0" fontId="13" fillId="3" borderId="40" xfId="0" applyFont="1" applyFill="1" applyBorder="1" applyAlignment="1">
      <alignment horizontal="center"/>
    </xf>
    <xf numFmtId="0" fontId="11" fillId="0" borderId="0" xfId="0" applyFont="1" applyAlignment="1">
      <alignment horizontal="justify" vertical="center" wrapText="1"/>
    </xf>
    <xf numFmtId="0" fontId="2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12" fillId="0" borderId="0" xfId="0" applyFont="1" applyAlignment="1">
      <alignment horizontal="justify" vertical="top" wrapText="1"/>
    </xf>
    <xf numFmtId="0" fontId="7" fillId="0" borderId="42" xfId="0" applyFont="1" applyBorder="1" applyAlignment="1">
      <alignment horizontal="center" vertical="center" wrapText="1"/>
    </xf>
    <xf numFmtId="0" fontId="7" fillId="0" borderId="43" xfId="0" applyFont="1" applyBorder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167" fontId="10" fillId="4" borderId="0" xfId="0" applyNumberFormat="1" applyFont="1" applyFill="1" applyAlignment="1">
      <alignment horizontal="center" vertical="center"/>
    </xf>
    <xf numFmtId="0" fontId="7" fillId="3" borderId="12" xfId="0" applyFont="1" applyFill="1" applyBorder="1" applyAlignment="1">
      <alignment horizontal="center" vertical="center"/>
    </xf>
    <xf numFmtId="0" fontId="7" fillId="3" borderId="13" xfId="0" applyFont="1" applyFill="1" applyBorder="1" applyAlignment="1">
      <alignment horizontal="center" vertical="center"/>
    </xf>
    <xf numFmtId="0" fontId="7" fillId="3" borderId="14" xfId="0" applyFont="1" applyFill="1" applyBorder="1" applyAlignment="1">
      <alignment horizontal="center" vertical="center"/>
    </xf>
    <xf numFmtId="0" fontId="7" fillId="3" borderId="20" xfId="0" applyFont="1" applyFill="1" applyBorder="1" applyAlignment="1">
      <alignment horizontal="center" vertical="center"/>
    </xf>
    <xf numFmtId="0" fontId="7" fillId="3" borderId="21" xfId="0" applyFont="1" applyFill="1" applyBorder="1" applyAlignment="1">
      <alignment horizontal="center" vertical="center"/>
    </xf>
    <xf numFmtId="0" fontId="7" fillId="3" borderId="22" xfId="0" applyFont="1" applyFill="1" applyBorder="1" applyAlignment="1">
      <alignment horizontal="center" vertical="center"/>
    </xf>
    <xf numFmtId="0" fontId="4" fillId="0" borderId="35" xfId="0" applyFont="1" applyBorder="1" applyAlignment="1">
      <alignment horizontal="center" vertical="center" wrapText="1"/>
    </xf>
    <xf numFmtId="0" fontId="4" fillId="0" borderId="36" xfId="0" applyFont="1" applyBorder="1" applyAlignment="1">
      <alignment horizontal="center" vertical="center" wrapText="1"/>
    </xf>
    <xf numFmtId="0" fontId="4" fillId="0" borderId="37" xfId="0" applyFont="1" applyBorder="1" applyAlignment="1">
      <alignment horizontal="center" vertical="center" wrapText="1"/>
    </xf>
    <xf numFmtId="0" fontId="4" fillId="0" borderId="38" xfId="0" applyFont="1" applyBorder="1" applyAlignment="1">
      <alignment horizontal="center" vertical="center" wrapText="1"/>
    </xf>
    <xf numFmtId="0" fontId="4" fillId="0" borderId="39" xfId="0" applyFont="1" applyBorder="1" applyAlignment="1">
      <alignment horizontal="center" vertical="center" wrapText="1"/>
    </xf>
    <xf numFmtId="0" fontId="4" fillId="0" borderId="40" xfId="0" applyFont="1" applyBorder="1" applyAlignment="1">
      <alignment horizontal="center" vertical="center" wrapText="1"/>
    </xf>
    <xf numFmtId="0" fontId="2" fillId="0" borderId="5" xfId="0" applyFont="1" applyBorder="1" applyAlignment="1">
      <alignment horizontal="left"/>
    </xf>
    <xf numFmtId="0" fontId="2" fillId="0" borderId="32" xfId="0" applyFont="1" applyBorder="1" applyAlignment="1">
      <alignment horizontal="left"/>
    </xf>
    <xf numFmtId="0" fontId="2" fillId="0" borderId="6" xfId="0" applyFont="1" applyBorder="1" applyAlignment="1">
      <alignment horizontal="left"/>
    </xf>
    <xf numFmtId="167" fontId="4" fillId="2" borderId="5" xfId="0" applyNumberFormat="1" applyFont="1" applyFill="1" applyBorder="1" applyAlignment="1">
      <alignment horizontal="center"/>
    </xf>
    <xf numFmtId="167" fontId="4" fillId="2" borderId="6" xfId="0" applyNumberFormat="1" applyFont="1" applyFill="1" applyBorder="1" applyAlignment="1">
      <alignment horizont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751264036340161"/>
          <c:y val="2.7643987351388719E-2"/>
          <c:w val="0.79705358194678089"/>
          <c:h val="0.9099802985469075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xVal>
            <c:numRef>
              <c:f>'Diagrama de Interacción'!$J$3:$J$1048576</c:f>
              <c:numCache>
                <c:formatCode>0.00E+00</c:formatCode>
                <c:ptCount val="1048574"/>
                <c:pt idx="0">
                  <c:v>1080.645040982</c:v>
                </c:pt>
                <c:pt idx="1">
                  <c:v>1080.645040982</c:v>
                </c:pt>
                <c:pt idx="2">
                  <c:v>1080.645040982</c:v>
                </c:pt>
                <c:pt idx="3">
                  <c:v>1080.645040982</c:v>
                </c:pt>
                <c:pt idx="4">
                  <c:v>1080.645040982</c:v>
                </c:pt>
                <c:pt idx="5">
                  <c:v>1080.645040982</c:v>
                </c:pt>
                <c:pt idx="6">
                  <c:v>1080.645040982</c:v>
                </c:pt>
                <c:pt idx="7">
                  <c:v>1080.645040982</c:v>
                </c:pt>
                <c:pt idx="8">
                  <c:v>1080.645040982</c:v>
                </c:pt>
                <c:pt idx="9">
                  <c:v>1080.645040982</c:v>
                </c:pt>
                <c:pt idx="10">
                  <c:v>1049.498630024</c:v>
                </c:pt>
                <c:pt idx="11">
                  <c:v>1000.0706300325</c:v>
                </c:pt>
                <c:pt idx="12">
                  <c:v>950.64263003450003</c:v>
                </c:pt>
                <c:pt idx="13">
                  <c:v>901.21463004300006</c:v>
                </c:pt>
                <c:pt idx="14">
                  <c:v>851.78663004500004</c:v>
                </c:pt>
                <c:pt idx="15">
                  <c:v>802.35863005349995</c:v>
                </c:pt>
                <c:pt idx="16">
                  <c:v>752.93063005550005</c:v>
                </c:pt>
                <c:pt idx="17">
                  <c:v>703.50263006400007</c:v>
                </c:pt>
                <c:pt idx="18">
                  <c:v>654.07463006600005</c:v>
                </c:pt>
                <c:pt idx="19">
                  <c:v>604.64663007450008</c:v>
                </c:pt>
                <c:pt idx="20">
                  <c:v>555.21863007649995</c:v>
                </c:pt>
                <c:pt idx="21">
                  <c:v>505.79063008500003</c:v>
                </c:pt>
                <c:pt idx="22">
                  <c:v>456.36263008700001</c:v>
                </c:pt>
                <c:pt idx="23">
                  <c:v>406.93463009550004</c:v>
                </c:pt>
                <c:pt idx="24">
                  <c:v>357.50663009749996</c:v>
                </c:pt>
                <c:pt idx="25">
                  <c:v>308.07863010599999</c:v>
                </c:pt>
                <c:pt idx="26">
                  <c:v>304.78343010700002</c:v>
                </c:pt>
                <c:pt idx="27">
                  <c:v>301.48823010799998</c:v>
                </c:pt>
                <c:pt idx="28">
                  <c:v>298.19303010250002</c:v>
                </c:pt>
                <c:pt idx="29">
                  <c:v>294.89783010350004</c:v>
                </c:pt>
                <c:pt idx="30">
                  <c:v>291.60263010450001</c:v>
                </c:pt>
                <c:pt idx="31">
                  <c:v>288.30743010549998</c:v>
                </c:pt>
                <c:pt idx="32">
                  <c:v>285.0122301065</c:v>
                </c:pt>
                <c:pt idx="33">
                  <c:v>3180.1450409820004</c:v>
                </c:pt>
                <c:pt idx="34">
                  <c:v>3180.1450409820004</c:v>
                </c:pt>
                <c:pt idx="35">
                  <c:v>3180.1450409820004</c:v>
                </c:pt>
                <c:pt idx="36">
                  <c:v>3180.1450409820004</c:v>
                </c:pt>
                <c:pt idx="37">
                  <c:v>3180.1450409820004</c:v>
                </c:pt>
                <c:pt idx="38">
                  <c:v>3180.1450409820004</c:v>
                </c:pt>
                <c:pt idx="39">
                  <c:v>3180.1450409820004</c:v>
                </c:pt>
                <c:pt idx="40">
                  <c:v>3373.863039022086</c:v>
                </c:pt>
                <c:pt idx="41">
                  <c:v>5058.645040982</c:v>
                </c:pt>
                <c:pt idx="42">
                  <c:v>-3681.2955088162057</c:v>
                </c:pt>
                <c:pt idx="43">
                  <c:v>-3683.0337869542504</c:v>
                </c:pt>
                <c:pt idx="44">
                  <c:v>-3684.7665917022887</c:v>
                </c:pt>
                <c:pt idx="45">
                  <c:v>-3693.3927716592011</c:v>
                </c:pt>
                <c:pt idx="46">
                  <c:v>-3695.1390407226345</c:v>
                </c:pt>
                <c:pt idx="47">
                  <c:v>-3696.8452145908332</c:v>
                </c:pt>
                <c:pt idx="48">
                  <c:v>-3698.6040859710351</c:v>
                </c:pt>
                <c:pt idx="49">
                  <c:v>-3700.3302591970887</c:v>
                </c:pt>
                <c:pt idx="50">
                  <c:v>-3703.7758835554232</c:v>
                </c:pt>
                <c:pt idx="51">
                  <c:v>-3705.47721052927</c:v>
                </c:pt>
                <c:pt idx="52">
                  <c:v>-3800.7266238774191</c:v>
                </c:pt>
                <c:pt idx="53">
                  <c:v>-3804.0166204280345</c:v>
                </c:pt>
                <c:pt idx="54">
                  <c:v>-3902.2945096175972</c:v>
                </c:pt>
                <c:pt idx="55">
                  <c:v>-5433.2118271404734</c:v>
                </c:pt>
                <c:pt idx="56">
                  <c:v>-5434.9428931696766</c:v>
                </c:pt>
                <c:pt idx="57">
                  <c:v>-5436.6359423543627</c:v>
                </c:pt>
                <c:pt idx="58">
                  <c:v>-5438.3922585307482</c:v>
                </c:pt>
                <c:pt idx="59">
                  <c:v>-5445.2911341585705</c:v>
                </c:pt>
                <c:pt idx="60">
                  <c:v>-5446.9925697932758</c:v>
                </c:pt>
                <c:pt idx="61">
                  <c:v>-5448.7295371779974</c:v>
                </c:pt>
                <c:pt idx="62">
                  <c:v>-5534.0543045563272</c:v>
                </c:pt>
                <c:pt idx="63">
                  <c:v>-5537.2884214994147</c:v>
                </c:pt>
                <c:pt idx="64">
                  <c:v>-5540.6034207270777</c:v>
                </c:pt>
                <c:pt idx="65">
                  <c:v>-5543.9190205850336</c:v>
                </c:pt>
                <c:pt idx="66">
                  <c:v>-7144.9215479498334</c:v>
                </c:pt>
                <c:pt idx="67">
                  <c:v>-8393.5834721602259</c:v>
                </c:pt>
                <c:pt idx="68">
                  <c:v>-9486.9155804712573</c:v>
                </c:pt>
                <c:pt idx="69">
                  <c:v>-9592.5305831790211</c:v>
                </c:pt>
                <c:pt idx="70">
                  <c:v>-10334.582738326004</c:v>
                </c:pt>
                <c:pt idx="71">
                  <c:v>-10408.761958083438</c:v>
                </c:pt>
                <c:pt idx="72">
                  <c:v>-11048.861820848511</c:v>
                </c:pt>
                <c:pt idx="73">
                  <c:v>-11109.552747562686</c:v>
                </c:pt>
                <c:pt idx="74">
                  <c:v>-11581.28530085799</c:v>
                </c:pt>
                <c:pt idx="75">
                  <c:v>-11638.757919853519</c:v>
                </c:pt>
                <c:pt idx="76">
                  <c:v>-11688.212797910099</c:v>
                </c:pt>
                <c:pt idx="77">
                  <c:v>-11762.440616304802</c:v>
                </c:pt>
                <c:pt idx="78">
                  <c:v>-11946.967927129974</c:v>
                </c:pt>
                <c:pt idx="79">
                  <c:v>-11996.418188194217</c:v>
                </c:pt>
                <c:pt idx="80">
                  <c:v>-12220.983880004536</c:v>
                </c:pt>
                <c:pt idx="81">
                  <c:v>-12426.786422351912</c:v>
                </c:pt>
                <c:pt idx="82">
                  <c:v>-12825.103846115391</c:v>
                </c:pt>
                <c:pt idx="83">
                  <c:v>-12796.749867476159</c:v>
                </c:pt>
                <c:pt idx="84">
                  <c:v>-12912.262672297064</c:v>
                </c:pt>
                <c:pt idx="85">
                  <c:v>-12998.773991941782</c:v>
                </c:pt>
                <c:pt idx="86">
                  <c:v>-13108.325836188011</c:v>
                </c:pt>
                <c:pt idx="87">
                  <c:v>-13201.015281942831</c:v>
                </c:pt>
                <c:pt idx="88">
                  <c:v>-13245.958238850111</c:v>
                </c:pt>
                <c:pt idx="89">
                  <c:v>-13532.008779862248</c:v>
                </c:pt>
                <c:pt idx="90">
                  <c:v>-13733.600690400868</c:v>
                </c:pt>
                <c:pt idx="91">
                  <c:v>-13929.190239435715</c:v>
                </c:pt>
                <c:pt idx="92">
                  <c:v>-13816.047838904231</c:v>
                </c:pt>
                <c:pt idx="93">
                  <c:v>-13750.518002524554</c:v>
                </c:pt>
                <c:pt idx="94">
                  <c:v>-13801.802003873023</c:v>
                </c:pt>
                <c:pt idx="95">
                  <c:v>-14402.84778844281</c:v>
                </c:pt>
                <c:pt idx="96">
                  <c:v>-14704.5754711635</c:v>
                </c:pt>
                <c:pt idx="97">
                  <c:v>-14296.260931302024</c:v>
                </c:pt>
                <c:pt idx="98">
                  <c:v>-14205.855071286494</c:v>
                </c:pt>
                <c:pt idx="99">
                  <c:v>-14288.962627926498</c:v>
                </c:pt>
                <c:pt idx="100">
                  <c:v>-14344.875449283085</c:v>
                </c:pt>
                <c:pt idx="101">
                  <c:v>-14200.59836639322</c:v>
                </c:pt>
                <c:pt idx="102">
                  <c:v>-14213.24611486946</c:v>
                </c:pt>
                <c:pt idx="103">
                  <c:v>-14081.391845260285</c:v>
                </c:pt>
                <c:pt idx="104">
                  <c:v>-14213.24611486946</c:v>
                </c:pt>
                <c:pt idx="105">
                  <c:v>-14280.167487214436</c:v>
                </c:pt>
                <c:pt idx="106">
                  <c:v>-14147.108565032197</c:v>
                </c:pt>
                <c:pt idx="107">
                  <c:v>-14081.391845260285</c:v>
                </c:pt>
                <c:pt idx="108">
                  <c:v>-14081.391845260285</c:v>
                </c:pt>
                <c:pt idx="109">
                  <c:v>-14081.391845260285</c:v>
                </c:pt>
                <c:pt idx="110">
                  <c:v>-13255.722520754172</c:v>
                </c:pt>
                <c:pt idx="111">
                  <c:v>-13183.601981483849</c:v>
                </c:pt>
                <c:pt idx="112">
                  <c:v>-13111.870300805314</c:v>
                </c:pt>
                <c:pt idx="113">
                  <c:v>-12805.939418985263</c:v>
                </c:pt>
                <c:pt idx="114">
                  <c:v>-12482.928700511702</c:v>
                </c:pt>
                <c:pt idx="115">
                  <c:v>-12887.947402239273</c:v>
                </c:pt>
                <c:pt idx="116">
                  <c:v>-12805.939418985263</c:v>
                </c:pt>
                <c:pt idx="117">
                  <c:v>-12887.947402239273</c:v>
                </c:pt>
                <c:pt idx="118">
                  <c:v>-12563.63545484444</c:v>
                </c:pt>
                <c:pt idx="119">
                  <c:v>-12644.160311479356</c:v>
                </c:pt>
                <c:pt idx="120">
                  <c:v>-12887.947402239273</c:v>
                </c:pt>
                <c:pt idx="121">
                  <c:v>-12563.63545484444</c:v>
                </c:pt>
                <c:pt idx="122">
                  <c:v>-12724.810267055269</c:v>
                </c:pt>
                <c:pt idx="123">
                  <c:v>-11459.887385139235</c:v>
                </c:pt>
                <c:pt idx="124">
                  <c:v>-11459.887385139235</c:v>
                </c:pt>
                <c:pt idx="125">
                  <c:v>-11459.887385139235</c:v>
                </c:pt>
                <c:pt idx="126">
                  <c:v>-11373.356563913221</c:v>
                </c:pt>
                <c:pt idx="127">
                  <c:v>-11373.356563913221</c:v>
                </c:pt>
                <c:pt idx="128">
                  <c:v>-11189.771803770444</c:v>
                </c:pt>
                <c:pt idx="129">
                  <c:v>-10898.926363797294</c:v>
                </c:pt>
                <c:pt idx="130">
                  <c:v>-10806.269890360423</c:v>
                </c:pt>
                <c:pt idx="131">
                  <c:v>-10996.850865219694</c:v>
                </c:pt>
                <c:pt idx="132">
                  <c:v>-9916.8195692839072</c:v>
                </c:pt>
                <c:pt idx="133">
                  <c:v>-9399.8515904933338</c:v>
                </c:pt>
                <c:pt idx="134">
                  <c:v>-9073.9579885074818</c:v>
                </c:pt>
                <c:pt idx="135">
                  <c:v>-8524.5007088486764</c:v>
                </c:pt>
                <c:pt idx="136">
                  <c:v>-8744.3709643390848</c:v>
                </c:pt>
                <c:pt idx="137">
                  <c:v>-8963.5226897013727</c:v>
                </c:pt>
                <c:pt idx="138">
                  <c:v>-7719.5702118906556</c:v>
                </c:pt>
                <c:pt idx="139">
                  <c:v>-9185.6777972888976</c:v>
                </c:pt>
                <c:pt idx="140">
                  <c:v>-7120.5114081976162</c:v>
                </c:pt>
                <c:pt idx="141">
                  <c:v>-6875.7642315844805</c:v>
                </c:pt>
                <c:pt idx="142">
                  <c:v>-6875.7642315844805</c:v>
                </c:pt>
                <c:pt idx="143">
                  <c:v>-6749.7984170498084</c:v>
                </c:pt>
                <c:pt idx="144">
                  <c:v>-6749.7984170498084</c:v>
                </c:pt>
                <c:pt idx="145">
                  <c:v>-6875.7642315844805</c:v>
                </c:pt>
                <c:pt idx="146">
                  <c:v>-6875.7642315844805</c:v>
                </c:pt>
                <c:pt idx="147">
                  <c:v>1080.645040982</c:v>
                </c:pt>
                <c:pt idx="148">
                  <c:v>1080.645040982</c:v>
                </c:pt>
                <c:pt idx="149">
                  <c:v>1080.645040982</c:v>
                </c:pt>
                <c:pt idx="150">
                  <c:v>1080.645040982</c:v>
                </c:pt>
                <c:pt idx="151">
                  <c:v>1080.645040982</c:v>
                </c:pt>
                <c:pt idx="152">
                  <c:v>1080.645040982</c:v>
                </c:pt>
                <c:pt idx="153">
                  <c:v>1080.645040982</c:v>
                </c:pt>
                <c:pt idx="154">
                  <c:v>1080.645040982</c:v>
                </c:pt>
                <c:pt idx="155">
                  <c:v>1080.645040982</c:v>
                </c:pt>
                <c:pt idx="156">
                  <c:v>1080.645040982</c:v>
                </c:pt>
                <c:pt idx="157">
                  <c:v>1080.645040982</c:v>
                </c:pt>
                <c:pt idx="158">
                  <c:v>1080.645040982</c:v>
                </c:pt>
                <c:pt idx="159">
                  <c:v>1080.645040982</c:v>
                </c:pt>
                <c:pt idx="160">
                  <c:v>1080.645040982</c:v>
                </c:pt>
                <c:pt idx="161">
                  <c:v>1080.645040982</c:v>
                </c:pt>
                <c:pt idx="162" formatCode="General">
                  <c:v>1080.645040982</c:v>
                </c:pt>
                <c:pt idx="163" formatCode="General">
                  <c:v>1080.645040982</c:v>
                </c:pt>
                <c:pt idx="164" formatCode="General">
                  <c:v>1080.645040982</c:v>
                </c:pt>
                <c:pt idx="165" formatCode="General">
                  <c:v>1080.645040982</c:v>
                </c:pt>
                <c:pt idx="166" formatCode="General">
                  <c:v>1080.645040982</c:v>
                </c:pt>
                <c:pt idx="167" formatCode="General">
                  <c:v>1080.645040982</c:v>
                </c:pt>
                <c:pt idx="168" formatCode="General">
                  <c:v>1080.645040982</c:v>
                </c:pt>
                <c:pt idx="169" formatCode="General">
                  <c:v>1080.645040982</c:v>
                </c:pt>
                <c:pt idx="170" formatCode="General">
                  <c:v>1080.645040982</c:v>
                </c:pt>
                <c:pt idx="171" formatCode="General">
                  <c:v>1080.645040982</c:v>
                </c:pt>
                <c:pt idx="172" formatCode="General">
                  <c:v>1080.645040982</c:v>
                </c:pt>
                <c:pt idx="173" formatCode="General">
                  <c:v>1080.645040982</c:v>
                </c:pt>
                <c:pt idx="174" formatCode="General">
                  <c:v>1080.645040982</c:v>
                </c:pt>
                <c:pt idx="175" formatCode="General">
                  <c:v>1080.645040982</c:v>
                </c:pt>
                <c:pt idx="176" formatCode="General">
                  <c:v>1080.645040982</c:v>
                </c:pt>
                <c:pt idx="177" formatCode="General">
                  <c:v>1080.645040982</c:v>
                </c:pt>
                <c:pt idx="178" formatCode="General">
                  <c:v>1080.645040982</c:v>
                </c:pt>
                <c:pt idx="179" formatCode="General">
                  <c:v>1080.645040982</c:v>
                </c:pt>
                <c:pt idx="180" formatCode="General">
                  <c:v>3180.1450409820004</c:v>
                </c:pt>
                <c:pt idx="181" formatCode="General">
                  <c:v>3180.1450409820004</c:v>
                </c:pt>
                <c:pt idx="182" formatCode="General">
                  <c:v>3180.1450409820004</c:v>
                </c:pt>
                <c:pt idx="183" formatCode="General">
                  <c:v>3180.1450409820004</c:v>
                </c:pt>
                <c:pt idx="184" formatCode="General">
                  <c:v>3180.1450409820004</c:v>
                </c:pt>
                <c:pt idx="185" formatCode="General">
                  <c:v>3180.1450409820004</c:v>
                </c:pt>
                <c:pt idx="186" formatCode="General">
                  <c:v>3180.1450409820004</c:v>
                </c:pt>
                <c:pt idx="187" formatCode="General">
                  <c:v>3180.1450409820004</c:v>
                </c:pt>
                <c:pt idx="188" formatCode="General">
                  <c:v>3180.1450409820004</c:v>
                </c:pt>
                <c:pt idx="189" formatCode="General">
                  <c:v>3180.1450409820004</c:v>
                </c:pt>
                <c:pt idx="190" formatCode="General">
                  <c:v>3180.1450409820004</c:v>
                </c:pt>
                <c:pt idx="191" formatCode="General">
                  <c:v>3180.1450409820004</c:v>
                </c:pt>
                <c:pt idx="192" formatCode="General">
                  <c:v>3180.1450409820004</c:v>
                </c:pt>
                <c:pt idx="193" formatCode="General">
                  <c:v>3180.1450409820004</c:v>
                </c:pt>
                <c:pt idx="194" formatCode="General">
                  <c:v>3180.1450409820004</c:v>
                </c:pt>
                <c:pt idx="195" formatCode="General">
                  <c:v>3180.1450409820004</c:v>
                </c:pt>
                <c:pt idx="196" formatCode="General">
                  <c:v>3180.1450409820004</c:v>
                </c:pt>
                <c:pt idx="197" formatCode="General">
                  <c:v>3180.1450409820004</c:v>
                </c:pt>
                <c:pt idx="198" formatCode="General">
                  <c:v>3180.1450409820004</c:v>
                </c:pt>
                <c:pt idx="199" formatCode="General">
                  <c:v>3180.1450409820004</c:v>
                </c:pt>
                <c:pt idx="200" formatCode="General">
                  <c:v>3180.1450409820004</c:v>
                </c:pt>
                <c:pt idx="201" formatCode="General">
                  <c:v>5058.645040982</c:v>
                </c:pt>
                <c:pt idx="202" formatCode="General">
                  <c:v>5058.645040982</c:v>
                </c:pt>
                <c:pt idx="203" formatCode="General">
                  <c:v>5058.645040982</c:v>
                </c:pt>
                <c:pt idx="204" formatCode="General">
                  <c:v>5058.645040982</c:v>
                </c:pt>
                <c:pt idx="205" formatCode="General">
                  <c:v>5058.645040982</c:v>
                </c:pt>
                <c:pt idx="206" formatCode="General">
                  <c:v>5058.645040982</c:v>
                </c:pt>
                <c:pt idx="207" formatCode="General">
                  <c:v>5058.645040982</c:v>
                </c:pt>
                <c:pt idx="208" formatCode="General">
                  <c:v>5058.645040982</c:v>
                </c:pt>
                <c:pt idx="209" formatCode="General">
                  <c:v>5058.645040982</c:v>
                </c:pt>
                <c:pt idx="210" formatCode="General">
                  <c:v>5058.645040982</c:v>
                </c:pt>
                <c:pt idx="211" formatCode="General">
                  <c:v>5058.645040982</c:v>
                </c:pt>
                <c:pt idx="212" formatCode="General">
                  <c:v>5058.645040982</c:v>
                </c:pt>
                <c:pt idx="213" formatCode="General">
                  <c:v>5058.645040982</c:v>
                </c:pt>
                <c:pt idx="214" formatCode="General">
                  <c:v>5058.645040982</c:v>
                </c:pt>
                <c:pt idx="215" formatCode="General">
                  <c:v>5058.645040982</c:v>
                </c:pt>
                <c:pt idx="216" formatCode="General">
                  <c:v>5058.645040982</c:v>
                </c:pt>
                <c:pt idx="217" formatCode="General">
                  <c:v>5058.645040982</c:v>
                </c:pt>
                <c:pt idx="218" formatCode="General">
                  <c:v>5058.645040982</c:v>
                </c:pt>
                <c:pt idx="219" formatCode="General">
                  <c:v>5058.645040982</c:v>
                </c:pt>
                <c:pt idx="220" formatCode="General">
                  <c:v>5058.645040982</c:v>
                </c:pt>
                <c:pt idx="221" formatCode="General">
                  <c:v>5058.645040982</c:v>
                </c:pt>
                <c:pt idx="222" formatCode="General">
                  <c:v>5058.645040982</c:v>
                </c:pt>
                <c:pt idx="223" formatCode="General">
                  <c:v>5058.645040982</c:v>
                </c:pt>
                <c:pt idx="224" formatCode="General">
                  <c:v>5058.645040982</c:v>
                </c:pt>
                <c:pt idx="225" formatCode="General">
                  <c:v>6716.145040982</c:v>
                </c:pt>
                <c:pt idx="226" formatCode="General">
                  <c:v>6716.145040982</c:v>
                </c:pt>
                <c:pt idx="227" formatCode="General">
                  <c:v>6716.145040982</c:v>
                </c:pt>
                <c:pt idx="228" formatCode="General">
                  <c:v>6716.145040982</c:v>
                </c:pt>
                <c:pt idx="229" formatCode="General">
                  <c:v>6716.145040982</c:v>
                </c:pt>
                <c:pt idx="230" formatCode="General">
                  <c:v>6716.145040982</c:v>
                </c:pt>
                <c:pt idx="231" formatCode="General">
                  <c:v>6716.145040982</c:v>
                </c:pt>
                <c:pt idx="232" formatCode="General">
                  <c:v>6716.145040982</c:v>
                </c:pt>
                <c:pt idx="233" formatCode="General">
                  <c:v>6716.145040982</c:v>
                </c:pt>
                <c:pt idx="234" formatCode="General">
                  <c:v>6716.145040982</c:v>
                </c:pt>
                <c:pt idx="235" formatCode="General">
                  <c:v>6716.145040982</c:v>
                </c:pt>
                <c:pt idx="236" formatCode="General">
                  <c:v>6716.145040982</c:v>
                </c:pt>
                <c:pt idx="237" formatCode="General">
                  <c:v>6716.145040982</c:v>
                </c:pt>
                <c:pt idx="238" formatCode="General">
                  <c:v>6716.145040982</c:v>
                </c:pt>
                <c:pt idx="239" formatCode="General">
                  <c:v>6716.145040982</c:v>
                </c:pt>
                <c:pt idx="240" formatCode="General">
                  <c:v>6716.145040982</c:v>
                </c:pt>
                <c:pt idx="241" formatCode="General">
                  <c:v>6716.145040982</c:v>
                </c:pt>
                <c:pt idx="242" formatCode="General">
                  <c:v>6716.145040982</c:v>
                </c:pt>
                <c:pt idx="243" formatCode="General">
                  <c:v>6716.145040982</c:v>
                </c:pt>
                <c:pt idx="244" formatCode="General">
                  <c:v>6716.145040982</c:v>
                </c:pt>
                <c:pt idx="245" formatCode="General">
                  <c:v>6716.145040982</c:v>
                </c:pt>
                <c:pt idx="246" formatCode="General">
                  <c:v>6716.145040982</c:v>
                </c:pt>
                <c:pt idx="247" formatCode="General">
                  <c:v>6716.145040982</c:v>
                </c:pt>
                <c:pt idx="248" formatCode="General">
                  <c:v>8152.645040982</c:v>
                </c:pt>
                <c:pt idx="249" formatCode="General">
                  <c:v>8152.645040982</c:v>
                </c:pt>
                <c:pt idx="250" formatCode="General">
                  <c:v>9368.145040981999</c:v>
                </c:pt>
                <c:pt idx="251" formatCode="General">
                  <c:v>9368.145040981999</c:v>
                </c:pt>
                <c:pt idx="252" formatCode="General">
                  <c:v>10362.645040981999</c:v>
                </c:pt>
                <c:pt idx="253" formatCode="General">
                  <c:v>10362.645040981999</c:v>
                </c:pt>
                <c:pt idx="254" formatCode="General">
                  <c:v>10362.645040981999</c:v>
                </c:pt>
                <c:pt idx="255" formatCode="General">
                  <c:v>11136.145040982001</c:v>
                </c:pt>
                <c:pt idx="256" formatCode="General">
                  <c:v>11136.145040982001</c:v>
                </c:pt>
                <c:pt idx="257" formatCode="General">
                  <c:v>11136.145040982001</c:v>
                </c:pt>
                <c:pt idx="258" formatCode="General">
                  <c:v>11688.645040982001</c:v>
                </c:pt>
                <c:pt idx="259" formatCode="General">
                  <c:v>11688.645040982001</c:v>
                </c:pt>
                <c:pt idx="260" formatCode="General">
                  <c:v>11688.645040982001</c:v>
                </c:pt>
                <c:pt idx="261" formatCode="General">
                  <c:v>11688.645040982001</c:v>
                </c:pt>
                <c:pt idx="262" formatCode="General">
                  <c:v>12020.145040982001</c:v>
                </c:pt>
                <c:pt idx="263" formatCode="General">
                  <c:v>12020.145040982001</c:v>
                </c:pt>
                <c:pt idx="264" formatCode="General">
                  <c:v>12020.145040982001</c:v>
                </c:pt>
                <c:pt idx="265" formatCode="General">
                  <c:v>12020.145040982001</c:v>
                </c:pt>
                <c:pt idx="266" formatCode="General">
                  <c:v>12130.645040982001</c:v>
                </c:pt>
                <c:pt idx="267" formatCode="General">
                  <c:v>12130.645040982001</c:v>
                </c:pt>
                <c:pt idx="268" formatCode="General">
                  <c:v>12130.645040982001</c:v>
                </c:pt>
                <c:pt idx="269" formatCode="General">
                  <c:v>12130.645040982001</c:v>
                </c:pt>
                <c:pt idx="270" formatCode="General">
                  <c:v>12130.645040982001</c:v>
                </c:pt>
                <c:pt idx="271" formatCode="General">
                  <c:v>12020.145040982001</c:v>
                </c:pt>
                <c:pt idx="272" formatCode="General">
                  <c:v>12020.145040982001</c:v>
                </c:pt>
                <c:pt idx="273" formatCode="General">
                  <c:v>12020.145040982001</c:v>
                </c:pt>
                <c:pt idx="274" formatCode="General">
                  <c:v>12020.145040982001</c:v>
                </c:pt>
                <c:pt idx="275" formatCode="General">
                  <c:v>12020.145040982001</c:v>
                </c:pt>
                <c:pt idx="276" formatCode="General">
                  <c:v>12020.145040982001</c:v>
                </c:pt>
                <c:pt idx="277" formatCode="General">
                  <c:v>12020.145040982001</c:v>
                </c:pt>
                <c:pt idx="278" formatCode="General">
                  <c:v>11688.645040982001</c:v>
                </c:pt>
                <c:pt idx="279" formatCode="General">
                  <c:v>11688.645040982001</c:v>
                </c:pt>
                <c:pt idx="280" formatCode="General">
                  <c:v>11688.645040982001</c:v>
                </c:pt>
                <c:pt idx="281" formatCode="General">
                  <c:v>11688.645040982001</c:v>
                </c:pt>
                <c:pt idx="282" formatCode="General">
                  <c:v>11688.645040982001</c:v>
                </c:pt>
                <c:pt idx="283" formatCode="General">
                  <c:v>11688.645040982001</c:v>
                </c:pt>
                <c:pt idx="284" formatCode="General">
                  <c:v>11688.645040982001</c:v>
                </c:pt>
                <c:pt idx="285" formatCode="General">
                  <c:v>11688.645040982001</c:v>
                </c:pt>
                <c:pt idx="286" formatCode="General">
                  <c:v>11688.645040982001</c:v>
                </c:pt>
                <c:pt idx="287" formatCode="General">
                  <c:v>11136.145040982001</c:v>
                </c:pt>
                <c:pt idx="288" formatCode="General">
                  <c:v>11136.145040982001</c:v>
                </c:pt>
                <c:pt idx="289" formatCode="General">
                  <c:v>11136.145040982001</c:v>
                </c:pt>
                <c:pt idx="290" formatCode="General">
                  <c:v>11136.145040982001</c:v>
                </c:pt>
                <c:pt idx="291" formatCode="General">
                  <c:v>11136.145040982001</c:v>
                </c:pt>
                <c:pt idx="292" formatCode="General">
                  <c:v>11136.145040982001</c:v>
                </c:pt>
                <c:pt idx="293" formatCode="General">
                  <c:v>11136.145040982001</c:v>
                </c:pt>
                <c:pt idx="294" formatCode="General">
                  <c:v>11136.145040982001</c:v>
                </c:pt>
                <c:pt idx="295" formatCode="General">
                  <c:v>11136.145040982001</c:v>
                </c:pt>
                <c:pt idx="296" formatCode="General">
                  <c:v>11136.145040982001</c:v>
                </c:pt>
                <c:pt idx="297" formatCode="General">
                  <c:v>11136.145040982001</c:v>
                </c:pt>
                <c:pt idx="298" formatCode="General">
                  <c:v>10362.645040981999</c:v>
                </c:pt>
                <c:pt idx="299" formatCode="General">
                  <c:v>10362.645040981999</c:v>
                </c:pt>
                <c:pt idx="300" formatCode="General">
                  <c:v>10362.645040981999</c:v>
                </c:pt>
                <c:pt idx="301" formatCode="General">
                  <c:v>10362.645040981999</c:v>
                </c:pt>
                <c:pt idx="302" formatCode="General">
                  <c:v>10362.645040981999</c:v>
                </c:pt>
                <c:pt idx="303" formatCode="General">
                  <c:v>10362.645040981999</c:v>
                </c:pt>
                <c:pt idx="304" formatCode="General">
                  <c:v>10362.645040981999</c:v>
                </c:pt>
                <c:pt idx="305" formatCode="General">
                  <c:v>10362.645040981999</c:v>
                </c:pt>
                <c:pt idx="306" formatCode="General">
                  <c:v>10362.645040981999</c:v>
                </c:pt>
                <c:pt idx="307" formatCode="General">
                  <c:v>10362.645040981999</c:v>
                </c:pt>
                <c:pt idx="308" formatCode="General">
                  <c:v>10362.645040981999</c:v>
                </c:pt>
                <c:pt idx="309" formatCode="General">
                  <c:v>10362.645040981999</c:v>
                </c:pt>
                <c:pt idx="310" formatCode="General">
                  <c:v>10362.645040981999</c:v>
                </c:pt>
                <c:pt idx="311" formatCode="General">
                  <c:v>10362.645040981999</c:v>
                </c:pt>
                <c:pt idx="312" formatCode="General">
                  <c:v>10362.645040981999</c:v>
                </c:pt>
                <c:pt idx="313" formatCode="General">
                  <c:v>10362.645040981999</c:v>
                </c:pt>
                <c:pt idx="314" formatCode="General">
                  <c:v>9368.145040981999</c:v>
                </c:pt>
                <c:pt idx="315" formatCode="General">
                  <c:v>9368.145040981999</c:v>
                </c:pt>
                <c:pt idx="316" formatCode="General">
                  <c:v>9368.145040981999</c:v>
                </c:pt>
                <c:pt idx="317" formatCode="General">
                  <c:v>9368.145040981999</c:v>
                </c:pt>
                <c:pt idx="318" formatCode="General">
                  <c:v>9368.145040981999</c:v>
                </c:pt>
                <c:pt idx="319" formatCode="General">
                  <c:v>9368.145040981999</c:v>
                </c:pt>
                <c:pt idx="320" formatCode="General">
                  <c:v>9368.145040981999</c:v>
                </c:pt>
                <c:pt idx="321" formatCode="General">
                  <c:v>9368.145040981999</c:v>
                </c:pt>
                <c:pt idx="322" formatCode="General">
                  <c:v>9368.145040981999</c:v>
                </c:pt>
                <c:pt idx="323" formatCode="General">
                  <c:v>9368.145040981999</c:v>
                </c:pt>
                <c:pt idx="324" formatCode="General">
                  <c:v>9368.145040981999</c:v>
                </c:pt>
                <c:pt idx="325" formatCode="General">
                  <c:v>9368.145040981999</c:v>
                </c:pt>
                <c:pt idx="326" formatCode="General">
                  <c:v>9368.145040981999</c:v>
                </c:pt>
                <c:pt idx="327" formatCode="General">
                  <c:v>9368.145040981999</c:v>
                </c:pt>
                <c:pt idx="328" formatCode="General">
                  <c:v>9368.145040981999</c:v>
                </c:pt>
                <c:pt idx="329" formatCode="General">
                  <c:v>9368.145040981999</c:v>
                </c:pt>
                <c:pt idx="330" formatCode="General">
                  <c:v>9368.145040981999</c:v>
                </c:pt>
                <c:pt idx="331" formatCode="General">
                  <c:v>9368.145040981999</c:v>
                </c:pt>
                <c:pt idx="332" formatCode="General">
                  <c:v>9368.145040981999</c:v>
                </c:pt>
                <c:pt idx="333" formatCode="General">
                  <c:v>9368.145040981999</c:v>
                </c:pt>
                <c:pt idx="334" formatCode="General">
                  <c:v>9368.145040981999</c:v>
                </c:pt>
                <c:pt idx="335" formatCode="General">
                  <c:v>9368.145040981999</c:v>
                </c:pt>
                <c:pt idx="336" formatCode="General">
                  <c:v>9368.145040981999</c:v>
                </c:pt>
                <c:pt idx="337" formatCode="General">
                  <c:v>9368.145040981999</c:v>
                </c:pt>
                <c:pt idx="338" formatCode="General">
                  <c:v>9368.145040981999</c:v>
                </c:pt>
                <c:pt idx="339" formatCode="General">
                  <c:v>8152.645040982</c:v>
                </c:pt>
                <c:pt idx="340" formatCode="General">
                  <c:v>8152.645040982</c:v>
                </c:pt>
                <c:pt idx="341" formatCode="General">
                  <c:v>8152.645040982</c:v>
                </c:pt>
                <c:pt idx="342" formatCode="General">
                  <c:v>8152.645040982</c:v>
                </c:pt>
                <c:pt idx="343" formatCode="General">
                  <c:v>8152.645040982</c:v>
                </c:pt>
                <c:pt idx="344" formatCode="General">
                  <c:v>8152.645040982</c:v>
                </c:pt>
                <c:pt idx="345" formatCode="General">
                  <c:v>8152.645040982</c:v>
                </c:pt>
                <c:pt idx="346" formatCode="General">
                  <c:v>8152.645040982</c:v>
                </c:pt>
                <c:pt idx="347" formatCode="General">
                  <c:v>8152.645040982</c:v>
                </c:pt>
                <c:pt idx="348" formatCode="General">
                  <c:v>8152.645040982</c:v>
                </c:pt>
                <c:pt idx="349" formatCode="General">
                  <c:v>8152.645040982</c:v>
                </c:pt>
                <c:pt idx="350" formatCode="General">
                  <c:v>8152.645040982</c:v>
                </c:pt>
                <c:pt idx="351" formatCode="General">
                  <c:v>8152.645040982</c:v>
                </c:pt>
                <c:pt idx="352" formatCode="General">
                  <c:v>6716.145040982</c:v>
                </c:pt>
                <c:pt idx="353" formatCode="General">
                  <c:v>6716.145040982</c:v>
                </c:pt>
                <c:pt idx="354" formatCode="General">
                  <c:v>6716.145040982</c:v>
                </c:pt>
                <c:pt idx="355" formatCode="General">
                  <c:v>6716.145040982</c:v>
                </c:pt>
                <c:pt idx="356" formatCode="General">
                  <c:v>6716.145040982</c:v>
                </c:pt>
                <c:pt idx="357" formatCode="General">
                  <c:v>6716.145040982</c:v>
                </c:pt>
                <c:pt idx="358" formatCode="General">
                  <c:v>6716.145040982</c:v>
                </c:pt>
                <c:pt idx="359" formatCode="General">
                  <c:v>6716.145040982</c:v>
                </c:pt>
                <c:pt idx="360" formatCode="General">
                  <c:v>6707.4782135855003</c:v>
                </c:pt>
                <c:pt idx="361" formatCode="General">
                  <c:v>6691.4987505730005</c:v>
                </c:pt>
                <c:pt idx="362" formatCode="General">
                  <c:v>5018.0192875604998</c:v>
                </c:pt>
                <c:pt idx="363" formatCode="General">
                  <c:v>5002.0398245480001</c:v>
                </c:pt>
                <c:pt idx="364" formatCode="General">
                  <c:v>4986.0603615355003</c:v>
                </c:pt>
                <c:pt idx="365" formatCode="General">
                  <c:v>4970.0808985230005</c:v>
                </c:pt>
                <c:pt idx="366" formatCode="General">
                  <c:v>4954.1014355104999</c:v>
                </c:pt>
                <c:pt idx="367" formatCode="General">
                  <c:v>4938.1219725045003</c:v>
                </c:pt>
                <c:pt idx="368" formatCode="General">
                  <c:v>4922.1425094919996</c:v>
                </c:pt>
                <c:pt idx="369" formatCode="General">
                  <c:v>4906.1630464795007</c:v>
                </c:pt>
                <c:pt idx="370" formatCode="General">
                  <c:v>4890.1835834670001</c:v>
                </c:pt>
                <c:pt idx="371" formatCode="General">
                  <c:v>4874.2041204545003</c:v>
                </c:pt>
                <c:pt idx="372" formatCode="General">
                  <c:v>4858.2246574420005</c:v>
                </c:pt>
                <c:pt idx="373" formatCode="General">
                  <c:v>4842.2451944294999</c:v>
                </c:pt>
                <c:pt idx="374" formatCode="General">
                  <c:v>4826.2657314170001</c:v>
                </c:pt>
                <c:pt idx="375" formatCode="General">
                  <c:v>4810.2862684045003</c:v>
                </c:pt>
                <c:pt idx="376" formatCode="General">
                  <c:v>4794.3068053919997</c:v>
                </c:pt>
                <c:pt idx="377" formatCode="General">
                  <c:v>4778.3273423795008</c:v>
                </c:pt>
                <c:pt idx="378" formatCode="General">
                  <c:v>4762.3478793670001</c:v>
                </c:pt>
                <c:pt idx="379" formatCode="General">
                  <c:v>4746.3684163545004</c:v>
                </c:pt>
                <c:pt idx="380" formatCode="General">
                  <c:v>4730.3889533420006</c:v>
                </c:pt>
                <c:pt idx="381" formatCode="General">
                  <c:v>4714.4094903360001</c:v>
                </c:pt>
                <c:pt idx="382" formatCode="General">
                  <c:v>4698.4300273235003</c:v>
                </c:pt>
                <c:pt idx="383" formatCode="General">
                  <c:v>4682.4505643110006</c:v>
                </c:pt>
                <c:pt idx="384" formatCode="General">
                  <c:v>4666.4711012984999</c:v>
                </c:pt>
                <c:pt idx="385" formatCode="General">
                  <c:v>4650.4916382860001</c:v>
                </c:pt>
                <c:pt idx="386" formatCode="General">
                  <c:v>4634.5121752735004</c:v>
                </c:pt>
                <c:pt idx="387" formatCode="General">
                  <c:v>4618.5327122609997</c:v>
                </c:pt>
                <c:pt idx="388" formatCode="General">
                  <c:v>4602.5532492484999</c:v>
                </c:pt>
                <c:pt idx="389" formatCode="General">
                  <c:v>4586.5737862360002</c:v>
                </c:pt>
                <c:pt idx="390" formatCode="General">
                  <c:v>4570.5943232235004</c:v>
                </c:pt>
                <c:pt idx="391" formatCode="General">
                  <c:v>4554.6148602110006</c:v>
                </c:pt>
                <c:pt idx="392" formatCode="General">
                  <c:v>4538.6353971985</c:v>
                </c:pt>
                <c:pt idx="393" formatCode="General">
                  <c:v>2644.1559341860002</c:v>
                </c:pt>
                <c:pt idx="394" formatCode="General">
                  <c:v>2628.1764711800001</c:v>
                </c:pt>
                <c:pt idx="395" formatCode="General">
                  <c:v>2612.1970081674999</c:v>
                </c:pt>
                <c:pt idx="396" formatCode="General">
                  <c:v>2596.2175451550002</c:v>
                </c:pt>
                <c:pt idx="397" formatCode="General">
                  <c:v>2580.2380821425004</c:v>
                </c:pt>
                <c:pt idx="398" formatCode="General">
                  <c:v>2564.2586191300002</c:v>
                </c:pt>
                <c:pt idx="399" formatCode="General">
                  <c:v>2548.2791561175</c:v>
                </c:pt>
                <c:pt idx="400" formatCode="General">
                  <c:v>2532.2996931050002</c:v>
                </c:pt>
                <c:pt idx="401" formatCode="General">
                  <c:v>2516.3202300925</c:v>
                </c:pt>
                <c:pt idx="402" formatCode="General">
                  <c:v>2500.3407670800002</c:v>
                </c:pt>
                <c:pt idx="403" formatCode="General">
                  <c:v>2484.3613040675</c:v>
                </c:pt>
                <c:pt idx="404" formatCode="General">
                  <c:v>2468.3818410550002</c:v>
                </c:pt>
                <c:pt idx="405" formatCode="General">
                  <c:v>2452.4023780425</c:v>
                </c:pt>
                <c:pt idx="406" formatCode="General">
                  <c:v>2436.4229150300002</c:v>
                </c:pt>
                <c:pt idx="407" formatCode="General">
                  <c:v>2420.4434520240002</c:v>
                </c:pt>
                <c:pt idx="408" formatCode="General">
                  <c:v>2404.4639890115</c:v>
                </c:pt>
                <c:pt idx="409" formatCode="General">
                  <c:v>2388.4845259990002</c:v>
                </c:pt>
                <c:pt idx="410" formatCode="General">
                  <c:v>2372.5050629865</c:v>
                </c:pt>
                <c:pt idx="411" formatCode="General">
                  <c:v>2356.5255999740002</c:v>
                </c:pt>
                <c:pt idx="412" formatCode="General">
                  <c:v>2340.5461369615</c:v>
                </c:pt>
                <c:pt idx="413" formatCode="General">
                  <c:v>2324.5666739490002</c:v>
                </c:pt>
                <c:pt idx="414" formatCode="General">
                  <c:v>2308.5872109365</c:v>
                </c:pt>
                <c:pt idx="415" formatCode="General">
                  <c:v>2292.6077479240003</c:v>
                </c:pt>
                <c:pt idx="416" formatCode="General">
                  <c:v>2276.6282849115</c:v>
                </c:pt>
                <c:pt idx="417" formatCode="General">
                  <c:v>2260.6488218990003</c:v>
                </c:pt>
                <c:pt idx="418" formatCode="General">
                  <c:v>2244.6693588865</c:v>
                </c:pt>
                <c:pt idx="419" formatCode="General">
                  <c:v>2228.6898958740003</c:v>
                </c:pt>
                <c:pt idx="420" formatCode="General">
                  <c:v>2212.7104328680002</c:v>
                </c:pt>
                <c:pt idx="421" formatCode="General">
                  <c:v>2196.7309698555</c:v>
                </c:pt>
                <c:pt idx="422" formatCode="General">
                  <c:v>1410.722250948</c:v>
                </c:pt>
                <c:pt idx="423" formatCode="General">
                  <c:v>1410.722250948</c:v>
                </c:pt>
                <c:pt idx="424" formatCode="General">
                  <c:v>1410.722250948</c:v>
                </c:pt>
                <c:pt idx="425" formatCode="General">
                  <c:v>1410.722250948</c:v>
                </c:pt>
                <c:pt idx="426" formatCode="General">
                  <c:v>1410.722250948</c:v>
                </c:pt>
                <c:pt idx="427" formatCode="General">
                  <c:v>1410.722250948</c:v>
                </c:pt>
                <c:pt idx="428" formatCode="General">
                  <c:v>1410.722250948</c:v>
                </c:pt>
                <c:pt idx="429" formatCode="General">
                  <c:v>1410.722250948</c:v>
                </c:pt>
                <c:pt idx="430" formatCode="General">
                  <c:v>1410.722250948</c:v>
                </c:pt>
                <c:pt idx="431" formatCode="General">
                  <c:v>1410.722250948</c:v>
                </c:pt>
                <c:pt idx="432" formatCode="General">
                  <c:v>1410.722250948</c:v>
                </c:pt>
                <c:pt idx="433" formatCode="General">
                  <c:v>1410.722250948</c:v>
                </c:pt>
                <c:pt idx="434" formatCode="General">
                  <c:v>1410.722250948</c:v>
                </c:pt>
                <c:pt idx="435" formatCode="General">
                  <c:v>1410.722250948</c:v>
                </c:pt>
                <c:pt idx="436" formatCode="General">
                  <c:v>1410.722250948</c:v>
                </c:pt>
                <c:pt idx="437" formatCode="General">
                  <c:v>1410.722250948</c:v>
                </c:pt>
                <c:pt idx="438" formatCode="General">
                  <c:v>1410.722250948</c:v>
                </c:pt>
                <c:pt idx="439" formatCode="General">
                  <c:v>5163.8581540065006</c:v>
                </c:pt>
                <c:pt idx="440" formatCode="General">
                  <c:v>5147.4146417134998</c:v>
                </c:pt>
                <c:pt idx="441" formatCode="General">
                  <c:v>5130.9711294204999</c:v>
                </c:pt>
                <c:pt idx="442" formatCode="General">
                  <c:v>5114.5276171275</c:v>
                </c:pt>
                <c:pt idx="443" formatCode="General">
                  <c:v>5098.0841048410002</c:v>
                </c:pt>
                <c:pt idx="444" formatCode="General">
                  <c:v>5081.6405925480003</c:v>
                </c:pt>
                <c:pt idx="445" formatCode="General">
                  <c:v>5065.1970802549995</c:v>
                </c:pt>
                <c:pt idx="446" formatCode="General">
                  <c:v>5048.7535679620005</c:v>
                </c:pt>
                <c:pt idx="447" formatCode="General">
                  <c:v>5032.3100556754998</c:v>
                </c:pt>
                <c:pt idx="448" formatCode="General">
                  <c:v>5015.8665433824999</c:v>
                </c:pt>
                <c:pt idx="449" formatCode="General">
                  <c:v>4999.4230310895</c:v>
                </c:pt>
                <c:pt idx="450" formatCode="General">
                  <c:v>4982.9795187965001</c:v>
                </c:pt>
                <c:pt idx="451" formatCode="General">
                  <c:v>4966.5360065035002</c:v>
                </c:pt>
                <c:pt idx="452" formatCode="General">
                  <c:v>4950.0924942170004</c:v>
                </c:pt>
                <c:pt idx="453" formatCode="General">
                  <c:v>4933.6489819240005</c:v>
                </c:pt>
                <c:pt idx="454" formatCode="General">
                  <c:v>4917.2054696309997</c:v>
                </c:pt>
                <c:pt idx="455" formatCode="General">
                  <c:v>4900.7619573379998</c:v>
                </c:pt>
                <c:pt idx="456" formatCode="General">
                  <c:v>4884.3184450515</c:v>
                </c:pt>
                <c:pt idx="457" formatCode="General">
                  <c:v>563.71407909300001</c:v>
                </c:pt>
                <c:pt idx="458" formatCode="General">
                  <c:v>563.71407909300001</c:v>
                </c:pt>
                <c:pt idx="459" formatCode="General">
                  <c:v>563.71407909300001</c:v>
                </c:pt>
                <c:pt idx="460" formatCode="General">
                  <c:v>563.71407909300001</c:v>
                </c:pt>
                <c:pt idx="461" formatCode="General">
                  <c:v>563.71407909300001</c:v>
                </c:pt>
                <c:pt idx="462" formatCode="General">
                  <c:v>563.71407909300001</c:v>
                </c:pt>
                <c:pt idx="463" formatCode="General">
                  <c:v>563.71407909300001</c:v>
                </c:pt>
                <c:pt idx="464" formatCode="General">
                  <c:v>563.71407909300001</c:v>
                </c:pt>
                <c:pt idx="465" formatCode="General">
                  <c:v>563.71407909300001</c:v>
                </c:pt>
                <c:pt idx="466" formatCode="General">
                  <c:v>563.71407909300001</c:v>
                </c:pt>
                <c:pt idx="467" formatCode="General">
                  <c:v>563.71407909300001</c:v>
                </c:pt>
                <c:pt idx="468" formatCode="General">
                  <c:v>563.71407909300001</c:v>
                </c:pt>
                <c:pt idx="469" formatCode="General">
                  <c:v>563.71407909300001</c:v>
                </c:pt>
                <c:pt idx="470" formatCode="General">
                  <c:v>563.71407909300001</c:v>
                </c:pt>
                <c:pt idx="471" formatCode="General">
                  <c:v>563.71407909300001</c:v>
                </c:pt>
                <c:pt idx="472" formatCode="General">
                  <c:v>563.71407909300001</c:v>
                </c:pt>
                <c:pt idx="473" formatCode="General">
                  <c:v>563.71407909300001</c:v>
                </c:pt>
              </c:numCache>
            </c:numRef>
          </c:xVal>
          <c:yVal>
            <c:numRef>
              <c:f>'Diagrama de Interacción'!$I$3:$I$1048576</c:f>
              <c:numCache>
                <c:formatCode>0.00E+00</c:formatCode>
                <c:ptCount val="1048574"/>
                <c:pt idx="0">
                  <c:v>2271.7511451989612</c:v>
                </c:pt>
                <c:pt idx="1">
                  <c:v>2271.7511451989612</c:v>
                </c:pt>
                <c:pt idx="2">
                  <c:v>2271.7511451989612</c:v>
                </c:pt>
                <c:pt idx="3">
                  <c:v>2271.7511451989612</c:v>
                </c:pt>
                <c:pt idx="4">
                  <c:v>2271.7511451989612</c:v>
                </c:pt>
                <c:pt idx="5">
                  <c:v>2271.7511451989612</c:v>
                </c:pt>
                <c:pt idx="6">
                  <c:v>2271.7511451989612</c:v>
                </c:pt>
                <c:pt idx="7">
                  <c:v>2271.7511451989612</c:v>
                </c:pt>
                <c:pt idx="8">
                  <c:v>2271.7511451989612</c:v>
                </c:pt>
                <c:pt idx="9">
                  <c:v>2271.7511451989612</c:v>
                </c:pt>
                <c:pt idx="10">
                  <c:v>2269.9713502872114</c:v>
                </c:pt>
                <c:pt idx="11">
                  <c:v>2267.1468931446525</c:v>
                </c:pt>
                <c:pt idx="12">
                  <c:v>2264.3224360020936</c:v>
                </c:pt>
                <c:pt idx="13">
                  <c:v>2261.4979788595347</c:v>
                </c:pt>
                <c:pt idx="14">
                  <c:v>2258.6735217169758</c:v>
                </c:pt>
                <c:pt idx="15">
                  <c:v>2255.8490645744164</c:v>
                </c:pt>
                <c:pt idx="16">
                  <c:v>2253.0246074318575</c:v>
                </c:pt>
                <c:pt idx="17">
                  <c:v>2250.2001502892986</c:v>
                </c:pt>
                <c:pt idx="18">
                  <c:v>2247.3756931467396</c:v>
                </c:pt>
                <c:pt idx="19">
                  <c:v>2244.5512360041803</c:v>
                </c:pt>
                <c:pt idx="20">
                  <c:v>2241.7267788616218</c:v>
                </c:pt>
                <c:pt idx="21">
                  <c:v>2238.9023217190625</c:v>
                </c:pt>
                <c:pt idx="22">
                  <c:v>2236.0778645765035</c:v>
                </c:pt>
                <c:pt idx="23">
                  <c:v>2233.2534074339446</c:v>
                </c:pt>
                <c:pt idx="24">
                  <c:v>2230.4289502913857</c:v>
                </c:pt>
                <c:pt idx="25">
                  <c:v>2227.6044931488268</c:v>
                </c:pt>
                <c:pt idx="26">
                  <c:v>2227.4161960059891</c:v>
                </c:pt>
                <c:pt idx="27">
                  <c:v>2227.2278988631524</c:v>
                </c:pt>
                <c:pt idx="28">
                  <c:v>2227.0396017203147</c:v>
                </c:pt>
                <c:pt idx="29">
                  <c:v>2226.8513045774775</c:v>
                </c:pt>
                <c:pt idx="30">
                  <c:v>2226.6630074346403</c:v>
                </c:pt>
                <c:pt idx="31">
                  <c:v>2226.4747102918031</c:v>
                </c:pt>
                <c:pt idx="32">
                  <c:v>2226.2864131489659</c:v>
                </c:pt>
                <c:pt idx="33">
                  <c:v>2161.2511451989612</c:v>
                </c:pt>
                <c:pt idx="34">
                  <c:v>2161.2511451989612</c:v>
                </c:pt>
                <c:pt idx="35">
                  <c:v>2161.2511451989612</c:v>
                </c:pt>
                <c:pt idx="36">
                  <c:v>2161.2511451989612</c:v>
                </c:pt>
                <c:pt idx="37">
                  <c:v>2161.2511451989612</c:v>
                </c:pt>
                <c:pt idx="38">
                  <c:v>2161.2511451989612</c:v>
                </c:pt>
                <c:pt idx="39">
                  <c:v>2161.2511451989612</c:v>
                </c:pt>
                <c:pt idx="40">
                  <c:v>2150.2011451989611</c:v>
                </c:pt>
                <c:pt idx="41">
                  <c:v>2050.7511451989612</c:v>
                </c:pt>
                <c:pt idx="42">
                  <c:v>2006.2024260982994</c:v>
                </c:pt>
                <c:pt idx="43">
                  <c:v>2006.1039130394013</c:v>
                </c:pt>
                <c:pt idx="44">
                  <c:v>2006.0057192752422</c:v>
                </c:pt>
                <c:pt idx="45">
                  <c:v>2005.5169859448231</c:v>
                </c:pt>
                <c:pt idx="46">
                  <c:v>2005.4180350206213</c:v>
                </c:pt>
                <c:pt idx="47">
                  <c:v>2005.3214025677585</c:v>
                </c:pt>
                <c:pt idx="48">
                  <c:v>2005.2217305746833</c:v>
                </c:pt>
                <c:pt idx="49">
                  <c:v>2005.1239500258771</c:v>
                </c:pt>
                <c:pt idx="50">
                  <c:v>2004.9287872490577</c:v>
                </c:pt>
                <c:pt idx="51">
                  <c:v>2004.8324518185809</c:v>
                </c:pt>
                <c:pt idx="52">
                  <c:v>1999.1306612900607</c:v>
                </c:pt>
                <c:pt idx="53">
                  <c:v>1998.9426610900562</c:v>
                </c:pt>
                <c:pt idx="54">
                  <c:v>1992.627876303819</c:v>
                </c:pt>
                <c:pt idx="55">
                  <c:v>1890.9115128669421</c:v>
                </c:pt>
                <c:pt idx="56">
                  <c:v>1890.8131673142509</c:v>
                </c:pt>
                <c:pt idx="57">
                  <c:v>1890.7170115375152</c:v>
                </c:pt>
                <c:pt idx="58">
                  <c:v>1890.617218066822</c:v>
                </c:pt>
                <c:pt idx="59">
                  <c:v>1890.225340598874</c:v>
                </c:pt>
                <c:pt idx="60">
                  <c:v>1890.1287172168047</c:v>
                </c:pt>
                <c:pt idx="61">
                  <c:v>1890.0300515505728</c:v>
                </c:pt>
                <c:pt idx="62">
                  <c:v>1884.2974133525022</c:v>
                </c:pt>
                <c:pt idx="63">
                  <c:v>1884.11260843017</c:v>
                </c:pt>
                <c:pt idx="64">
                  <c:v>1883.9231789242049</c:v>
                </c:pt>
                <c:pt idx="65">
                  <c:v>1883.7337150776862</c:v>
                </c:pt>
                <c:pt idx="66">
                  <c:v>1761.8325972783466</c:v>
                </c:pt>
                <c:pt idx="67">
                  <c:v>1651.4384292789489</c:v>
                </c:pt>
                <c:pt idx="68">
                  <c:v>1535.2908412788161</c:v>
                </c:pt>
                <c:pt idx="69">
                  <c:v>1525.9761028319795</c:v>
                </c:pt>
                <c:pt idx="70">
                  <c:v>1423.9012526457077</c:v>
                </c:pt>
                <c:pt idx="71">
                  <c:v>1416.313877449345</c:v>
                </c:pt>
                <c:pt idx="72">
                  <c:v>1304.7855107955911</c:v>
                </c:pt>
                <c:pt idx="73">
                  <c:v>1297.3401005807405</c:v>
                </c:pt>
                <c:pt idx="74">
                  <c:v>1183.435566855602</c:v>
                </c:pt>
                <c:pt idx="75">
                  <c:v>1175.5426505583675</c:v>
                </c:pt>
                <c:pt idx="76">
                  <c:v>1172.7166560558496</c:v>
                </c:pt>
                <c:pt idx="77">
                  <c:v>1163.2943144808723</c:v>
                </c:pt>
                <c:pt idx="78">
                  <c:v>1053.7449295405133</c:v>
                </c:pt>
                <c:pt idx="79">
                  <c:v>1050.9191990021677</c:v>
                </c:pt>
                <c:pt idx="80">
                  <c:v>1049.131416427454</c:v>
                </c:pt>
                <c:pt idx="81">
                  <c:v>974.69822016567298</c:v>
                </c:pt>
                <c:pt idx="82">
                  <c:v>990.64590521919774</c:v>
                </c:pt>
                <c:pt idx="83">
                  <c:v>955.55778486931558</c:v>
                </c:pt>
                <c:pt idx="84">
                  <c:v>954.76905072373484</c:v>
                </c:pt>
                <c:pt idx="85">
                  <c:v>923.94589659448661</c:v>
                </c:pt>
                <c:pt idx="86">
                  <c:v>931.73278303611642</c:v>
                </c:pt>
                <c:pt idx="87">
                  <c:v>933.51648695079234</c:v>
                </c:pt>
                <c:pt idx="88">
                  <c:v>923.50822461478492</c:v>
                </c:pt>
                <c:pt idx="89">
                  <c:v>939.11681676429953</c:v>
                </c:pt>
                <c:pt idx="90">
                  <c:v>957.5066569333768</c:v>
                </c:pt>
                <c:pt idx="91">
                  <c:v>975.54424635968178</c:v>
                </c:pt>
                <c:pt idx="92">
                  <c:v>887.64384867126341</c:v>
                </c:pt>
                <c:pt idx="93">
                  <c:v>859.36493481450532</c:v>
                </c:pt>
                <c:pt idx="94">
                  <c:v>854.05834037057832</c:v>
                </c:pt>
                <c:pt idx="95">
                  <c:v>912.43458221812364</c:v>
                </c:pt>
                <c:pt idx="96">
                  <c:v>931.54932786917504</c:v>
                </c:pt>
                <c:pt idx="97">
                  <c:v>863.57674869088078</c:v>
                </c:pt>
                <c:pt idx="98">
                  <c:v>837.27654815778726</c:v>
                </c:pt>
                <c:pt idx="99">
                  <c:v>842.17481072629789</c:v>
                </c:pt>
                <c:pt idx="100">
                  <c:v>841.16488266487067</c:v>
                </c:pt>
                <c:pt idx="101">
                  <c:v>817.19841433990018</c:v>
                </c:pt>
                <c:pt idx="102">
                  <c:v>817.19841433990018</c:v>
                </c:pt>
                <c:pt idx="103">
                  <c:v>801.89841433990011</c:v>
                </c:pt>
                <c:pt idx="104">
                  <c:v>817.19841433990018</c:v>
                </c:pt>
                <c:pt idx="105">
                  <c:v>824.84841433990016</c:v>
                </c:pt>
                <c:pt idx="106">
                  <c:v>809.54841433990021</c:v>
                </c:pt>
                <c:pt idx="107">
                  <c:v>801.89841433990011</c:v>
                </c:pt>
                <c:pt idx="108">
                  <c:v>801.89841433990011</c:v>
                </c:pt>
                <c:pt idx="109">
                  <c:v>801.89841433990011</c:v>
                </c:pt>
                <c:pt idx="110">
                  <c:v>710.09841433990016</c:v>
                </c:pt>
                <c:pt idx="111">
                  <c:v>702.44841433990018</c:v>
                </c:pt>
                <c:pt idx="112">
                  <c:v>694.79841433990021</c:v>
                </c:pt>
                <c:pt idx="113">
                  <c:v>664.19841433990018</c:v>
                </c:pt>
                <c:pt idx="114">
                  <c:v>633.59841433990016</c:v>
                </c:pt>
                <c:pt idx="115">
                  <c:v>671.84841433990016</c:v>
                </c:pt>
                <c:pt idx="116">
                  <c:v>664.19841433990018</c:v>
                </c:pt>
                <c:pt idx="117">
                  <c:v>671.84841433990016</c:v>
                </c:pt>
                <c:pt idx="118">
                  <c:v>641.24841433990014</c:v>
                </c:pt>
                <c:pt idx="119">
                  <c:v>648.89841433990011</c:v>
                </c:pt>
                <c:pt idx="120">
                  <c:v>671.84841433990016</c:v>
                </c:pt>
                <c:pt idx="121">
                  <c:v>641.24841433990014</c:v>
                </c:pt>
                <c:pt idx="122">
                  <c:v>656.54841433990021</c:v>
                </c:pt>
                <c:pt idx="123">
                  <c:v>541.79841433990021</c:v>
                </c:pt>
                <c:pt idx="124">
                  <c:v>541.79841433990021</c:v>
                </c:pt>
                <c:pt idx="125">
                  <c:v>541.79841433990021</c:v>
                </c:pt>
                <c:pt idx="126">
                  <c:v>534.14841433990011</c:v>
                </c:pt>
                <c:pt idx="127">
                  <c:v>534.14841433990011</c:v>
                </c:pt>
                <c:pt idx="128">
                  <c:v>518.84841433990016</c:v>
                </c:pt>
                <c:pt idx="129">
                  <c:v>495.89841433990017</c:v>
                </c:pt>
                <c:pt idx="130">
                  <c:v>488.24841433990014</c:v>
                </c:pt>
                <c:pt idx="131">
                  <c:v>503.54841433990015</c:v>
                </c:pt>
                <c:pt idx="132">
                  <c:v>419.39841433990017</c:v>
                </c:pt>
                <c:pt idx="133">
                  <c:v>381.14841433990017</c:v>
                </c:pt>
                <c:pt idx="134">
                  <c:v>358.19841433990018</c:v>
                </c:pt>
                <c:pt idx="135">
                  <c:v>319.94841433990018</c:v>
                </c:pt>
                <c:pt idx="136">
                  <c:v>335.24841433990019</c:v>
                </c:pt>
                <c:pt idx="137">
                  <c:v>350.54841433990021</c:v>
                </c:pt>
                <c:pt idx="138">
                  <c:v>266.39841433990017</c:v>
                </c:pt>
                <c:pt idx="139">
                  <c:v>365.84841433990022</c:v>
                </c:pt>
                <c:pt idx="140">
                  <c:v>228.1484143399002</c:v>
                </c:pt>
                <c:pt idx="141">
                  <c:v>212.84841433990019</c:v>
                </c:pt>
                <c:pt idx="142">
                  <c:v>212.84841433990019</c:v>
                </c:pt>
                <c:pt idx="143">
                  <c:v>205.19841433990018</c:v>
                </c:pt>
                <c:pt idx="144">
                  <c:v>205.19841433990018</c:v>
                </c:pt>
                <c:pt idx="145">
                  <c:v>212.84841433990019</c:v>
                </c:pt>
                <c:pt idx="146">
                  <c:v>212.84841433990019</c:v>
                </c:pt>
                <c:pt idx="147">
                  <c:v>2271.7511451989612</c:v>
                </c:pt>
                <c:pt idx="148">
                  <c:v>2271.7511451989612</c:v>
                </c:pt>
                <c:pt idx="149">
                  <c:v>2271.7511451989612</c:v>
                </c:pt>
                <c:pt idx="150">
                  <c:v>2271.7511451989612</c:v>
                </c:pt>
                <c:pt idx="151">
                  <c:v>2271.7511451989612</c:v>
                </c:pt>
                <c:pt idx="152">
                  <c:v>2271.7511451989612</c:v>
                </c:pt>
                <c:pt idx="153">
                  <c:v>2271.7511451989612</c:v>
                </c:pt>
                <c:pt idx="154">
                  <c:v>2271.7511451989612</c:v>
                </c:pt>
                <c:pt idx="155">
                  <c:v>2271.7511451989612</c:v>
                </c:pt>
                <c:pt idx="156">
                  <c:v>2271.7511451989612</c:v>
                </c:pt>
                <c:pt idx="157">
                  <c:v>2271.7511451989612</c:v>
                </c:pt>
                <c:pt idx="158">
                  <c:v>2271.7511451989612</c:v>
                </c:pt>
                <c:pt idx="159">
                  <c:v>2271.7511451989612</c:v>
                </c:pt>
                <c:pt idx="160">
                  <c:v>2271.7511451989612</c:v>
                </c:pt>
                <c:pt idx="161">
                  <c:v>2271.7511451989612</c:v>
                </c:pt>
                <c:pt idx="162" formatCode="General">
                  <c:v>2271.7511451989612</c:v>
                </c:pt>
                <c:pt idx="163" formatCode="General">
                  <c:v>2271.7511451989612</c:v>
                </c:pt>
                <c:pt idx="164" formatCode="General">
                  <c:v>2271.7511451989612</c:v>
                </c:pt>
                <c:pt idx="165" formatCode="General">
                  <c:v>2271.7511451989612</c:v>
                </c:pt>
                <c:pt idx="166" formatCode="General">
                  <c:v>2271.7511451989612</c:v>
                </c:pt>
                <c:pt idx="167" formatCode="General">
                  <c:v>2271.7511451989612</c:v>
                </c:pt>
                <c:pt idx="168" formatCode="General">
                  <c:v>2271.7511451989612</c:v>
                </c:pt>
                <c:pt idx="169" formatCode="General">
                  <c:v>2271.7511451989612</c:v>
                </c:pt>
                <c:pt idx="170" formatCode="General">
                  <c:v>2271.7511451989612</c:v>
                </c:pt>
                <c:pt idx="171" formatCode="General">
                  <c:v>2271.7511451989612</c:v>
                </c:pt>
                <c:pt idx="172" formatCode="General">
                  <c:v>2271.7511451989612</c:v>
                </c:pt>
                <c:pt idx="173" formatCode="General">
                  <c:v>2271.7511451989612</c:v>
                </c:pt>
                <c:pt idx="174" formatCode="General">
                  <c:v>2271.7511451989612</c:v>
                </c:pt>
                <c:pt idx="175" formatCode="General">
                  <c:v>2271.7511451989612</c:v>
                </c:pt>
                <c:pt idx="176" formatCode="General">
                  <c:v>2271.7511451989612</c:v>
                </c:pt>
                <c:pt idx="177" formatCode="General">
                  <c:v>2271.7511451989612</c:v>
                </c:pt>
                <c:pt idx="178" formatCode="General">
                  <c:v>2271.7511451989612</c:v>
                </c:pt>
                <c:pt idx="179" formatCode="General">
                  <c:v>2271.7511451989612</c:v>
                </c:pt>
                <c:pt idx="180" formatCode="General">
                  <c:v>2161.2511451989612</c:v>
                </c:pt>
                <c:pt idx="181" formatCode="General">
                  <c:v>2161.2511451989612</c:v>
                </c:pt>
                <c:pt idx="182" formatCode="General">
                  <c:v>2161.2511451989612</c:v>
                </c:pt>
                <c:pt idx="183" formatCode="General">
                  <c:v>2161.2511451989612</c:v>
                </c:pt>
                <c:pt idx="184" formatCode="General">
                  <c:v>2161.2511451989612</c:v>
                </c:pt>
                <c:pt idx="185" formatCode="General">
                  <c:v>2161.2511451989612</c:v>
                </c:pt>
                <c:pt idx="186" formatCode="General">
                  <c:v>2161.2511451989612</c:v>
                </c:pt>
                <c:pt idx="187" formatCode="General">
                  <c:v>2161.2511451989612</c:v>
                </c:pt>
                <c:pt idx="188" formatCode="General">
                  <c:v>2161.2511451989612</c:v>
                </c:pt>
                <c:pt idx="189" formatCode="General">
                  <c:v>2161.2511451989612</c:v>
                </c:pt>
                <c:pt idx="190" formatCode="General">
                  <c:v>2161.2511451989612</c:v>
                </c:pt>
                <c:pt idx="191" formatCode="General">
                  <c:v>2161.2511451989612</c:v>
                </c:pt>
                <c:pt idx="192" formatCode="General">
                  <c:v>2161.2511451989612</c:v>
                </c:pt>
                <c:pt idx="193" formatCode="General">
                  <c:v>2161.2511451989612</c:v>
                </c:pt>
                <c:pt idx="194" formatCode="General">
                  <c:v>2161.2511451989612</c:v>
                </c:pt>
                <c:pt idx="195" formatCode="General">
                  <c:v>2161.2511451989612</c:v>
                </c:pt>
                <c:pt idx="196" formatCode="General">
                  <c:v>2161.2511451989612</c:v>
                </c:pt>
                <c:pt idx="197" formatCode="General">
                  <c:v>2161.2511451989612</c:v>
                </c:pt>
                <c:pt idx="198" formatCode="General">
                  <c:v>2161.2511451989612</c:v>
                </c:pt>
                <c:pt idx="199" formatCode="General">
                  <c:v>2161.2511451989612</c:v>
                </c:pt>
                <c:pt idx="200" formatCode="General">
                  <c:v>2161.2511451989612</c:v>
                </c:pt>
                <c:pt idx="201" formatCode="General">
                  <c:v>2050.7511451989612</c:v>
                </c:pt>
                <c:pt idx="202" formatCode="General">
                  <c:v>2050.7511451989612</c:v>
                </c:pt>
                <c:pt idx="203" formatCode="General">
                  <c:v>2050.7511451989612</c:v>
                </c:pt>
                <c:pt idx="204" formatCode="General">
                  <c:v>2050.7511451989612</c:v>
                </c:pt>
                <c:pt idx="205" formatCode="General">
                  <c:v>2050.7511451989612</c:v>
                </c:pt>
                <c:pt idx="206" formatCode="General">
                  <c:v>2050.7511451989612</c:v>
                </c:pt>
                <c:pt idx="207" formatCode="General">
                  <c:v>2050.7511451989612</c:v>
                </c:pt>
                <c:pt idx="208" formatCode="General">
                  <c:v>2050.7511451989612</c:v>
                </c:pt>
                <c:pt idx="209" formatCode="General">
                  <c:v>2050.7511451989612</c:v>
                </c:pt>
                <c:pt idx="210" formatCode="General">
                  <c:v>2050.7511451989612</c:v>
                </c:pt>
                <c:pt idx="211" formatCode="General">
                  <c:v>2050.7511451989612</c:v>
                </c:pt>
                <c:pt idx="212" formatCode="General">
                  <c:v>2050.7511451989612</c:v>
                </c:pt>
                <c:pt idx="213" formatCode="General">
                  <c:v>2050.7511451989612</c:v>
                </c:pt>
                <c:pt idx="214" formatCode="General">
                  <c:v>2050.7511451989612</c:v>
                </c:pt>
                <c:pt idx="215" formatCode="General">
                  <c:v>2050.7511451989612</c:v>
                </c:pt>
                <c:pt idx="216" formatCode="General">
                  <c:v>2050.7511451989612</c:v>
                </c:pt>
                <c:pt idx="217" formatCode="General">
                  <c:v>2050.7511451989612</c:v>
                </c:pt>
                <c:pt idx="218" formatCode="General">
                  <c:v>2050.7511451989612</c:v>
                </c:pt>
                <c:pt idx="219" formatCode="General">
                  <c:v>2050.7511451989612</c:v>
                </c:pt>
                <c:pt idx="220" formatCode="General">
                  <c:v>2050.7511451989612</c:v>
                </c:pt>
                <c:pt idx="221" formatCode="General">
                  <c:v>2050.7511451989612</c:v>
                </c:pt>
                <c:pt idx="222" formatCode="General">
                  <c:v>2050.7511451989612</c:v>
                </c:pt>
                <c:pt idx="223" formatCode="General">
                  <c:v>2050.7511451989612</c:v>
                </c:pt>
                <c:pt idx="224" formatCode="General">
                  <c:v>2050.7511451989612</c:v>
                </c:pt>
                <c:pt idx="225" formatCode="General">
                  <c:v>1940.251145198961</c:v>
                </c:pt>
                <c:pt idx="226" formatCode="General">
                  <c:v>1940.251145198961</c:v>
                </c:pt>
                <c:pt idx="227" formatCode="General">
                  <c:v>1940.251145198961</c:v>
                </c:pt>
                <c:pt idx="228" formatCode="General">
                  <c:v>1940.251145198961</c:v>
                </c:pt>
                <c:pt idx="229" formatCode="General">
                  <c:v>1940.251145198961</c:v>
                </c:pt>
                <c:pt idx="230" formatCode="General">
                  <c:v>1940.251145198961</c:v>
                </c:pt>
                <c:pt idx="231" formatCode="General">
                  <c:v>1940.251145198961</c:v>
                </c:pt>
                <c:pt idx="232" formatCode="General">
                  <c:v>1940.251145198961</c:v>
                </c:pt>
                <c:pt idx="233" formatCode="General">
                  <c:v>1940.251145198961</c:v>
                </c:pt>
                <c:pt idx="234" formatCode="General">
                  <c:v>1940.251145198961</c:v>
                </c:pt>
                <c:pt idx="235" formatCode="General">
                  <c:v>1940.251145198961</c:v>
                </c:pt>
                <c:pt idx="236" formatCode="General">
                  <c:v>1940.251145198961</c:v>
                </c:pt>
                <c:pt idx="237" formatCode="General">
                  <c:v>1940.251145198961</c:v>
                </c:pt>
                <c:pt idx="238" formatCode="General">
                  <c:v>1940.251145198961</c:v>
                </c:pt>
                <c:pt idx="239" formatCode="General">
                  <c:v>1940.251145198961</c:v>
                </c:pt>
                <c:pt idx="240" formatCode="General">
                  <c:v>1940.251145198961</c:v>
                </c:pt>
                <c:pt idx="241" formatCode="General">
                  <c:v>1940.251145198961</c:v>
                </c:pt>
                <c:pt idx="242" formatCode="General">
                  <c:v>1940.251145198961</c:v>
                </c:pt>
                <c:pt idx="243" formatCode="General">
                  <c:v>1940.251145198961</c:v>
                </c:pt>
                <c:pt idx="244" formatCode="General">
                  <c:v>1940.251145198961</c:v>
                </c:pt>
                <c:pt idx="245" formatCode="General">
                  <c:v>1940.251145198961</c:v>
                </c:pt>
                <c:pt idx="246" formatCode="General">
                  <c:v>1940.251145198961</c:v>
                </c:pt>
                <c:pt idx="247" formatCode="General">
                  <c:v>1940.251145198961</c:v>
                </c:pt>
                <c:pt idx="248" formatCode="General">
                  <c:v>1829.751145198961</c:v>
                </c:pt>
                <c:pt idx="249" formatCode="General">
                  <c:v>1829.751145198961</c:v>
                </c:pt>
                <c:pt idx="250" formatCode="General">
                  <c:v>1719.251145198961</c:v>
                </c:pt>
                <c:pt idx="251" formatCode="General">
                  <c:v>1719.251145198961</c:v>
                </c:pt>
                <c:pt idx="252" formatCode="General">
                  <c:v>1608.751145198961</c:v>
                </c:pt>
                <c:pt idx="253" formatCode="General">
                  <c:v>1608.751145198961</c:v>
                </c:pt>
                <c:pt idx="254" formatCode="General">
                  <c:v>1608.751145198961</c:v>
                </c:pt>
                <c:pt idx="255" formatCode="General">
                  <c:v>1498.251145198961</c:v>
                </c:pt>
                <c:pt idx="256" formatCode="General">
                  <c:v>1498.251145198961</c:v>
                </c:pt>
                <c:pt idx="257" formatCode="General">
                  <c:v>1498.251145198961</c:v>
                </c:pt>
                <c:pt idx="258" formatCode="General">
                  <c:v>1387.751145198961</c:v>
                </c:pt>
                <c:pt idx="259" formatCode="General">
                  <c:v>1387.751145198961</c:v>
                </c:pt>
                <c:pt idx="260" formatCode="General">
                  <c:v>1387.751145198961</c:v>
                </c:pt>
                <c:pt idx="261" formatCode="General">
                  <c:v>1387.751145198961</c:v>
                </c:pt>
                <c:pt idx="262" formatCode="General">
                  <c:v>1277.251145198961</c:v>
                </c:pt>
                <c:pt idx="263" formatCode="General">
                  <c:v>1277.251145198961</c:v>
                </c:pt>
                <c:pt idx="264" formatCode="General">
                  <c:v>1277.251145198961</c:v>
                </c:pt>
                <c:pt idx="265" formatCode="General">
                  <c:v>1277.251145198961</c:v>
                </c:pt>
                <c:pt idx="266" formatCode="General">
                  <c:v>1166.751145198961</c:v>
                </c:pt>
                <c:pt idx="267" formatCode="General">
                  <c:v>1166.751145198961</c:v>
                </c:pt>
                <c:pt idx="268" formatCode="General">
                  <c:v>1166.751145198961</c:v>
                </c:pt>
                <c:pt idx="269" formatCode="General">
                  <c:v>1166.751145198961</c:v>
                </c:pt>
                <c:pt idx="270" formatCode="General">
                  <c:v>1166.751145198961</c:v>
                </c:pt>
                <c:pt idx="271" formatCode="General">
                  <c:v>1056.251145198961</c:v>
                </c:pt>
                <c:pt idx="272" formatCode="General">
                  <c:v>1056.251145198961</c:v>
                </c:pt>
                <c:pt idx="273" formatCode="General">
                  <c:v>1056.251145198961</c:v>
                </c:pt>
                <c:pt idx="274" formatCode="General">
                  <c:v>1056.251145198961</c:v>
                </c:pt>
                <c:pt idx="275" formatCode="General">
                  <c:v>1056.251145198961</c:v>
                </c:pt>
                <c:pt idx="276" formatCode="General">
                  <c:v>1056.251145198961</c:v>
                </c:pt>
                <c:pt idx="277" formatCode="General">
                  <c:v>1056.251145198961</c:v>
                </c:pt>
                <c:pt idx="278" formatCode="General">
                  <c:v>945.75114519896101</c:v>
                </c:pt>
                <c:pt idx="279" formatCode="General">
                  <c:v>945.75114519896101</c:v>
                </c:pt>
                <c:pt idx="280" formatCode="General">
                  <c:v>945.75114519896101</c:v>
                </c:pt>
                <c:pt idx="281" formatCode="General">
                  <c:v>945.75114519896101</c:v>
                </c:pt>
                <c:pt idx="282" formatCode="General">
                  <c:v>945.75114519896101</c:v>
                </c:pt>
                <c:pt idx="283" formatCode="General">
                  <c:v>945.75114519896101</c:v>
                </c:pt>
                <c:pt idx="284" formatCode="General">
                  <c:v>945.75114519896101</c:v>
                </c:pt>
                <c:pt idx="285" formatCode="General">
                  <c:v>945.75114519896101</c:v>
                </c:pt>
                <c:pt idx="286" formatCode="General">
                  <c:v>945.75114519896101</c:v>
                </c:pt>
                <c:pt idx="287" formatCode="General">
                  <c:v>835.25114519896101</c:v>
                </c:pt>
                <c:pt idx="288" formatCode="General">
                  <c:v>835.25114519896101</c:v>
                </c:pt>
                <c:pt idx="289" formatCode="General">
                  <c:v>835.25114519896101</c:v>
                </c:pt>
                <c:pt idx="290" formatCode="General">
                  <c:v>835.25114519896101</c:v>
                </c:pt>
                <c:pt idx="291" formatCode="General">
                  <c:v>835.25114519896101</c:v>
                </c:pt>
                <c:pt idx="292" formatCode="General">
                  <c:v>835.25114519896101</c:v>
                </c:pt>
                <c:pt idx="293" formatCode="General">
                  <c:v>835.25114519896101</c:v>
                </c:pt>
                <c:pt idx="294" formatCode="General">
                  <c:v>835.25114519896101</c:v>
                </c:pt>
                <c:pt idx="295" formatCode="General">
                  <c:v>835.25114519896101</c:v>
                </c:pt>
                <c:pt idx="296" formatCode="General">
                  <c:v>835.25114519896101</c:v>
                </c:pt>
                <c:pt idx="297" formatCode="General">
                  <c:v>835.25114519896101</c:v>
                </c:pt>
                <c:pt idx="298" formatCode="General">
                  <c:v>724.75114519896101</c:v>
                </c:pt>
                <c:pt idx="299" formatCode="General">
                  <c:v>724.75114519896101</c:v>
                </c:pt>
                <c:pt idx="300" formatCode="General">
                  <c:v>724.75114519896101</c:v>
                </c:pt>
                <c:pt idx="301" formatCode="General">
                  <c:v>724.75114519896101</c:v>
                </c:pt>
                <c:pt idx="302" formatCode="General">
                  <c:v>724.75114519896101</c:v>
                </c:pt>
                <c:pt idx="303" formatCode="General">
                  <c:v>724.75114519896101</c:v>
                </c:pt>
                <c:pt idx="304" formatCode="General">
                  <c:v>724.75114519896101</c:v>
                </c:pt>
                <c:pt idx="305" formatCode="General">
                  <c:v>724.75114519896101</c:v>
                </c:pt>
                <c:pt idx="306" formatCode="General">
                  <c:v>724.75114519896101</c:v>
                </c:pt>
                <c:pt idx="307" formatCode="General">
                  <c:v>724.75114519896101</c:v>
                </c:pt>
                <c:pt idx="308" formatCode="General">
                  <c:v>724.75114519896101</c:v>
                </c:pt>
                <c:pt idx="309" formatCode="General">
                  <c:v>724.75114519896101</c:v>
                </c:pt>
                <c:pt idx="310" formatCode="General">
                  <c:v>724.75114519896101</c:v>
                </c:pt>
                <c:pt idx="311" formatCode="General">
                  <c:v>724.75114519896101</c:v>
                </c:pt>
                <c:pt idx="312" formatCode="General">
                  <c:v>724.75114519896101</c:v>
                </c:pt>
                <c:pt idx="313" formatCode="General">
                  <c:v>724.75114519896101</c:v>
                </c:pt>
                <c:pt idx="314" formatCode="General">
                  <c:v>614.25114519896101</c:v>
                </c:pt>
                <c:pt idx="315" formatCode="General">
                  <c:v>614.25114519896101</c:v>
                </c:pt>
                <c:pt idx="316" formatCode="General">
                  <c:v>614.25114519896101</c:v>
                </c:pt>
                <c:pt idx="317" formatCode="General">
                  <c:v>614.25114519896101</c:v>
                </c:pt>
                <c:pt idx="318" formatCode="General">
                  <c:v>614.25114519896101</c:v>
                </c:pt>
                <c:pt idx="319" formatCode="General">
                  <c:v>614.25114519896101</c:v>
                </c:pt>
                <c:pt idx="320" formatCode="General">
                  <c:v>614.25114519896101</c:v>
                </c:pt>
                <c:pt idx="321" formatCode="General">
                  <c:v>614.25114519896101</c:v>
                </c:pt>
                <c:pt idx="322" formatCode="General">
                  <c:v>614.25114519896101</c:v>
                </c:pt>
                <c:pt idx="323" formatCode="General">
                  <c:v>614.25114519896101</c:v>
                </c:pt>
                <c:pt idx="324" formatCode="General">
                  <c:v>614.25114519896101</c:v>
                </c:pt>
                <c:pt idx="325" formatCode="General">
                  <c:v>614.25114519896101</c:v>
                </c:pt>
                <c:pt idx="326" formatCode="General">
                  <c:v>614.25114519896101</c:v>
                </c:pt>
                <c:pt idx="327" formatCode="General">
                  <c:v>614.25114519896101</c:v>
                </c:pt>
                <c:pt idx="328" formatCode="General">
                  <c:v>614.25114519896101</c:v>
                </c:pt>
                <c:pt idx="329" formatCode="General">
                  <c:v>614.25114519896101</c:v>
                </c:pt>
                <c:pt idx="330" formatCode="General">
                  <c:v>614.25114519896101</c:v>
                </c:pt>
                <c:pt idx="331" formatCode="General">
                  <c:v>614.25114519896101</c:v>
                </c:pt>
                <c:pt idx="332" formatCode="General">
                  <c:v>614.25114519896101</c:v>
                </c:pt>
                <c:pt idx="333" formatCode="General">
                  <c:v>614.25114519896101</c:v>
                </c:pt>
                <c:pt idx="334" formatCode="General">
                  <c:v>614.25114519896101</c:v>
                </c:pt>
                <c:pt idx="335" formatCode="General">
                  <c:v>614.25114519896101</c:v>
                </c:pt>
                <c:pt idx="336" formatCode="General">
                  <c:v>614.25114519896101</c:v>
                </c:pt>
                <c:pt idx="337" formatCode="General">
                  <c:v>614.25114519896101</c:v>
                </c:pt>
                <c:pt idx="338" formatCode="General">
                  <c:v>614.25114519896101</c:v>
                </c:pt>
                <c:pt idx="339" formatCode="General">
                  <c:v>503.75114519896101</c:v>
                </c:pt>
                <c:pt idx="340" formatCode="General">
                  <c:v>503.75114519896101</c:v>
                </c:pt>
                <c:pt idx="341" formatCode="General">
                  <c:v>503.75114519896101</c:v>
                </c:pt>
                <c:pt idx="342" formatCode="General">
                  <c:v>503.75114519896101</c:v>
                </c:pt>
                <c:pt idx="343" formatCode="General">
                  <c:v>503.75114519896101</c:v>
                </c:pt>
                <c:pt idx="344" formatCode="General">
                  <c:v>503.75114519896101</c:v>
                </c:pt>
                <c:pt idx="345" formatCode="General">
                  <c:v>503.75114519896101</c:v>
                </c:pt>
                <c:pt idx="346" formatCode="General">
                  <c:v>503.75114519896101</c:v>
                </c:pt>
                <c:pt idx="347" formatCode="General">
                  <c:v>503.75114519896101</c:v>
                </c:pt>
                <c:pt idx="348" formatCode="General">
                  <c:v>503.75114519896101</c:v>
                </c:pt>
                <c:pt idx="349" formatCode="General">
                  <c:v>503.75114519896101</c:v>
                </c:pt>
                <c:pt idx="350" formatCode="General">
                  <c:v>503.75114519896101</c:v>
                </c:pt>
                <c:pt idx="351" formatCode="General">
                  <c:v>503.75114519896101</c:v>
                </c:pt>
                <c:pt idx="352" formatCode="General">
                  <c:v>393.25114519896101</c:v>
                </c:pt>
                <c:pt idx="353" formatCode="General">
                  <c:v>393.25114519896101</c:v>
                </c:pt>
                <c:pt idx="354" formatCode="General">
                  <c:v>393.25114519896101</c:v>
                </c:pt>
                <c:pt idx="355" formatCode="General">
                  <c:v>393.25114519896101</c:v>
                </c:pt>
                <c:pt idx="356" formatCode="General">
                  <c:v>393.25114519896101</c:v>
                </c:pt>
                <c:pt idx="357" formatCode="General">
                  <c:v>393.25114519896101</c:v>
                </c:pt>
                <c:pt idx="358" formatCode="General">
                  <c:v>393.25114519896101</c:v>
                </c:pt>
                <c:pt idx="359" formatCode="General">
                  <c:v>393.25114519896101</c:v>
                </c:pt>
                <c:pt idx="360" formatCode="General">
                  <c:v>392.7558979191698</c:v>
                </c:pt>
                <c:pt idx="361" formatCode="General">
                  <c:v>391.84278574705496</c:v>
                </c:pt>
                <c:pt idx="362" formatCode="General">
                  <c:v>280.42967357493995</c:v>
                </c:pt>
                <c:pt idx="363" formatCode="General">
                  <c:v>279.516561402825</c:v>
                </c:pt>
                <c:pt idx="364" formatCode="General">
                  <c:v>278.60344923071</c:v>
                </c:pt>
                <c:pt idx="365" formatCode="General">
                  <c:v>277.69033705859505</c:v>
                </c:pt>
                <c:pt idx="366" formatCode="General">
                  <c:v>276.7772248864801</c:v>
                </c:pt>
                <c:pt idx="367" formatCode="General">
                  <c:v>275.86411271436504</c:v>
                </c:pt>
                <c:pt idx="368" formatCode="General">
                  <c:v>274.95100054225009</c:v>
                </c:pt>
                <c:pt idx="369" formatCode="General">
                  <c:v>274.03788837013514</c:v>
                </c:pt>
                <c:pt idx="370" formatCode="General">
                  <c:v>273.12477619802019</c:v>
                </c:pt>
                <c:pt idx="371" formatCode="General">
                  <c:v>272.21166402590524</c:v>
                </c:pt>
                <c:pt idx="372" formatCode="General">
                  <c:v>271.29855185379029</c:v>
                </c:pt>
                <c:pt idx="373" formatCode="General">
                  <c:v>270.38543968167528</c:v>
                </c:pt>
                <c:pt idx="374" formatCode="General">
                  <c:v>269.47232750956039</c:v>
                </c:pt>
                <c:pt idx="375" formatCode="General">
                  <c:v>268.55921533744538</c:v>
                </c:pt>
                <c:pt idx="376" formatCode="General">
                  <c:v>267.64610316533037</c:v>
                </c:pt>
                <c:pt idx="377" formatCode="General">
                  <c:v>266.73299099321548</c:v>
                </c:pt>
                <c:pt idx="378" formatCode="General">
                  <c:v>265.81987882110059</c:v>
                </c:pt>
                <c:pt idx="379" formatCode="General">
                  <c:v>264.90676664898552</c:v>
                </c:pt>
                <c:pt idx="380" formatCode="General">
                  <c:v>263.99365447687063</c:v>
                </c:pt>
                <c:pt idx="381" formatCode="General">
                  <c:v>263.08054230475551</c:v>
                </c:pt>
                <c:pt idx="382" formatCode="General">
                  <c:v>262.16743013264073</c:v>
                </c:pt>
                <c:pt idx="383" formatCode="General">
                  <c:v>261.25431796052561</c:v>
                </c:pt>
                <c:pt idx="384" formatCode="General">
                  <c:v>260.34120578841072</c:v>
                </c:pt>
                <c:pt idx="385" formatCode="General">
                  <c:v>259.42809361629566</c:v>
                </c:pt>
                <c:pt idx="386" formatCode="General">
                  <c:v>258.51498144418076</c:v>
                </c:pt>
                <c:pt idx="387" formatCode="General">
                  <c:v>257.60186927206576</c:v>
                </c:pt>
                <c:pt idx="388" formatCode="General">
                  <c:v>256.68875709995086</c:v>
                </c:pt>
                <c:pt idx="389" formatCode="General">
                  <c:v>255.77564492783583</c:v>
                </c:pt>
                <c:pt idx="390" formatCode="General">
                  <c:v>254.86253275572096</c:v>
                </c:pt>
                <c:pt idx="391" formatCode="General">
                  <c:v>253.94942058360604</c:v>
                </c:pt>
                <c:pt idx="392" formatCode="General">
                  <c:v>253.03630841149101</c:v>
                </c:pt>
                <c:pt idx="393" formatCode="General">
                  <c:v>141.62319623937611</c:v>
                </c:pt>
                <c:pt idx="394" formatCode="General">
                  <c:v>140.71008406726111</c:v>
                </c:pt>
                <c:pt idx="395" formatCode="General">
                  <c:v>139.79697189514619</c:v>
                </c:pt>
                <c:pt idx="396" formatCode="General">
                  <c:v>138.88385972303118</c:v>
                </c:pt>
                <c:pt idx="397" formatCode="General">
                  <c:v>137.97074755091626</c:v>
                </c:pt>
                <c:pt idx="398" formatCode="General">
                  <c:v>137.05763537880125</c:v>
                </c:pt>
                <c:pt idx="399" formatCode="General">
                  <c:v>136.14452320668624</c:v>
                </c:pt>
                <c:pt idx="400" formatCode="General">
                  <c:v>135.23141103457124</c:v>
                </c:pt>
                <c:pt idx="401" formatCode="General">
                  <c:v>134.31829886245632</c:v>
                </c:pt>
                <c:pt idx="402" formatCode="General">
                  <c:v>133.40518669034131</c:v>
                </c:pt>
                <c:pt idx="403" formatCode="General">
                  <c:v>132.49207451822642</c:v>
                </c:pt>
                <c:pt idx="404" formatCode="General">
                  <c:v>131.57896234611138</c:v>
                </c:pt>
                <c:pt idx="405" formatCode="General">
                  <c:v>130.66585017399649</c:v>
                </c:pt>
                <c:pt idx="406" formatCode="General">
                  <c:v>129.75273800188148</c:v>
                </c:pt>
                <c:pt idx="407" formatCode="General">
                  <c:v>128.83962582976656</c:v>
                </c:pt>
                <c:pt idx="408" formatCode="General">
                  <c:v>127.92651365765155</c:v>
                </c:pt>
                <c:pt idx="409" formatCode="General">
                  <c:v>127.01340148553665</c:v>
                </c:pt>
                <c:pt idx="410" formatCode="General">
                  <c:v>126.10028931342164</c:v>
                </c:pt>
                <c:pt idx="411" formatCode="General">
                  <c:v>125.18717714130673</c:v>
                </c:pt>
                <c:pt idx="412" formatCode="General">
                  <c:v>124.27406496919173</c:v>
                </c:pt>
                <c:pt idx="413" formatCode="General">
                  <c:v>123.36095279707682</c:v>
                </c:pt>
                <c:pt idx="414" formatCode="General">
                  <c:v>122.44784062496181</c:v>
                </c:pt>
                <c:pt idx="415" formatCode="General">
                  <c:v>121.53472845284689</c:v>
                </c:pt>
                <c:pt idx="416" formatCode="General">
                  <c:v>120.621616280732</c:v>
                </c:pt>
                <c:pt idx="417" formatCode="General">
                  <c:v>119.70850410861708</c:v>
                </c:pt>
                <c:pt idx="418" formatCode="General">
                  <c:v>118.79539193650207</c:v>
                </c:pt>
                <c:pt idx="419" formatCode="General">
                  <c:v>117.88227976438715</c:v>
                </c:pt>
                <c:pt idx="420" formatCode="General">
                  <c:v>116.96916759227206</c:v>
                </c:pt>
                <c:pt idx="421" formatCode="General">
                  <c:v>116.05605542015734</c:v>
                </c:pt>
                <c:pt idx="422" formatCode="General">
                  <c:v>67.498414339900194</c:v>
                </c:pt>
                <c:pt idx="423" formatCode="General">
                  <c:v>67.498414339900194</c:v>
                </c:pt>
                <c:pt idx="424" formatCode="General">
                  <c:v>67.498414339900194</c:v>
                </c:pt>
                <c:pt idx="425" formatCode="General">
                  <c:v>67.498414339900194</c:v>
                </c:pt>
                <c:pt idx="426" formatCode="General">
                  <c:v>67.498414339900194</c:v>
                </c:pt>
                <c:pt idx="427" formatCode="General">
                  <c:v>67.498414339900194</c:v>
                </c:pt>
                <c:pt idx="428" formatCode="General">
                  <c:v>67.498414339900194</c:v>
                </c:pt>
                <c:pt idx="429" formatCode="General">
                  <c:v>67.498414339900194</c:v>
                </c:pt>
                <c:pt idx="430" formatCode="General">
                  <c:v>67.498414339900194</c:v>
                </c:pt>
                <c:pt idx="431" formatCode="General">
                  <c:v>67.498414339900194</c:v>
                </c:pt>
                <c:pt idx="432" formatCode="General">
                  <c:v>67.498414339900194</c:v>
                </c:pt>
                <c:pt idx="433" formatCode="General">
                  <c:v>67.498414339900194</c:v>
                </c:pt>
                <c:pt idx="434" formatCode="General">
                  <c:v>67.498414339900194</c:v>
                </c:pt>
                <c:pt idx="435" formatCode="General">
                  <c:v>67.498414339900194</c:v>
                </c:pt>
                <c:pt idx="436" formatCode="General">
                  <c:v>67.498414339900194</c:v>
                </c:pt>
                <c:pt idx="437" formatCode="General">
                  <c:v>67.498414339900194</c:v>
                </c:pt>
                <c:pt idx="438" formatCode="General">
                  <c:v>67.498414339900194</c:v>
                </c:pt>
                <c:pt idx="439" formatCode="General">
                  <c:v>219.43296566464991</c:v>
                </c:pt>
                <c:pt idx="440" formatCode="General">
                  <c:v>218.7128117365323</c:v>
                </c:pt>
                <c:pt idx="441" formatCode="General">
                  <c:v>217.99265780841463</c:v>
                </c:pt>
                <c:pt idx="442" formatCode="General">
                  <c:v>217.27250388029705</c:v>
                </c:pt>
                <c:pt idx="443" formatCode="General">
                  <c:v>216.55234995217947</c:v>
                </c:pt>
                <c:pt idx="444" formatCode="General">
                  <c:v>215.83219602406174</c:v>
                </c:pt>
                <c:pt idx="445" formatCode="General">
                  <c:v>215.11204209594408</c:v>
                </c:pt>
                <c:pt idx="446" formatCode="General">
                  <c:v>214.39188816782658</c:v>
                </c:pt>
                <c:pt idx="447" formatCode="General">
                  <c:v>213.67173423970891</c:v>
                </c:pt>
                <c:pt idx="448" formatCode="General">
                  <c:v>212.9515803115913</c:v>
                </c:pt>
                <c:pt idx="449" formatCode="General">
                  <c:v>212.23142638347375</c:v>
                </c:pt>
                <c:pt idx="450" formatCode="General">
                  <c:v>211.51127245535602</c:v>
                </c:pt>
                <c:pt idx="451" formatCode="General">
                  <c:v>210.79111852723841</c:v>
                </c:pt>
                <c:pt idx="452" formatCode="General">
                  <c:v>210.07096459912074</c:v>
                </c:pt>
                <c:pt idx="453" formatCode="General">
                  <c:v>209.35081067100319</c:v>
                </c:pt>
                <c:pt idx="454" formatCode="General">
                  <c:v>208.63065674288546</c:v>
                </c:pt>
                <c:pt idx="455" formatCode="General">
                  <c:v>207.9105028147678</c:v>
                </c:pt>
                <c:pt idx="456" formatCode="General">
                  <c:v>207.1903488866503</c:v>
                </c:pt>
                <c:pt idx="457" formatCode="General">
                  <c:v>16.498414339900084</c:v>
                </c:pt>
                <c:pt idx="458" formatCode="General">
                  <c:v>16.498414339900084</c:v>
                </c:pt>
                <c:pt idx="459" formatCode="General">
                  <c:v>16.498414339900084</c:v>
                </c:pt>
                <c:pt idx="460" formatCode="General">
                  <c:v>16.498414339900084</c:v>
                </c:pt>
                <c:pt idx="461" formatCode="General">
                  <c:v>16.498414339900084</c:v>
                </c:pt>
                <c:pt idx="462" formatCode="General">
                  <c:v>16.498414339900084</c:v>
                </c:pt>
                <c:pt idx="463" formatCode="General">
                  <c:v>16.498414339900084</c:v>
                </c:pt>
                <c:pt idx="464" formatCode="General">
                  <c:v>16.498414339900084</c:v>
                </c:pt>
                <c:pt idx="465" formatCode="General">
                  <c:v>16.498414339900084</c:v>
                </c:pt>
                <c:pt idx="466" formatCode="General">
                  <c:v>16.498414339900084</c:v>
                </c:pt>
                <c:pt idx="467" formatCode="General">
                  <c:v>16.498414339900084</c:v>
                </c:pt>
                <c:pt idx="468" formatCode="General">
                  <c:v>16.498414339900084</c:v>
                </c:pt>
                <c:pt idx="469" formatCode="General">
                  <c:v>16.498414339900084</c:v>
                </c:pt>
                <c:pt idx="470" formatCode="General">
                  <c:v>16.498414339900084</c:v>
                </c:pt>
                <c:pt idx="471" formatCode="General">
                  <c:v>16.498414339900084</c:v>
                </c:pt>
                <c:pt idx="472" formatCode="General">
                  <c:v>16.498414339900084</c:v>
                </c:pt>
                <c:pt idx="473" formatCode="General">
                  <c:v>16.498414339900084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0C0-49A0-85E3-2D686408F4BB}"/>
            </c:ext>
          </c:extLst>
        </c:ser>
        <c:ser>
          <c:idx val="1"/>
          <c:order val="1"/>
          <c:spPr>
            <a:ln w="28575">
              <a:noFill/>
            </a:ln>
          </c:spPr>
          <c:xVal>
            <c:numRef>
              <c:f>'Diagrama de Interacción'!$D$33:$D$1048576</c:f>
              <c:numCache>
                <c:formatCode>0.000</c:formatCode>
                <c:ptCount val="1048544"/>
              </c:numCache>
            </c:numRef>
          </c:xVal>
          <c:yVal>
            <c:numRef>
              <c:f>'Diagrama de Interacción'!$C$33:$C$1048576</c:f>
              <c:numCache>
                <c:formatCode>0.000</c:formatCode>
                <c:ptCount val="1048544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0C0-49A0-85E3-2D686408F4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8894976"/>
        <c:axId val="78896512"/>
      </c:scatterChart>
      <c:valAx>
        <c:axId val="78894976"/>
        <c:scaling>
          <c:orientation val="minMax"/>
        </c:scaling>
        <c:delete val="0"/>
        <c:axPos val="b"/>
        <c:majorGridlines>
          <c:spPr>
            <a:ln>
              <a:prstDash val="dash"/>
            </a:ln>
          </c:spPr>
        </c:majorGridlines>
        <c:numFmt formatCode="0.0E+00" sourceLinked="0"/>
        <c:majorTickMark val="out"/>
        <c:minorTickMark val="none"/>
        <c:tickLblPos val="low"/>
        <c:spPr>
          <a:ln w="19050">
            <a:solidFill>
              <a:schemeClr val="tx1"/>
            </a:solidFill>
          </a:ln>
        </c:spPr>
        <c:crossAx val="78896512"/>
        <c:crossesAt val="0"/>
        <c:crossBetween val="midCat"/>
      </c:valAx>
      <c:valAx>
        <c:axId val="78896512"/>
        <c:scaling>
          <c:orientation val="minMax"/>
        </c:scaling>
        <c:delete val="0"/>
        <c:axPos val="l"/>
        <c:majorGridlines>
          <c:spPr>
            <a:ln>
              <a:prstDash val="dash"/>
            </a:ln>
          </c:spPr>
        </c:majorGridlines>
        <c:numFmt formatCode="0.0E+00" sourceLinked="0"/>
        <c:majorTickMark val="out"/>
        <c:minorTickMark val="none"/>
        <c:tickLblPos val="low"/>
        <c:spPr>
          <a:ln w="22225">
            <a:solidFill>
              <a:schemeClr val="tx1"/>
            </a:solidFill>
          </a:ln>
        </c:spPr>
        <c:crossAx val="78894976"/>
        <c:crossesAt val="0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svg"/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55</xdr:row>
          <xdr:rowOff>57150</xdr:rowOff>
        </xdr:from>
        <xdr:to>
          <xdr:col>6</xdr:col>
          <xdr:colOff>352425</xdr:colOff>
          <xdr:row>58</xdr:row>
          <xdr:rowOff>76200</xdr:rowOff>
        </xdr:to>
        <xdr:sp macro="" textlink="">
          <xdr:nvSpPr>
            <xdr:cNvPr id="2083" name="Button 35" hidden="1">
              <a:extLst>
                <a:ext uri="{63B3BB69-23CF-44E3-9099-C40C66FF867C}">
                  <a14:compatExt spid="_x0000_s2083"/>
                </a:ext>
                <a:ext uri="{FF2B5EF4-FFF2-40B4-BE49-F238E27FC236}">
                  <a16:creationId xmlns:a16="http://schemas.microsoft.com/office/drawing/2014/main" id="{A7B36AFD-B60B-4778-ABDF-C28F3600F63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Generar Diagrama de Interacción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542925</xdr:colOff>
          <xdr:row>1</xdr:row>
          <xdr:rowOff>285750</xdr:rowOff>
        </xdr:from>
        <xdr:to>
          <xdr:col>6</xdr:col>
          <xdr:colOff>771525</xdr:colOff>
          <xdr:row>4</xdr:row>
          <xdr:rowOff>0</xdr:rowOff>
        </xdr:to>
        <xdr:sp macro="" textlink="">
          <xdr:nvSpPr>
            <xdr:cNvPr id="2084" name="Button 36" hidden="1">
              <a:extLst>
                <a:ext uri="{63B3BB69-23CF-44E3-9099-C40C66FF867C}">
                  <a14:compatExt spid="_x0000_s2084"/>
                </a:ext>
                <a:ext uri="{FF2B5EF4-FFF2-40B4-BE49-F238E27FC236}">
                  <a16:creationId xmlns:a16="http://schemas.microsoft.com/office/drawing/2014/main" id="{C280A16B-C351-4199-B9DA-63C6D41BB29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VOLVER A VALORES POR DEFECTO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53</xdr:row>
          <xdr:rowOff>57150</xdr:rowOff>
        </xdr:from>
        <xdr:to>
          <xdr:col>6</xdr:col>
          <xdr:colOff>352425</xdr:colOff>
          <xdr:row>56</xdr:row>
          <xdr:rowOff>76200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B27F13D8-BAEE-49EB-8B96-CC83D13662F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Generar Diagrama de Interacción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542925</xdr:colOff>
          <xdr:row>1</xdr:row>
          <xdr:rowOff>285750</xdr:rowOff>
        </xdr:from>
        <xdr:to>
          <xdr:col>6</xdr:col>
          <xdr:colOff>771525</xdr:colOff>
          <xdr:row>4</xdr:row>
          <xdr:rowOff>0</xdr:rowOff>
        </xdr:to>
        <xdr:sp macro="" textlink="">
          <xdr:nvSpPr>
            <xdr:cNvPr id="16386" name="Button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B90CBB6F-D079-48F6-9AB4-6623E150F9B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VOLVER A VALORES POR DEFECTO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9524</xdr:colOff>
      <xdr:row>2</xdr:row>
      <xdr:rowOff>23811</xdr:rowOff>
    </xdr:from>
    <xdr:to>
      <xdr:col>6</xdr:col>
      <xdr:colOff>742949</xdr:colOff>
      <xdr:row>28</xdr:row>
      <xdr:rowOff>171450</xdr:rowOff>
    </xdr:to>
    <xdr:graphicFrame macro="">
      <xdr:nvGraphicFramePr>
        <xdr:cNvPr id="2" name="3 Gráfico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11</xdr:row>
      <xdr:rowOff>47625</xdr:rowOff>
    </xdr:from>
    <xdr:to>
      <xdr:col>0</xdr:col>
      <xdr:colOff>314325</xdr:colOff>
      <xdr:row>16</xdr:row>
      <xdr:rowOff>133350</xdr:rowOff>
    </xdr:to>
    <xdr:sp macro="" textlink="">
      <xdr:nvSpPr>
        <xdr:cNvPr id="3" name="4 CuadroTexto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 rot="16200000">
          <a:off x="-361950" y="2514600"/>
          <a:ext cx="1038225" cy="3143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l-GR" sz="1000" b="1">
              <a:latin typeface="Arial" pitchFamily="34" charset="0"/>
              <a:cs typeface="Arial" pitchFamily="34" charset="0"/>
            </a:rPr>
            <a:t>Φ</a:t>
          </a:r>
          <a:r>
            <a:rPr lang="es-ES" sz="1000" b="1">
              <a:latin typeface="Arial" pitchFamily="34" charset="0"/>
              <a:cs typeface="Arial" pitchFamily="34" charset="0"/>
            </a:rPr>
            <a:t>Pn [KN]</a:t>
          </a:r>
        </a:p>
      </xdr:txBody>
    </xdr:sp>
    <xdr:clientData/>
  </xdr:twoCellAnchor>
  <xdr:twoCellAnchor>
    <xdr:from>
      <xdr:col>3</xdr:col>
      <xdr:colOff>133350</xdr:colOff>
      <xdr:row>28</xdr:row>
      <xdr:rowOff>85725</xdr:rowOff>
    </xdr:from>
    <xdr:to>
      <xdr:col>4</xdr:col>
      <xdr:colOff>409575</xdr:colOff>
      <xdr:row>30</xdr:row>
      <xdr:rowOff>19050</xdr:rowOff>
    </xdr:to>
    <xdr:sp macro="" textlink="">
      <xdr:nvSpPr>
        <xdr:cNvPr id="4" name="5 CuadroTexto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2343150" y="5429250"/>
          <a:ext cx="1038225" cy="3143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l-GR" sz="1000" b="1">
              <a:latin typeface="Arial" pitchFamily="34" charset="0"/>
              <a:cs typeface="Arial" pitchFamily="34" charset="0"/>
            </a:rPr>
            <a:t>Φ</a:t>
          </a:r>
          <a:r>
            <a:rPr lang="es-ES" sz="1000" b="1">
              <a:latin typeface="Arial" pitchFamily="34" charset="0"/>
              <a:cs typeface="Arial" pitchFamily="34" charset="0"/>
            </a:rPr>
            <a:t>Mn</a:t>
          </a:r>
          <a:r>
            <a:rPr lang="el-GR" sz="1000" b="1">
              <a:latin typeface="Arial" pitchFamily="34" charset="0"/>
              <a:cs typeface="Arial" pitchFamily="34" charset="0"/>
            </a:rPr>
            <a:t>λ</a:t>
          </a:r>
          <a:r>
            <a:rPr lang="es-ES" sz="1000" b="1">
              <a:latin typeface="Arial" pitchFamily="34" charset="0"/>
              <a:cs typeface="Arial" pitchFamily="34" charset="0"/>
            </a:rPr>
            <a:t> [KNm]</a:t>
          </a:r>
        </a:p>
      </xdr:txBody>
    </xdr:sp>
    <xdr:clientData/>
  </xdr:twoCellAnchor>
  <xdr:twoCellAnchor editAs="oneCell">
    <xdr:from>
      <xdr:col>11</xdr:col>
      <xdr:colOff>0</xdr:colOff>
      <xdr:row>0</xdr:row>
      <xdr:rowOff>0</xdr:rowOff>
    </xdr:from>
    <xdr:to>
      <xdr:col>18</xdr:col>
      <xdr:colOff>36961</xdr:colOff>
      <xdr:row>22</xdr:row>
      <xdr:rowOff>115764</xdr:rowOff>
    </xdr:to>
    <xdr:pic>
      <xdr:nvPicPr>
        <xdr:cNvPr id="64" name="geometria">
          <a:extLst>
            <a:ext uri="{FF2B5EF4-FFF2-40B4-BE49-F238E27FC236}">
              <a16:creationId xmlns:a16="http://schemas.microsoft.com/office/drawing/2014/main" id="{693FE3B2-CD23-F5C8-FA07-8F33D0A7F5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948448" y="0"/>
          <a:ext cx="5095065" cy="4313333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4</xdr:row>
      <xdr:rowOff>4054</xdr:rowOff>
    </xdr:from>
    <xdr:to>
      <xdr:col>6</xdr:col>
      <xdr:colOff>144517</xdr:colOff>
      <xdr:row>24</xdr:row>
      <xdr:rowOff>4054</xdr:rowOff>
    </xdr:to>
    <xdr:pic>
      <xdr:nvPicPr>
        <xdr:cNvPr id="13" name="Geometría Discretizada">
          <a:extLst>
            <a:ext uri="{FF2B5EF4-FFF2-40B4-BE49-F238E27FC236}">
              <a16:creationId xmlns:a16="http://schemas.microsoft.com/office/drawing/2014/main" id="{A5944C4F-632A-9A21-94ED-B5A5920165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766054"/>
          <a:ext cx="3787830" cy="38100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9</xdr:row>
      <xdr:rowOff>65315</xdr:rowOff>
    </xdr:from>
    <xdr:to>
      <xdr:col>4</xdr:col>
      <xdr:colOff>827942</xdr:colOff>
      <xdr:row>28</xdr:row>
      <xdr:rowOff>110540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3780065"/>
          <a:ext cx="5062904" cy="3531885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H:\PC%20Facundo%20L%20Pfeffer%20-%20Drive%20Backup\Ingenier&#237;a%20Civil\03%20-%20Investigaciones\01%20-%20Automatizaci&#243;n%20de%20Diagramas%20de%20Interacci&#243;n\01%20-%20Archivos\Inalterado\DISGHA.xlsm" TargetMode="External"/><Relationship Id="rId1" Type="http://schemas.openxmlformats.org/officeDocument/2006/relationships/externalLinkPath" Target="/PC%20Facundo%20L%20Pfeffer%20-%20Drive%20Backup/Ingenier&#237;a%20Civil/03%20-%20Investigaciones/01%20-%20Automatizaci&#243;n%20de%20Diagramas%20de%20Interacci&#243;n/01%20-%20Archivos/Inalterado/DISGH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Instrucciones"/>
      <sheetName val="Ingreso de Datos"/>
      <sheetName val="DATOS"/>
      <sheetName val="AUX"/>
      <sheetName val="AUX1"/>
      <sheetName val="Diagrama de Interacción"/>
    </sheetNames>
    <sheetDataSet>
      <sheetData sheetId="0"/>
      <sheetData sheetId="1">
        <row r="36">
          <cell r="E36">
            <v>0</v>
          </cell>
        </row>
      </sheetData>
      <sheetData sheetId="2"/>
      <sheetData sheetId="3"/>
      <sheetData sheetId="4"/>
      <sheetData sheetId="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8219CF-6ADB-42DB-892B-6E41BC7D49E6}">
  <sheetPr codeName="Sheet1"/>
  <dimension ref="A1:XFC54"/>
  <sheetViews>
    <sheetView tabSelected="1" zoomScale="130" zoomScaleNormal="130" workbookViewId="0">
      <selection activeCell="F23" sqref="F23"/>
    </sheetView>
  </sheetViews>
  <sheetFormatPr defaultColWidth="0" defaultRowHeight="15" x14ac:dyDescent="0.25"/>
  <cols>
    <col min="1" max="1" width="18.85546875" style="16" customWidth="1"/>
    <col min="2" max="2" width="12.5703125" style="16" customWidth="1"/>
    <col min="3" max="3" width="22.85546875" style="16" customWidth="1"/>
    <col min="4" max="4" width="15.42578125" style="16" customWidth="1"/>
    <col min="5" max="5" width="17.85546875" style="16" customWidth="1"/>
    <col min="6" max="6" width="11.42578125" style="16" customWidth="1"/>
    <col min="7" max="7" width="15.7109375" style="16" customWidth="1"/>
    <col min="8" max="8" width="100.7109375" style="75" hidden="1" customWidth="1"/>
    <col min="9" max="16379" width="9.140625" style="16" hidden="1"/>
    <col min="16380" max="16380" width="7" style="16" hidden="1" customWidth="1"/>
    <col min="16381" max="16381" width="5.28515625" style="16" hidden="1" customWidth="1"/>
    <col min="16382" max="16382" width="12.140625" style="16" hidden="1" customWidth="1"/>
    <col min="16383" max="16383" width="17.85546875" style="16" hidden="1" customWidth="1"/>
    <col min="16384" max="16384" width="10.85546875" style="16" hidden="1" customWidth="1"/>
  </cols>
  <sheetData>
    <row r="1" spans="1:7" s="75" customFormat="1" x14ac:dyDescent="0.25">
      <c r="A1" s="93" t="s">
        <v>0</v>
      </c>
      <c r="B1" s="93"/>
      <c r="C1" s="93"/>
      <c r="D1" s="74"/>
      <c r="E1" s="74"/>
      <c r="F1" s="74"/>
      <c r="G1" s="3"/>
    </row>
    <row r="2" spans="1:7" s="75" customFormat="1" ht="28.5" customHeight="1" x14ac:dyDescent="0.25">
      <c r="A2" s="4"/>
      <c r="B2" s="4"/>
      <c r="C2" s="5" t="s">
        <v>1</v>
      </c>
      <c r="D2" s="6"/>
      <c r="E2" s="7"/>
      <c r="F2" s="6"/>
      <c r="G2" s="7"/>
    </row>
    <row r="3" spans="1:7" s="75" customFormat="1" x14ac:dyDescent="0.25">
      <c r="A3" s="8"/>
      <c r="B3" s="3"/>
      <c r="C3" s="3"/>
      <c r="D3" s="9"/>
      <c r="E3" s="10"/>
      <c r="F3" s="10"/>
      <c r="G3" s="10"/>
    </row>
    <row r="4" spans="1:7" s="75" customFormat="1" x14ac:dyDescent="0.25">
      <c r="A4" s="96" t="s">
        <v>2</v>
      </c>
      <c r="B4" s="96"/>
      <c r="C4" s="11">
        <v>25</v>
      </c>
      <c r="D4" s="10"/>
      <c r="E4" s="10"/>
      <c r="F4" s="10"/>
      <c r="G4" s="10"/>
    </row>
    <row r="5" spans="1:7" s="75" customFormat="1" x14ac:dyDescent="0.25">
      <c r="A5" s="5"/>
      <c r="B5" s="5"/>
      <c r="C5" s="5"/>
      <c r="D5" s="10"/>
      <c r="E5" s="10"/>
      <c r="F5" s="10"/>
      <c r="G5" s="10"/>
    </row>
    <row r="6" spans="1:7" s="75" customFormat="1" x14ac:dyDescent="0.25">
      <c r="A6" s="96" t="s">
        <v>3</v>
      </c>
      <c r="B6" s="96"/>
      <c r="C6" s="1" t="s">
        <v>4</v>
      </c>
      <c r="D6" s="7"/>
      <c r="E6" s="16"/>
      <c r="F6" s="3"/>
      <c r="G6" s="22"/>
    </row>
    <row r="7" spans="1:7" s="75" customFormat="1" x14ac:dyDescent="0.25">
      <c r="A7" s="5"/>
      <c r="B7" s="5"/>
      <c r="C7" s="5"/>
      <c r="D7" s="5"/>
      <c r="E7" s="5"/>
      <c r="F7" s="5"/>
      <c r="G7" s="3"/>
    </row>
    <row r="8" spans="1:7" s="75" customFormat="1" x14ac:dyDescent="0.25">
      <c r="A8" s="96" t="s">
        <v>5</v>
      </c>
      <c r="B8" s="96"/>
      <c r="C8" s="11" t="s">
        <v>40</v>
      </c>
      <c r="D8" s="5" t="s">
        <v>6</v>
      </c>
      <c r="E8" s="12">
        <v>5.21</v>
      </c>
      <c r="F8" s="3" t="s">
        <v>42</v>
      </c>
      <c r="G8" s="3"/>
    </row>
    <row r="9" spans="1:7" s="75" customFormat="1" x14ac:dyDescent="0.25">
      <c r="A9" s="97"/>
      <c r="B9" s="98"/>
      <c r="C9" s="98"/>
      <c r="D9" s="98"/>
      <c r="E9" s="98"/>
      <c r="F9" s="98"/>
      <c r="G9" s="99"/>
    </row>
    <row r="10" spans="1:7" s="75" customFormat="1" x14ac:dyDescent="0.25">
      <c r="A10" s="91" t="s">
        <v>7</v>
      </c>
      <c r="B10" s="91"/>
      <c r="C10" s="91"/>
      <c r="D10" s="14" t="s">
        <v>8</v>
      </c>
      <c r="E10" s="100" t="s">
        <v>9</v>
      </c>
      <c r="F10" s="100"/>
      <c r="G10" s="13"/>
    </row>
    <row r="11" spans="1:7" s="75" customFormat="1" x14ac:dyDescent="0.25">
      <c r="A11" s="13"/>
      <c r="B11" s="13"/>
      <c r="C11" s="13"/>
      <c r="D11" s="13"/>
      <c r="E11" s="13"/>
      <c r="F11" s="13"/>
      <c r="G11" s="13"/>
    </row>
    <row r="12" spans="1:7" s="75" customFormat="1" x14ac:dyDescent="0.25">
      <c r="A12" s="91" t="s">
        <v>10</v>
      </c>
      <c r="B12" s="91"/>
      <c r="C12" s="91"/>
      <c r="D12" s="91"/>
      <c r="E12" s="91"/>
      <c r="F12" s="13"/>
      <c r="G12" s="13"/>
    </row>
    <row r="13" spans="1:7" s="75" customFormat="1" x14ac:dyDescent="0.25">
      <c r="A13" s="13"/>
      <c r="B13" s="13"/>
      <c r="C13" s="13"/>
      <c r="D13" s="13"/>
      <c r="E13" s="13"/>
      <c r="F13" s="13"/>
      <c r="G13" s="13"/>
    </row>
    <row r="14" spans="1:7" s="75" customFormat="1" x14ac:dyDescent="0.25">
      <c r="A14" s="104" t="s">
        <v>11</v>
      </c>
      <c r="B14" s="105"/>
      <c r="C14" s="106"/>
      <c r="D14" s="37">
        <v>1</v>
      </c>
      <c r="E14" s="13"/>
      <c r="F14" s="13"/>
      <c r="G14" s="13"/>
    </row>
    <row r="15" spans="1:7" s="75" customFormat="1" x14ac:dyDescent="0.25">
      <c r="A15" s="49"/>
      <c r="B15" s="13"/>
      <c r="C15" s="50"/>
      <c r="D15" s="13"/>
      <c r="E15" s="13"/>
      <c r="F15" s="13"/>
      <c r="G15" s="13"/>
    </row>
    <row r="16" spans="1:7" s="75" customFormat="1" ht="28.5" x14ac:dyDescent="0.25">
      <c r="A16" s="23" t="s">
        <v>60</v>
      </c>
      <c r="B16" s="23" t="s">
        <v>59</v>
      </c>
      <c r="C16" s="1" t="s">
        <v>48</v>
      </c>
      <c r="D16" s="23" t="s">
        <v>58</v>
      </c>
      <c r="E16" s="1" t="s">
        <v>49</v>
      </c>
      <c r="F16" s="61" t="s">
        <v>12</v>
      </c>
      <c r="G16" s="1">
        <v>4</v>
      </c>
    </row>
    <row r="17" spans="1:7" s="75" customFormat="1" x14ac:dyDescent="0.25">
      <c r="A17" s="62"/>
      <c r="B17" s="62"/>
      <c r="C17" s="62"/>
      <c r="D17" s="62"/>
      <c r="E17" s="63"/>
      <c r="F17" s="64"/>
      <c r="G17" s="64"/>
    </row>
    <row r="18" spans="1:7" s="75" customFormat="1" x14ac:dyDescent="0.25">
      <c r="A18" s="60" t="s">
        <v>46</v>
      </c>
      <c r="B18" s="55"/>
      <c r="C18" s="58" t="s">
        <v>13</v>
      </c>
      <c r="D18" s="55"/>
      <c r="E18" s="81" t="s">
        <v>14</v>
      </c>
      <c r="F18" s="3"/>
      <c r="G18" s="3"/>
    </row>
    <row r="19" spans="1:7" s="75" customFormat="1" x14ac:dyDescent="0.25">
      <c r="A19" s="66">
        <v>1</v>
      </c>
      <c r="B19" s="51"/>
      <c r="C19" s="79">
        <v>40</v>
      </c>
      <c r="D19" s="80"/>
      <c r="E19" s="79">
        <v>0</v>
      </c>
      <c r="F19" s="52"/>
      <c r="G19" s="3"/>
    </row>
    <row r="20" spans="1:7" s="75" customFormat="1" x14ac:dyDescent="0.25">
      <c r="A20" s="67">
        <v>2</v>
      </c>
      <c r="B20" s="51"/>
      <c r="C20" s="79">
        <v>40</v>
      </c>
      <c r="D20" s="80"/>
      <c r="E20" s="79">
        <v>40</v>
      </c>
      <c r="F20" s="52"/>
      <c r="G20" s="3"/>
    </row>
    <row r="21" spans="1:7" s="75" customFormat="1" x14ac:dyDescent="0.25">
      <c r="A21" s="67">
        <v>3</v>
      </c>
      <c r="B21" s="51"/>
      <c r="C21" s="79">
        <v>0</v>
      </c>
      <c r="D21" s="80"/>
      <c r="E21" s="79">
        <v>40</v>
      </c>
      <c r="F21" s="52"/>
      <c r="G21" s="3"/>
    </row>
    <row r="22" spans="1:7" s="75" customFormat="1" x14ac:dyDescent="0.25">
      <c r="A22" s="68">
        <f>A21+1</f>
        <v>4</v>
      </c>
      <c r="B22" s="51"/>
      <c r="C22" s="79">
        <v>0</v>
      </c>
      <c r="D22" s="80"/>
      <c r="E22" s="79">
        <v>0</v>
      </c>
      <c r="F22" s="52"/>
      <c r="G22" s="3"/>
    </row>
    <row r="23" spans="1:7" s="75" customFormat="1" x14ac:dyDescent="0.25">
      <c r="A23" s="55"/>
      <c r="B23" s="55"/>
      <c r="C23" s="55"/>
      <c r="D23" s="3"/>
      <c r="E23" s="3"/>
      <c r="F23" s="3"/>
      <c r="G23" s="59"/>
    </row>
    <row r="24" spans="1:7" s="75" customFormat="1" x14ac:dyDescent="0.25">
      <c r="A24" s="76" t="s">
        <v>15</v>
      </c>
      <c r="B24" s="77"/>
      <c r="C24" s="92"/>
      <c r="D24" s="102"/>
      <c r="E24" s="103"/>
      <c r="F24" s="103"/>
      <c r="G24" s="108"/>
    </row>
    <row r="25" spans="1:7" s="75" customFormat="1" x14ac:dyDescent="0.25">
      <c r="A25" s="13"/>
      <c r="B25" s="13"/>
      <c r="C25" s="13"/>
      <c r="D25" s="13"/>
      <c r="E25" s="13"/>
      <c r="F25" s="13"/>
      <c r="G25" s="13"/>
    </row>
    <row r="26" spans="1:7" s="75" customFormat="1" x14ac:dyDescent="0.25">
      <c r="A26" s="104" t="s">
        <v>16</v>
      </c>
      <c r="B26" s="105"/>
      <c r="C26" s="106"/>
      <c r="D26" s="17">
        <v>2</v>
      </c>
      <c r="E26" s="13"/>
      <c r="F26" s="13"/>
      <c r="G26" s="13"/>
    </row>
    <row r="27" spans="1:7" s="75" customFormat="1" x14ac:dyDescent="0.25">
      <c r="A27" s="13"/>
      <c r="B27" s="13"/>
      <c r="C27" s="13"/>
      <c r="D27" s="13"/>
      <c r="E27" s="13"/>
      <c r="F27" s="13"/>
      <c r="G27" s="13"/>
    </row>
    <row r="28" spans="1:7" s="75" customFormat="1" x14ac:dyDescent="0.25">
      <c r="A28" s="14" t="s">
        <v>17</v>
      </c>
      <c r="B28" s="13"/>
      <c r="C28" s="14" t="s">
        <v>13</v>
      </c>
      <c r="D28" s="13"/>
      <c r="E28" s="14" t="s">
        <v>14</v>
      </c>
      <c r="F28" s="13"/>
      <c r="G28" s="95" t="s">
        <v>100</v>
      </c>
    </row>
    <row r="29" spans="1:7" s="75" customFormat="1" x14ac:dyDescent="0.25">
      <c r="A29" s="21">
        <v>1</v>
      </c>
      <c r="B29" s="13"/>
      <c r="C29" s="20">
        <v>10</v>
      </c>
      <c r="D29" s="13"/>
      <c r="E29" s="20">
        <v>2.5</v>
      </c>
      <c r="F29" s="13"/>
      <c r="G29" s="2">
        <v>12</v>
      </c>
    </row>
    <row r="30" spans="1:7" s="75" customFormat="1" x14ac:dyDescent="0.25">
      <c r="A30" s="21">
        <v>2</v>
      </c>
      <c r="B30" s="13"/>
      <c r="C30" s="20">
        <v>30</v>
      </c>
      <c r="D30" s="13"/>
      <c r="E30" s="20">
        <v>2.5</v>
      </c>
      <c r="F30" s="13"/>
      <c r="G30" s="2">
        <v>12</v>
      </c>
    </row>
    <row r="31" spans="1:7" s="75" customFormat="1" x14ac:dyDescent="0.25">
      <c r="A31" s="109"/>
      <c r="B31" s="110"/>
      <c r="C31" s="110"/>
      <c r="D31" s="110"/>
      <c r="E31" s="110"/>
      <c r="F31" s="110"/>
      <c r="G31" s="111"/>
    </row>
    <row r="32" spans="1:7" x14ac:dyDescent="0.25">
      <c r="A32" s="76" t="s">
        <v>18</v>
      </c>
      <c r="B32" s="77"/>
      <c r="C32" s="92"/>
      <c r="E32" s="13"/>
    </row>
    <row r="33" spans="1:7" x14ac:dyDescent="0.25">
      <c r="A33" s="13"/>
      <c r="B33" s="13"/>
      <c r="C33" s="13"/>
      <c r="D33" s="13"/>
      <c r="E33" s="13"/>
      <c r="F33" s="13"/>
      <c r="G33" s="13"/>
    </row>
    <row r="34" spans="1:7" x14ac:dyDescent="0.25">
      <c r="A34" s="104" t="s">
        <v>16</v>
      </c>
      <c r="B34" s="105"/>
      <c r="C34" s="106"/>
      <c r="D34" s="17">
        <v>0</v>
      </c>
      <c r="E34" s="13"/>
      <c r="F34" s="13"/>
      <c r="G34" s="13"/>
    </row>
    <row r="35" spans="1:7" x14ac:dyDescent="0.25">
      <c r="A35" s="13"/>
      <c r="B35" s="13"/>
      <c r="C35" s="13"/>
      <c r="D35" s="13"/>
      <c r="E35" s="13"/>
      <c r="F35" s="13"/>
      <c r="G35" s="13"/>
    </row>
    <row r="36" spans="1:7" x14ac:dyDescent="0.25">
      <c r="A36" s="14" t="s">
        <v>17</v>
      </c>
      <c r="B36" s="13"/>
      <c r="C36" s="14" t="s">
        <v>13</v>
      </c>
      <c r="D36" s="13"/>
      <c r="E36" s="14" t="s">
        <v>14</v>
      </c>
      <c r="F36" s="13"/>
      <c r="G36" s="95" t="s">
        <v>19</v>
      </c>
    </row>
    <row r="37" spans="1:7" x14ac:dyDescent="0.25">
      <c r="A37" s="3"/>
      <c r="B37" s="3"/>
      <c r="C37" s="55"/>
      <c r="D37" s="3"/>
      <c r="E37" s="55"/>
      <c r="F37" s="3"/>
      <c r="G37"/>
    </row>
    <row r="38" spans="1:7" x14ac:dyDescent="0.25">
      <c r="A38" s="76" t="s">
        <v>20</v>
      </c>
      <c r="B38" s="77"/>
      <c r="C38" s="13"/>
      <c r="D38" s="13"/>
      <c r="E38" s="13"/>
      <c r="F38" s="13"/>
      <c r="G38" s="13"/>
    </row>
    <row r="39" spans="1:7" x14ac:dyDescent="0.25">
      <c r="A39" s="13"/>
      <c r="B39" s="13"/>
      <c r="C39" s="13"/>
      <c r="D39" s="13"/>
      <c r="E39" s="13"/>
      <c r="F39" s="13"/>
      <c r="G39" s="13"/>
    </row>
    <row r="40" spans="1:7" x14ac:dyDescent="0.25">
      <c r="A40" s="104" t="s">
        <v>61</v>
      </c>
      <c r="B40" s="105"/>
      <c r="C40" s="107" t="s">
        <v>81</v>
      </c>
      <c r="D40" s="107"/>
      <c r="E40" s="90"/>
      <c r="F40" s="13"/>
      <c r="G40" s="13"/>
    </row>
    <row r="41" spans="1:7" x14ac:dyDescent="0.25">
      <c r="A41" s="13"/>
      <c r="B41" s="13"/>
      <c r="C41" s="13"/>
      <c r="D41" s="13"/>
      <c r="E41" s="13"/>
      <c r="F41" s="13"/>
      <c r="G41" s="13"/>
    </row>
    <row r="42" spans="1:7" x14ac:dyDescent="0.25">
      <c r="A42" s="101" t="s">
        <v>101</v>
      </c>
      <c r="B42" s="101"/>
      <c r="C42" s="15">
        <v>2</v>
      </c>
      <c r="D42" s="13"/>
      <c r="E42" s="13" t="s">
        <v>96</v>
      </c>
      <c r="F42" s="13"/>
      <c r="G42" s="13"/>
    </row>
    <row r="43" spans="1:7" x14ac:dyDescent="0.25">
      <c r="A43" s="13"/>
      <c r="B43" s="13"/>
      <c r="C43" s="18"/>
      <c r="D43" s="13"/>
      <c r="E43" s="13" t="s">
        <v>95</v>
      </c>
      <c r="F43" s="13"/>
      <c r="G43" s="13"/>
    </row>
    <row r="44" spans="1:7" x14ac:dyDescent="0.25">
      <c r="A44" s="101" t="s">
        <v>102</v>
      </c>
      <c r="B44" s="101"/>
      <c r="C44" s="15">
        <v>2</v>
      </c>
      <c r="D44" s="13"/>
      <c r="E44" s="13" t="s">
        <v>97</v>
      </c>
      <c r="F44" s="13"/>
      <c r="G44" s="13"/>
    </row>
    <row r="45" spans="1:7" ht="15.75" customHeight="1" x14ac:dyDescent="0.25">
      <c r="A45" s="3"/>
      <c r="B45" s="3"/>
      <c r="C45" s="55"/>
      <c r="D45" s="3"/>
      <c r="E45" s="55" t="s">
        <v>98</v>
      </c>
      <c r="F45" s="13"/>
      <c r="G45" s="13"/>
    </row>
    <row r="46" spans="1:7" hidden="1" x14ac:dyDescent="0.25">
      <c r="A46" s="101" t="s">
        <v>103</v>
      </c>
      <c r="B46" s="101"/>
      <c r="C46" s="15">
        <v>2</v>
      </c>
      <c r="D46" s="13" t="s">
        <v>99</v>
      </c>
      <c r="F46" s="13"/>
      <c r="G46" s="13"/>
    </row>
    <row r="47" spans="1:7" hidden="1" x14ac:dyDescent="0.25">
      <c r="A47" s="3"/>
      <c r="B47" s="3"/>
      <c r="C47" s="55"/>
      <c r="D47" s="3"/>
      <c r="F47" s="3"/>
      <c r="G47"/>
    </row>
    <row r="48" spans="1:7" x14ac:dyDescent="0.25">
      <c r="A48" s="76" t="s">
        <v>83</v>
      </c>
      <c r="B48" s="13"/>
      <c r="C48" s="13"/>
      <c r="D48" s="13"/>
      <c r="E48" s="13"/>
      <c r="F48" s="13"/>
      <c r="G48" s="13"/>
    </row>
    <row r="49" spans="1:7" x14ac:dyDescent="0.25">
      <c r="B49" s="13"/>
      <c r="C49" s="13"/>
      <c r="D49" s="13"/>
      <c r="E49" s="13"/>
      <c r="F49" s="13"/>
      <c r="G49" s="13"/>
    </row>
    <row r="50" spans="1:7" x14ac:dyDescent="0.25">
      <c r="A50" s="104" t="s">
        <v>58</v>
      </c>
      <c r="B50" s="106"/>
      <c r="C50" s="15" t="s">
        <v>62</v>
      </c>
      <c r="G50" s="13"/>
    </row>
    <row r="52" spans="1:7" x14ac:dyDescent="0.25">
      <c r="A52" s="104" t="s">
        <v>64</v>
      </c>
      <c r="B52" s="106"/>
      <c r="C52" s="19">
        <v>0</v>
      </c>
    </row>
    <row r="54" spans="1:7" x14ac:dyDescent="0.25">
      <c r="A54" s="102" t="s">
        <v>84</v>
      </c>
      <c r="B54" s="103"/>
      <c r="C54" s="15" t="s">
        <v>85</v>
      </c>
    </row>
  </sheetData>
  <dataConsolidate/>
  <mergeCells count="18">
    <mergeCell ref="A42:B42"/>
    <mergeCell ref="A44:B44"/>
    <mergeCell ref="A46:B46"/>
    <mergeCell ref="A50:B50"/>
    <mergeCell ref="A52:B52"/>
    <mergeCell ref="D24:G24"/>
    <mergeCell ref="A26:C26"/>
    <mergeCell ref="A31:G31"/>
    <mergeCell ref="A34:C34"/>
    <mergeCell ref="A40:B40"/>
    <mergeCell ref="C40:D40"/>
    <mergeCell ref="A54:B54"/>
    <mergeCell ref="A14:C14"/>
    <mergeCell ref="A4:B4"/>
    <mergeCell ref="A6:B6"/>
    <mergeCell ref="A8:B8"/>
    <mergeCell ref="A9:G9"/>
    <mergeCell ref="E10:F10"/>
  </mergeCells>
  <dataValidations count="16">
    <dataValidation type="decimal" allowBlank="1" showInputMessage="1" showErrorMessage="1" errorTitle="ERROR" error="El ángulo de inclinación del plano de carga debe estar comprendido entre -90º y 90º" sqref="C52" xr:uid="{148CFDBF-87D9-4DA1-B6B3-CA668D06595A}">
      <formula1>-90</formula1>
      <formula2>90</formula2>
    </dataValidation>
    <dataValidation type="list" allowBlank="1" showInputMessage="1" showErrorMessage="1" sqref="C8" xr:uid="{714B7850-DAF2-4917-A51B-BA819F2B1D60}">
      <formula1>"Barras 1050, Trenzas C1650, Trenzas C1900, Provisto por Usuario"</formula1>
    </dataValidation>
    <dataValidation type="whole" allowBlank="1" showInputMessage="1" showErrorMessage="1" errorTitle="Error" error="El número de barras debe estar comprendido entre 1 y 500" sqref="A37 A29:A31" xr:uid="{45FE6653-164F-44E6-A64F-757D2E6A1298}">
      <formula1>1</formula1>
      <formula2>500</formula2>
    </dataValidation>
    <dataValidation type="list" allowBlank="1" showInputMessage="1" sqref="C4" xr:uid="{E7F8424D-69C1-4F1F-9194-9A83ACB3ADB4}">
      <formula1>"20,25,30,35,40,45,50,55, 60, Otro(Ingresar en misma Celda)"</formula1>
    </dataValidation>
    <dataValidation type="list" allowBlank="1" showInputMessage="1" showErrorMessage="1" sqref="C50" xr:uid="{A9E32B38-6DF8-4C55-AC5A-74B0232A7126}">
      <formula1>"2D,3D, Verificación"</formula1>
    </dataValidation>
    <dataValidation type="list" allowBlank="1" showInputMessage="1" showErrorMessage="1" sqref="C40" xr:uid="{C42059E8-2113-49C8-98E4-4CCC01825C94}">
      <formula1>"Extra Fina, Fina, Media, Gruesa, Muy Gruesa, Avanzada (Ingreso Manual)"</formula1>
    </dataValidation>
    <dataValidation type="list" allowBlank="1" showInputMessage="1" showErrorMessage="1" sqref="E10:F10" xr:uid="{FD32E655-95C4-4427-A4B4-72A1C3005D9E}">
      <formula1>"Estribos, Barras Zunchadas"</formula1>
    </dataValidation>
    <dataValidation type="list" allowBlank="1" showInputMessage="1" showErrorMessage="1" sqref="C54" xr:uid="{36850A6B-43DB-4C71-8A73-F2AA19E6CC7F}">
      <formula1>"Si, No"</formula1>
    </dataValidation>
    <dataValidation type="whole" allowBlank="1" showInputMessage="1" showErrorMessage="1" errorTitle="Error" error="El número de nodos debe estar comprendido entre 1 y 500" sqref="A19:A22" xr:uid="{41FFF124-BE76-47D1-912A-4CBA5454F777}">
      <formula1>1</formula1>
      <formula2>500</formula2>
    </dataValidation>
    <dataValidation type="list" allowBlank="1" showInputMessage="1" showErrorMessage="1" sqref="C16" xr:uid="{FBB3B46E-1EC5-4864-A2A7-AD94986CE7C7}">
      <formula1>"Positivo, Negativo"</formula1>
    </dataValidation>
    <dataValidation type="whole" allowBlank="1" showInputMessage="1" showErrorMessage="1" errorTitle="Error" error="El número de nodos debe estar comprendido entre 3 y 500" sqref="G16" xr:uid="{B44065D4-A91F-4011-B533-7A7CA7E0F79B}">
      <formula1>3</formula1>
      <formula2>500</formula2>
    </dataValidation>
    <dataValidation type="whole" allowBlank="1" showInputMessage="1" showErrorMessage="1" errorTitle="Error" error="El número de barras debe estar comprendido entre 0 y 500" sqref="D26" xr:uid="{1DF2E171-202B-43F1-A3CB-6D6DB608437A}">
      <formula1>0</formula1>
      <formula2>500</formula2>
    </dataValidation>
    <dataValidation type="decimal" operator="greaterThan" allowBlank="1" showInputMessage="1" showErrorMessage="1" errorTitle="Discretización" error="Los valores para ΔX, ΔY o Δθ deben ser siempre postiivos mayores a 0." sqref="C42 C44 C46" xr:uid="{BFE79152-86CD-4649-9E40-5D0D2FE91063}">
      <formula1>0</formula1>
    </dataValidation>
    <dataValidation type="whole" allowBlank="1" showInputMessage="1" showErrorMessage="1" errorTitle="Error" error="El número de barras debe estar comprendido entre 1 y 500" sqref="D34" xr:uid="{F5B58E75-77DC-40A0-8B71-4A5FCD180C30}">
      <formula1>0</formula1>
      <formula2>500</formula2>
    </dataValidation>
    <dataValidation type="whole" operator="greaterThanOrEqual" allowBlank="1" showInputMessage="1" showErrorMessage="1" errorTitle="Ingreso de Contornos" error="Por lo menos debe ingresar 1 contorno." sqref="D14" xr:uid="{5A6F806F-AC38-480B-B228-D5C381B54EB0}">
      <formula1>1</formula1>
    </dataValidation>
    <dataValidation type="list" allowBlank="1" showInputMessage="1" showErrorMessage="1" sqref="E16" xr:uid="{966F6BFB-8B67-4DA4-952E-F75E065CFA18}">
      <formula1>"Poligonal, Circular"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83" r:id="rId4" name="Button 35">
              <controlPr defaultSize="0" print="0" autoFill="0" autoPict="0" macro="[0]!Sheet1.RunPyExe_Click">
                <anchor moveWithCells="1" sizeWithCells="1">
                  <from>
                    <xdr:col>3</xdr:col>
                    <xdr:colOff>9525</xdr:colOff>
                    <xdr:row>55</xdr:row>
                    <xdr:rowOff>57150</xdr:rowOff>
                  </from>
                  <to>
                    <xdr:col>6</xdr:col>
                    <xdr:colOff>352425</xdr:colOff>
                    <xdr:row>58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4" r:id="rId5" name="Button 36">
              <controlPr defaultSize="0" print="0" autoFill="0" autoPict="0" macro="[0]!Sheet1.CopyBackupSheet">
                <anchor moveWithCells="1" sizeWithCells="1">
                  <from>
                    <xdr:col>3</xdr:col>
                    <xdr:colOff>542925</xdr:colOff>
                    <xdr:row>1</xdr:row>
                    <xdr:rowOff>285750</xdr:rowOff>
                  </from>
                  <to>
                    <xdr:col>6</xdr:col>
                    <xdr:colOff>771525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9D043B0-C741-4BA7-94DC-9FCE19159A2B}">
          <x14:formula1>
            <xm:f>'Armaduras Pasivas'!$B$2:$E$2</xm:f>
          </x14:formula1>
          <xm:sqref>C6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884579-75F6-4C03-A056-57780E92867D}">
  <sheetPr codeName="Sheet6"/>
  <dimension ref="A1:XFC52"/>
  <sheetViews>
    <sheetView topLeftCell="A16" zoomScale="145" zoomScaleNormal="145" workbookViewId="0">
      <selection activeCell="D45" sqref="D45"/>
    </sheetView>
  </sheetViews>
  <sheetFormatPr defaultColWidth="0" defaultRowHeight="15" x14ac:dyDescent="0.25"/>
  <cols>
    <col min="1" max="1" width="18.85546875" style="16" customWidth="1"/>
    <col min="2" max="2" width="12.5703125" style="16" customWidth="1"/>
    <col min="3" max="3" width="22.85546875" style="16" customWidth="1"/>
    <col min="4" max="4" width="15.42578125" style="16" customWidth="1"/>
    <col min="5" max="5" width="17.85546875" style="16" customWidth="1"/>
    <col min="6" max="6" width="11.42578125" style="16" customWidth="1"/>
    <col min="7" max="7" width="15.7109375" style="16" customWidth="1"/>
    <col min="8" max="8" width="100.7109375" style="75" hidden="1" customWidth="1"/>
    <col min="9" max="16379" width="9.140625" style="16" hidden="1"/>
    <col min="16380" max="16380" width="7" style="16" hidden="1" customWidth="1"/>
    <col min="16381" max="16381" width="5.28515625" style="16" hidden="1" customWidth="1"/>
    <col min="16382" max="16382" width="12.140625" style="16" hidden="1" customWidth="1"/>
    <col min="16383" max="16383" width="17.85546875" style="16" hidden="1" customWidth="1"/>
    <col min="16384" max="16384" width="10.85546875" style="16" hidden="1" customWidth="1"/>
  </cols>
  <sheetData>
    <row r="1" spans="1:7" s="75" customFormat="1" x14ac:dyDescent="0.25">
      <c r="A1" s="93" t="s">
        <v>0</v>
      </c>
      <c r="B1" s="93"/>
      <c r="C1" s="93"/>
      <c r="D1" s="74"/>
      <c r="E1" s="74"/>
      <c r="F1" s="74"/>
      <c r="G1" s="3"/>
    </row>
    <row r="2" spans="1:7" s="75" customFormat="1" ht="28.5" customHeight="1" x14ac:dyDescent="0.25">
      <c r="A2" s="4"/>
      <c r="B2" s="4"/>
      <c r="C2" s="5" t="s">
        <v>1</v>
      </c>
      <c r="D2" s="6"/>
      <c r="E2" s="7"/>
      <c r="F2" s="6"/>
      <c r="G2" s="7"/>
    </row>
    <row r="3" spans="1:7" s="75" customFormat="1" x14ac:dyDescent="0.25">
      <c r="A3" s="8"/>
      <c r="B3" s="3"/>
      <c r="C3" s="3"/>
      <c r="D3" s="9"/>
      <c r="E3" s="10"/>
      <c r="F3" s="10"/>
      <c r="G3" s="10"/>
    </row>
    <row r="4" spans="1:7" s="75" customFormat="1" x14ac:dyDescent="0.25">
      <c r="A4" s="96" t="s">
        <v>2</v>
      </c>
      <c r="B4" s="96"/>
      <c r="C4" s="11">
        <v>25</v>
      </c>
      <c r="D4" s="10"/>
      <c r="E4" s="10"/>
      <c r="F4" s="10"/>
      <c r="G4" s="10"/>
    </row>
    <row r="5" spans="1:7" s="75" customFormat="1" x14ac:dyDescent="0.25">
      <c r="A5" s="5"/>
      <c r="B5" s="5"/>
      <c r="C5" s="5"/>
      <c r="D5" s="10"/>
      <c r="E5" s="10"/>
      <c r="F5" s="10"/>
      <c r="G5" s="10"/>
    </row>
    <row r="6" spans="1:7" s="75" customFormat="1" x14ac:dyDescent="0.25">
      <c r="A6" s="96" t="s">
        <v>3</v>
      </c>
      <c r="B6" s="96"/>
      <c r="C6" s="1" t="s">
        <v>4</v>
      </c>
      <c r="D6" s="7"/>
      <c r="E6" s="16"/>
      <c r="F6" s="3"/>
      <c r="G6" s="22"/>
    </row>
    <row r="7" spans="1:7" s="75" customFormat="1" x14ac:dyDescent="0.25">
      <c r="A7" s="5"/>
      <c r="B7" s="5"/>
      <c r="C7" s="5"/>
      <c r="D7" s="5"/>
      <c r="E7" s="5"/>
      <c r="F7" s="5"/>
      <c r="G7" s="3"/>
    </row>
    <row r="8" spans="1:7" s="75" customFormat="1" x14ac:dyDescent="0.25">
      <c r="A8" s="96" t="s">
        <v>5</v>
      </c>
      <c r="B8" s="96"/>
      <c r="C8" s="11" t="s">
        <v>40</v>
      </c>
      <c r="D8" s="5" t="s">
        <v>6</v>
      </c>
      <c r="E8" s="12">
        <v>5.21</v>
      </c>
      <c r="F8" s="3" t="s">
        <v>42</v>
      </c>
      <c r="G8" s="3"/>
    </row>
    <row r="9" spans="1:7" s="75" customFormat="1" x14ac:dyDescent="0.25">
      <c r="A9" s="97"/>
      <c r="B9" s="98"/>
      <c r="C9" s="98"/>
      <c r="D9" s="98"/>
      <c r="E9" s="98"/>
      <c r="F9" s="98"/>
      <c r="G9" s="99"/>
    </row>
    <row r="10" spans="1:7" s="75" customFormat="1" x14ac:dyDescent="0.25">
      <c r="A10" s="91" t="s">
        <v>7</v>
      </c>
      <c r="B10" s="91"/>
      <c r="C10" s="91"/>
      <c r="D10" s="14" t="s">
        <v>8</v>
      </c>
      <c r="E10" s="100" t="s">
        <v>9</v>
      </c>
      <c r="F10" s="100"/>
      <c r="G10" s="13"/>
    </row>
    <row r="11" spans="1:7" s="75" customFormat="1" x14ac:dyDescent="0.25">
      <c r="A11" s="13"/>
      <c r="B11" s="13"/>
      <c r="C11" s="13"/>
      <c r="D11" s="13"/>
      <c r="E11" s="13"/>
      <c r="F11" s="13"/>
      <c r="G11" s="13"/>
    </row>
    <row r="12" spans="1:7" s="75" customFormat="1" x14ac:dyDescent="0.25">
      <c r="A12" s="91" t="s">
        <v>10</v>
      </c>
      <c r="B12" s="91"/>
      <c r="C12" s="91"/>
      <c r="D12" s="91"/>
      <c r="E12" s="91"/>
      <c r="F12" s="13"/>
      <c r="G12" s="13"/>
    </row>
    <row r="13" spans="1:7" s="75" customFormat="1" x14ac:dyDescent="0.25">
      <c r="A13" s="13"/>
      <c r="B13" s="13"/>
      <c r="C13" s="13"/>
      <c r="D13" s="13"/>
      <c r="E13" s="13"/>
      <c r="F13" s="13"/>
      <c r="G13" s="13"/>
    </row>
    <row r="14" spans="1:7" s="75" customFormat="1" x14ac:dyDescent="0.25">
      <c r="A14" s="104" t="s">
        <v>11</v>
      </c>
      <c r="B14" s="105"/>
      <c r="C14" s="106"/>
      <c r="D14" s="37">
        <v>1</v>
      </c>
      <c r="E14" s="13"/>
      <c r="F14" s="13"/>
      <c r="G14" s="13"/>
    </row>
    <row r="15" spans="1:7" s="75" customFormat="1" x14ac:dyDescent="0.25">
      <c r="A15" s="49"/>
      <c r="B15" s="13"/>
      <c r="C15" s="50"/>
      <c r="D15" s="13"/>
      <c r="E15" s="13"/>
      <c r="F15" s="13"/>
      <c r="G15" s="13"/>
    </row>
    <row r="16" spans="1:7" s="75" customFormat="1" ht="28.5" x14ac:dyDescent="0.25">
      <c r="A16" s="23" t="s">
        <v>60</v>
      </c>
      <c r="B16" s="23" t="s">
        <v>59</v>
      </c>
      <c r="C16" s="1" t="s">
        <v>48</v>
      </c>
      <c r="D16" s="23" t="s">
        <v>58</v>
      </c>
      <c r="E16" s="1" t="s">
        <v>49</v>
      </c>
      <c r="F16" s="61" t="s">
        <v>12</v>
      </c>
      <c r="G16" s="1">
        <v>4</v>
      </c>
    </row>
    <row r="17" spans="1:7" s="75" customFormat="1" x14ac:dyDescent="0.25">
      <c r="A17" s="62"/>
      <c r="B17" s="62"/>
      <c r="C17" s="62"/>
      <c r="D17" s="62"/>
      <c r="E17" s="63"/>
      <c r="F17" s="64"/>
      <c r="G17" s="64"/>
    </row>
    <row r="18" spans="1:7" s="75" customFormat="1" x14ac:dyDescent="0.25">
      <c r="A18" s="60" t="s">
        <v>46</v>
      </c>
      <c r="B18" s="55"/>
      <c r="C18" s="58" t="s">
        <v>13</v>
      </c>
      <c r="D18" s="55"/>
      <c r="E18" s="81" t="s">
        <v>14</v>
      </c>
      <c r="F18" s="3"/>
      <c r="G18" s="3"/>
    </row>
    <row r="19" spans="1:7" s="75" customFormat="1" x14ac:dyDescent="0.25">
      <c r="A19" s="66">
        <v>1</v>
      </c>
      <c r="B19" s="51"/>
      <c r="C19" s="79">
        <v>0</v>
      </c>
      <c r="D19" s="80"/>
      <c r="E19" s="79">
        <v>0</v>
      </c>
      <c r="F19" s="52"/>
      <c r="G19" s="3"/>
    </row>
    <row r="20" spans="1:7" s="75" customFormat="1" x14ac:dyDescent="0.25">
      <c r="A20" s="67">
        <v>2</v>
      </c>
      <c r="B20" s="51"/>
      <c r="C20" s="79">
        <v>0</v>
      </c>
      <c r="D20" s="80"/>
      <c r="E20" s="79">
        <v>0</v>
      </c>
      <c r="F20" s="52"/>
      <c r="G20" s="3"/>
    </row>
    <row r="21" spans="1:7" s="75" customFormat="1" x14ac:dyDescent="0.25">
      <c r="A21" s="67">
        <v>3</v>
      </c>
      <c r="B21" s="51"/>
      <c r="C21" s="79">
        <v>0</v>
      </c>
      <c r="D21" s="80"/>
      <c r="E21" s="79">
        <v>0</v>
      </c>
      <c r="F21" s="52"/>
      <c r="G21" s="3"/>
    </row>
    <row r="22" spans="1:7" s="75" customFormat="1" x14ac:dyDescent="0.25">
      <c r="A22" s="68">
        <f>A21+1</f>
        <v>4</v>
      </c>
      <c r="B22" s="51"/>
      <c r="C22" s="79">
        <v>0</v>
      </c>
      <c r="D22" s="80"/>
      <c r="E22" s="79">
        <v>0</v>
      </c>
      <c r="F22" s="52"/>
      <c r="G22" s="3"/>
    </row>
    <row r="23" spans="1:7" s="75" customFormat="1" x14ac:dyDescent="0.25">
      <c r="A23" s="55"/>
      <c r="B23" s="55"/>
      <c r="C23" s="55"/>
      <c r="D23" s="3"/>
      <c r="E23" s="3"/>
      <c r="F23" s="3"/>
      <c r="G23" s="59"/>
    </row>
    <row r="24" spans="1:7" s="75" customFormat="1" x14ac:dyDescent="0.25">
      <c r="A24" s="76" t="s">
        <v>15</v>
      </c>
      <c r="B24" s="77"/>
      <c r="C24" s="92"/>
      <c r="D24" s="102"/>
      <c r="E24" s="103"/>
      <c r="F24" s="103"/>
      <c r="G24" s="108"/>
    </row>
    <row r="25" spans="1:7" s="75" customFormat="1" x14ac:dyDescent="0.25">
      <c r="A25" s="13"/>
      <c r="B25" s="13"/>
      <c r="C25" s="13"/>
      <c r="D25" s="13"/>
      <c r="E25" s="13"/>
      <c r="F25" s="13"/>
      <c r="G25" s="13"/>
    </row>
    <row r="26" spans="1:7" s="75" customFormat="1" x14ac:dyDescent="0.25">
      <c r="A26" s="104" t="s">
        <v>16</v>
      </c>
      <c r="B26" s="105"/>
      <c r="C26" s="106"/>
      <c r="D26" s="17">
        <v>0</v>
      </c>
      <c r="E26" s="13"/>
      <c r="F26" s="13"/>
      <c r="G26" s="13"/>
    </row>
    <row r="27" spans="1:7" s="75" customFormat="1" x14ac:dyDescent="0.25">
      <c r="A27" s="13"/>
      <c r="B27" s="13"/>
      <c r="C27" s="13"/>
      <c r="D27" s="13"/>
      <c r="E27" s="13"/>
      <c r="F27" s="13"/>
      <c r="G27" s="13"/>
    </row>
    <row r="28" spans="1:7" s="75" customFormat="1" x14ac:dyDescent="0.25">
      <c r="A28" s="14" t="s">
        <v>17</v>
      </c>
      <c r="B28" s="13"/>
      <c r="C28" s="14" t="s">
        <v>13</v>
      </c>
      <c r="D28" s="13"/>
      <c r="E28" s="14" t="s">
        <v>14</v>
      </c>
      <c r="F28" s="13"/>
      <c r="G28" s="95" t="s">
        <v>100</v>
      </c>
    </row>
    <row r="29" spans="1:7" s="75" customFormat="1" x14ac:dyDescent="0.25">
      <c r="A29" s="109"/>
      <c r="B29" s="110"/>
      <c r="C29" s="110"/>
      <c r="D29" s="110"/>
      <c r="E29" s="110"/>
      <c r="F29" s="110"/>
      <c r="G29" s="111"/>
    </row>
    <row r="30" spans="1:7" s="75" customFormat="1" x14ac:dyDescent="0.25">
      <c r="A30" s="76" t="s">
        <v>18</v>
      </c>
      <c r="B30" s="77"/>
      <c r="C30" s="92"/>
      <c r="D30" s="16"/>
      <c r="E30" s="13"/>
      <c r="F30" s="16"/>
      <c r="G30" s="16"/>
    </row>
    <row r="31" spans="1:7" s="75" customFormat="1" x14ac:dyDescent="0.25">
      <c r="A31" s="13"/>
      <c r="B31" s="13"/>
      <c r="C31" s="13"/>
      <c r="D31" s="13"/>
      <c r="E31" s="13"/>
      <c r="F31" s="13"/>
      <c r="G31" s="13"/>
    </row>
    <row r="32" spans="1:7" s="75" customFormat="1" x14ac:dyDescent="0.25">
      <c r="A32" s="104" t="s">
        <v>16</v>
      </c>
      <c r="B32" s="105"/>
      <c r="C32" s="106"/>
      <c r="D32" s="17">
        <v>0</v>
      </c>
      <c r="E32" s="13"/>
      <c r="F32" s="13"/>
      <c r="G32" s="13"/>
    </row>
    <row r="33" spans="1:7" x14ac:dyDescent="0.25">
      <c r="A33" s="13"/>
      <c r="B33" s="13"/>
      <c r="C33" s="13"/>
      <c r="D33" s="13"/>
      <c r="E33" s="13"/>
      <c r="F33" s="13"/>
      <c r="G33" s="13"/>
    </row>
    <row r="34" spans="1:7" x14ac:dyDescent="0.25">
      <c r="A34" s="14" t="s">
        <v>17</v>
      </c>
      <c r="B34" s="13"/>
      <c r="C34" s="14" t="s">
        <v>13</v>
      </c>
      <c r="D34" s="13"/>
      <c r="E34" s="14" t="s">
        <v>14</v>
      </c>
      <c r="F34" s="13"/>
      <c r="G34" s="95" t="s">
        <v>19</v>
      </c>
    </row>
    <row r="35" spans="1:7" x14ac:dyDescent="0.25">
      <c r="A35" s="3"/>
      <c r="B35" s="3"/>
      <c r="C35" s="55"/>
      <c r="D35" s="3"/>
      <c r="E35" s="55"/>
      <c r="F35" s="3"/>
      <c r="G35"/>
    </row>
    <row r="36" spans="1:7" x14ac:dyDescent="0.25">
      <c r="A36" s="76" t="s">
        <v>20</v>
      </c>
      <c r="B36" s="77"/>
      <c r="C36" s="13"/>
      <c r="D36" s="13"/>
      <c r="E36" s="13"/>
      <c r="F36" s="13"/>
      <c r="G36" s="13"/>
    </row>
    <row r="37" spans="1:7" x14ac:dyDescent="0.25">
      <c r="A37" s="13"/>
      <c r="B37" s="13"/>
      <c r="C37" s="13"/>
      <c r="D37" s="13"/>
      <c r="E37" s="13"/>
      <c r="F37" s="13"/>
      <c r="G37" s="13"/>
    </row>
    <row r="38" spans="1:7" x14ac:dyDescent="0.25">
      <c r="A38" s="104" t="s">
        <v>61</v>
      </c>
      <c r="B38" s="105"/>
      <c r="C38" s="107" t="s">
        <v>81</v>
      </c>
      <c r="D38" s="107"/>
      <c r="E38" s="90"/>
      <c r="F38" s="13"/>
      <c r="G38" s="13"/>
    </row>
    <row r="39" spans="1:7" x14ac:dyDescent="0.25">
      <c r="A39" s="13"/>
      <c r="B39" s="13"/>
      <c r="C39" s="13"/>
      <c r="D39" s="13"/>
      <c r="E39" s="13"/>
      <c r="F39" s="13"/>
      <c r="G39" s="13"/>
    </row>
    <row r="40" spans="1:7" x14ac:dyDescent="0.25">
      <c r="A40" s="101" t="s">
        <v>101</v>
      </c>
      <c r="B40" s="101"/>
      <c r="C40" s="15">
        <v>2</v>
      </c>
      <c r="D40" s="13"/>
      <c r="E40" s="13" t="s">
        <v>96</v>
      </c>
      <c r="F40" s="13"/>
      <c r="G40" s="13"/>
    </row>
    <row r="41" spans="1:7" x14ac:dyDescent="0.25">
      <c r="A41" s="13"/>
      <c r="B41" s="13"/>
      <c r="C41" s="18"/>
      <c r="D41" s="13"/>
      <c r="E41" s="13" t="s">
        <v>95</v>
      </c>
      <c r="F41" s="13"/>
      <c r="G41" s="13"/>
    </row>
    <row r="42" spans="1:7" x14ac:dyDescent="0.25">
      <c r="A42" s="101" t="s">
        <v>102</v>
      </c>
      <c r="B42" s="101"/>
      <c r="C42" s="15">
        <v>2</v>
      </c>
      <c r="D42" s="13"/>
      <c r="E42" s="13" t="s">
        <v>97</v>
      </c>
      <c r="F42" s="13"/>
      <c r="G42" s="13"/>
    </row>
    <row r="43" spans="1:7" ht="15.75" customHeight="1" x14ac:dyDescent="0.25">
      <c r="A43" s="3"/>
      <c r="B43" s="3"/>
      <c r="C43" s="55"/>
      <c r="D43" s="3"/>
      <c r="E43" s="55" t="s">
        <v>98</v>
      </c>
      <c r="F43" s="13"/>
      <c r="G43" s="13"/>
    </row>
    <row r="44" spans="1:7" ht="21" hidden="1" customHeight="1" x14ac:dyDescent="0.25">
      <c r="A44" s="101" t="s">
        <v>103</v>
      </c>
      <c r="B44" s="101"/>
      <c r="C44" s="15">
        <v>2</v>
      </c>
      <c r="D44" s="13"/>
      <c r="F44" s="13"/>
      <c r="G44" s="13"/>
    </row>
    <row r="45" spans="1:7" ht="21" hidden="1" customHeight="1" x14ac:dyDescent="0.25">
      <c r="A45" s="3"/>
      <c r="B45" s="3"/>
      <c r="C45" s="55"/>
      <c r="D45" s="3"/>
      <c r="F45" s="3"/>
      <c r="G45"/>
    </row>
    <row r="46" spans="1:7" x14ac:dyDescent="0.25">
      <c r="A46" s="76" t="s">
        <v>83</v>
      </c>
      <c r="B46" s="13"/>
      <c r="C46" s="13"/>
      <c r="D46" s="13"/>
      <c r="E46" s="13"/>
      <c r="F46" s="13"/>
      <c r="G46" s="13"/>
    </row>
    <row r="47" spans="1:7" x14ac:dyDescent="0.25">
      <c r="B47" s="13"/>
      <c r="C47" s="13"/>
      <c r="D47" s="13"/>
      <c r="E47" s="13"/>
      <c r="F47" s="13"/>
      <c r="G47" s="13"/>
    </row>
    <row r="48" spans="1:7" x14ac:dyDescent="0.25">
      <c r="A48" s="104" t="s">
        <v>58</v>
      </c>
      <c r="B48" s="106"/>
      <c r="C48" s="15" t="s">
        <v>62</v>
      </c>
      <c r="G48" s="13"/>
    </row>
    <row r="50" spans="1:3" x14ac:dyDescent="0.25">
      <c r="A50" s="104" t="s">
        <v>64</v>
      </c>
      <c r="B50" s="106"/>
      <c r="C50" s="19">
        <v>0</v>
      </c>
    </row>
    <row r="52" spans="1:3" x14ac:dyDescent="0.25">
      <c r="A52" s="102" t="s">
        <v>84</v>
      </c>
      <c r="B52" s="103"/>
      <c r="C52" s="15" t="s">
        <v>85</v>
      </c>
    </row>
  </sheetData>
  <dataConsolidate/>
  <mergeCells count="18">
    <mergeCell ref="A40:B40"/>
    <mergeCell ref="A42:B42"/>
    <mergeCell ref="A44:B44"/>
    <mergeCell ref="A48:B48"/>
    <mergeCell ref="A50:B50"/>
    <mergeCell ref="A52:B52"/>
    <mergeCell ref="D24:G24"/>
    <mergeCell ref="A26:C26"/>
    <mergeCell ref="A29:G29"/>
    <mergeCell ref="A32:C32"/>
    <mergeCell ref="A38:B38"/>
    <mergeCell ref="C38:D38"/>
    <mergeCell ref="A4:B4"/>
    <mergeCell ref="A6:B6"/>
    <mergeCell ref="A8:B8"/>
    <mergeCell ref="A9:G9"/>
    <mergeCell ref="E10:F10"/>
    <mergeCell ref="A14:C14"/>
  </mergeCells>
  <dataValidations count="16">
    <dataValidation type="whole" operator="greaterThanOrEqual" allowBlank="1" showInputMessage="1" showErrorMessage="1" errorTitle="Ingreso de Contornos" error="Por lo menos debe ingresar 1 contorno." sqref="D14" xr:uid="{888B13D5-7C62-4D62-B32A-0F0E66A90DAC}">
      <formula1>1</formula1>
    </dataValidation>
    <dataValidation type="whole" allowBlank="1" showInputMessage="1" showErrorMessage="1" errorTitle="Error" error="El número de barras debe estar comprendido entre 1 y 500" sqref="D32" xr:uid="{1C69A999-CE3A-4017-B1ED-FD9DAB0A1249}">
      <formula1>0</formula1>
      <formula2>500</formula2>
    </dataValidation>
    <dataValidation type="decimal" operator="greaterThan" allowBlank="1" showInputMessage="1" showErrorMessage="1" errorTitle="Discretización" error="Los valores para ΔX, ΔY o Δθ deben ser siempre postiivos mayores a 0." sqref="C40 C42 C44" xr:uid="{7DBF28A9-B166-4381-8AF0-8C85D00AD3B5}">
      <formula1>0</formula1>
    </dataValidation>
    <dataValidation type="whole" allowBlank="1" showInputMessage="1" showErrorMessage="1" errorTitle="Error" error="El número de barras debe estar comprendido entre 0 y 500" sqref="D26" xr:uid="{32E18556-2EBD-4C42-8280-40866A1CA86F}">
      <formula1>0</formula1>
      <formula2>500</formula2>
    </dataValidation>
    <dataValidation type="whole" allowBlank="1" showInputMessage="1" showErrorMessage="1" errorTitle="Error" error="El número de nodos debe estar comprendido entre 3 y 500" sqref="G16" xr:uid="{805ED717-3B84-495C-89C1-AF1B6DF6F1E7}">
      <formula1>3</formula1>
      <formula2>500</formula2>
    </dataValidation>
    <dataValidation type="list" allowBlank="1" showInputMessage="1" showErrorMessage="1" sqref="C16" xr:uid="{35DDC1CD-BF34-4C90-A2F6-C825D6496EF9}">
      <formula1>"Positivo, Negativo"</formula1>
    </dataValidation>
    <dataValidation type="list" allowBlank="1" showInputMessage="1" showErrorMessage="1" sqref="E16" xr:uid="{B104D374-A4E9-4376-B0E6-1928237DFA30}">
      <formula1>"Poligonal, Circular"</formula1>
    </dataValidation>
    <dataValidation type="whole" allowBlank="1" showInputMessage="1" showErrorMessage="1" errorTitle="Error" error="El número de nodos debe estar comprendido entre 1 y 500" sqref="A19:A22" xr:uid="{B03588E7-D1EF-4A41-8B41-73785544C17B}">
      <formula1>1</formula1>
      <formula2>500</formula2>
    </dataValidation>
    <dataValidation type="list" allowBlank="1" showInputMessage="1" showErrorMessage="1" sqref="C52" xr:uid="{1A2E58FE-01FF-4C7E-B827-3DD1B91120F9}">
      <formula1>"Si, No"</formula1>
    </dataValidation>
    <dataValidation type="list" allowBlank="1" showInputMessage="1" showErrorMessage="1" sqref="E10:F10" xr:uid="{C320EF0D-7624-4824-AB3E-6C4AC657825E}">
      <formula1>"Estribos, Barras Zunchadas"</formula1>
    </dataValidation>
    <dataValidation type="list" allowBlank="1" showInputMessage="1" showErrorMessage="1" sqref="C38" xr:uid="{71ED5624-373A-4D50-AF28-BA6A70832770}">
      <formula1>"Extra Fina, Fina, Media, Gruesa, Muy Gruesa, Avanzada (Ingreso Manual)"</formula1>
    </dataValidation>
    <dataValidation type="list" allowBlank="1" showInputMessage="1" showErrorMessage="1" sqref="C48" xr:uid="{FF0B2CE4-AF34-4110-80C5-651FCFFF6FE9}">
      <formula1>"2D,3D, Verificación"</formula1>
    </dataValidation>
    <dataValidation type="list" allowBlank="1" showInputMessage="1" sqref="C4" xr:uid="{0229C449-F26A-4E09-8E8E-DE6E3C61D9B6}">
      <formula1>"20,25,30,35,40,45,50,55, 60, Otro(Ingresar en misma Celda)"</formula1>
    </dataValidation>
    <dataValidation type="whole" allowBlank="1" showInputMessage="1" showErrorMessage="1" errorTitle="Error" error="El número de barras debe estar comprendido entre 1 y 500" sqref="A29 A35" xr:uid="{8E583253-3782-41ED-A29E-11E6F199E8C1}">
      <formula1>1</formula1>
      <formula2>500</formula2>
    </dataValidation>
    <dataValidation type="list" allowBlank="1" showInputMessage="1" showErrorMessage="1" sqref="C8" xr:uid="{047151CC-E05E-43EF-8396-C11743173519}">
      <formula1>"Barras 1050, Trenzas C1650, Trenzas C1900, Provisto por Usuario"</formula1>
    </dataValidation>
    <dataValidation type="decimal" allowBlank="1" showInputMessage="1" showErrorMessage="1" errorTitle="ERROR" error="El ángulo de inclinación del plano de carga debe estar comprendido entre -90º y 90º" sqref="C50" xr:uid="{CB7FD1BF-F94F-4C64-9F5E-479CC496D9B6}">
      <formula1>-90</formula1>
      <formula2>90</formula2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[0]!Sheet1.RunPyExe_Click">
                <anchor moveWithCells="1" sizeWithCells="1">
                  <from>
                    <xdr:col>3</xdr:col>
                    <xdr:colOff>9525</xdr:colOff>
                    <xdr:row>53</xdr:row>
                    <xdr:rowOff>57150</xdr:rowOff>
                  </from>
                  <to>
                    <xdr:col>6</xdr:col>
                    <xdr:colOff>352425</xdr:colOff>
                    <xdr:row>56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6" r:id="rId5" name="Button 2">
              <controlPr defaultSize="0" print="0" autoFill="0" autoPict="0" macro="[0]!Sheet1.CopyBackupSheet">
                <anchor moveWithCells="1" sizeWithCells="1">
                  <from>
                    <xdr:col>3</xdr:col>
                    <xdr:colOff>542925</xdr:colOff>
                    <xdr:row>1</xdr:row>
                    <xdr:rowOff>285750</xdr:rowOff>
                  </from>
                  <to>
                    <xdr:col>6</xdr:col>
                    <xdr:colOff>771525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629677D-82E8-4C2E-8FB8-F62653BF46B0}">
          <x14:formula1>
            <xm:f>'Armaduras Pasivas'!$B$2:$E$2</xm:f>
          </x14:formula1>
          <xm:sqref>C6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5498D8-AF7A-4267-AD9C-149E73B08CE5}">
  <sheetPr codeName="Hoja4"/>
  <dimension ref="A1:O476"/>
  <sheetViews>
    <sheetView showGridLines="0" zoomScale="70" zoomScaleNormal="70" workbookViewId="0">
      <selection activeCell="I3" sqref="I3"/>
    </sheetView>
  </sheetViews>
  <sheetFormatPr defaultColWidth="10.85546875" defaultRowHeight="15" x14ac:dyDescent="0.25"/>
  <cols>
    <col min="3" max="4" width="10.85546875" style="88"/>
    <col min="9" max="11" width="10.85546875" style="89"/>
  </cols>
  <sheetData>
    <row r="1" spans="1:15" ht="15" customHeight="1" x14ac:dyDescent="0.25">
      <c r="A1" s="118" t="s">
        <v>86</v>
      </c>
      <c r="B1" s="118"/>
      <c r="C1" s="118"/>
      <c r="D1" s="118"/>
      <c r="E1" s="118"/>
      <c r="F1" s="118"/>
      <c r="G1" s="119">
        <f>+'[1]Ingreso de Datos'!E36</f>
        <v>0</v>
      </c>
      <c r="I1" s="116" t="s">
        <v>87</v>
      </c>
      <c r="J1" s="116" t="s">
        <v>88</v>
      </c>
      <c r="K1" s="116" t="s">
        <v>93</v>
      </c>
      <c r="L1" s="112"/>
      <c r="M1" s="112"/>
      <c r="N1" s="112"/>
      <c r="O1" s="112"/>
    </row>
    <row r="2" spans="1:15" ht="15.75" thickBot="1" x14ac:dyDescent="0.3">
      <c r="A2" s="118"/>
      <c r="B2" s="118"/>
      <c r="C2" s="118"/>
      <c r="D2" s="118"/>
      <c r="E2" s="118"/>
      <c r="F2" s="118"/>
      <c r="G2" s="119"/>
      <c r="I2" s="117"/>
      <c r="J2" s="117"/>
      <c r="K2" s="117"/>
      <c r="L2" s="112"/>
      <c r="M2" s="112"/>
      <c r="N2" s="112"/>
      <c r="O2" s="112"/>
    </row>
    <row r="3" spans="1:15" x14ac:dyDescent="0.25">
      <c r="C3"/>
      <c r="D3"/>
      <c r="I3" s="86">
        <v>2271.7511451989612</v>
      </c>
      <c r="J3" s="86">
        <v>1080.645040982</v>
      </c>
      <c r="K3" s="86">
        <v>0.65</v>
      </c>
      <c r="L3" s="112"/>
      <c r="M3" s="112"/>
      <c r="N3" s="112"/>
      <c r="O3" s="112"/>
    </row>
    <row r="4" spans="1:15" x14ac:dyDescent="0.25">
      <c r="C4"/>
      <c r="D4"/>
      <c r="I4" s="86">
        <v>2271.7511451989612</v>
      </c>
      <c r="J4" s="86">
        <v>1080.645040982</v>
      </c>
      <c r="K4" s="86">
        <v>0.65</v>
      </c>
      <c r="L4" s="112"/>
      <c r="M4" s="112"/>
      <c r="N4" s="112"/>
      <c r="O4" s="112"/>
    </row>
    <row r="5" spans="1:15" x14ac:dyDescent="0.25">
      <c r="C5"/>
      <c r="D5"/>
      <c r="I5" s="86">
        <v>2271.7511451989612</v>
      </c>
      <c r="J5" s="86">
        <v>1080.645040982</v>
      </c>
      <c r="K5" s="86">
        <v>0.65</v>
      </c>
      <c r="L5" s="112"/>
      <c r="M5" s="112"/>
      <c r="N5" s="112"/>
      <c r="O5" s="112"/>
    </row>
    <row r="6" spans="1:15" x14ac:dyDescent="0.25">
      <c r="C6"/>
      <c r="D6"/>
      <c r="I6" s="86">
        <v>2271.7511451989612</v>
      </c>
      <c r="J6" s="86">
        <v>1080.645040982</v>
      </c>
      <c r="K6" s="86">
        <v>0.65</v>
      </c>
      <c r="L6" s="112"/>
      <c r="M6" s="112"/>
      <c r="N6" s="112"/>
      <c r="O6" s="112"/>
    </row>
    <row r="7" spans="1:15" x14ac:dyDescent="0.25">
      <c r="C7"/>
      <c r="D7"/>
      <c r="I7" s="86">
        <v>2271.7511451989612</v>
      </c>
      <c r="J7" s="86">
        <v>1080.645040982</v>
      </c>
      <c r="K7" s="86">
        <v>0.65</v>
      </c>
      <c r="L7" s="112"/>
      <c r="M7" s="112"/>
      <c r="N7" s="112"/>
      <c r="O7" s="112"/>
    </row>
    <row r="8" spans="1:15" x14ac:dyDescent="0.25">
      <c r="C8"/>
      <c r="D8"/>
      <c r="I8" s="86">
        <v>2271.7511451989612</v>
      </c>
      <c r="J8" s="86">
        <v>1080.645040982</v>
      </c>
      <c r="K8" s="86">
        <v>0.65</v>
      </c>
      <c r="L8" s="112"/>
      <c r="M8" s="112"/>
      <c r="N8" s="112"/>
      <c r="O8" s="112"/>
    </row>
    <row r="9" spans="1:15" x14ac:dyDescent="0.25">
      <c r="C9"/>
      <c r="D9"/>
      <c r="I9" s="86">
        <v>2271.7511451989612</v>
      </c>
      <c r="J9" s="86">
        <v>1080.645040982</v>
      </c>
      <c r="K9" s="86">
        <v>0.65</v>
      </c>
    </row>
    <row r="10" spans="1:15" x14ac:dyDescent="0.25">
      <c r="C10"/>
      <c r="D10"/>
      <c r="I10" s="86">
        <v>2271.7511451989612</v>
      </c>
      <c r="J10" s="86">
        <v>1080.645040982</v>
      </c>
      <c r="K10" s="86">
        <v>0.65</v>
      </c>
    </row>
    <row r="11" spans="1:15" x14ac:dyDescent="0.25">
      <c r="C11"/>
      <c r="D11"/>
      <c r="I11" s="86">
        <v>2271.7511451989612</v>
      </c>
      <c r="J11" s="86">
        <v>1080.645040982</v>
      </c>
      <c r="K11" s="86">
        <v>0.65</v>
      </c>
    </row>
    <row r="12" spans="1:15" x14ac:dyDescent="0.25">
      <c r="C12"/>
      <c r="D12"/>
      <c r="I12" s="86">
        <v>2271.7511451989612</v>
      </c>
      <c r="J12" s="86">
        <v>1080.645040982</v>
      </c>
      <c r="K12" s="86">
        <v>0.65</v>
      </c>
    </row>
    <row r="13" spans="1:15" x14ac:dyDescent="0.25">
      <c r="C13"/>
      <c r="D13"/>
      <c r="I13" s="86">
        <v>2269.9713502872114</v>
      </c>
      <c r="J13" s="86">
        <v>1049.498630024</v>
      </c>
      <c r="K13" s="86">
        <v>0.65</v>
      </c>
    </row>
    <row r="14" spans="1:15" x14ac:dyDescent="0.25">
      <c r="C14"/>
      <c r="D14"/>
      <c r="I14" s="86">
        <v>2267.1468931446525</v>
      </c>
      <c r="J14" s="86">
        <v>1000.0706300325</v>
      </c>
      <c r="K14" s="86">
        <v>0.65</v>
      </c>
    </row>
    <row r="15" spans="1:15" x14ac:dyDescent="0.25">
      <c r="C15"/>
      <c r="D15"/>
      <c r="I15" s="86">
        <v>2264.3224360020936</v>
      </c>
      <c r="J15" s="86">
        <v>950.64263003450003</v>
      </c>
      <c r="K15" s="86">
        <v>0.65</v>
      </c>
    </row>
    <row r="16" spans="1:15" x14ac:dyDescent="0.25">
      <c r="C16"/>
      <c r="D16"/>
      <c r="I16" s="86">
        <v>2261.4979788595347</v>
      </c>
      <c r="J16" s="86">
        <v>901.21463004300006</v>
      </c>
      <c r="K16" s="86">
        <v>0.65</v>
      </c>
    </row>
    <row r="17" spans="1:11" x14ac:dyDescent="0.25">
      <c r="C17"/>
      <c r="D17"/>
      <c r="I17" s="86">
        <v>2258.6735217169758</v>
      </c>
      <c r="J17" s="86">
        <v>851.78663004500004</v>
      </c>
      <c r="K17" s="86">
        <v>0.65</v>
      </c>
    </row>
    <row r="18" spans="1:11" x14ac:dyDescent="0.25">
      <c r="C18"/>
      <c r="D18"/>
      <c r="I18" s="86">
        <v>2255.8490645744164</v>
      </c>
      <c r="J18" s="86">
        <v>802.35863005349995</v>
      </c>
      <c r="K18" s="86">
        <v>0.65</v>
      </c>
    </row>
    <row r="19" spans="1:11" x14ac:dyDescent="0.25">
      <c r="C19"/>
      <c r="D19"/>
      <c r="I19" s="86">
        <v>2253.0246074318575</v>
      </c>
      <c r="J19" s="86">
        <v>752.93063005550005</v>
      </c>
      <c r="K19" s="86">
        <v>0.65</v>
      </c>
    </row>
    <row r="20" spans="1:11" x14ac:dyDescent="0.25">
      <c r="C20"/>
      <c r="D20"/>
      <c r="I20" s="86">
        <v>2250.2001502892986</v>
      </c>
      <c r="J20" s="86">
        <v>703.50263006400007</v>
      </c>
      <c r="K20" s="86">
        <v>0.65</v>
      </c>
    </row>
    <row r="21" spans="1:11" x14ac:dyDescent="0.25">
      <c r="C21"/>
      <c r="D21"/>
      <c r="I21" s="86">
        <v>2247.3756931467396</v>
      </c>
      <c r="J21" s="86">
        <v>654.07463006600005</v>
      </c>
      <c r="K21" s="86">
        <v>0.65</v>
      </c>
    </row>
    <row r="22" spans="1:11" x14ac:dyDescent="0.25">
      <c r="C22"/>
      <c r="D22"/>
      <c r="I22" s="86">
        <v>2244.5512360041803</v>
      </c>
      <c r="J22" s="86">
        <v>604.64663007450008</v>
      </c>
      <c r="K22" s="86">
        <v>0.65</v>
      </c>
    </row>
    <row r="23" spans="1:11" x14ac:dyDescent="0.25">
      <c r="C23"/>
      <c r="D23"/>
      <c r="I23" s="86">
        <v>2241.7267788616218</v>
      </c>
      <c r="J23" s="86">
        <v>555.21863007649995</v>
      </c>
      <c r="K23" s="86">
        <v>0.65</v>
      </c>
    </row>
    <row r="24" spans="1:11" x14ac:dyDescent="0.25">
      <c r="C24"/>
      <c r="D24"/>
      <c r="I24" s="86">
        <v>2238.9023217190625</v>
      </c>
      <c r="J24" s="86">
        <v>505.79063008500003</v>
      </c>
      <c r="K24" s="86">
        <v>0.65</v>
      </c>
    </row>
    <row r="25" spans="1:11" x14ac:dyDescent="0.25">
      <c r="C25"/>
      <c r="D25"/>
      <c r="I25" s="86">
        <v>2236.0778645765035</v>
      </c>
      <c r="J25" s="86">
        <v>456.36263008700001</v>
      </c>
      <c r="K25" s="86">
        <v>0.65</v>
      </c>
    </row>
    <row r="26" spans="1:11" x14ac:dyDescent="0.25">
      <c r="C26"/>
      <c r="D26"/>
      <c r="I26" s="86">
        <v>2233.2534074339446</v>
      </c>
      <c r="J26" s="86">
        <v>406.93463009550004</v>
      </c>
      <c r="K26" s="86">
        <v>0.65</v>
      </c>
    </row>
    <row r="27" spans="1:11" x14ac:dyDescent="0.25">
      <c r="C27"/>
      <c r="D27"/>
      <c r="I27" s="86">
        <v>2230.4289502913857</v>
      </c>
      <c r="J27" s="86">
        <v>357.50663009749996</v>
      </c>
      <c r="K27" s="86">
        <v>0.65</v>
      </c>
    </row>
    <row r="28" spans="1:11" x14ac:dyDescent="0.25">
      <c r="C28"/>
      <c r="D28"/>
      <c r="I28" s="86">
        <v>2227.6044931488268</v>
      </c>
      <c r="J28" s="86">
        <v>308.07863010599999</v>
      </c>
      <c r="K28" s="86">
        <v>0.65</v>
      </c>
    </row>
    <row r="29" spans="1:11" x14ac:dyDescent="0.25">
      <c r="C29"/>
      <c r="D29"/>
      <c r="I29" s="86">
        <v>2227.4161960059891</v>
      </c>
      <c r="J29" s="86">
        <v>304.78343010700002</v>
      </c>
      <c r="K29" s="86">
        <v>0.65</v>
      </c>
    </row>
    <row r="30" spans="1:11" x14ac:dyDescent="0.25">
      <c r="C30"/>
      <c r="D30"/>
      <c r="I30" s="86">
        <v>2227.2278988631524</v>
      </c>
      <c r="J30" s="86">
        <v>301.48823010799998</v>
      </c>
      <c r="K30" s="86">
        <v>0.65</v>
      </c>
    </row>
    <row r="31" spans="1:11" x14ac:dyDescent="0.25">
      <c r="A31" s="113" t="s">
        <v>89</v>
      </c>
      <c r="B31" s="113"/>
      <c r="C31" s="114" t="s">
        <v>90</v>
      </c>
      <c r="D31" s="114" t="s">
        <v>91</v>
      </c>
      <c r="I31" s="86">
        <v>2227.0396017203147</v>
      </c>
      <c r="J31" s="86">
        <v>298.19303010250002</v>
      </c>
      <c r="K31" s="86">
        <v>0.65</v>
      </c>
    </row>
    <row r="32" spans="1:11" x14ac:dyDescent="0.25">
      <c r="A32" s="113"/>
      <c r="B32" s="113"/>
      <c r="C32" s="114"/>
      <c r="D32" s="114"/>
      <c r="E32" s="115" t="s">
        <v>92</v>
      </c>
      <c r="F32" s="115"/>
      <c r="G32" s="115"/>
      <c r="I32" s="86">
        <v>2226.8513045774775</v>
      </c>
      <c r="J32" s="86">
        <v>294.89783010350004</v>
      </c>
      <c r="K32" s="86">
        <v>0.65</v>
      </c>
    </row>
    <row r="33" spans="3:11" x14ac:dyDescent="0.25">
      <c r="C33" s="87"/>
      <c r="D33" s="87"/>
      <c r="E33" s="115"/>
      <c r="F33" s="115"/>
      <c r="G33" s="115"/>
      <c r="I33" s="86">
        <v>2226.6630074346403</v>
      </c>
      <c r="J33" s="86">
        <v>291.60263010450001</v>
      </c>
      <c r="K33" s="86">
        <v>0.65</v>
      </c>
    </row>
    <row r="34" spans="3:11" x14ac:dyDescent="0.25">
      <c r="C34" s="87"/>
      <c r="D34" s="87"/>
      <c r="E34" s="115"/>
      <c r="F34" s="115"/>
      <c r="G34" s="115"/>
      <c r="I34" s="86">
        <v>2226.4747102918031</v>
      </c>
      <c r="J34" s="86">
        <v>288.30743010549998</v>
      </c>
      <c r="K34" s="86">
        <v>0.65</v>
      </c>
    </row>
    <row r="35" spans="3:11" x14ac:dyDescent="0.25">
      <c r="C35" s="87"/>
      <c r="D35" s="87"/>
      <c r="E35" s="115"/>
      <c r="F35" s="115"/>
      <c r="G35" s="115"/>
      <c r="I35" s="86">
        <v>2226.2864131489659</v>
      </c>
      <c r="J35" s="86">
        <v>285.0122301065</v>
      </c>
      <c r="K35" s="86">
        <v>0.65</v>
      </c>
    </row>
    <row r="36" spans="3:11" x14ac:dyDescent="0.25">
      <c r="C36" s="87"/>
      <c r="D36" s="87"/>
      <c r="E36" s="115"/>
      <c r="F36" s="115"/>
      <c r="G36" s="115"/>
      <c r="I36" s="86">
        <v>2161.2511451989612</v>
      </c>
      <c r="J36" s="86">
        <v>3180.1450409820004</v>
      </c>
      <c r="K36" s="86">
        <v>0.65</v>
      </c>
    </row>
    <row r="37" spans="3:11" x14ac:dyDescent="0.25">
      <c r="C37" s="87"/>
      <c r="D37" s="87"/>
      <c r="I37" s="86">
        <v>2161.2511451989612</v>
      </c>
      <c r="J37" s="86">
        <v>3180.1450409820004</v>
      </c>
      <c r="K37" s="86">
        <v>0.65</v>
      </c>
    </row>
    <row r="38" spans="3:11" x14ac:dyDescent="0.25">
      <c r="C38" s="87"/>
      <c r="D38" s="87"/>
      <c r="I38" s="86">
        <v>2161.2511451989612</v>
      </c>
      <c r="J38" s="86">
        <v>3180.1450409820004</v>
      </c>
      <c r="K38" s="86">
        <v>0.65</v>
      </c>
    </row>
    <row r="39" spans="3:11" x14ac:dyDescent="0.25">
      <c r="C39" s="87"/>
      <c r="D39" s="87"/>
      <c r="I39" s="86">
        <v>2161.2511451989612</v>
      </c>
      <c r="J39" s="86">
        <v>3180.1450409820004</v>
      </c>
      <c r="K39" s="86">
        <v>0.65</v>
      </c>
    </row>
    <row r="40" spans="3:11" x14ac:dyDescent="0.25">
      <c r="C40" s="87"/>
      <c r="D40" s="87"/>
      <c r="I40" s="86">
        <v>2161.2511451989612</v>
      </c>
      <c r="J40" s="86">
        <v>3180.1450409820004</v>
      </c>
      <c r="K40" s="86">
        <v>0.65</v>
      </c>
    </row>
    <row r="41" spans="3:11" x14ac:dyDescent="0.25">
      <c r="C41" s="87"/>
      <c r="D41" s="87"/>
      <c r="I41" s="86">
        <v>2161.2511451989612</v>
      </c>
      <c r="J41" s="86">
        <v>3180.1450409820004</v>
      </c>
      <c r="K41" s="86">
        <v>0.65</v>
      </c>
    </row>
    <row r="42" spans="3:11" x14ac:dyDescent="0.25">
      <c r="C42" s="87"/>
      <c r="D42" s="87"/>
      <c r="I42" s="86">
        <v>2161.2511451989612</v>
      </c>
      <c r="J42" s="86">
        <v>3180.1450409820004</v>
      </c>
      <c r="K42" s="86">
        <v>0.65</v>
      </c>
    </row>
    <row r="43" spans="3:11" x14ac:dyDescent="0.25">
      <c r="C43" s="87"/>
      <c r="D43" s="87"/>
      <c r="I43" s="86">
        <v>2150.2011451989611</v>
      </c>
      <c r="J43" s="86">
        <v>3373.863039022086</v>
      </c>
      <c r="K43" s="86">
        <v>0.65</v>
      </c>
    </row>
    <row r="44" spans="3:11" x14ac:dyDescent="0.25">
      <c r="C44" s="87"/>
      <c r="D44" s="87"/>
      <c r="I44" s="86">
        <v>2050.7511451989612</v>
      </c>
      <c r="J44" s="86">
        <v>5058.645040982</v>
      </c>
      <c r="K44" s="86">
        <v>0.65</v>
      </c>
    </row>
    <row r="45" spans="3:11" x14ac:dyDescent="0.25">
      <c r="C45" s="87"/>
      <c r="D45" s="87"/>
      <c r="I45" s="86">
        <v>2006.2024260982994</v>
      </c>
      <c r="J45" s="86">
        <v>-3681.2955088162057</v>
      </c>
      <c r="K45" s="86">
        <v>0.65</v>
      </c>
    </row>
    <row r="46" spans="3:11" x14ac:dyDescent="0.25">
      <c r="C46" s="87"/>
      <c r="D46" s="87"/>
      <c r="I46" s="86">
        <v>2006.1039130394013</v>
      </c>
      <c r="J46" s="86">
        <v>-3683.0337869542504</v>
      </c>
      <c r="K46" s="86">
        <v>0.65</v>
      </c>
    </row>
    <row r="47" spans="3:11" x14ac:dyDescent="0.25">
      <c r="C47" s="87"/>
      <c r="D47" s="87"/>
      <c r="I47" s="86">
        <v>2006.0057192752422</v>
      </c>
      <c r="J47" s="86">
        <v>-3684.7665917022887</v>
      </c>
      <c r="K47" s="86">
        <v>0.65</v>
      </c>
    </row>
    <row r="48" spans="3:11" x14ac:dyDescent="0.25">
      <c r="C48" s="87"/>
      <c r="D48" s="87"/>
      <c r="I48" s="86">
        <v>2005.5169859448231</v>
      </c>
      <c r="J48" s="86">
        <v>-3693.3927716592011</v>
      </c>
      <c r="K48" s="86">
        <v>0.65</v>
      </c>
    </row>
    <row r="49" spans="3:11" x14ac:dyDescent="0.25">
      <c r="C49" s="87"/>
      <c r="D49" s="87"/>
      <c r="I49" s="86">
        <v>2005.4180350206213</v>
      </c>
      <c r="J49" s="86">
        <v>-3695.1390407226345</v>
      </c>
      <c r="K49" s="86">
        <v>0.65</v>
      </c>
    </row>
    <row r="50" spans="3:11" x14ac:dyDescent="0.25">
      <c r="C50" s="87"/>
      <c r="D50" s="87"/>
      <c r="I50" s="86">
        <v>2005.3214025677585</v>
      </c>
      <c r="J50" s="86">
        <v>-3696.8452145908332</v>
      </c>
      <c r="K50" s="86">
        <v>0.65</v>
      </c>
    </row>
    <row r="51" spans="3:11" x14ac:dyDescent="0.25">
      <c r="I51" s="86">
        <v>2005.2217305746833</v>
      </c>
      <c r="J51" s="86">
        <v>-3698.6040859710351</v>
      </c>
      <c r="K51" s="86">
        <v>0.65</v>
      </c>
    </row>
    <row r="52" spans="3:11" x14ac:dyDescent="0.25">
      <c r="I52" s="86">
        <v>2005.1239500258771</v>
      </c>
      <c r="J52" s="86">
        <v>-3700.3302591970887</v>
      </c>
      <c r="K52" s="86">
        <v>0.65</v>
      </c>
    </row>
    <row r="53" spans="3:11" x14ac:dyDescent="0.25">
      <c r="I53" s="86">
        <v>2004.9287872490577</v>
      </c>
      <c r="J53" s="86">
        <v>-3703.7758835554232</v>
      </c>
      <c r="K53" s="86">
        <v>0.65</v>
      </c>
    </row>
    <row r="54" spans="3:11" x14ac:dyDescent="0.25">
      <c r="I54" s="86">
        <v>2004.8324518185809</v>
      </c>
      <c r="J54" s="86">
        <v>-3705.47721052927</v>
      </c>
      <c r="K54" s="86">
        <v>0.65</v>
      </c>
    </row>
    <row r="55" spans="3:11" x14ac:dyDescent="0.25">
      <c r="I55" s="86">
        <v>1999.1306612900607</v>
      </c>
      <c r="J55" s="86">
        <v>-3800.7266238774191</v>
      </c>
      <c r="K55" s="86">
        <v>0.65</v>
      </c>
    </row>
    <row r="56" spans="3:11" x14ac:dyDescent="0.25">
      <c r="I56" s="86">
        <v>1998.9426610900562</v>
      </c>
      <c r="J56" s="86">
        <v>-3804.0166204280345</v>
      </c>
      <c r="K56" s="86">
        <v>0.65</v>
      </c>
    </row>
    <row r="57" spans="3:11" x14ac:dyDescent="0.25">
      <c r="I57" s="86">
        <v>1992.627876303819</v>
      </c>
      <c r="J57" s="86">
        <v>-3902.2945096175972</v>
      </c>
      <c r="K57" s="86">
        <v>0.65</v>
      </c>
    </row>
    <row r="58" spans="3:11" x14ac:dyDescent="0.25">
      <c r="I58" s="86">
        <v>1890.9115128669421</v>
      </c>
      <c r="J58" s="86">
        <v>-5433.2118271404734</v>
      </c>
      <c r="K58" s="86">
        <v>0.65</v>
      </c>
    </row>
    <row r="59" spans="3:11" x14ac:dyDescent="0.25">
      <c r="I59" s="86">
        <v>1890.8131673142509</v>
      </c>
      <c r="J59" s="86">
        <v>-5434.9428931696766</v>
      </c>
      <c r="K59" s="86">
        <v>0.65</v>
      </c>
    </row>
    <row r="60" spans="3:11" x14ac:dyDescent="0.25">
      <c r="I60" s="86">
        <v>1890.7170115375152</v>
      </c>
      <c r="J60" s="86">
        <v>-5436.6359423543627</v>
      </c>
      <c r="K60" s="86">
        <v>0.65</v>
      </c>
    </row>
    <row r="61" spans="3:11" x14ac:dyDescent="0.25">
      <c r="I61" s="86">
        <v>1890.617218066822</v>
      </c>
      <c r="J61" s="86">
        <v>-5438.3922585307482</v>
      </c>
      <c r="K61" s="86">
        <v>0.65</v>
      </c>
    </row>
    <row r="62" spans="3:11" x14ac:dyDescent="0.25">
      <c r="I62" s="86">
        <v>1890.225340598874</v>
      </c>
      <c r="J62" s="86">
        <v>-5445.2911341585705</v>
      </c>
      <c r="K62" s="86">
        <v>0.65</v>
      </c>
    </row>
    <row r="63" spans="3:11" x14ac:dyDescent="0.25">
      <c r="I63" s="86">
        <v>1890.1287172168047</v>
      </c>
      <c r="J63" s="86">
        <v>-5446.9925697932758</v>
      </c>
      <c r="K63" s="86">
        <v>0.65</v>
      </c>
    </row>
    <row r="64" spans="3:11" x14ac:dyDescent="0.25">
      <c r="I64" s="86">
        <v>1890.0300515505728</v>
      </c>
      <c r="J64" s="86">
        <v>-5448.7295371779974</v>
      </c>
      <c r="K64" s="86">
        <v>0.65</v>
      </c>
    </row>
    <row r="65" spans="9:11" x14ac:dyDescent="0.25">
      <c r="I65" s="86">
        <v>1884.2974133525022</v>
      </c>
      <c r="J65" s="86">
        <v>-5534.0543045563272</v>
      </c>
      <c r="K65" s="86">
        <v>0.65</v>
      </c>
    </row>
    <row r="66" spans="9:11" x14ac:dyDescent="0.25">
      <c r="I66" s="86">
        <v>1884.11260843017</v>
      </c>
      <c r="J66" s="86">
        <v>-5537.2884214994147</v>
      </c>
      <c r="K66" s="86">
        <v>0.65</v>
      </c>
    </row>
    <row r="67" spans="9:11" x14ac:dyDescent="0.25">
      <c r="I67" s="86">
        <v>1883.9231789242049</v>
      </c>
      <c r="J67" s="86">
        <v>-5540.6034207270777</v>
      </c>
      <c r="K67" s="86">
        <v>0.65</v>
      </c>
    </row>
    <row r="68" spans="9:11" x14ac:dyDescent="0.25">
      <c r="I68" s="86">
        <v>1883.7337150776862</v>
      </c>
      <c r="J68" s="86">
        <v>-5543.9190205850336</v>
      </c>
      <c r="K68" s="86">
        <v>0.65</v>
      </c>
    </row>
    <row r="69" spans="9:11" x14ac:dyDescent="0.25">
      <c r="I69" s="86">
        <v>1761.8325972783466</v>
      </c>
      <c r="J69" s="86">
        <v>-7144.9215479498334</v>
      </c>
      <c r="K69" s="86">
        <v>0.65</v>
      </c>
    </row>
    <row r="70" spans="9:11" x14ac:dyDescent="0.25">
      <c r="I70" s="86">
        <v>1651.4384292789489</v>
      </c>
      <c r="J70" s="86">
        <v>-8393.5834721602259</v>
      </c>
      <c r="K70" s="86">
        <v>0.65</v>
      </c>
    </row>
    <row r="71" spans="9:11" x14ac:dyDescent="0.25">
      <c r="I71" s="86">
        <v>1535.2908412788161</v>
      </c>
      <c r="J71" s="86">
        <v>-9486.9155804712573</v>
      </c>
      <c r="K71" s="86">
        <v>0.65</v>
      </c>
    </row>
    <row r="72" spans="9:11" x14ac:dyDescent="0.25">
      <c r="I72" s="86">
        <v>1525.9761028319795</v>
      </c>
      <c r="J72" s="86">
        <v>-9592.5305831790211</v>
      </c>
      <c r="K72" s="86">
        <v>0.65</v>
      </c>
    </row>
    <row r="73" spans="9:11" x14ac:dyDescent="0.25">
      <c r="I73" s="86">
        <v>1423.9012526457077</v>
      </c>
      <c r="J73" s="86">
        <v>-10334.582738326004</v>
      </c>
      <c r="K73" s="86">
        <v>0.65</v>
      </c>
    </row>
    <row r="74" spans="9:11" x14ac:dyDescent="0.25">
      <c r="I74" s="86">
        <v>1416.313877449345</v>
      </c>
      <c r="J74" s="86">
        <v>-10408.761958083438</v>
      </c>
      <c r="K74" s="86">
        <v>0.65</v>
      </c>
    </row>
    <row r="75" spans="9:11" x14ac:dyDescent="0.25">
      <c r="I75" s="86">
        <v>1304.7855107955911</v>
      </c>
      <c r="J75" s="86">
        <v>-11048.861820848511</v>
      </c>
      <c r="K75" s="86">
        <v>0.65</v>
      </c>
    </row>
    <row r="76" spans="9:11" x14ac:dyDescent="0.25">
      <c r="I76" s="86">
        <v>1297.3401005807405</v>
      </c>
      <c r="J76" s="86">
        <v>-11109.552747562686</v>
      </c>
      <c r="K76" s="86">
        <v>0.65</v>
      </c>
    </row>
    <row r="77" spans="9:11" x14ac:dyDescent="0.25">
      <c r="I77" s="86">
        <v>1183.435566855602</v>
      </c>
      <c r="J77" s="86">
        <v>-11581.28530085799</v>
      </c>
      <c r="K77" s="86">
        <v>0.65</v>
      </c>
    </row>
    <row r="78" spans="9:11" x14ac:dyDescent="0.25">
      <c r="I78" s="86">
        <v>1175.5426505583675</v>
      </c>
      <c r="J78" s="86">
        <v>-11638.757919853519</v>
      </c>
      <c r="K78" s="86">
        <v>0.65</v>
      </c>
    </row>
    <row r="79" spans="9:11" x14ac:dyDescent="0.25">
      <c r="I79" s="86">
        <v>1172.7166560558496</v>
      </c>
      <c r="J79" s="86">
        <v>-11688.212797910099</v>
      </c>
      <c r="K79" s="86">
        <v>0.65</v>
      </c>
    </row>
    <row r="80" spans="9:11" x14ac:dyDescent="0.25">
      <c r="I80" s="86">
        <v>1163.2943144808723</v>
      </c>
      <c r="J80" s="86">
        <v>-11762.440616304802</v>
      </c>
      <c r="K80" s="86">
        <v>0.65</v>
      </c>
    </row>
    <row r="81" spans="9:11" x14ac:dyDescent="0.25">
      <c r="I81" s="86">
        <v>1053.7449295405133</v>
      </c>
      <c r="J81" s="86">
        <v>-11946.967927129974</v>
      </c>
      <c r="K81" s="86">
        <v>0.65</v>
      </c>
    </row>
    <row r="82" spans="9:11" x14ac:dyDescent="0.25">
      <c r="I82" s="86">
        <v>1050.9191990021677</v>
      </c>
      <c r="J82" s="86">
        <v>-11996.418188194217</v>
      </c>
      <c r="K82" s="86">
        <v>0.65</v>
      </c>
    </row>
    <row r="83" spans="9:11" x14ac:dyDescent="0.25">
      <c r="I83" s="86">
        <v>1049.131416427454</v>
      </c>
      <c r="J83" s="86">
        <v>-12220.983880004536</v>
      </c>
      <c r="K83" s="86">
        <v>0.65633111795100108</v>
      </c>
    </row>
    <row r="84" spans="9:11" x14ac:dyDescent="0.25">
      <c r="I84" s="86">
        <v>974.69822016567298</v>
      </c>
      <c r="J84" s="86">
        <v>-12426.786422351912</v>
      </c>
      <c r="K84" s="86">
        <v>0.67128058048051575</v>
      </c>
    </row>
    <row r="85" spans="9:11" x14ac:dyDescent="0.25">
      <c r="I85" s="86">
        <v>990.64590521919774</v>
      </c>
      <c r="J85" s="86">
        <v>-12825.103846115391</v>
      </c>
      <c r="K85" s="86">
        <v>0.69445995706252506</v>
      </c>
    </row>
    <row r="86" spans="9:11" x14ac:dyDescent="0.25">
      <c r="I86" s="86">
        <v>955.55778486931558</v>
      </c>
      <c r="J86" s="86">
        <v>-12796.749867476159</v>
      </c>
      <c r="K86" s="86">
        <v>0.69901903177190261</v>
      </c>
    </row>
    <row r="87" spans="9:11" x14ac:dyDescent="0.25">
      <c r="I87" s="86">
        <v>954.76905072373484</v>
      </c>
      <c r="J87" s="86">
        <v>-12912.262672297064</v>
      </c>
      <c r="K87" s="86">
        <v>0.70723725686358907</v>
      </c>
    </row>
    <row r="88" spans="9:11" x14ac:dyDescent="0.25">
      <c r="I88" s="86">
        <v>923.94589659448661</v>
      </c>
      <c r="J88" s="86">
        <v>-12998.773991941782</v>
      </c>
      <c r="K88" s="86">
        <v>0.72070761807276096</v>
      </c>
    </row>
    <row r="89" spans="9:11" x14ac:dyDescent="0.25">
      <c r="I89" s="86">
        <v>931.73278303611642</v>
      </c>
      <c r="J89" s="86">
        <v>-13108.325836188011</v>
      </c>
      <c r="K89" s="86">
        <v>0.72678164080529895</v>
      </c>
    </row>
    <row r="90" spans="9:11" x14ac:dyDescent="0.25">
      <c r="I90" s="86">
        <v>933.51648695079234</v>
      </c>
      <c r="J90" s="86">
        <v>-13201.015281942831</v>
      </c>
      <c r="K90" s="86">
        <v>0.73303319861903593</v>
      </c>
    </row>
    <row r="91" spans="9:11" x14ac:dyDescent="0.25">
      <c r="I91" s="86">
        <v>923.50822461478492</v>
      </c>
      <c r="J91" s="86">
        <v>-13245.958238850111</v>
      </c>
      <c r="K91" s="86">
        <v>0.73999160926680507</v>
      </c>
    </row>
    <row r="92" spans="9:11" x14ac:dyDescent="0.25">
      <c r="I92" s="86">
        <v>939.11681676429953</v>
      </c>
      <c r="J92" s="86">
        <v>-13532.008779862248</v>
      </c>
      <c r="K92" s="86">
        <v>0.75765885570103209</v>
      </c>
    </row>
    <row r="93" spans="9:11" x14ac:dyDescent="0.25">
      <c r="I93" s="86">
        <v>957.5066569333768</v>
      </c>
      <c r="J93" s="86">
        <v>-13733.600690400868</v>
      </c>
      <c r="K93" s="86">
        <v>0.76723398131441467</v>
      </c>
    </row>
    <row r="94" spans="9:11" x14ac:dyDescent="0.25">
      <c r="I94" s="86">
        <v>975.54424635968178</v>
      </c>
      <c r="J94" s="86">
        <v>-13929.190239435715</v>
      </c>
      <c r="K94" s="86">
        <v>0.77639921548301827</v>
      </c>
    </row>
    <row r="95" spans="9:11" x14ac:dyDescent="0.25">
      <c r="I95" s="86">
        <v>887.64384867126341</v>
      </c>
      <c r="J95" s="86">
        <v>-13816.047838904231</v>
      </c>
      <c r="K95" s="86">
        <v>0.80439081638680898</v>
      </c>
    </row>
    <row r="96" spans="9:11" x14ac:dyDescent="0.25">
      <c r="I96" s="86">
        <v>859.36493481450532</v>
      </c>
      <c r="J96" s="86">
        <v>-13750.518002524554</v>
      </c>
      <c r="K96" s="86">
        <v>0.81650011720740268</v>
      </c>
    </row>
    <row r="97" spans="9:11" x14ac:dyDescent="0.25">
      <c r="I97" s="86">
        <v>854.05834037057832</v>
      </c>
      <c r="J97" s="86">
        <v>-13801.802003873023</v>
      </c>
      <c r="K97" s="86">
        <v>0.82478009995645274</v>
      </c>
    </row>
    <row r="98" spans="9:11" x14ac:dyDescent="0.25">
      <c r="I98" s="86">
        <v>912.43458221812364</v>
      </c>
      <c r="J98" s="86">
        <v>-14402.84778844281</v>
      </c>
      <c r="K98" s="86">
        <v>0.84641565257043849</v>
      </c>
    </row>
    <row r="99" spans="9:11" x14ac:dyDescent="0.25">
      <c r="I99" s="86">
        <v>931.54932786917504</v>
      </c>
      <c r="J99" s="86">
        <v>-14704.5754711635</v>
      </c>
      <c r="K99" s="86">
        <v>0.86414735655147523</v>
      </c>
    </row>
    <row r="100" spans="9:11" x14ac:dyDescent="0.25">
      <c r="I100" s="86">
        <v>863.57674869088078</v>
      </c>
      <c r="J100" s="86">
        <v>-14296.260931302024</v>
      </c>
      <c r="K100" s="86">
        <v>0.86966594250461893</v>
      </c>
    </row>
    <row r="101" spans="9:11" x14ac:dyDescent="0.25">
      <c r="I101" s="86">
        <v>837.27654815778726</v>
      </c>
      <c r="J101" s="86">
        <v>-14205.855071286494</v>
      </c>
      <c r="K101" s="86">
        <v>0.88088174659073792</v>
      </c>
    </row>
    <row r="102" spans="9:11" x14ac:dyDescent="0.25">
      <c r="I102" s="86">
        <v>842.17481072629789</v>
      </c>
      <c r="J102" s="86">
        <v>-14288.962627926498</v>
      </c>
      <c r="K102" s="86">
        <v>0.88603510971323707</v>
      </c>
    </row>
    <row r="103" spans="9:11" x14ac:dyDescent="0.25">
      <c r="I103" s="86">
        <v>841.16488266487067</v>
      </c>
      <c r="J103" s="86">
        <v>-14344.875449283085</v>
      </c>
      <c r="K103" s="86">
        <v>0.8929580211444782</v>
      </c>
    </row>
    <row r="104" spans="9:11" x14ac:dyDescent="0.25">
      <c r="I104" s="86">
        <v>817.19841433990018</v>
      </c>
      <c r="J104" s="86">
        <v>-14200.59836639322</v>
      </c>
      <c r="K104" s="86">
        <v>0.9</v>
      </c>
    </row>
    <row r="105" spans="9:11" x14ac:dyDescent="0.25">
      <c r="I105" s="86">
        <v>817.19841433990018</v>
      </c>
      <c r="J105" s="86">
        <v>-14213.24611486946</v>
      </c>
      <c r="K105" s="86">
        <v>0.9</v>
      </c>
    </row>
    <row r="106" spans="9:11" x14ac:dyDescent="0.25">
      <c r="I106" s="86">
        <v>801.89841433990011</v>
      </c>
      <c r="J106" s="86">
        <v>-14081.391845260285</v>
      </c>
      <c r="K106" s="86">
        <v>0.9</v>
      </c>
    </row>
    <row r="107" spans="9:11" x14ac:dyDescent="0.25">
      <c r="I107" s="86">
        <v>817.19841433990018</v>
      </c>
      <c r="J107" s="86">
        <v>-14213.24611486946</v>
      </c>
      <c r="K107" s="86">
        <v>0.9</v>
      </c>
    </row>
    <row r="108" spans="9:11" x14ac:dyDescent="0.25">
      <c r="I108" s="86">
        <v>824.84841433990016</v>
      </c>
      <c r="J108" s="86">
        <v>-14280.167487214436</v>
      </c>
      <c r="K108" s="86">
        <v>0.9</v>
      </c>
    </row>
    <row r="109" spans="9:11" x14ac:dyDescent="0.25">
      <c r="I109" s="86">
        <v>809.54841433990021</v>
      </c>
      <c r="J109" s="86">
        <v>-14147.108565032197</v>
      </c>
      <c r="K109" s="86">
        <v>0.9</v>
      </c>
    </row>
    <row r="110" spans="9:11" x14ac:dyDescent="0.25">
      <c r="I110" s="86">
        <v>801.89841433990011</v>
      </c>
      <c r="J110" s="86">
        <v>-14081.391845260285</v>
      </c>
      <c r="K110" s="86">
        <v>0.9</v>
      </c>
    </row>
    <row r="111" spans="9:11" x14ac:dyDescent="0.25">
      <c r="I111" s="86">
        <v>801.89841433990011</v>
      </c>
      <c r="J111" s="86">
        <v>-14081.391845260285</v>
      </c>
      <c r="K111" s="86">
        <v>0.9</v>
      </c>
    </row>
    <row r="112" spans="9:11" x14ac:dyDescent="0.25">
      <c r="I112" s="86">
        <v>801.89841433990011</v>
      </c>
      <c r="J112" s="86">
        <v>-14081.391845260285</v>
      </c>
      <c r="K112" s="86">
        <v>0.9</v>
      </c>
    </row>
    <row r="113" spans="9:11" x14ac:dyDescent="0.25">
      <c r="I113" s="86">
        <v>710.09841433990016</v>
      </c>
      <c r="J113" s="86">
        <v>-13255.722520754172</v>
      </c>
      <c r="K113" s="86">
        <v>0.9</v>
      </c>
    </row>
    <row r="114" spans="9:11" x14ac:dyDescent="0.25">
      <c r="I114" s="86">
        <v>702.44841433990018</v>
      </c>
      <c r="J114" s="86">
        <v>-13183.601981483849</v>
      </c>
      <c r="K114" s="86">
        <v>0.9</v>
      </c>
    </row>
    <row r="115" spans="9:11" x14ac:dyDescent="0.25">
      <c r="I115" s="86">
        <v>694.79841433990021</v>
      </c>
      <c r="J115" s="86">
        <v>-13111.870300805314</v>
      </c>
      <c r="K115" s="86">
        <v>0.9</v>
      </c>
    </row>
    <row r="116" spans="9:11" x14ac:dyDescent="0.25">
      <c r="I116" s="86">
        <v>664.19841433990018</v>
      </c>
      <c r="J116" s="86">
        <v>-12805.939418985263</v>
      </c>
      <c r="K116" s="86">
        <v>0.9</v>
      </c>
    </row>
    <row r="117" spans="9:11" x14ac:dyDescent="0.25">
      <c r="I117" s="86">
        <v>633.59841433990016</v>
      </c>
      <c r="J117" s="86">
        <v>-12482.928700511702</v>
      </c>
      <c r="K117" s="86">
        <v>0.9</v>
      </c>
    </row>
    <row r="118" spans="9:11" x14ac:dyDescent="0.25">
      <c r="I118" s="86">
        <v>671.84841433990016</v>
      </c>
      <c r="J118" s="86">
        <v>-12887.947402239273</v>
      </c>
      <c r="K118" s="86">
        <v>0.9</v>
      </c>
    </row>
    <row r="119" spans="9:11" x14ac:dyDescent="0.25">
      <c r="I119" s="86">
        <v>664.19841433990018</v>
      </c>
      <c r="J119" s="86">
        <v>-12805.939418985263</v>
      </c>
      <c r="K119" s="86">
        <v>0.9</v>
      </c>
    </row>
    <row r="120" spans="9:11" x14ac:dyDescent="0.25">
      <c r="I120" s="86">
        <v>671.84841433990016</v>
      </c>
      <c r="J120" s="86">
        <v>-12887.947402239273</v>
      </c>
      <c r="K120" s="86">
        <v>0.9</v>
      </c>
    </row>
    <row r="121" spans="9:11" x14ac:dyDescent="0.25">
      <c r="I121" s="86">
        <v>641.24841433990014</v>
      </c>
      <c r="J121" s="86">
        <v>-12563.63545484444</v>
      </c>
      <c r="K121" s="86">
        <v>0.9</v>
      </c>
    </row>
    <row r="122" spans="9:11" x14ac:dyDescent="0.25">
      <c r="I122" s="86">
        <v>648.89841433990011</v>
      </c>
      <c r="J122" s="86">
        <v>-12644.160311479356</v>
      </c>
      <c r="K122" s="86">
        <v>0.9</v>
      </c>
    </row>
    <row r="123" spans="9:11" x14ac:dyDescent="0.25">
      <c r="I123" s="86">
        <v>671.84841433990016</v>
      </c>
      <c r="J123" s="86">
        <v>-12887.947402239273</v>
      </c>
      <c r="K123" s="86">
        <v>0.9</v>
      </c>
    </row>
    <row r="124" spans="9:11" x14ac:dyDescent="0.25">
      <c r="I124" s="86">
        <v>641.24841433990014</v>
      </c>
      <c r="J124" s="86">
        <v>-12563.63545484444</v>
      </c>
      <c r="K124" s="86">
        <v>0.9</v>
      </c>
    </row>
    <row r="125" spans="9:11" x14ac:dyDescent="0.25">
      <c r="I125" s="86">
        <v>656.54841433990021</v>
      </c>
      <c r="J125" s="86">
        <v>-12724.810267055269</v>
      </c>
      <c r="K125" s="86">
        <v>0.9</v>
      </c>
    </row>
    <row r="126" spans="9:11" x14ac:dyDescent="0.25">
      <c r="I126" s="86">
        <v>541.79841433990021</v>
      </c>
      <c r="J126" s="86">
        <v>-11459.887385139235</v>
      </c>
      <c r="K126" s="86">
        <v>0.9</v>
      </c>
    </row>
    <row r="127" spans="9:11" x14ac:dyDescent="0.25">
      <c r="I127" s="86">
        <v>541.79841433990021</v>
      </c>
      <c r="J127" s="86">
        <v>-11459.887385139235</v>
      </c>
      <c r="K127" s="86">
        <v>0.9</v>
      </c>
    </row>
    <row r="128" spans="9:11" x14ac:dyDescent="0.25">
      <c r="I128" s="86">
        <v>541.79841433990021</v>
      </c>
      <c r="J128" s="86">
        <v>-11459.887385139235</v>
      </c>
      <c r="K128" s="86">
        <v>0.9</v>
      </c>
    </row>
    <row r="129" spans="9:11" x14ac:dyDescent="0.25">
      <c r="I129" s="86">
        <v>534.14841433990011</v>
      </c>
      <c r="J129" s="86">
        <v>-11373.356563913221</v>
      </c>
      <c r="K129" s="86">
        <v>0.9</v>
      </c>
    </row>
    <row r="130" spans="9:11" x14ac:dyDescent="0.25">
      <c r="I130" s="86">
        <v>534.14841433990011</v>
      </c>
      <c r="J130" s="86">
        <v>-11373.356563913221</v>
      </c>
      <c r="K130" s="86">
        <v>0.9</v>
      </c>
    </row>
    <row r="131" spans="9:11" x14ac:dyDescent="0.25">
      <c r="I131" s="86">
        <v>518.84841433990016</v>
      </c>
      <c r="J131" s="86">
        <v>-11189.771803770444</v>
      </c>
      <c r="K131" s="86">
        <v>0.9</v>
      </c>
    </row>
    <row r="132" spans="9:11" x14ac:dyDescent="0.25">
      <c r="I132" s="86">
        <v>495.89841433990017</v>
      </c>
      <c r="J132" s="86">
        <v>-10898.926363797294</v>
      </c>
      <c r="K132" s="86">
        <v>0.9</v>
      </c>
    </row>
    <row r="133" spans="9:11" x14ac:dyDescent="0.25">
      <c r="I133" s="86">
        <v>488.24841433990014</v>
      </c>
      <c r="J133" s="86">
        <v>-10806.269890360423</v>
      </c>
      <c r="K133" s="86">
        <v>0.9</v>
      </c>
    </row>
    <row r="134" spans="9:11" x14ac:dyDescent="0.25">
      <c r="I134" s="86">
        <v>503.54841433990015</v>
      </c>
      <c r="J134" s="86">
        <v>-10996.850865219694</v>
      </c>
      <c r="K134" s="86">
        <v>0.9</v>
      </c>
    </row>
    <row r="135" spans="9:11" x14ac:dyDescent="0.25">
      <c r="I135" s="86">
        <v>419.39841433990017</v>
      </c>
      <c r="J135" s="86">
        <v>-9916.8195692839072</v>
      </c>
      <c r="K135" s="86">
        <v>0.9</v>
      </c>
    </row>
    <row r="136" spans="9:11" x14ac:dyDescent="0.25">
      <c r="I136" s="86">
        <v>381.14841433990017</v>
      </c>
      <c r="J136" s="86">
        <v>-9399.8515904933338</v>
      </c>
      <c r="K136" s="86">
        <v>0.9</v>
      </c>
    </row>
    <row r="137" spans="9:11" x14ac:dyDescent="0.25">
      <c r="I137" s="86">
        <v>358.19841433990018</v>
      </c>
      <c r="J137" s="86">
        <v>-9073.9579885074818</v>
      </c>
      <c r="K137" s="86">
        <v>0.9</v>
      </c>
    </row>
    <row r="138" spans="9:11" x14ac:dyDescent="0.25">
      <c r="I138" s="86">
        <v>319.94841433990018</v>
      </c>
      <c r="J138" s="86">
        <v>-8524.5007088486764</v>
      </c>
      <c r="K138" s="86">
        <v>0.9</v>
      </c>
    </row>
    <row r="139" spans="9:11" x14ac:dyDescent="0.25">
      <c r="I139" s="86">
        <v>335.24841433990019</v>
      </c>
      <c r="J139" s="86">
        <v>-8744.3709643390848</v>
      </c>
      <c r="K139" s="86">
        <v>0.9</v>
      </c>
    </row>
    <row r="140" spans="9:11" x14ac:dyDescent="0.25">
      <c r="I140" s="86">
        <v>350.54841433990021</v>
      </c>
      <c r="J140" s="86">
        <v>-8963.5226897013727</v>
      </c>
      <c r="K140" s="86">
        <v>0.9</v>
      </c>
    </row>
    <row r="141" spans="9:11" x14ac:dyDescent="0.25">
      <c r="I141" s="86">
        <v>266.39841433990017</v>
      </c>
      <c r="J141" s="86">
        <v>-7719.5702118906556</v>
      </c>
      <c r="K141" s="86">
        <v>0.9</v>
      </c>
    </row>
    <row r="142" spans="9:11" x14ac:dyDescent="0.25">
      <c r="I142" s="86">
        <v>365.84841433990022</v>
      </c>
      <c r="J142" s="86">
        <v>-9185.6777972888976</v>
      </c>
      <c r="K142" s="86">
        <v>0.9</v>
      </c>
    </row>
    <row r="143" spans="9:11" x14ac:dyDescent="0.25">
      <c r="I143" s="86">
        <v>228.1484143399002</v>
      </c>
      <c r="J143" s="86">
        <v>-7120.5114081976162</v>
      </c>
      <c r="K143" s="86">
        <v>0.9</v>
      </c>
    </row>
    <row r="144" spans="9:11" x14ac:dyDescent="0.25">
      <c r="I144" s="86">
        <v>212.84841433990019</v>
      </c>
      <c r="J144" s="86">
        <v>-6875.7642315844805</v>
      </c>
      <c r="K144" s="86">
        <v>0.9</v>
      </c>
    </row>
    <row r="145" spans="9:11" x14ac:dyDescent="0.25">
      <c r="I145" s="86">
        <v>212.84841433990019</v>
      </c>
      <c r="J145" s="86">
        <v>-6875.7642315844805</v>
      </c>
      <c r="K145" s="86">
        <v>0.9</v>
      </c>
    </row>
    <row r="146" spans="9:11" x14ac:dyDescent="0.25">
      <c r="I146" s="86">
        <v>205.19841433990018</v>
      </c>
      <c r="J146" s="86">
        <v>-6749.7984170498084</v>
      </c>
      <c r="K146" s="86">
        <v>0.9</v>
      </c>
    </row>
    <row r="147" spans="9:11" x14ac:dyDescent="0.25">
      <c r="I147" s="86">
        <v>205.19841433990018</v>
      </c>
      <c r="J147" s="86">
        <v>-6749.7984170498084</v>
      </c>
      <c r="K147" s="86">
        <v>0.9</v>
      </c>
    </row>
    <row r="148" spans="9:11" x14ac:dyDescent="0.25">
      <c r="I148" s="86">
        <v>212.84841433990019</v>
      </c>
      <c r="J148" s="86">
        <v>-6875.7642315844805</v>
      </c>
      <c r="K148" s="86">
        <v>0.9</v>
      </c>
    </row>
    <row r="149" spans="9:11" x14ac:dyDescent="0.25">
      <c r="I149" s="86">
        <v>212.84841433990019</v>
      </c>
      <c r="J149" s="86">
        <v>-6875.7642315844805</v>
      </c>
      <c r="K149" s="86">
        <v>0.9</v>
      </c>
    </row>
    <row r="150" spans="9:11" x14ac:dyDescent="0.25">
      <c r="I150" s="86">
        <v>2271.7511451989612</v>
      </c>
      <c r="J150" s="86">
        <v>1080.645040982</v>
      </c>
      <c r="K150" s="86">
        <v>0.65</v>
      </c>
    </row>
    <row r="151" spans="9:11" x14ac:dyDescent="0.25">
      <c r="I151" s="86">
        <v>2271.7511451989612</v>
      </c>
      <c r="J151" s="86">
        <v>1080.645040982</v>
      </c>
      <c r="K151" s="86">
        <v>0.65</v>
      </c>
    </row>
    <row r="152" spans="9:11" x14ac:dyDescent="0.25">
      <c r="I152" s="86">
        <v>2271.7511451989612</v>
      </c>
      <c r="J152" s="86">
        <v>1080.645040982</v>
      </c>
      <c r="K152" s="86">
        <v>0.65</v>
      </c>
    </row>
    <row r="153" spans="9:11" x14ac:dyDescent="0.25">
      <c r="I153" s="86">
        <v>2271.7511451989612</v>
      </c>
      <c r="J153" s="86">
        <v>1080.645040982</v>
      </c>
      <c r="K153" s="86">
        <v>0.65</v>
      </c>
    </row>
    <row r="154" spans="9:11" x14ac:dyDescent="0.25">
      <c r="I154" s="86">
        <v>2271.7511451989612</v>
      </c>
      <c r="J154" s="86">
        <v>1080.645040982</v>
      </c>
      <c r="K154" s="86">
        <v>0.65</v>
      </c>
    </row>
    <row r="155" spans="9:11" x14ac:dyDescent="0.25">
      <c r="I155" s="86">
        <v>2271.7511451989612</v>
      </c>
      <c r="J155" s="86">
        <v>1080.645040982</v>
      </c>
      <c r="K155" s="86">
        <v>0.65</v>
      </c>
    </row>
    <row r="156" spans="9:11" x14ac:dyDescent="0.25">
      <c r="I156" s="86">
        <v>2271.7511451989612</v>
      </c>
      <c r="J156" s="86">
        <v>1080.645040982</v>
      </c>
      <c r="K156" s="86">
        <v>0.65</v>
      </c>
    </row>
    <row r="157" spans="9:11" x14ac:dyDescent="0.25">
      <c r="I157" s="86">
        <v>2271.7511451989612</v>
      </c>
      <c r="J157" s="86">
        <v>1080.645040982</v>
      </c>
      <c r="K157" s="86">
        <v>0.65</v>
      </c>
    </row>
    <row r="158" spans="9:11" x14ac:dyDescent="0.25">
      <c r="I158" s="86">
        <v>2271.7511451989612</v>
      </c>
      <c r="J158" s="86">
        <v>1080.645040982</v>
      </c>
      <c r="K158" s="86">
        <v>0.65</v>
      </c>
    </row>
    <row r="159" spans="9:11" x14ac:dyDescent="0.25">
      <c r="I159" s="86">
        <v>2271.7511451989612</v>
      </c>
      <c r="J159" s="86">
        <v>1080.645040982</v>
      </c>
      <c r="K159" s="86">
        <v>0.65</v>
      </c>
    </row>
    <row r="160" spans="9:11" x14ac:dyDescent="0.25">
      <c r="I160" s="86">
        <v>2271.7511451989612</v>
      </c>
      <c r="J160" s="86">
        <v>1080.645040982</v>
      </c>
      <c r="K160" s="86">
        <v>0.65</v>
      </c>
    </row>
    <row r="161" spans="9:11" x14ac:dyDescent="0.25">
      <c r="I161" s="86">
        <v>2271.7511451989612</v>
      </c>
      <c r="J161" s="86">
        <v>1080.645040982</v>
      </c>
      <c r="K161" s="86">
        <v>0.65</v>
      </c>
    </row>
    <row r="162" spans="9:11" x14ac:dyDescent="0.25">
      <c r="I162" s="86">
        <v>2271.7511451989612</v>
      </c>
      <c r="J162" s="86">
        <v>1080.645040982</v>
      </c>
      <c r="K162" s="86">
        <v>0.65</v>
      </c>
    </row>
    <row r="163" spans="9:11" x14ac:dyDescent="0.25">
      <c r="I163" s="86">
        <v>2271.7511451989612</v>
      </c>
      <c r="J163" s="86">
        <v>1080.645040982</v>
      </c>
      <c r="K163" s="86">
        <v>0.65</v>
      </c>
    </row>
    <row r="164" spans="9:11" x14ac:dyDescent="0.25">
      <c r="I164" s="86">
        <v>2271.7511451989612</v>
      </c>
      <c r="J164" s="86">
        <v>1080.645040982</v>
      </c>
      <c r="K164" s="86">
        <v>0.65</v>
      </c>
    </row>
    <row r="165" spans="9:11" x14ac:dyDescent="0.25">
      <c r="I165" s="89">
        <v>2271.7511451989612</v>
      </c>
      <c r="J165" s="89">
        <v>1080.645040982</v>
      </c>
      <c r="K165" s="89">
        <v>0.65</v>
      </c>
    </row>
    <row r="166" spans="9:11" x14ac:dyDescent="0.25">
      <c r="I166" s="89">
        <v>2271.7511451989612</v>
      </c>
      <c r="J166" s="89">
        <v>1080.645040982</v>
      </c>
      <c r="K166" s="89">
        <v>0.65</v>
      </c>
    </row>
    <row r="167" spans="9:11" x14ac:dyDescent="0.25">
      <c r="I167" s="89">
        <v>2271.7511451989612</v>
      </c>
      <c r="J167" s="89">
        <v>1080.645040982</v>
      </c>
      <c r="K167" s="89">
        <v>0.65</v>
      </c>
    </row>
    <row r="168" spans="9:11" x14ac:dyDescent="0.25">
      <c r="I168" s="89">
        <v>2271.7511451989612</v>
      </c>
      <c r="J168" s="89">
        <v>1080.645040982</v>
      </c>
      <c r="K168" s="89">
        <v>0.65</v>
      </c>
    </row>
    <row r="169" spans="9:11" x14ac:dyDescent="0.25">
      <c r="I169" s="89">
        <v>2271.7511451989612</v>
      </c>
      <c r="J169" s="89">
        <v>1080.645040982</v>
      </c>
      <c r="K169" s="89">
        <v>0.65</v>
      </c>
    </row>
    <row r="170" spans="9:11" x14ac:dyDescent="0.25">
      <c r="I170" s="89">
        <v>2271.7511451989612</v>
      </c>
      <c r="J170" s="89">
        <v>1080.645040982</v>
      </c>
      <c r="K170" s="89">
        <v>0.65</v>
      </c>
    </row>
    <row r="171" spans="9:11" x14ac:dyDescent="0.25">
      <c r="I171" s="89">
        <v>2271.7511451989612</v>
      </c>
      <c r="J171" s="89">
        <v>1080.645040982</v>
      </c>
      <c r="K171" s="89">
        <v>0.65</v>
      </c>
    </row>
    <row r="172" spans="9:11" x14ac:dyDescent="0.25">
      <c r="I172" s="89">
        <v>2271.7511451989612</v>
      </c>
      <c r="J172" s="89">
        <v>1080.645040982</v>
      </c>
      <c r="K172" s="89">
        <v>0.65</v>
      </c>
    </row>
    <row r="173" spans="9:11" x14ac:dyDescent="0.25">
      <c r="I173" s="89">
        <v>2271.7511451989612</v>
      </c>
      <c r="J173" s="89">
        <v>1080.645040982</v>
      </c>
      <c r="K173" s="89">
        <v>0.65</v>
      </c>
    </row>
    <row r="174" spans="9:11" x14ac:dyDescent="0.25">
      <c r="I174" s="89">
        <v>2271.7511451989612</v>
      </c>
      <c r="J174" s="89">
        <v>1080.645040982</v>
      </c>
      <c r="K174" s="89">
        <v>0.65</v>
      </c>
    </row>
    <row r="175" spans="9:11" x14ac:dyDescent="0.25">
      <c r="I175" s="89">
        <v>2271.7511451989612</v>
      </c>
      <c r="J175" s="89">
        <v>1080.645040982</v>
      </c>
      <c r="K175" s="89">
        <v>0.65</v>
      </c>
    </row>
    <row r="176" spans="9:11" x14ac:dyDescent="0.25">
      <c r="I176" s="89">
        <v>2271.7511451989612</v>
      </c>
      <c r="J176" s="89">
        <v>1080.645040982</v>
      </c>
      <c r="K176" s="89">
        <v>0.65</v>
      </c>
    </row>
    <row r="177" spans="9:11" x14ac:dyDescent="0.25">
      <c r="I177" s="89">
        <v>2271.7511451989612</v>
      </c>
      <c r="J177" s="89">
        <v>1080.645040982</v>
      </c>
      <c r="K177" s="89">
        <v>0.65</v>
      </c>
    </row>
    <row r="178" spans="9:11" x14ac:dyDescent="0.25">
      <c r="I178" s="89">
        <v>2271.7511451989612</v>
      </c>
      <c r="J178" s="89">
        <v>1080.645040982</v>
      </c>
      <c r="K178" s="89">
        <v>0.65</v>
      </c>
    </row>
    <row r="179" spans="9:11" x14ac:dyDescent="0.25">
      <c r="I179" s="89">
        <v>2271.7511451989612</v>
      </c>
      <c r="J179" s="89">
        <v>1080.645040982</v>
      </c>
      <c r="K179" s="89">
        <v>0.65</v>
      </c>
    </row>
    <row r="180" spans="9:11" x14ac:dyDescent="0.25">
      <c r="I180" s="89">
        <v>2271.7511451989612</v>
      </c>
      <c r="J180" s="89">
        <v>1080.645040982</v>
      </c>
      <c r="K180" s="89">
        <v>0.65</v>
      </c>
    </row>
    <row r="181" spans="9:11" x14ac:dyDescent="0.25">
      <c r="I181" s="89">
        <v>2271.7511451989612</v>
      </c>
      <c r="J181" s="89">
        <v>1080.645040982</v>
      </c>
      <c r="K181" s="89">
        <v>0.65</v>
      </c>
    </row>
    <row r="182" spans="9:11" x14ac:dyDescent="0.25">
      <c r="I182" s="89">
        <v>2271.7511451989612</v>
      </c>
      <c r="J182" s="89">
        <v>1080.645040982</v>
      </c>
      <c r="K182" s="89">
        <v>0.65</v>
      </c>
    </row>
    <row r="183" spans="9:11" x14ac:dyDescent="0.25">
      <c r="I183" s="89">
        <v>2161.2511451989612</v>
      </c>
      <c r="J183" s="89">
        <v>3180.1450409820004</v>
      </c>
      <c r="K183" s="89">
        <v>0.65</v>
      </c>
    </row>
    <row r="184" spans="9:11" x14ac:dyDescent="0.25">
      <c r="I184" s="89">
        <v>2161.2511451989612</v>
      </c>
      <c r="J184" s="89">
        <v>3180.1450409820004</v>
      </c>
      <c r="K184" s="89">
        <v>0.65</v>
      </c>
    </row>
    <row r="185" spans="9:11" x14ac:dyDescent="0.25">
      <c r="I185" s="89">
        <v>2161.2511451989612</v>
      </c>
      <c r="J185" s="89">
        <v>3180.1450409820004</v>
      </c>
      <c r="K185" s="89">
        <v>0.65</v>
      </c>
    </row>
    <row r="186" spans="9:11" x14ac:dyDescent="0.25">
      <c r="I186" s="89">
        <v>2161.2511451989612</v>
      </c>
      <c r="J186" s="89">
        <v>3180.1450409820004</v>
      </c>
      <c r="K186" s="89">
        <v>0.65</v>
      </c>
    </row>
    <row r="187" spans="9:11" x14ac:dyDescent="0.25">
      <c r="I187" s="89">
        <v>2161.2511451989612</v>
      </c>
      <c r="J187" s="89">
        <v>3180.1450409820004</v>
      </c>
      <c r="K187" s="89">
        <v>0.65</v>
      </c>
    </row>
    <row r="188" spans="9:11" x14ac:dyDescent="0.25">
      <c r="I188" s="89">
        <v>2161.2511451989612</v>
      </c>
      <c r="J188" s="89">
        <v>3180.1450409820004</v>
      </c>
      <c r="K188" s="89">
        <v>0.65</v>
      </c>
    </row>
    <row r="189" spans="9:11" x14ac:dyDescent="0.25">
      <c r="I189" s="89">
        <v>2161.2511451989612</v>
      </c>
      <c r="J189" s="89">
        <v>3180.1450409820004</v>
      </c>
      <c r="K189" s="89">
        <v>0.65</v>
      </c>
    </row>
    <row r="190" spans="9:11" x14ac:dyDescent="0.25">
      <c r="I190" s="89">
        <v>2161.2511451989612</v>
      </c>
      <c r="J190" s="89">
        <v>3180.1450409820004</v>
      </c>
      <c r="K190" s="89">
        <v>0.65</v>
      </c>
    </row>
    <row r="191" spans="9:11" x14ac:dyDescent="0.25">
      <c r="I191" s="89">
        <v>2161.2511451989612</v>
      </c>
      <c r="J191" s="89">
        <v>3180.1450409820004</v>
      </c>
      <c r="K191" s="89">
        <v>0.65</v>
      </c>
    </row>
    <row r="192" spans="9:11" x14ac:dyDescent="0.25">
      <c r="I192" s="89">
        <v>2161.2511451989612</v>
      </c>
      <c r="J192" s="89">
        <v>3180.1450409820004</v>
      </c>
      <c r="K192" s="89">
        <v>0.65</v>
      </c>
    </row>
    <row r="193" spans="9:11" x14ac:dyDescent="0.25">
      <c r="I193" s="89">
        <v>2161.2511451989612</v>
      </c>
      <c r="J193" s="89">
        <v>3180.1450409820004</v>
      </c>
      <c r="K193" s="89">
        <v>0.65</v>
      </c>
    </row>
    <row r="194" spans="9:11" x14ac:dyDescent="0.25">
      <c r="I194" s="89">
        <v>2161.2511451989612</v>
      </c>
      <c r="J194" s="89">
        <v>3180.1450409820004</v>
      </c>
      <c r="K194" s="89">
        <v>0.65</v>
      </c>
    </row>
    <row r="195" spans="9:11" x14ac:dyDescent="0.25">
      <c r="I195" s="89">
        <v>2161.2511451989612</v>
      </c>
      <c r="J195" s="89">
        <v>3180.1450409820004</v>
      </c>
      <c r="K195" s="89">
        <v>0.65</v>
      </c>
    </row>
    <row r="196" spans="9:11" x14ac:dyDescent="0.25">
      <c r="I196" s="89">
        <v>2161.2511451989612</v>
      </c>
      <c r="J196" s="89">
        <v>3180.1450409820004</v>
      </c>
      <c r="K196" s="89">
        <v>0.65</v>
      </c>
    </row>
    <row r="197" spans="9:11" x14ac:dyDescent="0.25">
      <c r="I197" s="89">
        <v>2161.2511451989612</v>
      </c>
      <c r="J197" s="89">
        <v>3180.1450409820004</v>
      </c>
      <c r="K197" s="89">
        <v>0.65</v>
      </c>
    </row>
    <row r="198" spans="9:11" x14ac:dyDescent="0.25">
      <c r="I198" s="89">
        <v>2161.2511451989612</v>
      </c>
      <c r="J198" s="89">
        <v>3180.1450409820004</v>
      </c>
      <c r="K198" s="89">
        <v>0.65</v>
      </c>
    </row>
    <row r="199" spans="9:11" x14ac:dyDescent="0.25">
      <c r="I199" s="89">
        <v>2161.2511451989612</v>
      </c>
      <c r="J199" s="89">
        <v>3180.1450409820004</v>
      </c>
      <c r="K199" s="89">
        <v>0.65</v>
      </c>
    </row>
    <row r="200" spans="9:11" x14ac:dyDescent="0.25">
      <c r="I200" s="89">
        <v>2161.2511451989612</v>
      </c>
      <c r="J200" s="89">
        <v>3180.1450409820004</v>
      </c>
      <c r="K200" s="89">
        <v>0.65</v>
      </c>
    </row>
    <row r="201" spans="9:11" x14ac:dyDescent="0.25">
      <c r="I201" s="89">
        <v>2161.2511451989612</v>
      </c>
      <c r="J201" s="89">
        <v>3180.1450409820004</v>
      </c>
      <c r="K201" s="89">
        <v>0.65</v>
      </c>
    </row>
    <row r="202" spans="9:11" x14ac:dyDescent="0.25">
      <c r="I202" s="89">
        <v>2161.2511451989612</v>
      </c>
      <c r="J202" s="89">
        <v>3180.1450409820004</v>
      </c>
      <c r="K202" s="89">
        <v>0.65</v>
      </c>
    </row>
    <row r="203" spans="9:11" x14ac:dyDescent="0.25">
      <c r="I203" s="89">
        <v>2161.2511451989612</v>
      </c>
      <c r="J203" s="89">
        <v>3180.1450409820004</v>
      </c>
      <c r="K203" s="89">
        <v>0.65</v>
      </c>
    </row>
    <row r="204" spans="9:11" x14ac:dyDescent="0.25">
      <c r="I204" s="89">
        <v>2050.7511451989612</v>
      </c>
      <c r="J204" s="89">
        <v>5058.645040982</v>
      </c>
      <c r="K204" s="89">
        <v>0.65</v>
      </c>
    </row>
    <row r="205" spans="9:11" x14ac:dyDescent="0.25">
      <c r="I205" s="89">
        <v>2050.7511451989612</v>
      </c>
      <c r="J205" s="89">
        <v>5058.645040982</v>
      </c>
      <c r="K205" s="89">
        <v>0.65</v>
      </c>
    </row>
    <row r="206" spans="9:11" x14ac:dyDescent="0.25">
      <c r="I206" s="89">
        <v>2050.7511451989612</v>
      </c>
      <c r="J206" s="89">
        <v>5058.645040982</v>
      </c>
      <c r="K206" s="89">
        <v>0.65</v>
      </c>
    </row>
    <row r="207" spans="9:11" x14ac:dyDescent="0.25">
      <c r="I207" s="89">
        <v>2050.7511451989612</v>
      </c>
      <c r="J207" s="89">
        <v>5058.645040982</v>
      </c>
      <c r="K207" s="89">
        <v>0.65</v>
      </c>
    </row>
    <row r="208" spans="9:11" x14ac:dyDescent="0.25">
      <c r="I208" s="89">
        <v>2050.7511451989612</v>
      </c>
      <c r="J208" s="89">
        <v>5058.645040982</v>
      </c>
      <c r="K208" s="89">
        <v>0.65</v>
      </c>
    </row>
    <row r="209" spans="9:11" x14ac:dyDescent="0.25">
      <c r="I209" s="89">
        <v>2050.7511451989612</v>
      </c>
      <c r="J209" s="89">
        <v>5058.645040982</v>
      </c>
      <c r="K209" s="89">
        <v>0.65</v>
      </c>
    </row>
    <row r="210" spans="9:11" x14ac:dyDescent="0.25">
      <c r="I210" s="89">
        <v>2050.7511451989612</v>
      </c>
      <c r="J210" s="89">
        <v>5058.645040982</v>
      </c>
      <c r="K210" s="89">
        <v>0.65</v>
      </c>
    </row>
    <row r="211" spans="9:11" x14ac:dyDescent="0.25">
      <c r="I211" s="89">
        <v>2050.7511451989612</v>
      </c>
      <c r="J211" s="89">
        <v>5058.645040982</v>
      </c>
      <c r="K211" s="89">
        <v>0.65</v>
      </c>
    </row>
    <row r="212" spans="9:11" x14ac:dyDescent="0.25">
      <c r="I212" s="89">
        <v>2050.7511451989612</v>
      </c>
      <c r="J212" s="89">
        <v>5058.645040982</v>
      </c>
      <c r="K212" s="89">
        <v>0.65</v>
      </c>
    </row>
    <row r="213" spans="9:11" x14ac:dyDescent="0.25">
      <c r="I213" s="89">
        <v>2050.7511451989612</v>
      </c>
      <c r="J213" s="89">
        <v>5058.645040982</v>
      </c>
      <c r="K213" s="89">
        <v>0.65</v>
      </c>
    </row>
    <row r="214" spans="9:11" x14ac:dyDescent="0.25">
      <c r="I214" s="89">
        <v>2050.7511451989612</v>
      </c>
      <c r="J214" s="89">
        <v>5058.645040982</v>
      </c>
      <c r="K214" s="89">
        <v>0.65</v>
      </c>
    </row>
    <row r="215" spans="9:11" x14ac:dyDescent="0.25">
      <c r="I215" s="89">
        <v>2050.7511451989612</v>
      </c>
      <c r="J215" s="89">
        <v>5058.645040982</v>
      </c>
      <c r="K215" s="89">
        <v>0.65</v>
      </c>
    </row>
    <row r="216" spans="9:11" x14ac:dyDescent="0.25">
      <c r="I216" s="89">
        <v>2050.7511451989612</v>
      </c>
      <c r="J216" s="89">
        <v>5058.645040982</v>
      </c>
      <c r="K216" s="89">
        <v>0.65</v>
      </c>
    </row>
    <row r="217" spans="9:11" x14ac:dyDescent="0.25">
      <c r="I217" s="89">
        <v>2050.7511451989612</v>
      </c>
      <c r="J217" s="89">
        <v>5058.645040982</v>
      </c>
      <c r="K217" s="89">
        <v>0.65</v>
      </c>
    </row>
    <row r="218" spans="9:11" x14ac:dyDescent="0.25">
      <c r="I218" s="89">
        <v>2050.7511451989612</v>
      </c>
      <c r="J218" s="89">
        <v>5058.645040982</v>
      </c>
      <c r="K218" s="89">
        <v>0.65</v>
      </c>
    </row>
    <row r="219" spans="9:11" x14ac:dyDescent="0.25">
      <c r="I219" s="89">
        <v>2050.7511451989612</v>
      </c>
      <c r="J219" s="89">
        <v>5058.645040982</v>
      </c>
      <c r="K219" s="89">
        <v>0.65</v>
      </c>
    </row>
    <row r="220" spans="9:11" x14ac:dyDescent="0.25">
      <c r="I220" s="89">
        <v>2050.7511451989612</v>
      </c>
      <c r="J220" s="89">
        <v>5058.645040982</v>
      </c>
      <c r="K220" s="89">
        <v>0.65</v>
      </c>
    </row>
    <row r="221" spans="9:11" x14ac:dyDescent="0.25">
      <c r="I221" s="89">
        <v>2050.7511451989612</v>
      </c>
      <c r="J221" s="89">
        <v>5058.645040982</v>
      </c>
      <c r="K221" s="89">
        <v>0.65</v>
      </c>
    </row>
    <row r="222" spans="9:11" x14ac:dyDescent="0.25">
      <c r="I222" s="89">
        <v>2050.7511451989612</v>
      </c>
      <c r="J222" s="89">
        <v>5058.645040982</v>
      </c>
      <c r="K222" s="89">
        <v>0.65</v>
      </c>
    </row>
    <row r="223" spans="9:11" x14ac:dyDescent="0.25">
      <c r="I223" s="89">
        <v>2050.7511451989612</v>
      </c>
      <c r="J223" s="89">
        <v>5058.645040982</v>
      </c>
      <c r="K223" s="89">
        <v>0.65</v>
      </c>
    </row>
    <row r="224" spans="9:11" x14ac:dyDescent="0.25">
      <c r="I224" s="89">
        <v>2050.7511451989612</v>
      </c>
      <c r="J224" s="89">
        <v>5058.645040982</v>
      </c>
      <c r="K224" s="89">
        <v>0.65</v>
      </c>
    </row>
    <row r="225" spans="9:11" x14ac:dyDescent="0.25">
      <c r="I225" s="89">
        <v>2050.7511451989612</v>
      </c>
      <c r="J225" s="89">
        <v>5058.645040982</v>
      </c>
      <c r="K225" s="89">
        <v>0.65</v>
      </c>
    </row>
    <row r="226" spans="9:11" x14ac:dyDescent="0.25">
      <c r="I226" s="89">
        <v>2050.7511451989612</v>
      </c>
      <c r="J226" s="89">
        <v>5058.645040982</v>
      </c>
      <c r="K226" s="89">
        <v>0.65</v>
      </c>
    </row>
    <row r="227" spans="9:11" x14ac:dyDescent="0.25">
      <c r="I227" s="89">
        <v>2050.7511451989612</v>
      </c>
      <c r="J227" s="89">
        <v>5058.645040982</v>
      </c>
      <c r="K227" s="89">
        <v>0.65</v>
      </c>
    </row>
    <row r="228" spans="9:11" x14ac:dyDescent="0.25">
      <c r="I228" s="89">
        <v>1940.251145198961</v>
      </c>
      <c r="J228" s="89">
        <v>6716.145040982</v>
      </c>
      <c r="K228" s="89">
        <v>0.65</v>
      </c>
    </row>
    <row r="229" spans="9:11" x14ac:dyDescent="0.25">
      <c r="I229" s="89">
        <v>1940.251145198961</v>
      </c>
      <c r="J229" s="89">
        <v>6716.145040982</v>
      </c>
      <c r="K229" s="89">
        <v>0.65</v>
      </c>
    </row>
    <row r="230" spans="9:11" x14ac:dyDescent="0.25">
      <c r="I230" s="89">
        <v>1940.251145198961</v>
      </c>
      <c r="J230" s="89">
        <v>6716.145040982</v>
      </c>
      <c r="K230" s="89">
        <v>0.65</v>
      </c>
    </row>
    <row r="231" spans="9:11" x14ac:dyDescent="0.25">
      <c r="I231" s="89">
        <v>1940.251145198961</v>
      </c>
      <c r="J231" s="89">
        <v>6716.145040982</v>
      </c>
      <c r="K231" s="89">
        <v>0.65</v>
      </c>
    </row>
    <row r="232" spans="9:11" x14ac:dyDescent="0.25">
      <c r="I232" s="89">
        <v>1940.251145198961</v>
      </c>
      <c r="J232" s="89">
        <v>6716.145040982</v>
      </c>
      <c r="K232" s="89">
        <v>0.65</v>
      </c>
    </row>
    <row r="233" spans="9:11" x14ac:dyDescent="0.25">
      <c r="I233" s="89">
        <v>1940.251145198961</v>
      </c>
      <c r="J233" s="89">
        <v>6716.145040982</v>
      </c>
      <c r="K233" s="89">
        <v>0.65</v>
      </c>
    </row>
    <row r="234" spans="9:11" x14ac:dyDescent="0.25">
      <c r="I234" s="89">
        <v>1940.251145198961</v>
      </c>
      <c r="J234" s="89">
        <v>6716.145040982</v>
      </c>
      <c r="K234" s="89">
        <v>0.65</v>
      </c>
    </row>
    <row r="235" spans="9:11" x14ac:dyDescent="0.25">
      <c r="I235" s="89">
        <v>1940.251145198961</v>
      </c>
      <c r="J235" s="89">
        <v>6716.145040982</v>
      </c>
      <c r="K235" s="89">
        <v>0.65</v>
      </c>
    </row>
    <row r="236" spans="9:11" x14ac:dyDescent="0.25">
      <c r="I236" s="89">
        <v>1940.251145198961</v>
      </c>
      <c r="J236" s="89">
        <v>6716.145040982</v>
      </c>
      <c r="K236" s="89">
        <v>0.65</v>
      </c>
    </row>
    <row r="237" spans="9:11" x14ac:dyDescent="0.25">
      <c r="I237" s="89">
        <v>1940.251145198961</v>
      </c>
      <c r="J237" s="89">
        <v>6716.145040982</v>
      </c>
      <c r="K237" s="89">
        <v>0.65</v>
      </c>
    </row>
    <row r="238" spans="9:11" x14ac:dyDescent="0.25">
      <c r="I238" s="89">
        <v>1940.251145198961</v>
      </c>
      <c r="J238" s="89">
        <v>6716.145040982</v>
      </c>
      <c r="K238" s="89">
        <v>0.65</v>
      </c>
    </row>
    <row r="239" spans="9:11" x14ac:dyDescent="0.25">
      <c r="I239" s="89">
        <v>1940.251145198961</v>
      </c>
      <c r="J239" s="89">
        <v>6716.145040982</v>
      </c>
      <c r="K239" s="89">
        <v>0.65</v>
      </c>
    </row>
    <row r="240" spans="9:11" x14ac:dyDescent="0.25">
      <c r="I240" s="89">
        <v>1940.251145198961</v>
      </c>
      <c r="J240" s="89">
        <v>6716.145040982</v>
      </c>
      <c r="K240" s="89">
        <v>0.65</v>
      </c>
    </row>
    <row r="241" spans="9:11" x14ac:dyDescent="0.25">
      <c r="I241" s="89">
        <v>1940.251145198961</v>
      </c>
      <c r="J241" s="89">
        <v>6716.145040982</v>
      </c>
      <c r="K241" s="89">
        <v>0.65</v>
      </c>
    </row>
    <row r="242" spans="9:11" x14ac:dyDescent="0.25">
      <c r="I242" s="89">
        <v>1940.251145198961</v>
      </c>
      <c r="J242" s="89">
        <v>6716.145040982</v>
      </c>
      <c r="K242" s="89">
        <v>0.65</v>
      </c>
    </row>
    <row r="243" spans="9:11" x14ac:dyDescent="0.25">
      <c r="I243" s="89">
        <v>1940.251145198961</v>
      </c>
      <c r="J243" s="89">
        <v>6716.145040982</v>
      </c>
      <c r="K243" s="89">
        <v>0.65</v>
      </c>
    </row>
    <row r="244" spans="9:11" x14ac:dyDescent="0.25">
      <c r="I244" s="89">
        <v>1940.251145198961</v>
      </c>
      <c r="J244" s="89">
        <v>6716.145040982</v>
      </c>
      <c r="K244" s="89">
        <v>0.65</v>
      </c>
    </row>
    <row r="245" spans="9:11" x14ac:dyDescent="0.25">
      <c r="I245" s="89">
        <v>1940.251145198961</v>
      </c>
      <c r="J245" s="89">
        <v>6716.145040982</v>
      </c>
      <c r="K245" s="89">
        <v>0.65</v>
      </c>
    </row>
    <row r="246" spans="9:11" x14ac:dyDescent="0.25">
      <c r="I246" s="89">
        <v>1940.251145198961</v>
      </c>
      <c r="J246" s="89">
        <v>6716.145040982</v>
      </c>
      <c r="K246" s="89">
        <v>0.65</v>
      </c>
    </row>
    <row r="247" spans="9:11" x14ac:dyDescent="0.25">
      <c r="I247" s="89">
        <v>1940.251145198961</v>
      </c>
      <c r="J247" s="89">
        <v>6716.145040982</v>
      </c>
      <c r="K247" s="89">
        <v>0.65</v>
      </c>
    </row>
    <row r="248" spans="9:11" x14ac:dyDescent="0.25">
      <c r="I248" s="89">
        <v>1940.251145198961</v>
      </c>
      <c r="J248" s="89">
        <v>6716.145040982</v>
      </c>
      <c r="K248" s="89">
        <v>0.65</v>
      </c>
    </row>
    <row r="249" spans="9:11" x14ac:dyDescent="0.25">
      <c r="I249" s="89">
        <v>1940.251145198961</v>
      </c>
      <c r="J249" s="89">
        <v>6716.145040982</v>
      </c>
      <c r="K249" s="89">
        <v>0.65</v>
      </c>
    </row>
    <row r="250" spans="9:11" x14ac:dyDescent="0.25">
      <c r="I250" s="89">
        <v>1940.251145198961</v>
      </c>
      <c r="J250" s="89">
        <v>6716.145040982</v>
      </c>
      <c r="K250" s="89">
        <v>0.65</v>
      </c>
    </row>
    <row r="251" spans="9:11" x14ac:dyDescent="0.25">
      <c r="I251" s="89">
        <v>1829.751145198961</v>
      </c>
      <c r="J251" s="89">
        <v>8152.645040982</v>
      </c>
      <c r="K251" s="89">
        <v>0.65</v>
      </c>
    </row>
    <row r="252" spans="9:11" x14ac:dyDescent="0.25">
      <c r="I252" s="89">
        <v>1829.751145198961</v>
      </c>
      <c r="J252" s="89">
        <v>8152.645040982</v>
      </c>
      <c r="K252" s="89">
        <v>0.65</v>
      </c>
    </row>
    <row r="253" spans="9:11" x14ac:dyDescent="0.25">
      <c r="I253" s="89">
        <v>1719.251145198961</v>
      </c>
      <c r="J253" s="89">
        <v>9368.145040981999</v>
      </c>
      <c r="K253" s="89">
        <v>0.65</v>
      </c>
    </row>
    <row r="254" spans="9:11" x14ac:dyDescent="0.25">
      <c r="I254" s="89">
        <v>1719.251145198961</v>
      </c>
      <c r="J254" s="89">
        <v>9368.145040981999</v>
      </c>
      <c r="K254" s="89">
        <v>0.65</v>
      </c>
    </row>
    <row r="255" spans="9:11" x14ac:dyDescent="0.25">
      <c r="I255" s="89">
        <v>1608.751145198961</v>
      </c>
      <c r="J255" s="89">
        <v>10362.645040981999</v>
      </c>
      <c r="K255" s="89">
        <v>0.65</v>
      </c>
    </row>
    <row r="256" spans="9:11" x14ac:dyDescent="0.25">
      <c r="I256" s="89">
        <v>1608.751145198961</v>
      </c>
      <c r="J256" s="89">
        <v>10362.645040981999</v>
      </c>
      <c r="K256" s="89">
        <v>0.65</v>
      </c>
    </row>
    <row r="257" spans="9:11" x14ac:dyDescent="0.25">
      <c r="I257" s="89">
        <v>1608.751145198961</v>
      </c>
      <c r="J257" s="89">
        <v>10362.645040981999</v>
      </c>
      <c r="K257" s="89">
        <v>0.65</v>
      </c>
    </row>
    <row r="258" spans="9:11" x14ac:dyDescent="0.25">
      <c r="I258" s="89">
        <v>1498.251145198961</v>
      </c>
      <c r="J258" s="89">
        <v>11136.145040982001</v>
      </c>
      <c r="K258" s="89">
        <v>0.65</v>
      </c>
    </row>
    <row r="259" spans="9:11" x14ac:dyDescent="0.25">
      <c r="I259" s="89">
        <v>1498.251145198961</v>
      </c>
      <c r="J259" s="89">
        <v>11136.145040982001</v>
      </c>
      <c r="K259" s="89">
        <v>0.65</v>
      </c>
    </row>
    <row r="260" spans="9:11" x14ac:dyDescent="0.25">
      <c r="I260" s="89">
        <v>1498.251145198961</v>
      </c>
      <c r="J260" s="89">
        <v>11136.145040982001</v>
      </c>
      <c r="K260" s="89">
        <v>0.65</v>
      </c>
    </row>
    <row r="261" spans="9:11" x14ac:dyDescent="0.25">
      <c r="I261" s="89">
        <v>1387.751145198961</v>
      </c>
      <c r="J261" s="89">
        <v>11688.645040982001</v>
      </c>
      <c r="K261" s="89">
        <v>0.65</v>
      </c>
    </row>
    <row r="262" spans="9:11" x14ac:dyDescent="0.25">
      <c r="I262" s="89">
        <v>1387.751145198961</v>
      </c>
      <c r="J262" s="89">
        <v>11688.645040982001</v>
      </c>
      <c r="K262" s="89">
        <v>0.65</v>
      </c>
    </row>
    <row r="263" spans="9:11" x14ac:dyDescent="0.25">
      <c r="I263" s="89">
        <v>1387.751145198961</v>
      </c>
      <c r="J263" s="89">
        <v>11688.645040982001</v>
      </c>
      <c r="K263" s="89">
        <v>0.65</v>
      </c>
    </row>
    <row r="264" spans="9:11" x14ac:dyDescent="0.25">
      <c r="I264" s="89">
        <v>1387.751145198961</v>
      </c>
      <c r="J264" s="89">
        <v>11688.645040982001</v>
      </c>
      <c r="K264" s="89">
        <v>0.65</v>
      </c>
    </row>
    <row r="265" spans="9:11" x14ac:dyDescent="0.25">
      <c r="I265" s="89">
        <v>1277.251145198961</v>
      </c>
      <c r="J265" s="89">
        <v>12020.145040982001</v>
      </c>
      <c r="K265" s="89">
        <v>0.65</v>
      </c>
    </row>
    <row r="266" spans="9:11" x14ac:dyDescent="0.25">
      <c r="I266" s="89">
        <v>1277.251145198961</v>
      </c>
      <c r="J266" s="89">
        <v>12020.145040982001</v>
      </c>
      <c r="K266" s="89">
        <v>0.65</v>
      </c>
    </row>
    <row r="267" spans="9:11" x14ac:dyDescent="0.25">
      <c r="I267" s="89">
        <v>1277.251145198961</v>
      </c>
      <c r="J267" s="89">
        <v>12020.145040982001</v>
      </c>
      <c r="K267" s="89">
        <v>0.65</v>
      </c>
    </row>
    <row r="268" spans="9:11" x14ac:dyDescent="0.25">
      <c r="I268" s="89">
        <v>1277.251145198961</v>
      </c>
      <c r="J268" s="89">
        <v>12020.145040982001</v>
      </c>
      <c r="K268" s="89">
        <v>0.65</v>
      </c>
    </row>
    <row r="269" spans="9:11" x14ac:dyDescent="0.25">
      <c r="I269" s="89">
        <v>1166.751145198961</v>
      </c>
      <c r="J269" s="89">
        <v>12130.645040982001</v>
      </c>
      <c r="K269" s="89">
        <v>0.65</v>
      </c>
    </row>
    <row r="270" spans="9:11" x14ac:dyDescent="0.25">
      <c r="I270" s="89">
        <v>1166.751145198961</v>
      </c>
      <c r="J270" s="89">
        <v>12130.645040982001</v>
      </c>
      <c r="K270" s="89">
        <v>0.65</v>
      </c>
    </row>
    <row r="271" spans="9:11" x14ac:dyDescent="0.25">
      <c r="I271" s="89">
        <v>1166.751145198961</v>
      </c>
      <c r="J271" s="89">
        <v>12130.645040982001</v>
      </c>
      <c r="K271" s="89">
        <v>0.65</v>
      </c>
    </row>
    <row r="272" spans="9:11" x14ac:dyDescent="0.25">
      <c r="I272" s="89">
        <v>1166.751145198961</v>
      </c>
      <c r="J272" s="89">
        <v>12130.645040982001</v>
      </c>
      <c r="K272" s="89">
        <v>0.65</v>
      </c>
    </row>
    <row r="273" spans="9:11" x14ac:dyDescent="0.25">
      <c r="I273" s="89">
        <v>1166.751145198961</v>
      </c>
      <c r="J273" s="89">
        <v>12130.645040982001</v>
      </c>
      <c r="K273" s="89">
        <v>0.65</v>
      </c>
    </row>
    <row r="274" spans="9:11" x14ac:dyDescent="0.25">
      <c r="I274" s="89">
        <v>1056.251145198961</v>
      </c>
      <c r="J274" s="89">
        <v>12020.145040982001</v>
      </c>
      <c r="K274" s="89">
        <v>0.65</v>
      </c>
    </row>
    <row r="275" spans="9:11" x14ac:dyDescent="0.25">
      <c r="I275" s="89">
        <v>1056.251145198961</v>
      </c>
      <c r="J275" s="89">
        <v>12020.145040982001</v>
      </c>
      <c r="K275" s="89">
        <v>0.65</v>
      </c>
    </row>
    <row r="276" spans="9:11" x14ac:dyDescent="0.25">
      <c r="I276" s="89">
        <v>1056.251145198961</v>
      </c>
      <c r="J276" s="89">
        <v>12020.145040982001</v>
      </c>
      <c r="K276" s="89">
        <v>0.65</v>
      </c>
    </row>
    <row r="277" spans="9:11" x14ac:dyDescent="0.25">
      <c r="I277" s="89">
        <v>1056.251145198961</v>
      </c>
      <c r="J277" s="89">
        <v>12020.145040982001</v>
      </c>
      <c r="K277" s="89">
        <v>0.65</v>
      </c>
    </row>
    <row r="278" spans="9:11" x14ac:dyDescent="0.25">
      <c r="I278" s="89">
        <v>1056.251145198961</v>
      </c>
      <c r="J278" s="89">
        <v>12020.145040982001</v>
      </c>
      <c r="K278" s="89">
        <v>0.65</v>
      </c>
    </row>
    <row r="279" spans="9:11" x14ac:dyDescent="0.25">
      <c r="I279" s="89">
        <v>1056.251145198961</v>
      </c>
      <c r="J279" s="89">
        <v>12020.145040982001</v>
      </c>
      <c r="K279" s="89">
        <v>0.65</v>
      </c>
    </row>
    <row r="280" spans="9:11" x14ac:dyDescent="0.25">
      <c r="I280" s="89">
        <v>1056.251145198961</v>
      </c>
      <c r="J280" s="89">
        <v>12020.145040982001</v>
      </c>
      <c r="K280" s="89">
        <v>0.65</v>
      </c>
    </row>
    <row r="281" spans="9:11" x14ac:dyDescent="0.25">
      <c r="I281" s="89">
        <v>945.75114519896101</v>
      </c>
      <c r="J281" s="89">
        <v>11688.645040982001</v>
      </c>
      <c r="K281" s="89">
        <v>0.65</v>
      </c>
    </row>
    <row r="282" spans="9:11" x14ac:dyDescent="0.25">
      <c r="I282" s="89">
        <v>945.75114519896101</v>
      </c>
      <c r="J282" s="89">
        <v>11688.645040982001</v>
      </c>
      <c r="K282" s="89">
        <v>0.65</v>
      </c>
    </row>
    <row r="283" spans="9:11" x14ac:dyDescent="0.25">
      <c r="I283" s="89">
        <v>945.75114519896101</v>
      </c>
      <c r="J283" s="89">
        <v>11688.645040982001</v>
      </c>
      <c r="K283" s="89">
        <v>0.65</v>
      </c>
    </row>
    <row r="284" spans="9:11" x14ac:dyDescent="0.25">
      <c r="I284" s="89">
        <v>945.75114519896101</v>
      </c>
      <c r="J284" s="89">
        <v>11688.645040982001</v>
      </c>
      <c r="K284" s="89">
        <v>0.65</v>
      </c>
    </row>
    <row r="285" spans="9:11" x14ac:dyDescent="0.25">
      <c r="I285" s="89">
        <v>945.75114519896101</v>
      </c>
      <c r="J285" s="89">
        <v>11688.645040982001</v>
      </c>
      <c r="K285" s="89">
        <v>0.65</v>
      </c>
    </row>
    <row r="286" spans="9:11" x14ac:dyDescent="0.25">
      <c r="I286" s="89">
        <v>945.75114519896101</v>
      </c>
      <c r="J286" s="89">
        <v>11688.645040982001</v>
      </c>
      <c r="K286" s="89">
        <v>0.65</v>
      </c>
    </row>
    <row r="287" spans="9:11" x14ac:dyDescent="0.25">
      <c r="I287" s="89">
        <v>945.75114519896101</v>
      </c>
      <c r="J287" s="89">
        <v>11688.645040982001</v>
      </c>
      <c r="K287" s="89">
        <v>0.65</v>
      </c>
    </row>
    <row r="288" spans="9:11" x14ac:dyDescent="0.25">
      <c r="I288" s="89">
        <v>945.75114519896101</v>
      </c>
      <c r="J288" s="89">
        <v>11688.645040982001</v>
      </c>
      <c r="K288" s="89">
        <v>0.65</v>
      </c>
    </row>
    <row r="289" spans="9:11" x14ac:dyDescent="0.25">
      <c r="I289" s="89">
        <v>945.75114519896101</v>
      </c>
      <c r="J289" s="89">
        <v>11688.645040982001</v>
      </c>
      <c r="K289" s="89">
        <v>0.65</v>
      </c>
    </row>
    <row r="290" spans="9:11" x14ac:dyDescent="0.25">
      <c r="I290" s="89">
        <v>835.25114519896101</v>
      </c>
      <c r="J290" s="89">
        <v>11136.145040982001</v>
      </c>
      <c r="K290" s="89">
        <v>0.65</v>
      </c>
    </row>
    <row r="291" spans="9:11" x14ac:dyDescent="0.25">
      <c r="I291" s="89">
        <v>835.25114519896101</v>
      </c>
      <c r="J291" s="89">
        <v>11136.145040982001</v>
      </c>
      <c r="K291" s="89">
        <v>0.65</v>
      </c>
    </row>
    <row r="292" spans="9:11" x14ac:dyDescent="0.25">
      <c r="I292" s="89">
        <v>835.25114519896101</v>
      </c>
      <c r="J292" s="89">
        <v>11136.145040982001</v>
      </c>
      <c r="K292" s="89">
        <v>0.65</v>
      </c>
    </row>
    <row r="293" spans="9:11" x14ac:dyDescent="0.25">
      <c r="I293" s="89">
        <v>835.25114519896101</v>
      </c>
      <c r="J293" s="89">
        <v>11136.145040982001</v>
      </c>
      <c r="K293" s="89">
        <v>0.65</v>
      </c>
    </row>
    <row r="294" spans="9:11" x14ac:dyDescent="0.25">
      <c r="I294" s="89">
        <v>835.25114519896101</v>
      </c>
      <c r="J294" s="89">
        <v>11136.145040982001</v>
      </c>
      <c r="K294" s="89">
        <v>0.65</v>
      </c>
    </row>
    <row r="295" spans="9:11" x14ac:dyDescent="0.25">
      <c r="I295" s="89">
        <v>835.25114519896101</v>
      </c>
      <c r="J295" s="89">
        <v>11136.145040982001</v>
      </c>
      <c r="K295" s="89">
        <v>0.65</v>
      </c>
    </row>
    <row r="296" spans="9:11" x14ac:dyDescent="0.25">
      <c r="I296" s="89">
        <v>835.25114519896101</v>
      </c>
      <c r="J296" s="89">
        <v>11136.145040982001</v>
      </c>
      <c r="K296" s="89">
        <v>0.65</v>
      </c>
    </row>
    <row r="297" spans="9:11" x14ac:dyDescent="0.25">
      <c r="I297" s="89">
        <v>835.25114519896101</v>
      </c>
      <c r="J297" s="89">
        <v>11136.145040982001</v>
      </c>
      <c r="K297" s="89">
        <v>0.65</v>
      </c>
    </row>
    <row r="298" spans="9:11" x14ac:dyDescent="0.25">
      <c r="I298" s="89">
        <v>835.25114519896101</v>
      </c>
      <c r="J298" s="89">
        <v>11136.145040982001</v>
      </c>
      <c r="K298" s="89">
        <v>0.65</v>
      </c>
    </row>
    <row r="299" spans="9:11" x14ac:dyDescent="0.25">
      <c r="I299" s="89">
        <v>835.25114519896101</v>
      </c>
      <c r="J299" s="89">
        <v>11136.145040982001</v>
      </c>
      <c r="K299" s="89">
        <v>0.65</v>
      </c>
    </row>
    <row r="300" spans="9:11" x14ac:dyDescent="0.25">
      <c r="I300" s="89">
        <v>835.25114519896101</v>
      </c>
      <c r="J300" s="89">
        <v>11136.145040982001</v>
      </c>
      <c r="K300" s="89">
        <v>0.65</v>
      </c>
    </row>
    <row r="301" spans="9:11" x14ac:dyDescent="0.25">
      <c r="I301" s="89">
        <v>724.75114519896101</v>
      </c>
      <c r="J301" s="89">
        <v>10362.645040981999</v>
      </c>
      <c r="K301" s="89">
        <v>0.65</v>
      </c>
    </row>
    <row r="302" spans="9:11" x14ac:dyDescent="0.25">
      <c r="I302" s="89">
        <v>724.75114519896101</v>
      </c>
      <c r="J302" s="89">
        <v>10362.645040981999</v>
      </c>
      <c r="K302" s="89">
        <v>0.65</v>
      </c>
    </row>
    <row r="303" spans="9:11" x14ac:dyDescent="0.25">
      <c r="I303" s="89">
        <v>724.75114519896101</v>
      </c>
      <c r="J303" s="89">
        <v>10362.645040981999</v>
      </c>
      <c r="K303" s="89">
        <v>0.65</v>
      </c>
    </row>
    <row r="304" spans="9:11" x14ac:dyDescent="0.25">
      <c r="I304" s="89">
        <v>724.75114519896101</v>
      </c>
      <c r="J304" s="89">
        <v>10362.645040981999</v>
      </c>
      <c r="K304" s="89">
        <v>0.65</v>
      </c>
    </row>
    <row r="305" spans="9:11" x14ac:dyDescent="0.25">
      <c r="I305" s="89">
        <v>724.75114519896101</v>
      </c>
      <c r="J305" s="89">
        <v>10362.645040981999</v>
      </c>
      <c r="K305" s="89">
        <v>0.65</v>
      </c>
    </row>
    <row r="306" spans="9:11" x14ac:dyDescent="0.25">
      <c r="I306" s="89">
        <v>724.75114519896101</v>
      </c>
      <c r="J306" s="89">
        <v>10362.645040981999</v>
      </c>
      <c r="K306" s="89">
        <v>0.65</v>
      </c>
    </row>
    <row r="307" spans="9:11" x14ac:dyDescent="0.25">
      <c r="I307" s="89">
        <v>724.75114519896101</v>
      </c>
      <c r="J307" s="89">
        <v>10362.645040981999</v>
      </c>
      <c r="K307" s="89">
        <v>0.65</v>
      </c>
    </row>
    <row r="308" spans="9:11" x14ac:dyDescent="0.25">
      <c r="I308" s="89">
        <v>724.75114519896101</v>
      </c>
      <c r="J308" s="89">
        <v>10362.645040981999</v>
      </c>
      <c r="K308" s="89">
        <v>0.65</v>
      </c>
    </row>
    <row r="309" spans="9:11" x14ac:dyDescent="0.25">
      <c r="I309" s="89">
        <v>724.75114519896101</v>
      </c>
      <c r="J309" s="89">
        <v>10362.645040981999</v>
      </c>
      <c r="K309" s="89">
        <v>0.65</v>
      </c>
    </row>
    <row r="310" spans="9:11" x14ac:dyDescent="0.25">
      <c r="I310" s="89">
        <v>724.75114519896101</v>
      </c>
      <c r="J310" s="89">
        <v>10362.645040981999</v>
      </c>
      <c r="K310" s="89">
        <v>0.65</v>
      </c>
    </row>
    <row r="311" spans="9:11" x14ac:dyDescent="0.25">
      <c r="I311" s="89">
        <v>724.75114519896101</v>
      </c>
      <c r="J311" s="89">
        <v>10362.645040981999</v>
      </c>
      <c r="K311" s="89">
        <v>0.65</v>
      </c>
    </row>
    <row r="312" spans="9:11" x14ac:dyDescent="0.25">
      <c r="I312" s="89">
        <v>724.75114519896101</v>
      </c>
      <c r="J312" s="89">
        <v>10362.645040981999</v>
      </c>
      <c r="K312" s="89">
        <v>0.65</v>
      </c>
    </row>
    <row r="313" spans="9:11" x14ac:dyDescent="0.25">
      <c r="I313" s="89">
        <v>724.75114519896101</v>
      </c>
      <c r="J313" s="89">
        <v>10362.645040981999</v>
      </c>
      <c r="K313" s="89">
        <v>0.65</v>
      </c>
    </row>
    <row r="314" spans="9:11" x14ac:dyDescent="0.25">
      <c r="I314" s="89">
        <v>724.75114519896101</v>
      </c>
      <c r="J314" s="89">
        <v>10362.645040981999</v>
      </c>
      <c r="K314" s="89">
        <v>0.65</v>
      </c>
    </row>
    <row r="315" spans="9:11" x14ac:dyDescent="0.25">
      <c r="I315" s="89">
        <v>724.75114519896101</v>
      </c>
      <c r="J315" s="89">
        <v>10362.645040981999</v>
      </c>
      <c r="K315" s="89">
        <v>0.65</v>
      </c>
    </row>
    <row r="316" spans="9:11" x14ac:dyDescent="0.25">
      <c r="I316" s="89">
        <v>724.75114519896101</v>
      </c>
      <c r="J316" s="89">
        <v>10362.645040981999</v>
      </c>
      <c r="K316" s="89">
        <v>0.65</v>
      </c>
    </row>
    <row r="317" spans="9:11" x14ac:dyDescent="0.25">
      <c r="I317" s="89">
        <v>614.25114519896101</v>
      </c>
      <c r="J317" s="89">
        <v>9368.145040981999</v>
      </c>
      <c r="K317" s="89">
        <v>0.65</v>
      </c>
    </row>
    <row r="318" spans="9:11" x14ac:dyDescent="0.25">
      <c r="I318" s="89">
        <v>614.25114519896101</v>
      </c>
      <c r="J318" s="89">
        <v>9368.145040981999</v>
      </c>
      <c r="K318" s="89">
        <v>0.65</v>
      </c>
    </row>
    <row r="319" spans="9:11" x14ac:dyDescent="0.25">
      <c r="I319" s="89">
        <v>614.25114519896101</v>
      </c>
      <c r="J319" s="89">
        <v>9368.145040981999</v>
      </c>
      <c r="K319" s="89">
        <v>0.65</v>
      </c>
    </row>
    <row r="320" spans="9:11" x14ac:dyDescent="0.25">
      <c r="I320" s="89">
        <v>614.25114519896101</v>
      </c>
      <c r="J320" s="89">
        <v>9368.145040981999</v>
      </c>
      <c r="K320" s="89">
        <v>0.65</v>
      </c>
    </row>
    <row r="321" spans="9:11" x14ac:dyDescent="0.25">
      <c r="I321" s="89">
        <v>614.25114519896101</v>
      </c>
      <c r="J321" s="89">
        <v>9368.145040981999</v>
      </c>
      <c r="K321" s="89">
        <v>0.65</v>
      </c>
    </row>
    <row r="322" spans="9:11" x14ac:dyDescent="0.25">
      <c r="I322" s="89">
        <v>614.25114519896101</v>
      </c>
      <c r="J322" s="89">
        <v>9368.145040981999</v>
      </c>
      <c r="K322" s="89">
        <v>0.65</v>
      </c>
    </row>
    <row r="323" spans="9:11" x14ac:dyDescent="0.25">
      <c r="I323" s="89">
        <v>614.25114519896101</v>
      </c>
      <c r="J323" s="89">
        <v>9368.145040981999</v>
      </c>
      <c r="K323" s="89">
        <v>0.65</v>
      </c>
    </row>
    <row r="324" spans="9:11" x14ac:dyDescent="0.25">
      <c r="I324" s="89">
        <v>614.25114519896101</v>
      </c>
      <c r="J324" s="89">
        <v>9368.145040981999</v>
      </c>
      <c r="K324" s="89">
        <v>0.65</v>
      </c>
    </row>
    <row r="325" spans="9:11" x14ac:dyDescent="0.25">
      <c r="I325" s="89">
        <v>614.25114519896101</v>
      </c>
      <c r="J325" s="89">
        <v>9368.145040981999</v>
      </c>
      <c r="K325" s="89">
        <v>0.65</v>
      </c>
    </row>
    <row r="326" spans="9:11" x14ac:dyDescent="0.25">
      <c r="I326" s="89">
        <v>614.25114519896101</v>
      </c>
      <c r="J326" s="89">
        <v>9368.145040981999</v>
      </c>
      <c r="K326" s="89">
        <v>0.65</v>
      </c>
    </row>
    <row r="327" spans="9:11" x14ac:dyDescent="0.25">
      <c r="I327" s="89">
        <v>614.25114519896101</v>
      </c>
      <c r="J327" s="89">
        <v>9368.145040981999</v>
      </c>
      <c r="K327" s="89">
        <v>0.65</v>
      </c>
    </row>
    <row r="328" spans="9:11" x14ac:dyDescent="0.25">
      <c r="I328" s="89">
        <v>614.25114519896101</v>
      </c>
      <c r="J328" s="89">
        <v>9368.145040981999</v>
      </c>
      <c r="K328" s="89">
        <v>0.65</v>
      </c>
    </row>
    <row r="329" spans="9:11" x14ac:dyDescent="0.25">
      <c r="I329" s="89">
        <v>614.25114519896101</v>
      </c>
      <c r="J329" s="89">
        <v>9368.145040981999</v>
      </c>
      <c r="K329" s="89">
        <v>0.65</v>
      </c>
    </row>
    <row r="330" spans="9:11" x14ac:dyDescent="0.25">
      <c r="I330" s="89">
        <v>614.25114519896101</v>
      </c>
      <c r="J330" s="89">
        <v>9368.145040981999</v>
      </c>
      <c r="K330" s="89">
        <v>0.65</v>
      </c>
    </row>
    <row r="331" spans="9:11" x14ac:dyDescent="0.25">
      <c r="I331" s="89">
        <v>614.25114519896101</v>
      </c>
      <c r="J331" s="89">
        <v>9368.145040981999</v>
      </c>
      <c r="K331" s="89">
        <v>0.65</v>
      </c>
    </row>
    <row r="332" spans="9:11" x14ac:dyDescent="0.25">
      <c r="I332" s="89">
        <v>614.25114519896101</v>
      </c>
      <c r="J332" s="89">
        <v>9368.145040981999</v>
      </c>
      <c r="K332" s="89">
        <v>0.65</v>
      </c>
    </row>
    <row r="333" spans="9:11" x14ac:dyDescent="0.25">
      <c r="I333" s="89">
        <v>614.25114519896101</v>
      </c>
      <c r="J333" s="89">
        <v>9368.145040981999</v>
      </c>
      <c r="K333" s="89">
        <v>0.65</v>
      </c>
    </row>
    <row r="334" spans="9:11" x14ac:dyDescent="0.25">
      <c r="I334" s="89">
        <v>614.25114519896101</v>
      </c>
      <c r="J334" s="89">
        <v>9368.145040981999</v>
      </c>
      <c r="K334" s="89">
        <v>0.65</v>
      </c>
    </row>
    <row r="335" spans="9:11" x14ac:dyDescent="0.25">
      <c r="I335" s="89">
        <v>614.25114519896101</v>
      </c>
      <c r="J335" s="89">
        <v>9368.145040981999</v>
      </c>
      <c r="K335" s="89">
        <v>0.65</v>
      </c>
    </row>
    <row r="336" spans="9:11" x14ac:dyDescent="0.25">
      <c r="I336" s="89">
        <v>614.25114519896101</v>
      </c>
      <c r="J336" s="89">
        <v>9368.145040981999</v>
      </c>
      <c r="K336" s="89">
        <v>0.65</v>
      </c>
    </row>
    <row r="337" spans="9:11" x14ac:dyDescent="0.25">
      <c r="I337" s="89">
        <v>614.25114519896101</v>
      </c>
      <c r="J337" s="89">
        <v>9368.145040981999</v>
      </c>
      <c r="K337" s="89">
        <v>0.65</v>
      </c>
    </row>
    <row r="338" spans="9:11" x14ac:dyDescent="0.25">
      <c r="I338" s="89">
        <v>614.25114519896101</v>
      </c>
      <c r="J338" s="89">
        <v>9368.145040981999</v>
      </c>
      <c r="K338" s="89">
        <v>0.65</v>
      </c>
    </row>
    <row r="339" spans="9:11" x14ac:dyDescent="0.25">
      <c r="I339" s="89">
        <v>614.25114519896101</v>
      </c>
      <c r="J339" s="89">
        <v>9368.145040981999</v>
      </c>
      <c r="K339" s="89">
        <v>0.65</v>
      </c>
    </row>
    <row r="340" spans="9:11" x14ac:dyDescent="0.25">
      <c r="I340" s="89">
        <v>614.25114519896101</v>
      </c>
      <c r="J340" s="89">
        <v>9368.145040981999</v>
      </c>
      <c r="K340" s="89">
        <v>0.65</v>
      </c>
    </row>
    <row r="341" spans="9:11" x14ac:dyDescent="0.25">
      <c r="I341" s="89">
        <v>614.25114519896101</v>
      </c>
      <c r="J341" s="89">
        <v>9368.145040981999</v>
      </c>
      <c r="K341" s="89">
        <v>0.65</v>
      </c>
    </row>
    <row r="342" spans="9:11" x14ac:dyDescent="0.25">
      <c r="I342" s="89">
        <v>503.75114519896101</v>
      </c>
      <c r="J342" s="89">
        <v>8152.645040982</v>
      </c>
      <c r="K342" s="89">
        <v>0.65</v>
      </c>
    </row>
    <row r="343" spans="9:11" x14ac:dyDescent="0.25">
      <c r="I343" s="89">
        <v>503.75114519896101</v>
      </c>
      <c r="J343" s="89">
        <v>8152.645040982</v>
      </c>
      <c r="K343" s="89">
        <v>0.65</v>
      </c>
    </row>
    <row r="344" spans="9:11" x14ac:dyDescent="0.25">
      <c r="I344" s="89">
        <v>503.75114519896101</v>
      </c>
      <c r="J344" s="89">
        <v>8152.645040982</v>
      </c>
      <c r="K344" s="89">
        <v>0.65</v>
      </c>
    </row>
    <row r="345" spans="9:11" x14ac:dyDescent="0.25">
      <c r="I345" s="89">
        <v>503.75114519896101</v>
      </c>
      <c r="J345" s="89">
        <v>8152.645040982</v>
      </c>
      <c r="K345" s="89">
        <v>0.65</v>
      </c>
    </row>
    <row r="346" spans="9:11" x14ac:dyDescent="0.25">
      <c r="I346" s="89">
        <v>503.75114519896101</v>
      </c>
      <c r="J346" s="89">
        <v>8152.645040982</v>
      </c>
      <c r="K346" s="89">
        <v>0.65</v>
      </c>
    </row>
    <row r="347" spans="9:11" x14ac:dyDescent="0.25">
      <c r="I347" s="89">
        <v>503.75114519896101</v>
      </c>
      <c r="J347" s="89">
        <v>8152.645040982</v>
      </c>
      <c r="K347" s="89">
        <v>0.65</v>
      </c>
    </row>
    <row r="348" spans="9:11" x14ac:dyDescent="0.25">
      <c r="I348" s="89">
        <v>503.75114519896101</v>
      </c>
      <c r="J348" s="89">
        <v>8152.645040982</v>
      </c>
      <c r="K348" s="89">
        <v>0.65</v>
      </c>
    </row>
    <row r="349" spans="9:11" x14ac:dyDescent="0.25">
      <c r="I349" s="89">
        <v>503.75114519896101</v>
      </c>
      <c r="J349" s="89">
        <v>8152.645040982</v>
      </c>
      <c r="K349" s="89">
        <v>0.65</v>
      </c>
    </row>
    <row r="350" spans="9:11" x14ac:dyDescent="0.25">
      <c r="I350" s="89">
        <v>503.75114519896101</v>
      </c>
      <c r="J350" s="89">
        <v>8152.645040982</v>
      </c>
      <c r="K350" s="89">
        <v>0.65</v>
      </c>
    </row>
    <row r="351" spans="9:11" x14ac:dyDescent="0.25">
      <c r="I351" s="89">
        <v>503.75114519896101</v>
      </c>
      <c r="J351" s="89">
        <v>8152.645040982</v>
      </c>
      <c r="K351" s="89">
        <v>0.65</v>
      </c>
    </row>
    <row r="352" spans="9:11" x14ac:dyDescent="0.25">
      <c r="I352" s="89">
        <v>503.75114519896101</v>
      </c>
      <c r="J352" s="89">
        <v>8152.645040982</v>
      </c>
      <c r="K352" s="89">
        <v>0.65</v>
      </c>
    </row>
    <row r="353" spans="9:11" x14ac:dyDescent="0.25">
      <c r="I353" s="89">
        <v>503.75114519896101</v>
      </c>
      <c r="J353" s="89">
        <v>8152.645040982</v>
      </c>
      <c r="K353" s="89">
        <v>0.65</v>
      </c>
    </row>
    <row r="354" spans="9:11" x14ac:dyDescent="0.25">
      <c r="I354" s="89">
        <v>503.75114519896101</v>
      </c>
      <c r="J354" s="89">
        <v>8152.645040982</v>
      </c>
      <c r="K354" s="89">
        <v>0.65</v>
      </c>
    </row>
    <row r="355" spans="9:11" x14ac:dyDescent="0.25">
      <c r="I355" s="89">
        <v>393.25114519896101</v>
      </c>
      <c r="J355" s="89">
        <v>6716.145040982</v>
      </c>
      <c r="K355" s="89">
        <v>0.65</v>
      </c>
    </row>
    <row r="356" spans="9:11" x14ac:dyDescent="0.25">
      <c r="I356" s="89">
        <v>393.25114519896101</v>
      </c>
      <c r="J356" s="89">
        <v>6716.145040982</v>
      </c>
      <c r="K356" s="89">
        <v>0.65</v>
      </c>
    </row>
    <row r="357" spans="9:11" x14ac:dyDescent="0.25">
      <c r="I357" s="89">
        <v>393.25114519896101</v>
      </c>
      <c r="J357" s="89">
        <v>6716.145040982</v>
      </c>
      <c r="K357" s="89">
        <v>0.65</v>
      </c>
    </row>
    <row r="358" spans="9:11" x14ac:dyDescent="0.25">
      <c r="I358" s="89">
        <v>393.25114519896101</v>
      </c>
      <c r="J358" s="89">
        <v>6716.145040982</v>
      </c>
      <c r="K358" s="89">
        <v>0.65</v>
      </c>
    </row>
    <row r="359" spans="9:11" x14ac:dyDescent="0.25">
      <c r="I359" s="89">
        <v>393.25114519896101</v>
      </c>
      <c r="J359" s="89">
        <v>6716.145040982</v>
      </c>
      <c r="K359" s="89">
        <v>0.65</v>
      </c>
    </row>
    <row r="360" spans="9:11" x14ac:dyDescent="0.25">
      <c r="I360" s="89">
        <v>393.25114519896101</v>
      </c>
      <c r="J360" s="89">
        <v>6716.145040982</v>
      </c>
      <c r="K360" s="89">
        <v>0.65</v>
      </c>
    </row>
    <row r="361" spans="9:11" x14ac:dyDescent="0.25">
      <c r="I361" s="89">
        <v>393.25114519896101</v>
      </c>
      <c r="J361" s="89">
        <v>6716.145040982</v>
      </c>
      <c r="K361" s="89">
        <v>0.65</v>
      </c>
    </row>
    <row r="362" spans="9:11" x14ac:dyDescent="0.25">
      <c r="I362" s="89">
        <v>393.25114519896101</v>
      </c>
      <c r="J362" s="89">
        <v>6716.145040982</v>
      </c>
      <c r="K362" s="89">
        <v>0.65</v>
      </c>
    </row>
    <row r="363" spans="9:11" x14ac:dyDescent="0.25">
      <c r="I363" s="89">
        <v>392.7558979191698</v>
      </c>
      <c r="J363" s="89">
        <v>6707.4782135855003</v>
      </c>
      <c r="K363" s="89">
        <v>0.65</v>
      </c>
    </row>
    <row r="364" spans="9:11" x14ac:dyDescent="0.25">
      <c r="I364" s="89">
        <v>391.84278574705496</v>
      </c>
      <c r="J364" s="89">
        <v>6691.4987505730005</v>
      </c>
      <c r="K364" s="89">
        <v>0.65</v>
      </c>
    </row>
    <row r="365" spans="9:11" x14ac:dyDescent="0.25">
      <c r="I365" s="89">
        <v>280.42967357493995</v>
      </c>
      <c r="J365" s="89">
        <v>5018.0192875604998</v>
      </c>
      <c r="K365" s="89">
        <v>0.65</v>
      </c>
    </row>
    <row r="366" spans="9:11" x14ac:dyDescent="0.25">
      <c r="I366" s="89">
        <v>279.516561402825</v>
      </c>
      <c r="J366" s="89">
        <v>5002.0398245480001</v>
      </c>
      <c r="K366" s="89">
        <v>0.65</v>
      </c>
    </row>
    <row r="367" spans="9:11" x14ac:dyDescent="0.25">
      <c r="I367" s="89">
        <v>278.60344923071</v>
      </c>
      <c r="J367" s="89">
        <v>4986.0603615355003</v>
      </c>
      <c r="K367" s="89">
        <v>0.65</v>
      </c>
    </row>
    <row r="368" spans="9:11" x14ac:dyDescent="0.25">
      <c r="I368" s="89">
        <v>277.69033705859505</v>
      </c>
      <c r="J368" s="89">
        <v>4970.0808985230005</v>
      </c>
      <c r="K368" s="89">
        <v>0.65</v>
      </c>
    </row>
    <row r="369" spans="9:11" x14ac:dyDescent="0.25">
      <c r="I369" s="89">
        <v>276.7772248864801</v>
      </c>
      <c r="J369" s="89">
        <v>4954.1014355104999</v>
      </c>
      <c r="K369" s="89">
        <v>0.65</v>
      </c>
    </row>
    <row r="370" spans="9:11" x14ac:dyDescent="0.25">
      <c r="I370" s="89">
        <v>275.86411271436504</v>
      </c>
      <c r="J370" s="89">
        <v>4938.1219725045003</v>
      </c>
      <c r="K370" s="89">
        <v>0.65</v>
      </c>
    </row>
    <row r="371" spans="9:11" x14ac:dyDescent="0.25">
      <c r="I371" s="89">
        <v>274.95100054225009</v>
      </c>
      <c r="J371" s="89">
        <v>4922.1425094919996</v>
      </c>
      <c r="K371" s="89">
        <v>0.65</v>
      </c>
    </row>
    <row r="372" spans="9:11" x14ac:dyDescent="0.25">
      <c r="I372" s="89">
        <v>274.03788837013514</v>
      </c>
      <c r="J372" s="89">
        <v>4906.1630464795007</v>
      </c>
      <c r="K372" s="89">
        <v>0.65</v>
      </c>
    </row>
    <row r="373" spans="9:11" x14ac:dyDescent="0.25">
      <c r="I373" s="89">
        <v>273.12477619802019</v>
      </c>
      <c r="J373" s="89">
        <v>4890.1835834670001</v>
      </c>
      <c r="K373" s="89">
        <v>0.65</v>
      </c>
    </row>
    <row r="374" spans="9:11" x14ac:dyDescent="0.25">
      <c r="I374" s="89">
        <v>272.21166402590524</v>
      </c>
      <c r="J374" s="89">
        <v>4874.2041204545003</v>
      </c>
      <c r="K374" s="89">
        <v>0.65</v>
      </c>
    </row>
    <row r="375" spans="9:11" x14ac:dyDescent="0.25">
      <c r="I375" s="89">
        <v>271.29855185379029</v>
      </c>
      <c r="J375" s="89">
        <v>4858.2246574420005</v>
      </c>
      <c r="K375" s="89">
        <v>0.65</v>
      </c>
    </row>
    <row r="376" spans="9:11" x14ac:dyDescent="0.25">
      <c r="I376" s="89">
        <v>270.38543968167528</v>
      </c>
      <c r="J376" s="89">
        <v>4842.2451944294999</v>
      </c>
      <c r="K376" s="89">
        <v>0.65</v>
      </c>
    </row>
    <row r="377" spans="9:11" x14ac:dyDescent="0.25">
      <c r="I377" s="89">
        <v>269.47232750956039</v>
      </c>
      <c r="J377" s="89">
        <v>4826.2657314170001</v>
      </c>
      <c r="K377" s="89">
        <v>0.65</v>
      </c>
    </row>
    <row r="378" spans="9:11" x14ac:dyDescent="0.25">
      <c r="I378" s="89">
        <v>268.55921533744538</v>
      </c>
      <c r="J378" s="89">
        <v>4810.2862684045003</v>
      </c>
      <c r="K378" s="89">
        <v>0.65</v>
      </c>
    </row>
    <row r="379" spans="9:11" x14ac:dyDescent="0.25">
      <c r="I379" s="89">
        <v>267.64610316533037</v>
      </c>
      <c r="J379" s="89">
        <v>4794.3068053919997</v>
      </c>
      <c r="K379" s="89">
        <v>0.65</v>
      </c>
    </row>
    <row r="380" spans="9:11" x14ac:dyDescent="0.25">
      <c r="I380" s="89">
        <v>266.73299099321548</v>
      </c>
      <c r="J380" s="89">
        <v>4778.3273423795008</v>
      </c>
      <c r="K380" s="89">
        <v>0.65</v>
      </c>
    </row>
    <row r="381" spans="9:11" x14ac:dyDescent="0.25">
      <c r="I381" s="89">
        <v>265.81987882110059</v>
      </c>
      <c r="J381" s="89">
        <v>4762.3478793670001</v>
      </c>
      <c r="K381" s="89">
        <v>0.65</v>
      </c>
    </row>
    <row r="382" spans="9:11" x14ac:dyDescent="0.25">
      <c r="I382" s="89">
        <v>264.90676664898552</v>
      </c>
      <c r="J382" s="89">
        <v>4746.3684163545004</v>
      </c>
      <c r="K382" s="89">
        <v>0.65</v>
      </c>
    </row>
    <row r="383" spans="9:11" x14ac:dyDescent="0.25">
      <c r="I383" s="89">
        <v>263.99365447687063</v>
      </c>
      <c r="J383" s="89">
        <v>4730.3889533420006</v>
      </c>
      <c r="K383" s="89">
        <v>0.65</v>
      </c>
    </row>
    <row r="384" spans="9:11" x14ac:dyDescent="0.25">
      <c r="I384" s="89">
        <v>263.08054230475551</v>
      </c>
      <c r="J384" s="89">
        <v>4714.4094903360001</v>
      </c>
      <c r="K384" s="89">
        <v>0.65</v>
      </c>
    </row>
    <row r="385" spans="9:11" x14ac:dyDescent="0.25">
      <c r="I385" s="89">
        <v>262.16743013264073</v>
      </c>
      <c r="J385" s="89">
        <v>4698.4300273235003</v>
      </c>
      <c r="K385" s="89">
        <v>0.65</v>
      </c>
    </row>
    <row r="386" spans="9:11" x14ac:dyDescent="0.25">
      <c r="I386" s="89">
        <v>261.25431796052561</v>
      </c>
      <c r="J386" s="89">
        <v>4682.4505643110006</v>
      </c>
      <c r="K386" s="89">
        <v>0.65</v>
      </c>
    </row>
    <row r="387" spans="9:11" x14ac:dyDescent="0.25">
      <c r="I387" s="89">
        <v>260.34120578841072</v>
      </c>
      <c r="J387" s="89">
        <v>4666.4711012984999</v>
      </c>
      <c r="K387" s="89">
        <v>0.65</v>
      </c>
    </row>
    <row r="388" spans="9:11" x14ac:dyDescent="0.25">
      <c r="I388" s="89">
        <v>259.42809361629566</v>
      </c>
      <c r="J388" s="89">
        <v>4650.4916382860001</v>
      </c>
      <c r="K388" s="89">
        <v>0.65</v>
      </c>
    </row>
    <row r="389" spans="9:11" x14ac:dyDescent="0.25">
      <c r="I389" s="89">
        <v>258.51498144418076</v>
      </c>
      <c r="J389" s="89">
        <v>4634.5121752735004</v>
      </c>
      <c r="K389" s="89">
        <v>0.65</v>
      </c>
    </row>
    <row r="390" spans="9:11" x14ac:dyDescent="0.25">
      <c r="I390" s="89">
        <v>257.60186927206576</v>
      </c>
      <c r="J390" s="89">
        <v>4618.5327122609997</v>
      </c>
      <c r="K390" s="89">
        <v>0.65</v>
      </c>
    </row>
    <row r="391" spans="9:11" x14ac:dyDescent="0.25">
      <c r="I391" s="89">
        <v>256.68875709995086</v>
      </c>
      <c r="J391" s="89">
        <v>4602.5532492484999</v>
      </c>
      <c r="K391" s="89">
        <v>0.65</v>
      </c>
    </row>
    <row r="392" spans="9:11" x14ac:dyDescent="0.25">
      <c r="I392" s="89">
        <v>255.77564492783583</v>
      </c>
      <c r="J392" s="89">
        <v>4586.5737862360002</v>
      </c>
      <c r="K392" s="89">
        <v>0.65</v>
      </c>
    </row>
    <row r="393" spans="9:11" x14ac:dyDescent="0.25">
      <c r="I393" s="89">
        <v>254.86253275572096</v>
      </c>
      <c r="J393" s="89">
        <v>4570.5943232235004</v>
      </c>
      <c r="K393" s="89">
        <v>0.65</v>
      </c>
    </row>
    <row r="394" spans="9:11" x14ac:dyDescent="0.25">
      <c r="I394" s="89">
        <v>253.94942058360604</v>
      </c>
      <c r="J394" s="89">
        <v>4554.6148602110006</v>
      </c>
      <c r="K394" s="89">
        <v>0.65</v>
      </c>
    </row>
    <row r="395" spans="9:11" x14ac:dyDescent="0.25">
      <c r="I395" s="89">
        <v>253.03630841149101</v>
      </c>
      <c r="J395" s="89">
        <v>4538.6353971985</v>
      </c>
      <c r="K395" s="89">
        <v>0.65</v>
      </c>
    </row>
    <row r="396" spans="9:11" x14ac:dyDescent="0.25">
      <c r="I396" s="89">
        <v>141.62319623937611</v>
      </c>
      <c r="J396" s="89">
        <v>2644.1559341860002</v>
      </c>
      <c r="K396" s="89">
        <v>0.65</v>
      </c>
    </row>
    <row r="397" spans="9:11" x14ac:dyDescent="0.25">
      <c r="I397" s="89">
        <v>140.71008406726111</v>
      </c>
      <c r="J397" s="89">
        <v>2628.1764711800001</v>
      </c>
      <c r="K397" s="89">
        <v>0.65</v>
      </c>
    </row>
    <row r="398" spans="9:11" x14ac:dyDescent="0.25">
      <c r="I398" s="89">
        <v>139.79697189514619</v>
      </c>
      <c r="J398" s="89">
        <v>2612.1970081674999</v>
      </c>
      <c r="K398" s="89">
        <v>0.65</v>
      </c>
    </row>
    <row r="399" spans="9:11" x14ac:dyDescent="0.25">
      <c r="I399" s="89">
        <v>138.88385972303118</v>
      </c>
      <c r="J399" s="89">
        <v>2596.2175451550002</v>
      </c>
      <c r="K399" s="89">
        <v>0.65</v>
      </c>
    </row>
    <row r="400" spans="9:11" x14ac:dyDescent="0.25">
      <c r="I400" s="89">
        <v>137.97074755091626</v>
      </c>
      <c r="J400" s="89">
        <v>2580.2380821425004</v>
      </c>
      <c r="K400" s="89">
        <v>0.65</v>
      </c>
    </row>
    <row r="401" spans="9:11" x14ac:dyDescent="0.25">
      <c r="I401" s="89">
        <v>137.05763537880125</v>
      </c>
      <c r="J401" s="89">
        <v>2564.2586191300002</v>
      </c>
      <c r="K401" s="89">
        <v>0.65</v>
      </c>
    </row>
    <row r="402" spans="9:11" x14ac:dyDescent="0.25">
      <c r="I402" s="89">
        <v>136.14452320668624</v>
      </c>
      <c r="J402" s="89">
        <v>2548.2791561175</v>
      </c>
      <c r="K402" s="89">
        <v>0.65</v>
      </c>
    </row>
    <row r="403" spans="9:11" x14ac:dyDescent="0.25">
      <c r="I403" s="89">
        <v>135.23141103457124</v>
      </c>
      <c r="J403" s="89">
        <v>2532.2996931050002</v>
      </c>
      <c r="K403" s="89">
        <v>0.65</v>
      </c>
    </row>
    <row r="404" spans="9:11" x14ac:dyDescent="0.25">
      <c r="I404" s="89">
        <v>134.31829886245632</v>
      </c>
      <c r="J404" s="89">
        <v>2516.3202300925</v>
      </c>
      <c r="K404" s="89">
        <v>0.65</v>
      </c>
    </row>
    <row r="405" spans="9:11" x14ac:dyDescent="0.25">
      <c r="I405" s="89">
        <v>133.40518669034131</v>
      </c>
      <c r="J405" s="89">
        <v>2500.3407670800002</v>
      </c>
      <c r="K405" s="89">
        <v>0.65</v>
      </c>
    </row>
    <row r="406" spans="9:11" x14ac:dyDescent="0.25">
      <c r="I406" s="89">
        <v>132.49207451822642</v>
      </c>
      <c r="J406" s="89">
        <v>2484.3613040675</v>
      </c>
      <c r="K406" s="89">
        <v>0.65</v>
      </c>
    </row>
    <row r="407" spans="9:11" x14ac:dyDescent="0.25">
      <c r="I407" s="89">
        <v>131.57896234611138</v>
      </c>
      <c r="J407" s="89">
        <v>2468.3818410550002</v>
      </c>
      <c r="K407" s="89">
        <v>0.65</v>
      </c>
    </row>
    <row r="408" spans="9:11" x14ac:dyDescent="0.25">
      <c r="I408" s="89">
        <v>130.66585017399649</v>
      </c>
      <c r="J408" s="89">
        <v>2452.4023780425</v>
      </c>
      <c r="K408" s="89">
        <v>0.65</v>
      </c>
    </row>
    <row r="409" spans="9:11" x14ac:dyDescent="0.25">
      <c r="I409" s="89">
        <v>129.75273800188148</v>
      </c>
      <c r="J409" s="89">
        <v>2436.4229150300002</v>
      </c>
      <c r="K409" s="89">
        <v>0.65</v>
      </c>
    </row>
    <row r="410" spans="9:11" x14ac:dyDescent="0.25">
      <c r="I410" s="89">
        <v>128.83962582976656</v>
      </c>
      <c r="J410" s="89">
        <v>2420.4434520240002</v>
      </c>
      <c r="K410" s="89">
        <v>0.65</v>
      </c>
    </row>
    <row r="411" spans="9:11" x14ac:dyDescent="0.25">
      <c r="I411" s="89">
        <v>127.92651365765155</v>
      </c>
      <c r="J411" s="89">
        <v>2404.4639890115</v>
      </c>
      <c r="K411" s="89">
        <v>0.65</v>
      </c>
    </row>
    <row r="412" spans="9:11" x14ac:dyDescent="0.25">
      <c r="I412" s="89">
        <v>127.01340148553665</v>
      </c>
      <c r="J412" s="89">
        <v>2388.4845259990002</v>
      </c>
      <c r="K412" s="89">
        <v>0.65</v>
      </c>
    </row>
    <row r="413" spans="9:11" x14ac:dyDescent="0.25">
      <c r="I413" s="89">
        <v>126.10028931342164</v>
      </c>
      <c r="J413" s="89">
        <v>2372.5050629865</v>
      </c>
      <c r="K413" s="89">
        <v>0.65</v>
      </c>
    </row>
    <row r="414" spans="9:11" x14ac:dyDescent="0.25">
      <c r="I414" s="89">
        <v>125.18717714130673</v>
      </c>
      <c r="J414" s="89">
        <v>2356.5255999740002</v>
      </c>
      <c r="K414" s="89">
        <v>0.65</v>
      </c>
    </row>
    <row r="415" spans="9:11" x14ac:dyDescent="0.25">
      <c r="I415" s="89">
        <v>124.27406496919173</v>
      </c>
      <c r="J415" s="89">
        <v>2340.5461369615</v>
      </c>
      <c r="K415" s="89">
        <v>0.65</v>
      </c>
    </row>
    <row r="416" spans="9:11" x14ac:dyDescent="0.25">
      <c r="I416" s="89">
        <v>123.36095279707682</v>
      </c>
      <c r="J416" s="89">
        <v>2324.5666739490002</v>
      </c>
      <c r="K416" s="89">
        <v>0.65</v>
      </c>
    </row>
    <row r="417" spans="9:11" x14ac:dyDescent="0.25">
      <c r="I417" s="89">
        <v>122.44784062496181</v>
      </c>
      <c r="J417" s="89">
        <v>2308.5872109365</v>
      </c>
      <c r="K417" s="89">
        <v>0.65</v>
      </c>
    </row>
    <row r="418" spans="9:11" x14ac:dyDescent="0.25">
      <c r="I418" s="89">
        <v>121.53472845284689</v>
      </c>
      <c r="J418" s="89">
        <v>2292.6077479240003</v>
      </c>
      <c r="K418" s="89">
        <v>0.65</v>
      </c>
    </row>
    <row r="419" spans="9:11" x14ac:dyDescent="0.25">
      <c r="I419" s="89">
        <v>120.621616280732</v>
      </c>
      <c r="J419" s="89">
        <v>2276.6282849115</v>
      </c>
      <c r="K419" s="89">
        <v>0.65</v>
      </c>
    </row>
    <row r="420" spans="9:11" x14ac:dyDescent="0.25">
      <c r="I420" s="89">
        <v>119.70850410861708</v>
      </c>
      <c r="J420" s="89">
        <v>2260.6488218990003</v>
      </c>
      <c r="K420" s="89">
        <v>0.65</v>
      </c>
    </row>
    <row r="421" spans="9:11" x14ac:dyDescent="0.25">
      <c r="I421" s="89">
        <v>118.79539193650207</v>
      </c>
      <c r="J421" s="89">
        <v>2244.6693588865</v>
      </c>
      <c r="K421" s="89">
        <v>0.65</v>
      </c>
    </row>
    <row r="422" spans="9:11" x14ac:dyDescent="0.25">
      <c r="I422" s="89">
        <v>117.88227976438715</v>
      </c>
      <c r="J422" s="89">
        <v>2228.6898958740003</v>
      </c>
      <c r="K422" s="89">
        <v>0.65</v>
      </c>
    </row>
    <row r="423" spans="9:11" x14ac:dyDescent="0.25">
      <c r="I423" s="89">
        <v>116.96916759227206</v>
      </c>
      <c r="J423" s="89">
        <v>2212.7104328680002</v>
      </c>
      <c r="K423" s="89">
        <v>0.65</v>
      </c>
    </row>
    <row r="424" spans="9:11" x14ac:dyDescent="0.25">
      <c r="I424" s="89">
        <v>116.05605542015734</v>
      </c>
      <c r="J424" s="89">
        <v>2196.7309698555</v>
      </c>
      <c r="K424" s="89">
        <v>0.65</v>
      </c>
    </row>
    <row r="425" spans="9:11" x14ac:dyDescent="0.25">
      <c r="I425" s="89">
        <v>67.498414339900194</v>
      </c>
      <c r="J425" s="89">
        <v>1410.722250948</v>
      </c>
      <c r="K425" s="89">
        <v>0.9</v>
      </c>
    </row>
    <row r="426" spans="9:11" x14ac:dyDescent="0.25">
      <c r="I426" s="89">
        <v>67.498414339900194</v>
      </c>
      <c r="J426" s="89">
        <v>1410.722250948</v>
      </c>
      <c r="K426" s="89">
        <v>0.9</v>
      </c>
    </row>
    <row r="427" spans="9:11" x14ac:dyDescent="0.25">
      <c r="I427" s="89">
        <v>67.498414339900194</v>
      </c>
      <c r="J427" s="89">
        <v>1410.722250948</v>
      </c>
      <c r="K427" s="89">
        <v>0.9</v>
      </c>
    </row>
    <row r="428" spans="9:11" x14ac:dyDescent="0.25">
      <c r="I428" s="89">
        <v>67.498414339900194</v>
      </c>
      <c r="J428" s="89">
        <v>1410.722250948</v>
      </c>
      <c r="K428" s="89">
        <v>0.9</v>
      </c>
    </row>
    <row r="429" spans="9:11" x14ac:dyDescent="0.25">
      <c r="I429" s="89">
        <v>67.498414339900194</v>
      </c>
      <c r="J429" s="89">
        <v>1410.722250948</v>
      </c>
      <c r="K429" s="89">
        <v>0.9</v>
      </c>
    </row>
    <row r="430" spans="9:11" x14ac:dyDescent="0.25">
      <c r="I430" s="89">
        <v>67.498414339900194</v>
      </c>
      <c r="J430" s="89">
        <v>1410.722250948</v>
      </c>
      <c r="K430" s="89">
        <v>0.9</v>
      </c>
    </row>
    <row r="431" spans="9:11" x14ac:dyDescent="0.25">
      <c r="I431" s="89">
        <v>67.498414339900194</v>
      </c>
      <c r="J431" s="89">
        <v>1410.722250948</v>
      </c>
      <c r="K431" s="89">
        <v>0.9</v>
      </c>
    </row>
    <row r="432" spans="9:11" x14ac:dyDescent="0.25">
      <c r="I432" s="89">
        <v>67.498414339900194</v>
      </c>
      <c r="J432" s="89">
        <v>1410.722250948</v>
      </c>
      <c r="K432" s="89">
        <v>0.9</v>
      </c>
    </row>
    <row r="433" spans="9:11" x14ac:dyDescent="0.25">
      <c r="I433" s="89">
        <v>67.498414339900194</v>
      </c>
      <c r="J433" s="89">
        <v>1410.722250948</v>
      </c>
      <c r="K433" s="89">
        <v>0.9</v>
      </c>
    </row>
    <row r="434" spans="9:11" x14ac:dyDescent="0.25">
      <c r="I434" s="89">
        <v>67.498414339900194</v>
      </c>
      <c r="J434" s="89">
        <v>1410.722250948</v>
      </c>
      <c r="K434" s="89">
        <v>0.9</v>
      </c>
    </row>
    <row r="435" spans="9:11" x14ac:dyDescent="0.25">
      <c r="I435" s="89">
        <v>67.498414339900194</v>
      </c>
      <c r="J435" s="89">
        <v>1410.722250948</v>
      </c>
      <c r="K435" s="89">
        <v>0.9</v>
      </c>
    </row>
    <row r="436" spans="9:11" x14ac:dyDescent="0.25">
      <c r="I436" s="89">
        <v>67.498414339900194</v>
      </c>
      <c r="J436" s="89">
        <v>1410.722250948</v>
      </c>
      <c r="K436" s="89">
        <v>0.9</v>
      </c>
    </row>
    <row r="437" spans="9:11" x14ac:dyDescent="0.25">
      <c r="I437" s="89">
        <v>67.498414339900194</v>
      </c>
      <c r="J437" s="89">
        <v>1410.722250948</v>
      </c>
      <c r="K437" s="89">
        <v>0.9</v>
      </c>
    </row>
    <row r="438" spans="9:11" x14ac:dyDescent="0.25">
      <c r="I438" s="89">
        <v>67.498414339900194</v>
      </c>
      <c r="J438" s="89">
        <v>1410.722250948</v>
      </c>
      <c r="K438" s="89">
        <v>0.9</v>
      </c>
    </row>
    <row r="439" spans="9:11" x14ac:dyDescent="0.25">
      <c r="I439" s="89">
        <v>67.498414339900194</v>
      </c>
      <c r="J439" s="89">
        <v>1410.722250948</v>
      </c>
      <c r="K439" s="89">
        <v>0.9</v>
      </c>
    </row>
    <row r="440" spans="9:11" x14ac:dyDescent="0.25">
      <c r="I440" s="89">
        <v>67.498414339900194</v>
      </c>
      <c r="J440" s="89">
        <v>1410.722250948</v>
      </c>
      <c r="K440" s="89">
        <v>0.9</v>
      </c>
    </row>
    <row r="441" spans="9:11" x14ac:dyDescent="0.25">
      <c r="I441" s="89">
        <v>67.498414339900194</v>
      </c>
      <c r="J441" s="89">
        <v>1410.722250948</v>
      </c>
      <c r="K441" s="89">
        <v>0.9</v>
      </c>
    </row>
    <row r="442" spans="9:11" x14ac:dyDescent="0.25">
      <c r="I442" s="89">
        <v>219.43296566464991</v>
      </c>
      <c r="J442" s="89">
        <v>5163.8581540065006</v>
      </c>
      <c r="K442" s="89">
        <v>0.65</v>
      </c>
    </row>
    <row r="443" spans="9:11" x14ac:dyDescent="0.25">
      <c r="I443" s="89">
        <v>218.7128117365323</v>
      </c>
      <c r="J443" s="89">
        <v>5147.4146417134998</v>
      </c>
      <c r="K443" s="89">
        <v>0.65</v>
      </c>
    </row>
    <row r="444" spans="9:11" x14ac:dyDescent="0.25">
      <c r="I444" s="89">
        <v>217.99265780841463</v>
      </c>
      <c r="J444" s="89">
        <v>5130.9711294204999</v>
      </c>
      <c r="K444" s="89">
        <v>0.65</v>
      </c>
    </row>
    <row r="445" spans="9:11" x14ac:dyDescent="0.25">
      <c r="I445" s="89">
        <v>217.27250388029705</v>
      </c>
      <c r="J445" s="89">
        <v>5114.5276171275</v>
      </c>
      <c r="K445" s="89">
        <v>0.65</v>
      </c>
    </row>
    <row r="446" spans="9:11" x14ac:dyDescent="0.25">
      <c r="I446" s="89">
        <v>216.55234995217947</v>
      </c>
      <c r="J446" s="89">
        <v>5098.0841048410002</v>
      </c>
      <c r="K446" s="89">
        <v>0.65</v>
      </c>
    </row>
    <row r="447" spans="9:11" x14ac:dyDescent="0.25">
      <c r="I447" s="89">
        <v>215.83219602406174</v>
      </c>
      <c r="J447" s="89">
        <v>5081.6405925480003</v>
      </c>
      <c r="K447" s="89">
        <v>0.65</v>
      </c>
    </row>
    <row r="448" spans="9:11" x14ac:dyDescent="0.25">
      <c r="I448" s="89">
        <v>215.11204209594408</v>
      </c>
      <c r="J448" s="89">
        <v>5065.1970802549995</v>
      </c>
      <c r="K448" s="89">
        <v>0.65</v>
      </c>
    </row>
    <row r="449" spans="9:11" x14ac:dyDescent="0.25">
      <c r="I449" s="89">
        <v>214.39188816782658</v>
      </c>
      <c r="J449" s="89">
        <v>5048.7535679620005</v>
      </c>
      <c r="K449" s="89">
        <v>0.65</v>
      </c>
    </row>
    <row r="450" spans="9:11" x14ac:dyDescent="0.25">
      <c r="I450" s="89">
        <v>213.67173423970891</v>
      </c>
      <c r="J450" s="89">
        <v>5032.3100556754998</v>
      </c>
      <c r="K450" s="89">
        <v>0.65</v>
      </c>
    </row>
    <row r="451" spans="9:11" x14ac:dyDescent="0.25">
      <c r="I451" s="89">
        <v>212.9515803115913</v>
      </c>
      <c r="J451" s="89">
        <v>5015.8665433824999</v>
      </c>
      <c r="K451" s="89">
        <v>0.65</v>
      </c>
    </row>
    <row r="452" spans="9:11" x14ac:dyDescent="0.25">
      <c r="I452" s="89">
        <v>212.23142638347375</v>
      </c>
      <c r="J452" s="89">
        <v>4999.4230310895</v>
      </c>
      <c r="K452" s="89">
        <v>0.65</v>
      </c>
    </row>
    <row r="453" spans="9:11" x14ac:dyDescent="0.25">
      <c r="I453" s="89">
        <v>211.51127245535602</v>
      </c>
      <c r="J453" s="89">
        <v>4982.9795187965001</v>
      </c>
      <c r="K453" s="89">
        <v>0.65</v>
      </c>
    </row>
    <row r="454" spans="9:11" x14ac:dyDescent="0.25">
      <c r="I454" s="89">
        <v>210.79111852723841</v>
      </c>
      <c r="J454" s="89">
        <v>4966.5360065035002</v>
      </c>
      <c r="K454" s="89">
        <v>0.65</v>
      </c>
    </row>
    <row r="455" spans="9:11" x14ac:dyDescent="0.25">
      <c r="I455" s="89">
        <v>210.07096459912074</v>
      </c>
      <c r="J455" s="89">
        <v>4950.0924942170004</v>
      </c>
      <c r="K455" s="89">
        <v>0.65</v>
      </c>
    </row>
    <row r="456" spans="9:11" x14ac:dyDescent="0.25">
      <c r="I456" s="89">
        <v>209.35081067100319</v>
      </c>
      <c r="J456" s="89">
        <v>4933.6489819240005</v>
      </c>
      <c r="K456" s="89">
        <v>0.65</v>
      </c>
    </row>
    <row r="457" spans="9:11" x14ac:dyDescent="0.25">
      <c r="I457" s="89">
        <v>208.63065674288546</v>
      </c>
      <c r="J457" s="89">
        <v>4917.2054696309997</v>
      </c>
      <c r="K457" s="89">
        <v>0.65</v>
      </c>
    </row>
    <row r="458" spans="9:11" x14ac:dyDescent="0.25">
      <c r="I458" s="89">
        <v>207.9105028147678</v>
      </c>
      <c r="J458" s="89">
        <v>4900.7619573379998</v>
      </c>
      <c r="K458" s="89">
        <v>0.65</v>
      </c>
    </row>
    <row r="459" spans="9:11" x14ac:dyDescent="0.25">
      <c r="I459" s="89">
        <v>207.1903488866503</v>
      </c>
      <c r="J459" s="89">
        <v>4884.3184450515</v>
      </c>
      <c r="K459" s="89">
        <v>0.65</v>
      </c>
    </row>
    <row r="460" spans="9:11" x14ac:dyDescent="0.25">
      <c r="I460" s="89">
        <v>16.498414339900084</v>
      </c>
      <c r="J460" s="89">
        <v>563.71407909300001</v>
      </c>
      <c r="K460" s="89">
        <v>0.9</v>
      </c>
    </row>
    <row r="461" spans="9:11" x14ac:dyDescent="0.25">
      <c r="I461" s="89">
        <v>16.498414339900084</v>
      </c>
      <c r="J461" s="89">
        <v>563.71407909300001</v>
      </c>
      <c r="K461" s="89">
        <v>0.9</v>
      </c>
    </row>
    <row r="462" spans="9:11" x14ac:dyDescent="0.25">
      <c r="I462" s="89">
        <v>16.498414339900084</v>
      </c>
      <c r="J462" s="89">
        <v>563.71407909300001</v>
      </c>
      <c r="K462" s="89">
        <v>0.9</v>
      </c>
    </row>
    <row r="463" spans="9:11" x14ac:dyDescent="0.25">
      <c r="I463" s="89">
        <v>16.498414339900084</v>
      </c>
      <c r="J463" s="89">
        <v>563.71407909300001</v>
      </c>
      <c r="K463" s="89">
        <v>0.9</v>
      </c>
    </row>
    <row r="464" spans="9:11" x14ac:dyDescent="0.25">
      <c r="I464" s="89">
        <v>16.498414339900084</v>
      </c>
      <c r="J464" s="89">
        <v>563.71407909300001</v>
      </c>
      <c r="K464" s="89">
        <v>0.9</v>
      </c>
    </row>
    <row r="465" spans="9:11" x14ac:dyDescent="0.25">
      <c r="I465" s="89">
        <v>16.498414339900084</v>
      </c>
      <c r="J465" s="89">
        <v>563.71407909300001</v>
      </c>
      <c r="K465" s="89">
        <v>0.9</v>
      </c>
    </row>
    <row r="466" spans="9:11" x14ac:dyDescent="0.25">
      <c r="I466" s="89">
        <v>16.498414339900084</v>
      </c>
      <c r="J466" s="89">
        <v>563.71407909300001</v>
      </c>
      <c r="K466" s="89">
        <v>0.9</v>
      </c>
    </row>
    <row r="467" spans="9:11" x14ac:dyDescent="0.25">
      <c r="I467" s="89">
        <v>16.498414339900084</v>
      </c>
      <c r="J467" s="89">
        <v>563.71407909300001</v>
      </c>
      <c r="K467" s="89">
        <v>0.9</v>
      </c>
    </row>
    <row r="468" spans="9:11" x14ac:dyDescent="0.25">
      <c r="I468" s="89">
        <v>16.498414339900084</v>
      </c>
      <c r="J468" s="89">
        <v>563.71407909300001</v>
      </c>
      <c r="K468" s="89">
        <v>0.9</v>
      </c>
    </row>
    <row r="469" spans="9:11" x14ac:dyDescent="0.25">
      <c r="I469" s="89">
        <v>16.498414339900084</v>
      </c>
      <c r="J469" s="89">
        <v>563.71407909300001</v>
      </c>
      <c r="K469" s="89">
        <v>0.9</v>
      </c>
    </row>
    <row r="470" spans="9:11" x14ac:dyDescent="0.25">
      <c r="I470" s="89">
        <v>16.498414339900084</v>
      </c>
      <c r="J470" s="89">
        <v>563.71407909300001</v>
      </c>
      <c r="K470" s="89">
        <v>0.9</v>
      </c>
    </row>
    <row r="471" spans="9:11" x14ac:dyDescent="0.25">
      <c r="I471" s="89">
        <v>16.498414339900084</v>
      </c>
      <c r="J471" s="89">
        <v>563.71407909300001</v>
      </c>
      <c r="K471" s="89">
        <v>0.9</v>
      </c>
    </row>
    <row r="472" spans="9:11" x14ac:dyDescent="0.25">
      <c r="I472" s="89">
        <v>16.498414339900084</v>
      </c>
      <c r="J472" s="89">
        <v>563.71407909300001</v>
      </c>
      <c r="K472" s="89">
        <v>0.9</v>
      </c>
    </row>
    <row r="473" spans="9:11" x14ac:dyDescent="0.25">
      <c r="I473" s="89">
        <v>16.498414339900084</v>
      </c>
      <c r="J473" s="89">
        <v>563.71407909300001</v>
      </c>
      <c r="K473" s="89">
        <v>0.9</v>
      </c>
    </row>
    <row r="474" spans="9:11" x14ac:dyDescent="0.25">
      <c r="I474" s="89">
        <v>16.498414339900084</v>
      </c>
      <c r="J474" s="89">
        <v>563.71407909300001</v>
      </c>
      <c r="K474" s="89">
        <v>0.9</v>
      </c>
    </row>
    <row r="475" spans="9:11" x14ac:dyDescent="0.25">
      <c r="I475" s="89">
        <v>16.498414339900084</v>
      </c>
      <c r="J475" s="89">
        <v>563.71407909300001</v>
      </c>
      <c r="K475" s="89">
        <v>0.9</v>
      </c>
    </row>
    <row r="476" spans="9:11" x14ac:dyDescent="0.25">
      <c r="I476" s="89">
        <v>16.498414339900084</v>
      </c>
      <c r="J476" s="89">
        <v>563.71407909300001</v>
      </c>
      <c r="K476" s="89">
        <v>0.9</v>
      </c>
    </row>
  </sheetData>
  <mergeCells count="10">
    <mergeCell ref="L1:O8"/>
    <mergeCell ref="A31:B32"/>
    <mergeCell ref="C31:C32"/>
    <mergeCell ref="D31:D32"/>
    <mergeCell ref="E32:G36"/>
    <mergeCell ref="K1:K2"/>
    <mergeCell ref="A1:F2"/>
    <mergeCell ref="G1:G2"/>
    <mergeCell ref="I1:I2"/>
    <mergeCell ref="J1:J2"/>
  </mergeCells>
  <printOptions horizontalCentered="1" verticalCentered="1"/>
  <pageMargins left="0.70866141732283472" right="0.70866141732283472" top="0.74803149606299213" bottom="0.74803149606299213" header="0.31496062992125984" footer="0.31496062992125984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0AF001-D87C-4C71-90A5-3E802F9661A1}">
  <sheetPr codeName="Sheet2"/>
  <dimension ref="G6"/>
  <sheetViews>
    <sheetView zoomScale="160" zoomScaleNormal="160" workbookViewId="0">
      <selection activeCell="D28" sqref="D28"/>
    </sheetView>
  </sheetViews>
  <sheetFormatPr defaultRowHeight="15" x14ac:dyDescent="0.25"/>
  <sheetData>
    <row r="6" spans="7:7" x14ac:dyDescent="0.25">
      <c r="G6" t="s">
        <v>94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E31AC1-26AB-44B7-9DE8-C1E15DE1206E}">
  <sheetPr codeName="Sheet3"/>
  <dimension ref="A1:E6"/>
  <sheetViews>
    <sheetView topLeftCell="A2" zoomScale="175" zoomScaleNormal="175" workbookViewId="0">
      <selection activeCell="C4" sqref="C4"/>
    </sheetView>
  </sheetViews>
  <sheetFormatPr defaultColWidth="9.140625" defaultRowHeight="14.25" x14ac:dyDescent="0.25"/>
  <cols>
    <col min="1" max="1" width="21.5703125" style="23" customWidth="1"/>
    <col min="2" max="3" width="14.28515625" style="23" customWidth="1"/>
    <col min="4" max="4" width="13.42578125" style="23" customWidth="1"/>
    <col min="5" max="5" width="12.5703125" style="23" customWidth="1"/>
    <col min="6" max="16384" width="9.140625" style="23"/>
  </cols>
  <sheetData>
    <row r="1" spans="1:5" ht="28.5" customHeight="1" thickBot="1" x14ac:dyDescent="0.3">
      <c r="A1" s="120" t="s">
        <v>30</v>
      </c>
      <c r="B1" s="121"/>
      <c r="C1" s="121"/>
      <c r="D1" s="121"/>
      <c r="E1" s="122"/>
    </row>
    <row r="2" spans="1:5" ht="37.5" customHeight="1" thickBot="1" x14ac:dyDescent="0.3">
      <c r="A2" s="31" t="s">
        <v>26</v>
      </c>
      <c r="B2" s="32" t="s">
        <v>4</v>
      </c>
      <c r="C2" s="32" t="s">
        <v>25</v>
      </c>
      <c r="D2" s="32" t="s">
        <v>24</v>
      </c>
      <c r="E2" s="33" t="s">
        <v>27</v>
      </c>
    </row>
    <row r="3" spans="1:5" ht="48.75" customHeight="1" x14ac:dyDescent="0.25">
      <c r="A3" s="26" t="s">
        <v>28</v>
      </c>
      <c r="B3" s="23">
        <v>420</v>
      </c>
      <c r="C3" s="23">
        <v>500</v>
      </c>
      <c r="D3" s="23">
        <v>220</v>
      </c>
      <c r="E3" s="29"/>
    </row>
    <row r="4" spans="1:5" ht="31.5" customHeight="1" x14ac:dyDescent="0.25">
      <c r="A4" s="25" t="s">
        <v>29</v>
      </c>
      <c r="B4" s="23">
        <v>200000</v>
      </c>
      <c r="C4" s="23">
        <v>200000</v>
      </c>
      <c r="D4" s="23">
        <v>200000</v>
      </c>
      <c r="E4" s="29"/>
    </row>
    <row r="5" spans="1:5" ht="28.5" x14ac:dyDescent="0.25">
      <c r="A5" s="26" t="s">
        <v>43</v>
      </c>
      <c r="B5" s="24">
        <f>B3/B4</f>
        <v>2.0999999999999999E-3</v>
      </c>
      <c r="C5" s="24">
        <f>C3/C4</f>
        <v>2.5000000000000001E-3</v>
      </c>
      <c r="D5" s="24">
        <f>D3/D4</f>
        <v>1.1000000000000001E-3</v>
      </c>
      <c r="E5" s="29"/>
    </row>
    <row r="6" spans="1:5" ht="29.25" thickBot="1" x14ac:dyDescent="0.3">
      <c r="A6" s="27" t="s">
        <v>44</v>
      </c>
      <c r="B6" s="28">
        <v>0.12</v>
      </c>
      <c r="C6" s="28">
        <v>0.12</v>
      </c>
      <c r="D6" s="28">
        <v>0.12</v>
      </c>
      <c r="E6" s="30"/>
    </row>
  </sheetData>
  <mergeCells count="1">
    <mergeCell ref="A1:E1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38F6BD-75CF-49FA-BE9D-FDDC775A75B0}">
  <sheetPr codeName="Sheet4"/>
  <dimension ref="A1:E11"/>
  <sheetViews>
    <sheetView zoomScale="115" zoomScaleNormal="115" workbookViewId="0">
      <selection activeCell="B40" sqref="B40"/>
    </sheetView>
  </sheetViews>
  <sheetFormatPr defaultColWidth="9.140625" defaultRowHeight="14.25" x14ac:dyDescent="0.25"/>
  <cols>
    <col min="1" max="1" width="21.5703125" style="23" customWidth="1"/>
    <col min="2" max="3" width="14.28515625" style="23" customWidth="1"/>
    <col min="4" max="4" width="13.42578125" style="23" customWidth="1"/>
    <col min="5" max="5" width="12.5703125" style="23" customWidth="1"/>
    <col min="6" max="16384" width="9.140625" style="23"/>
  </cols>
  <sheetData>
    <row r="1" spans="1:5" ht="28.5" customHeight="1" thickBot="1" x14ac:dyDescent="0.3">
      <c r="A1" s="123" t="s">
        <v>39</v>
      </c>
      <c r="B1" s="124"/>
      <c r="C1" s="124"/>
      <c r="D1" s="124"/>
      <c r="E1" s="125"/>
    </row>
    <row r="2" spans="1:5" ht="37.5" customHeight="1" thickTop="1" thickBot="1" x14ac:dyDescent="0.3">
      <c r="A2" s="38" t="s">
        <v>26</v>
      </c>
      <c r="B2" s="35" t="s">
        <v>31</v>
      </c>
      <c r="C2" s="35" t="s">
        <v>32</v>
      </c>
      <c r="D2" s="35" t="s">
        <v>33</v>
      </c>
      <c r="E2" s="39" t="s">
        <v>27</v>
      </c>
    </row>
    <row r="3" spans="1:5" ht="37.5" customHeight="1" thickTop="1" x14ac:dyDescent="0.25">
      <c r="A3" s="40" t="s">
        <v>41</v>
      </c>
      <c r="B3" s="23">
        <v>200000</v>
      </c>
      <c r="C3" s="23">
        <v>200000</v>
      </c>
      <c r="D3" s="23">
        <v>200000</v>
      </c>
      <c r="E3" s="41"/>
    </row>
    <row r="4" spans="1:5" ht="48.75" customHeight="1" x14ac:dyDescent="0.25">
      <c r="A4" s="42" t="s">
        <v>34</v>
      </c>
      <c r="B4" s="23">
        <v>952</v>
      </c>
      <c r="C4" s="23">
        <v>1505</v>
      </c>
      <c r="D4" s="23">
        <v>1665</v>
      </c>
      <c r="E4" s="43"/>
    </row>
    <row r="5" spans="1:5" ht="31.5" customHeight="1" x14ac:dyDescent="0.25">
      <c r="A5" s="42" t="s">
        <v>35</v>
      </c>
      <c r="B5" s="23">
        <v>1050</v>
      </c>
      <c r="C5" s="23">
        <v>1650</v>
      </c>
      <c r="D5" s="23">
        <v>1860</v>
      </c>
      <c r="E5" s="43"/>
    </row>
    <row r="6" spans="1:5" ht="31.5" customHeight="1" x14ac:dyDescent="0.25">
      <c r="A6" s="44" t="s">
        <v>45</v>
      </c>
      <c r="B6" s="36">
        <v>4.1000000000000002E-2</v>
      </c>
      <c r="C6" s="36">
        <v>8.6999999999999994E-2</v>
      </c>
      <c r="D6" s="36">
        <v>6.9000000000000006E-2</v>
      </c>
      <c r="E6" s="45"/>
    </row>
    <row r="7" spans="1:5" ht="31.5" customHeight="1" x14ac:dyDescent="0.25">
      <c r="A7" s="42" t="s">
        <v>36</v>
      </c>
      <c r="B7" s="23">
        <v>7.1</v>
      </c>
      <c r="C7" s="23">
        <v>6.06</v>
      </c>
      <c r="D7" s="23">
        <v>7.3440000000000003</v>
      </c>
      <c r="E7" s="43"/>
    </row>
    <row r="8" spans="1:5" x14ac:dyDescent="0.25">
      <c r="A8" s="42" t="s">
        <v>37</v>
      </c>
      <c r="B8" s="34">
        <v>1.0041</v>
      </c>
      <c r="C8" s="34">
        <v>1.0325</v>
      </c>
      <c r="D8" s="34">
        <v>1.0618000000000001</v>
      </c>
      <c r="E8" s="43"/>
    </row>
    <row r="9" spans="1:5" ht="30.75" customHeight="1" thickBot="1" x14ac:dyDescent="0.3">
      <c r="A9" s="46" t="s">
        <v>38</v>
      </c>
      <c r="B9" s="47">
        <v>1.7500000000000002E-2</v>
      </c>
      <c r="C9" s="47">
        <v>6.2500000000000003E-3</v>
      </c>
      <c r="D9" s="47">
        <v>1.174E-2</v>
      </c>
      <c r="E9" s="48"/>
    </row>
    <row r="11" spans="1:5" ht="15" x14ac:dyDescent="0.25">
      <c r="A11"/>
    </row>
  </sheetData>
  <mergeCells count="1">
    <mergeCell ref="A1:E1"/>
  </mergeCells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347D3F-C365-45E5-A802-07D48861D211}">
  <sheetPr codeName="Sheet5"/>
  <dimension ref="A1:G57"/>
  <sheetViews>
    <sheetView zoomScaleNormal="100" workbookViewId="0">
      <selection activeCell="C14" sqref="C14"/>
    </sheetView>
  </sheetViews>
  <sheetFormatPr defaultRowHeight="15" x14ac:dyDescent="0.25"/>
  <cols>
    <col min="1" max="1" width="19.28515625" customWidth="1"/>
    <col min="3" max="3" width="17.7109375" customWidth="1"/>
    <col min="6" max="6" width="9.7109375" customWidth="1"/>
  </cols>
  <sheetData>
    <row r="1" spans="1:7" ht="30" customHeight="1" x14ac:dyDescent="0.25">
      <c r="A1" s="23" t="s">
        <v>47</v>
      </c>
      <c r="B1" s="23" t="s">
        <v>59</v>
      </c>
      <c r="C1" s="1" t="s">
        <v>48</v>
      </c>
      <c r="D1" s="23" t="s">
        <v>58</v>
      </c>
      <c r="E1" s="1" t="s">
        <v>49</v>
      </c>
      <c r="F1" s="61" t="s">
        <v>12</v>
      </c>
      <c r="G1" s="1">
        <v>4</v>
      </c>
    </row>
    <row r="2" spans="1:7" x14ac:dyDescent="0.25">
      <c r="A2" s="62"/>
      <c r="B2" s="62"/>
      <c r="C2" s="62"/>
      <c r="D2" s="62"/>
      <c r="E2" s="63"/>
      <c r="F2" s="64"/>
      <c r="G2" s="64"/>
    </row>
    <row r="3" spans="1:7" x14ac:dyDescent="0.25">
      <c r="A3" s="60" t="s">
        <v>46</v>
      </c>
      <c r="B3" s="55"/>
      <c r="C3" s="58" t="s">
        <v>13</v>
      </c>
      <c r="D3" s="55"/>
      <c r="E3" s="81" t="s">
        <v>14</v>
      </c>
      <c r="F3" s="3"/>
      <c r="G3" s="3"/>
    </row>
    <row r="4" spans="1:7" x14ac:dyDescent="0.25">
      <c r="A4" s="66">
        <v>1</v>
      </c>
      <c r="B4" s="51"/>
      <c r="C4" s="79">
        <v>0</v>
      </c>
      <c r="D4" s="80"/>
      <c r="E4" s="79">
        <v>0</v>
      </c>
      <c r="F4" s="52"/>
      <c r="G4" s="3"/>
    </row>
    <row r="5" spans="1:7" x14ac:dyDescent="0.25">
      <c r="A5" s="67">
        <v>2</v>
      </c>
      <c r="B5" s="51"/>
      <c r="C5" s="79">
        <v>0</v>
      </c>
      <c r="D5" s="80"/>
      <c r="E5" s="79">
        <v>0</v>
      </c>
      <c r="F5" s="52"/>
      <c r="G5" s="3"/>
    </row>
    <row r="6" spans="1:7" x14ac:dyDescent="0.25">
      <c r="A6" s="67">
        <v>3</v>
      </c>
      <c r="B6" s="51"/>
      <c r="C6" s="79">
        <v>0</v>
      </c>
      <c r="D6" s="80"/>
      <c r="E6" s="79">
        <v>0</v>
      </c>
      <c r="F6" s="52"/>
      <c r="G6" s="3"/>
    </row>
    <row r="7" spans="1:7" x14ac:dyDescent="0.25">
      <c r="A7" s="68">
        <f>A6+1</f>
        <v>4</v>
      </c>
      <c r="B7" s="51"/>
      <c r="C7" s="79">
        <v>0</v>
      </c>
      <c r="D7" s="80"/>
      <c r="E7" s="79">
        <v>0</v>
      </c>
      <c r="F7" s="52"/>
      <c r="G7" s="3"/>
    </row>
    <row r="8" spans="1:7" x14ac:dyDescent="0.25">
      <c r="A8" s="3"/>
      <c r="B8" s="3"/>
      <c r="C8" s="55"/>
      <c r="D8" s="3"/>
      <c r="E8" s="55"/>
      <c r="F8" s="3"/>
    </row>
    <row r="10" spans="1:7" ht="30" customHeight="1" x14ac:dyDescent="0.25">
      <c r="A10" s="23" t="s">
        <v>47</v>
      </c>
      <c r="B10" s="23" t="s">
        <v>59</v>
      </c>
      <c r="C10" s="1" t="s">
        <v>48</v>
      </c>
      <c r="D10" s="23" t="s">
        <v>58</v>
      </c>
      <c r="E10" s="1" t="s">
        <v>50</v>
      </c>
      <c r="F10" s="65" t="s">
        <v>12</v>
      </c>
      <c r="G10" s="65"/>
    </row>
    <row r="11" spans="1:7" x14ac:dyDescent="0.25">
      <c r="A11" s="3"/>
      <c r="B11" s="3"/>
      <c r="C11" s="82"/>
      <c r="D11" s="3"/>
      <c r="E11" s="55"/>
      <c r="F11" s="55"/>
      <c r="G11" s="3"/>
    </row>
    <row r="12" spans="1:7" ht="15.75" thickBot="1" x14ac:dyDescent="0.3">
      <c r="A12" s="83" t="s">
        <v>56</v>
      </c>
      <c r="B12" s="84" t="s">
        <v>13</v>
      </c>
      <c r="C12" s="79">
        <v>0</v>
      </c>
      <c r="D12" s="78" t="s">
        <v>14</v>
      </c>
      <c r="E12" s="53">
        <v>0</v>
      </c>
      <c r="F12" s="3"/>
      <c r="G12" s="3"/>
    </row>
    <row r="13" spans="1:7" ht="15.75" thickBot="1" x14ac:dyDescent="0.3">
      <c r="A13" s="3" t="s">
        <v>52</v>
      </c>
      <c r="B13" s="51"/>
      <c r="C13" s="79">
        <v>0</v>
      </c>
      <c r="E13" s="85"/>
      <c r="F13" s="52"/>
      <c r="G13" s="3"/>
    </row>
    <row r="14" spans="1:7" x14ac:dyDescent="0.25">
      <c r="A14" s="3" t="s">
        <v>53</v>
      </c>
      <c r="B14" s="51"/>
      <c r="C14" s="79">
        <v>0</v>
      </c>
      <c r="D14" s="52"/>
      <c r="E14" s="55"/>
      <c r="F14" s="3"/>
      <c r="G14" s="3"/>
    </row>
    <row r="15" spans="1:7" x14ac:dyDescent="0.25">
      <c r="A15" s="55"/>
      <c r="B15" s="55"/>
      <c r="C15" s="55"/>
      <c r="D15" s="3"/>
      <c r="E15" s="3"/>
      <c r="F15" s="3"/>
      <c r="G15" s="59"/>
    </row>
    <row r="17" spans="1:7" x14ac:dyDescent="0.25">
      <c r="A17" s="56" t="s">
        <v>47</v>
      </c>
      <c r="B17" s="57" t="s">
        <v>48</v>
      </c>
      <c r="C17" s="57" t="s">
        <v>82</v>
      </c>
      <c r="D17" s="3"/>
      <c r="E17" s="55"/>
      <c r="F17" s="94" t="s">
        <v>12</v>
      </c>
      <c r="G17" s="3"/>
    </row>
    <row r="18" spans="1:7" x14ac:dyDescent="0.25">
      <c r="A18" s="3"/>
      <c r="B18" s="3"/>
      <c r="C18" s="3"/>
      <c r="D18" s="3"/>
      <c r="E18" s="55"/>
      <c r="F18" s="55"/>
      <c r="G18" s="3"/>
    </row>
    <row r="19" spans="1:7" x14ac:dyDescent="0.25">
      <c r="A19" s="5" t="s">
        <v>51</v>
      </c>
      <c r="B19" s="5" t="s">
        <v>13</v>
      </c>
      <c r="C19" s="53">
        <v>0</v>
      </c>
      <c r="D19" s="5" t="s">
        <v>14</v>
      </c>
      <c r="E19" s="53">
        <v>0</v>
      </c>
      <c r="F19" s="3"/>
      <c r="G19" s="3"/>
    </row>
    <row r="20" spans="1:7" x14ac:dyDescent="0.25">
      <c r="A20" s="5" t="s">
        <v>52</v>
      </c>
      <c r="B20" s="3"/>
      <c r="C20" s="53">
        <v>0</v>
      </c>
      <c r="F20" s="3"/>
      <c r="G20" s="3"/>
    </row>
    <row r="21" spans="1:7" x14ac:dyDescent="0.25">
      <c r="A21" s="5" t="s">
        <v>53</v>
      </c>
      <c r="B21" s="3"/>
      <c r="C21" s="54">
        <v>0</v>
      </c>
      <c r="D21" s="3"/>
      <c r="E21" s="3"/>
      <c r="F21" s="3"/>
      <c r="G21" s="3"/>
    </row>
    <row r="22" spans="1:7" x14ac:dyDescent="0.25">
      <c r="A22" s="58" t="s">
        <v>54</v>
      </c>
      <c r="C22" s="54">
        <v>0</v>
      </c>
      <c r="D22" s="126" t="s">
        <v>57</v>
      </c>
      <c r="E22" s="127"/>
      <c r="F22" s="127"/>
      <c r="G22" s="128"/>
    </row>
    <row r="23" spans="1:7" x14ac:dyDescent="0.25">
      <c r="A23" s="58" t="s">
        <v>55</v>
      </c>
      <c r="C23" s="54">
        <v>0</v>
      </c>
      <c r="D23" s="129"/>
      <c r="E23" s="130"/>
      <c r="F23" s="130"/>
      <c r="G23" s="131"/>
    </row>
    <row r="26" spans="1:7" x14ac:dyDescent="0.25">
      <c r="A26" s="132" t="s">
        <v>20</v>
      </c>
      <c r="B26" s="133"/>
      <c r="C26" s="133"/>
      <c r="D26" s="133"/>
      <c r="E26" s="134"/>
      <c r="F26" s="13"/>
      <c r="G26" s="13"/>
    </row>
    <row r="27" spans="1:7" x14ac:dyDescent="0.25">
      <c r="A27" s="13"/>
      <c r="B27" s="13"/>
      <c r="C27" s="13"/>
      <c r="D27" s="13"/>
      <c r="E27" s="13"/>
      <c r="F27" s="13"/>
      <c r="G27" s="13"/>
    </row>
    <row r="28" spans="1:7" x14ac:dyDescent="0.25">
      <c r="A28" s="104" t="s">
        <v>61</v>
      </c>
      <c r="B28" s="106"/>
      <c r="C28" s="15" t="s">
        <v>81</v>
      </c>
      <c r="D28" s="13"/>
      <c r="E28" s="13"/>
      <c r="F28" s="13"/>
      <c r="G28" s="13"/>
    </row>
    <row r="29" spans="1:7" x14ac:dyDescent="0.25">
      <c r="A29" s="13"/>
      <c r="B29" s="13"/>
      <c r="C29" s="13"/>
      <c r="D29" s="13"/>
      <c r="E29" s="13"/>
      <c r="F29" s="13"/>
      <c r="G29" s="13"/>
    </row>
    <row r="30" spans="1:7" x14ac:dyDescent="0.25">
      <c r="A30" s="104" t="s">
        <v>21</v>
      </c>
      <c r="B30" s="106"/>
      <c r="C30" s="15">
        <v>2</v>
      </c>
      <c r="D30" s="13" t="s">
        <v>22</v>
      </c>
      <c r="E30" s="13"/>
      <c r="F30" s="13"/>
      <c r="G30" s="13"/>
    </row>
    <row r="31" spans="1:7" x14ac:dyDescent="0.25">
      <c r="A31" s="13"/>
      <c r="B31" s="13"/>
      <c r="C31" s="18"/>
      <c r="D31" s="13"/>
      <c r="E31" s="13"/>
      <c r="F31" s="13"/>
      <c r="G31" s="13"/>
    </row>
    <row r="32" spans="1:7" x14ac:dyDescent="0.25">
      <c r="A32" s="104" t="s">
        <v>23</v>
      </c>
      <c r="B32" s="106"/>
      <c r="C32" s="15">
        <v>2</v>
      </c>
      <c r="D32" s="13" t="s">
        <v>22</v>
      </c>
      <c r="E32" s="13"/>
      <c r="F32" s="13"/>
      <c r="G32" s="13"/>
    </row>
    <row r="34" spans="1:7" x14ac:dyDescent="0.25">
      <c r="A34" s="132" t="s">
        <v>63</v>
      </c>
      <c r="B34" s="133"/>
      <c r="C34" s="133"/>
      <c r="D34" s="133"/>
      <c r="E34" s="134"/>
      <c r="F34" s="13"/>
      <c r="G34" s="13"/>
    </row>
    <row r="35" spans="1:7" x14ac:dyDescent="0.25">
      <c r="A35" s="13"/>
      <c r="B35" s="13"/>
      <c r="C35" s="13"/>
      <c r="D35" s="13"/>
      <c r="E35" s="13"/>
      <c r="F35" s="13"/>
      <c r="G35" s="13"/>
    </row>
    <row r="36" spans="1:7" x14ac:dyDescent="0.25">
      <c r="A36" s="104" t="s">
        <v>58</v>
      </c>
      <c r="B36" s="106"/>
      <c r="C36" s="15" t="s">
        <v>65</v>
      </c>
      <c r="D36" s="16"/>
      <c r="E36" s="16"/>
      <c r="F36" s="16"/>
      <c r="G36" s="16"/>
    </row>
    <row r="37" spans="1:7" x14ac:dyDescent="0.25">
      <c r="A37" s="16"/>
      <c r="B37" s="16"/>
      <c r="C37" s="16"/>
      <c r="D37" s="16"/>
      <c r="E37" s="16"/>
      <c r="F37" s="16"/>
      <c r="G37" s="16"/>
    </row>
    <row r="38" spans="1:7" x14ac:dyDescent="0.25">
      <c r="A38" s="104" t="s">
        <v>66</v>
      </c>
      <c r="B38" s="105"/>
      <c r="C38" s="70">
        <v>2</v>
      </c>
      <c r="D38" s="16"/>
      <c r="E38" s="16"/>
      <c r="F38" s="16"/>
      <c r="G38" s="16"/>
    </row>
    <row r="39" spans="1:7" x14ac:dyDescent="0.25">
      <c r="A39" s="3"/>
      <c r="B39" s="3"/>
      <c r="C39" s="3"/>
      <c r="D39" s="3"/>
      <c r="E39" s="3"/>
      <c r="F39" s="3"/>
      <c r="G39" s="3"/>
    </row>
    <row r="40" spans="1:7" x14ac:dyDescent="0.25">
      <c r="A40" s="60" t="s">
        <v>67</v>
      </c>
      <c r="B40" s="3"/>
      <c r="C40" s="71" t="s">
        <v>68</v>
      </c>
      <c r="D40" s="3"/>
      <c r="E40" s="3"/>
      <c r="F40" s="3"/>
      <c r="G40" s="3"/>
    </row>
    <row r="41" spans="1:7" x14ac:dyDescent="0.25">
      <c r="A41" s="66">
        <v>1</v>
      </c>
      <c r="B41" s="3"/>
      <c r="C41" s="19">
        <v>0</v>
      </c>
      <c r="D41" s="3"/>
      <c r="E41" s="3"/>
      <c r="F41" s="3"/>
      <c r="G41" s="3"/>
    </row>
    <row r="42" spans="1:7" x14ac:dyDescent="0.25">
      <c r="A42" s="67">
        <v>2</v>
      </c>
      <c r="B42" s="3"/>
      <c r="C42" s="19">
        <v>0</v>
      </c>
      <c r="D42" s="3"/>
      <c r="E42" s="3"/>
      <c r="F42" s="3"/>
      <c r="G42" s="3"/>
    </row>
    <row r="45" spans="1:7" x14ac:dyDescent="0.25">
      <c r="A45" s="132" t="s">
        <v>63</v>
      </c>
      <c r="B45" s="133"/>
      <c r="C45" s="133"/>
      <c r="D45" s="133"/>
      <c r="E45" s="134"/>
      <c r="F45" s="13"/>
      <c r="G45" s="13"/>
    </row>
    <row r="46" spans="1:7" x14ac:dyDescent="0.25">
      <c r="A46" s="13"/>
      <c r="B46" s="13"/>
      <c r="C46" s="13"/>
      <c r="D46" s="13"/>
      <c r="E46" s="13"/>
      <c r="F46" s="13"/>
      <c r="G46" s="13"/>
    </row>
    <row r="47" spans="1:7" x14ac:dyDescent="0.25">
      <c r="A47" s="104" t="s">
        <v>58</v>
      </c>
      <c r="B47" s="106"/>
      <c r="C47" s="15" t="s">
        <v>69</v>
      </c>
      <c r="D47" s="137" t="s">
        <v>75</v>
      </c>
      <c r="E47" s="138"/>
      <c r="F47" s="135" t="s">
        <v>76</v>
      </c>
      <c r="G47" s="136"/>
    </row>
    <row r="48" spans="1:7" x14ac:dyDescent="0.25">
      <c r="A48" s="16"/>
      <c r="B48" s="16"/>
      <c r="C48" s="16"/>
      <c r="D48" s="16"/>
      <c r="E48" s="16"/>
      <c r="F48" s="16"/>
      <c r="G48" s="16"/>
    </row>
    <row r="49" spans="1:7" x14ac:dyDescent="0.25">
      <c r="A49" s="104" t="s">
        <v>70</v>
      </c>
      <c r="B49" s="105"/>
      <c r="C49" s="70">
        <v>2</v>
      </c>
      <c r="D49" s="137" t="s">
        <v>78</v>
      </c>
      <c r="E49" s="138"/>
      <c r="F49" s="135" t="s">
        <v>77</v>
      </c>
      <c r="G49" s="136"/>
    </row>
    <row r="50" spans="1:7" x14ac:dyDescent="0.25">
      <c r="A50" s="3"/>
      <c r="B50" s="3"/>
      <c r="C50" s="3"/>
      <c r="D50" s="3"/>
      <c r="E50" s="3"/>
      <c r="F50" s="3"/>
      <c r="G50" s="3"/>
    </row>
    <row r="51" spans="1:7" x14ac:dyDescent="0.25">
      <c r="A51" s="60" t="s">
        <v>71</v>
      </c>
      <c r="B51" s="3"/>
      <c r="C51" s="71" t="s">
        <v>74</v>
      </c>
      <c r="D51" s="3"/>
      <c r="E51" s="71" t="s">
        <v>79</v>
      </c>
      <c r="F51" s="3"/>
      <c r="G51" s="71" t="s">
        <v>80</v>
      </c>
    </row>
    <row r="52" spans="1:7" x14ac:dyDescent="0.25">
      <c r="A52" s="72" t="s">
        <v>72</v>
      </c>
      <c r="B52" s="3"/>
      <c r="C52" s="69">
        <v>0</v>
      </c>
      <c r="D52" s="73"/>
      <c r="E52" s="69">
        <v>0</v>
      </c>
      <c r="F52" s="73"/>
      <c r="G52" s="69">
        <v>0</v>
      </c>
    </row>
    <row r="53" spans="1:7" x14ac:dyDescent="0.25">
      <c r="A53" s="72" t="s">
        <v>73</v>
      </c>
      <c r="B53" s="3"/>
      <c r="C53" s="69">
        <v>0</v>
      </c>
      <c r="D53" s="73"/>
      <c r="E53" s="69">
        <v>0</v>
      </c>
      <c r="F53" s="73"/>
      <c r="G53" s="69">
        <v>0</v>
      </c>
    </row>
    <row r="57" spans="1:7" x14ac:dyDescent="0.25">
      <c r="A57" s="21">
        <v>1</v>
      </c>
      <c r="B57" s="13"/>
      <c r="C57" s="20">
        <v>0</v>
      </c>
      <c r="D57" s="13"/>
      <c r="E57" s="20">
        <v>0</v>
      </c>
      <c r="F57" s="13"/>
      <c r="G57" s="2">
        <v>12</v>
      </c>
    </row>
  </sheetData>
  <mergeCells count="15">
    <mergeCell ref="D22:G23"/>
    <mergeCell ref="A34:E34"/>
    <mergeCell ref="A36:B36"/>
    <mergeCell ref="A38:B38"/>
    <mergeCell ref="F49:G49"/>
    <mergeCell ref="F47:G47"/>
    <mergeCell ref="A26:E26"/>
    <mergeCell ref="A28:B28"/>
    <mergeCell ref="A30:B30"/>
    <mergeCell ref="A32:B32"/>
    <mergeCell ref="A45:E45"/>
    <mergeCell ref="A47:B47"/>
    <mergeCell ref="A49:B49"/>
    <mergeCell ref="D47:E47"/>
    <mergeCell ref="D49:E49"/>
  </mergeCells>
  <dataValidations count="13">
    <dataValidation type="whole" allowBlank="1" showInputMessage="1" showErrorMessage="1" errorTitle="Error" error="El número de nodos debe estar comprendido entre 1 y 500" sqref="A41:A42 A4:A7 G10" xr:uid="{32D64FBA-B40B-413A-8B29-90B6044FEBCD}">
      <formula1>1</formula1>
      <formula2>500</formula2>
    </dataValidation>
    <dataValidation type="list" allowBlank="1" showInputMessage="1" showErrorMessage="1" sqref="C1 B17 C10" xr:uid="{82BD09D8-0305-4931-AB32-B55F81757ABA}">
      <formula1>"Positivo, Negativo"</formula1>
    </dataValidation>
    <dataValidation type="list" allowBlank="1" showInputMessage="1" showErrorMessage="1" sqref="E1 E10" xr:uid="{DC5F1A77-3B5A-4942-A5AD-9CF2F9DEEB24}">
      <formula1>"Poligonal, Circular, Trapecio Circular"</formula1>
    </dataValidation>
    <dataValidation type="list" allowBlank="1" showInputMessage="1" showErrorMessage="1" sqref="C36 C47" xr:uid="{06AB9E5C-0F14-418E-8FB3-8DC472C453C4}">
      <formula1>"2D,3D, Verificación"</formula1>
    </dataValidation>
    <dataValidation type="decimal" allowBlank="1" showInputMessage="1" showErrorMessage="1" errorTitle="ERROR" error="El ángulo de inclinación del plano de carga debe estar comprendido entre -90º y 90º" sqref="C38 C41:C42 C49 C52:C53 E52:E53 G52:G53" xr:uid="{CDCFC1C5-255F-4C5B-980E-827D7879AF74}">
      <formula1>-90</formula1>
      <formula2>90</formula2>
    </dataValidation>
    <dataValidation allowBlank="1" showInputMessage="1" showErrorMessage="1" errorTitle="Error" error="El número de nodos debe estar comprendido entre 1 y 500" sqref="A52" xr:uid="{709CA49A-7201-4765-BDBC-57ED9688C0D6}"/>
    <dataValidation type="list" allowBlank="1" showInputMessage="1" showErrorMessage="1" errorTitle="ERROR" error="El ángulo de inclinación del plano de carga debe estar comprendido entre -90º y 90º" sqref="F47" xr:uid="{7DFA8BE4-EA97-408C-B663-7691597E09A8}">
      <formula1>"Tracción, Compresión"</formula1>
    </dataValidation>
    <dataValidation type="list" allowBlank="1" showInputMessage="1" showErrorMessage="1" errorTitle="ERROR" error="El ángulo de inclinación del plano de carga debe estar comprendido entre -90º y 90º" sqref="F49" xr:uid="{98FB552D-1589-4723-B392-450D6F9F9BC5}">
      <formula1>"Anithorario, Horario"</formula1>
    </dataValidation>
    <dataValidation type="list" allowBlank="1" showInputMessage="1" showErrorMessage="1" sqref="C28" xr:uid="{7E078A67-C239-4373-AAEC-E464F6B012F6}">
      <formula1>"Extra Fina, Fina, Media, Gruesa, Muy Gruesa, Avanzada (Ingreso Manual)"</formula1>
    </dataValidation>
    <dataValidation type="list" allowBlank="1" showInputMessage="1" showErrorMessage="1" sqref="C17" xr:uid="{4946371A-90E5-451E-B9A0-F4BE28F4FC03}">
      <formula1>"Poligonal, Circular, Región Circular"</formula1>
    </dataValidation>
    <dataValidation type="whole" allowBlank="1" showInputMessage="1" showErrorMessage="1" errorTitle="Error" error="El número de barras debe estar comprendido entre 1 y 500" sqref="A57" xr:uid="{FC49E37A-5E7A-4020-A21F-6878B7EBA197}">
      <formula1>1</formula1>
      <formula2>500</formula2>
    </dataValidation>
    <dataValidation type="whole" allowBlank="1" showInputMessage="1" showErrorMessage="1" errorTitle="Error" error="El número de nodos debe estar comprendido entre 3 y 500" sqref="G1" xr:uid="{292CEF3F-18CD-41C4-91C9-F76F5248B6ED}">
      <formula1>3</formula1>
      <formula2>500</formula2>
    </dataValidation>
    <dataValidation type="decimal" operator="greaterThanOrEqual" allowBlank="1" showInputMessage="1" showErrorMessage="1" errorTitle="Error en ingreso de radio." error="Los radios deben ser valores positivos." sqref="C13:C14" xr:uid="{6DF11B6B-7D9B-44C5-8B0E-E3C11D02DC2E}">
      <formula1>0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</vt:i4>
      </vt:variant>
    </vt:vector>
  </HeadingPairs>
  <TitlesOfParts>
    <vt:vector size="8" baseType="lpstr">
      <vt:lpstr>Ingreso de Datos</vt:lpstr>
      <vt:lpstr>BACKUP Ingreso de Datos</vt:lpstr>
      <vt:lpstr>Diagrama de Interacción</vt:lpstr>
      <vt:lpstr>Resultados</vt:lpstr>
      <vt:lpstr>Armaduras Pasivas</vt:lpstr>
      <vt:lpstr>Armaduras Activas</vt:lpstr>
      <vt:lpstr>AUX</vt:lpstr>
      <vt:lpstr>'Diagrama de Interacción'!Print_Area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Facundo L. Pfeffer</dc:creator>
  <cp:lastModifiedBy>Facundo L. Pfeffer</cp:lastModifiedBy>
  <dcterms:created xsi:type="dcterms:W3CDTF">2023-04-14T12:25:15Z</dcterms:created>
  <dcterms:modified xsi:type="dcterms:W3CDTF">2023-12-18T08:51:17Z</dcterms:modified>
</cp:coreProperties>
</file>