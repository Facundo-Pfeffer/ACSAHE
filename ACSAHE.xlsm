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PC Facundo L Pfeffer - Drive Backup\Ingeniería Civil\03 - Investigaciones\01 - Automatización de Diagramas de Interacción\01 - Archivos\ACSAHE\"/>
    </mc:Choice>
  </mc:AlternateContent>
  <xr:revisionPtr revIDLastSave="0" documentId="13_ncr:1_{C5D9CFF5-2BA2-4491-8559-51DA27B8BA77}" xr6:coauthVersionLast="47" xr6:coauthVersionMax="47" xr10:uidLastSave="{00000000-0000-0000-0000-000000000000}"/>
  <bookViews>
    <workbookView xWindow="-120" yWindow="-120" windowWidth="38640" windowHeight="21120" xr2:uid="{6C1792F0-6D7B-40E4-BF39-E06A9BBFB0A4}"/>
  </bookViews>
  <sheets>
    <sheet name="Ingreso de Datos" sheetId="1" r:id="rId1"/>
    <sheet name="BACKUP Ingreso de Datos" sheetId="11" r:id="rId2"/>
    <sheet name="Diagrama de Interacción 2D" sheetId="7" r:id="rId3"/>
    <sheet name="Resultados" sheetId="6" r:id="rId4"/>
    <sheet name="Armaduras Pasivas" sheetId="3" r:id="rId5"/>
    <sheet name="Armaduras Activas" sheetId="4" r:id="rId6"/>
    <sheet name="AUX" sheetId="5" r:id="rId7"/>
  </sheets>
  <functionGroups builtInGroupCount="19"/>
  <definedNames>
    <definedName name="INTERACCIÓN" localSheetId="2">'Diagrama de Interacción 2D'!#REF!</definedName>
    <definedName name="_xlnm.Print_Area" localSheetId="2">'Diagrama de Interacción 2D'!$A$1:$G$50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7" l="1"/>
  <c r="A139" i="1"/>
  <c r="A138" i="1" s="1"/>
  <c r="A137" i="1" s="1"/>
  <c r="A136" i="1" s="1"/>
  <c r="A135" i="1" s="1"/>
  <c r="A134" i="1" s="1"/>
  <c r="A133" i="1" s="1"/>
  <c r="A132" i="1" s="1"/>
  <c r="A131" i="1" s="1"/>
  <c r="A130" i="1" s="1"/>
  <c r="A129" i="1" s="1"/>
  <c r="A128" i="1" s="1"/>
  <c r="A127" i="1" s="1"/>
  <c r="A126" i="1" s="1"/>
  <c r="A125" i="1" s="1"/>
  <c r="A124" i="1" s="1"/>
  <c r="A123" i="1" s="1"/>
  <c r="A122" i="1" s="1"/>
  <c r="A121" i="1" s="1"/>
  <c r="A120" i="1" s="1"/>
  <c r="A119" i="1" s="1"/>
  <c r="A118" i="1" s="1"/>
  <c r="A117" i="1" s="1"/>
  <c r="A116" i="1" s="1"/>
  <c r="A115" i="1" s="1"/>
  <c r="A114" i="1" s="1"/>
  <c r="A113" i="1" s="1"/>
  <c r="A112" i="1" s="1"/>
  <c r="A111" i="1" s="1"/>
  <c r="A110" i="1" s="1"/>
  <c r="A109" i="1" s="1"/>
  <c r="A108" i="1" s="1"/>
  <c r="A107" i="1" s="1"/>
  <c r="A106" i="1" s="1"/>
  <c r="A105" i="1" s="1"/>
  <c r="A104" i="1" s="1"/>
  <c r="A103" i="1" s="1"/>
  <c r="A102" i="1" s="1"/>
  <c r="A101" i="1" s="1"/>
  <c r="A100" i="1" s="1"/>
  <c r="A99" i="1" s="1"/>
  <c r="A98" i="1" s="1"/>
  <c r="A97" i="1" s="1"/>
  <c r="A96" i="1" s="1"/>
  <c r="A95" i="1" s="1"/>
  <c r="A94" i="1" s="1"/>
  <c r="A93" i="1" s="1"/>
  <c r="A92" i="1" s="1"/>
  <c r="A91" i="1" s="1"/>
  <c r="A90" i="1" s="1"/>
  <c r="A89" i="1" s="1"/>
  <c r="A88" i="1" s="1"/>
  <c r="A87" i="1" s="1"/>
  <c r="A86" i="1" s="1"/>
  <c r="A85" i="1" s="1"/>
  <c r="A84" i="1" s="1"/>
  <c r="A83" i="1" s="1"/>
  <c r="A82" i="1" s="1"/>
  <c r="A81" i="1" s="1"/>
  <c r="A80" i="1" s="1"/>
  <c r="A79" i="1" s="1"/>
  <c r="A78" i="1" s="1"/>
  <c r="A77" i="1" s="1"/>
  <c r="A76" i="1" s="1"/>
  <c r="A75" i="1" s="1"/>
  <c r="A74" i="1" s="1"/>
  <c r="A73" i="1" s="1"/>
  <c r="A72" i="1" s="1"/>
  <c r="A71" i="1" s="1"/>
  <c r="A70" i="1" s="1"/>
  <c r="A69" i="1" s="1"/>
  <c r="A68" i="1" s="1"/>
  <c r="A67" i="1" s="1"/>
  <c r="A66" i="1" s="1"/>
  <c r="A65" i="1" s="1"/>
  <c r="A64" i="1" s="1"/>
  <c r="A63" i="1" s="1"/>
  <c r="A62" i="1" s="1"/>
  <c r="A61" i="1" s="1"/>
  <c r="A60" i="1" s="1"/>
  <c r="A59" i="1" s="1"/>
  <c r="A58" i="1" s="1"/>
  <c r="A57" i="1" s="1"/>
  <c r="A56" i="1" s="1"/>
  <c r="A55" i="1" s="1"/>
  <c r="A54" i="1" s="1"/>
  <c r="A53" i="1" s="1"/>
  <c r="A22" i="11" l="1"/>
  <c r="A7" i="5" l="1"/>
  <c r="B5" i="3"/>
  <c r="D5" i="3"/>
  <c r="C5" i="3"/>
</calcChain>
</file>

<file path=xl/sharedStrings.xml><?xml version="1.0" encoding="utf-8"?>
<sst xmlns="http://schemas.openxmlformats.org/spreadsheetml/2006/main" count="219" uniqueCount="108">
  <si>
    <t>MATERIALES</t>
  </si>
  <si>
    <t>Calidad/Tipo</t>
  </si>
  <si>
    <t>Hormigón Calidad  H -</t>
  </si>
  <si>
    <t>Acero Pasivo Tipo</t>
  </si>
  <si>
    <t>ADN 420</t>
  </si>
  <si>
    <t>Acero Pretensado Tipo</t>
  </si>
  <si>
    <t>Def. efectiva</t>
  </si>
  <si>
    <t>ARMADURAS TRANSVERSALES</t>
  </si>
  <si>
    <t xml:space="preserve"> mediante</t>
  </si>
  <si>
    <t>Estribos</t>
  </si>
  <si>
    <t>GEOMETRÍA DE LA SECCIÓN DE HORMIGÓN</t>
  </si>
  <si>
    <t>Cantidad de contornos convexos</t>
  </si>
  <si>
    <t>Cantidad de Nodos</t>
  </si>
  <si>
    <t>X [cm]</t>
  </si>
  <si>
    <t>Y [cm]</t>
  </si>
  <si>
    <t>ARMADURAS PASIVAS (H°- Armado)</t>
  </si>
  <si>
    <t>Cantidad de barras</t>
  </si>
  <si>
    <t>Barra nº</t>
  </si>
  <si>
    <t>ARMADURAS ACTIVAS (H°- Pretensado)</t>
  </si>
  <si>
    <t>Área [cm²]</t>
  </si>
  <si>
    <t>DISCRETIZACIÓN DE LA SECCIÓN</t>
  </si>
  <si>
    <t>ΔX =</t>
  </si>
  <si>
    <t>cm</t>
  </si>
  <si>
    <t>ΔY =</t>
  </si>
  <si>
    <t>AL 220</t>
  </si>
  <si>
    <t>ADN 500</t>
  </si>
  <si>
    <t>Propiedades</t>
  </si>
  <si>
    <t>Provisto por Usuario</t>
  </si>
  <si>
    <t>fy: Tensión de Fluencia [MPa]</t>
  </si>
  <si>
    <t>E [Mpa]</t>
  </si>
  <si>
    <t>ARMADURAS PASIVAS</t>
  </si>
  <si>
    <t>BARRAS
1050</t>
  </si>
  <si>
    <t>TRENZAS
C1650</t>
  </si>
  <si>
    <t>TRENZAS
C1900</t>
  </si>
  <si>
    <t>fpy: Tensión de Fluencia [MPa]</t>
  </si>
  <si>
    <t>fpu: Tensión de Rotura [MPa]</t>
  </si>
  <si>
    <t>N</t>
  </si>
  <si>
    <t>K</t>
  </si>
  <si>
    <t>Q</t>
  </si>
  <si>
    <t>ARMADURAS ACTIVAS</t>
  </si>
  <si>
    <t>Trenzas C1900</t>
  </si>
  <si>
    <t>Eps [Mpa]</t>
  </si>
  <si>
    <t>(Recomendado ≈ 5‰)</t>
  </si>
  <si>
    <t>εy: Alargamiento
 de fluencia</t>
  </si>
  <si>
    <t>εu: Alargamiento
de rotura</t>
  </si>
  <si>
    <t>εpu: Alargamiento
de rotura</t>
  </si>
  <si>
    <t>Nodo Nº</t>
  </si>
  <si>
    <t>Contorno</t>
  </si>
  <si>
    <t>Positivo</t>
  </si>
  <si>
    <t>Poligonal</t>
  </si>
  <si>
    <t>Circular</t>
  </si>
  <si>
    <t>Nodo Centroº</t>
  </si>
  <si>
    <t>Radio Interno [cm]</t>
  </si>
  <si>
    <t>Radio Externo [cm]</t>
  </si>
  <si>
    <t>Ángulo Inicial [°]</t>
  </si>
  <si>
    <t>Ángulo Final [°]</t>
  </si>
  <si>
    <t>Nodo Centro</t>
  </si>
  <si>
    <t>Los ángulos se definen con respecto al eje x en sentido antihorario</t>
  </si>
  <si>
    <t>Tipo</t>
  </si>
  <si>
    <t>Signo</t>
  </si>
  <si>
    <t>Contorno 1</t>
  </si>
  <si>
    <t>Nivel de Discretización</t>
  </si>
  <si>
    <t>2D</t>
  </si>
  <si>
    <t>RESULTADO</t>
  </si>
  <si>
    <t>Ángulo plano de carga λ =</t>
  </si>
  <si>
    <t>3D</t>
  </si>
  <si>
    <t>Número de planos</t>
  </si>
  <si>
    <t>Plano Nº</t>
  </si>
  <si>
    <t>Ángulo  λ [°]</t>
  </si>
  <si>
    <t>Verificación</t>
  </si>
  <si>
    <t>Número de estados</t>
  </si>
  <si>
    <t>Estado</t>
  </si>
  <si>
    <t>1.2D+1.6L</t>
  </si>
  <si>
    <t>1.4D</t>
  </si>
  <si>
    <t>P [kN]</t>
  </si>
  <si>
    <t>P positivo</t>
  </si>
  <si>
    <t>Tracción</t>
  </si>
  <si>
    <t>Anithorario</t>
  </si>
  <si>
    <t>M positivo</t>
  </si>
  <si>
    <t>M [kNm]</t>
  </si>
  <si>
    <t>P [kNm]</t>
  </si>
  <si>
    <t>Avanzada (Ingreso Manual)</t>
  </si>
  <si>
    <t>Región Circular</t>
  </si>
  <si>
    <t>RESULTADOS</t>
  </si>
  <si>
    <t>Generar Informe</t>
  </si>
  <si>
    <t>Si</t>
  </si>
  <si>
    <t>Diagrama de interacción  con inclinación del plano de carga λ =</t>
  </si>
  <si>
    <t>ΦPn    [KN]</t>
  </si>
  <si>
    <t>ΦMnλ [KNm]</t>
  </si>
  <si>
    <t>Verificar puntos</t>
  </si>
  <si>
    <t>Pu          [KN]</t>
  </si>
  <si>
    <t>Muλ   [KNm]</t>
  </si>
  <si>
    <t>(ΦMnλ es el momento compuesto en dirección perpendicular al plano de carga λ, se obtiene de la siguiente manera ΦMnλ = √(ΦMnx²+ΦMny²) y se considera positivo cuando ΦMnx es positivo)</t>
  </si>
  <si>
    <t>Φ</t>
  </si>
  <si>
    <t>d</t>
  </si>
  <si>
    <t>del tipo "Circular", la discretización del radio</t>
  </si>
  <si>
    <t>Nota: En el caso de ingresar elemento</t>
  </si>
  <si>
    <t xml:space="preserve">se tomará como el menor de los valores de </t>
  </si>
  <si>
    <t>ΔX y ΔY</t>
  </si>
  <si>
    <t>°</t>
  </si>
  <si>
    <t>Diámetro [mm]</t>
  </si>
  <si>
    <t>ΔX [cm] =</t>
  </si>
  <si>
    <t>ΔY [cm] =</t>
  </si>
  <si>
    <t>Δθ [°] =</t>
  </si>
  <si>
    <t>Contorno 2</t>
  </si>
  <si>
    <t>Contorno 3</t>
  </si>
  <si>
    <t>Contorno 4</t>
  </si>
  <si>
    <t>Negativo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</si>
</sst>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‰&quot;"/>
    <numFmt numFmtId="165" formatCode="0.0"/>
    <numFmt numFmtId="166" formatCode="0.000"/>
    <numFmt numFmtId="167" formatCode="00\º.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Arial"/>
      <family val="2"/>
    </font>
    <font>
      <u/>
      <sz val="11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1"/>
      <color rgb="FF000000"/>
      <name val="Calibri"/>
      <family val="2"/>
    </font>
    <font>
      <sz val="14"/>
      <color theme="1"/>
      <name val="Arial"/>
      <family val="2"/>
    </font>
    <font>
      <i/>
      <sz val="11"/>
      <color theme="1"/>
      <name val="Arial"/>
      <family val="2"/>
    </font>
    <font>
      <i/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34998626667073579"/>
      </top>
      <bottom style="thin">
        <color theme="0"/>
      </bottom>
      <diagonal/>
    </border>
    <border>
      <left style="thin">
        <color theme="0"/>
      </left>
      <right/>
      <top style="thin">
        <color theme="0" tint="-0.34998626667073579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2">
    <xf numFmtId="0" fontId="0" fillId="0" borderId="0" xfId="0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4" fillId="0" borderId="1" xfId="0" applyFont="1" applyBorder="1" applyAlignment="1">
      <alignment vertical="center"/>
    </xf>
    <xf numFmtId="0" fontId="2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64" fontId="4" fillId="2" borderId="1" xfId="1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/>
    </xf>
    <xf numFmtId="165" fontId="4" fillId="0" borderId="1" xfId="0" applyNumberFormat="1" applyFont="1" applyBorder="1"/>
    <xf numFmtId="167" fontId="4" fillId="2" borderId="1" xfId="0" applyNumberFormat="1" applyFont="1" applyFill="1" applyBorder="1" applyAlignment="1">
      <alignment horizontal="center"/>
    </xf>
    <xf numFmtId="166" fontId="4" fillId="2" borderId="4" xfId="0" applyNumberFormat="1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0" fontId="4" fillId="3" borderId="1" xfId="1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0" fontId="4" fillId="3" borderId="0" xfId="1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9" fontId="4" fillId="3" borderId="10" xfId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9" fontId="4" fillId="2" borderId="11" xfId="1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 wrapText="1"/>
    </xf>
    <xf numFmtId="166" fontId="4" fillId="3" borderId="0" xfId="1" applyNumberFormat="1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10" fontId="4" fillId="3" borderId="19" xfId="1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4" fillId="3" borderId="23" xfId="0" applyFont="1" applyFill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 wrapText="1"/>
    </xf>
    <xf numFmtId="0" fontId="4" fillId="3" borderId="25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 wrapText="1"/>
    </xf>
    <xf numFmtId="0" fontId="4" fillId="3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 wrapText="1"/>
    </xf>
    <xf numFmtId="10" fontId="4" fillId="2" borderId="28" xfId="0" applyNumberFormat="1" applyFont="1" applyFill="1" applyBorder="1" applyAlignment="1">
      <alignment horizontal="center" vertical="center"/>
    </xf>
    <xf numFmtId="0" fontId="4" fillId="3" borderId="29" xfId="0" applyFont="1" applyFill="1" applyBorder="1" applyAlignment="1">
      <alignment horizontal="center" vertical="center"/>
    </xf>
    <xf numFmtId="0" fontId="4" fillId="3" borderId="30" xfId="0" applyFont="1" applyFill="1" applyBorder="1" applyAlignment="1">
      <alignment horizontal="center" vertical="center"/>
    </xf>
    <xf numFmtId="9" fontId="4" fillId="2" borderId="31" xfId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165" fontId="4" fillId="2" borderId="3" xfId="0" applyNumberFormat="1" applyFont="1" applyFill="1" applyBorder="1" applyAlignment="1">
      <alignment horizontal="center" vertical="center"/>
    </xf>
    <xf numFmtId="165" fontId="4" fillId="2" borderId="4" xfId="0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33" xfId="0" applyFont="1" applyBorder="1" applyAlignment="1">
      <alignment horizontal="center" vertical="center"/>
    </xf>
    <xf numFmtId="0" fontId="4" fillId="2" borderId="34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vertical="center"/>
    </xf>
    <xf numFmtId="0" fontId="4" fillId="3" borderId="40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8" fillId="3" borderId="0" xfId="0" applyFont="1" applyFill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/>
    </xf>
    <xf numFmtId="1" fontId="4" fillId="2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2" fontId="4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0" fillId="2" borderId="1" xfId="0" applyFill="1" applyBorder="1"/>
    <xf numFmtId="0" fontId="2" fillId="0" borderId="5" xfId="0" applyFont="1" applyBorder="1"/>
    <xf numFmtId="0" fontId="2" fillId="0" borderId="32" xfId="0" applyFont="1" applyBorder="1"/>
    <xf numFmtId="0" fontId="4" fillId="0" borderId="6" xfId="0" applyFont="1" applyBorder="1" applyAlignment="1">
      <alignment horizontal="center" vertical="center"/>
    </xf>
    <xf numFmtId="165" fontId="4" fillId="2" borderId="0" xfId="0" applyNumberFormat="1" applyFont="1" applyFill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4" fillId="0" borderId="3" xfId="0" applyFont="1" applyBorder="1" applyAlignment="1">
      <alignment horizontal="left" vertical="center"/>
    </xf>
    <xf numFmtId="0" fontId="4" fillId="0" borderId="35" xfId="0" applyFont="1" applyBorder="1" applyAlignment="1">
      <alignment horizontal="center" vertical="center"/>
    </xf>
    <xf numFmtId="0" fontId="0" fillId="0" borderId="41" xfId="0" applyBorder="1"/>
    <xf numFmtId="166" fontId="0" fillId="2" borderId="4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0" borderId="44" xfId="0" applyBorder="1" applyProtection="1">
      <protection locked="0"/>
    </xf>
    <xf numFmtId="165" fontId="4" fillId="3" borderId="6" xfId="0" applyNumberFormat="1" applyFont="1" applyFill="1" applyBorder="1"/>
    <xf numFmtId="0" fontId="2" fillId="0" borderId="1" xfId="0" applyFont="1" applyBorder="1"/>
    <xf numFmtId="0" fontId="2" fillId="0" borderId="6" xfId="0" applyFont="1" applyBorder="1"/>
    <xf numFmtId="0" fontId="2" fillId="0" borderId="1" xfId="0" applyFont="1" applyBorder="1" applyAlignment="1">
      <alignment vertical="center"/>
    </xf>
    <xf numFmtId="0" fontId="8" fillId="0" borderId="2" xfId="0" applyFont="1" applyBorder="1" applyAlignment="1">
      <alignment vertical="center"/>
    </xf>
    <xf numFmtId="0" fontId="14" fillId="0" borderId="46" xfId="0" applyFont="1" applyBorder="1" applyAlignment="1">
      <alignment horizontal="center"/>
    </xf>
    <xf numFmtId="166" fontId="4" fillId="0" borderId="1" xfId="0" applyNumberFormat="1" applyFont="1" applyBorder="1"/>
    <xf numFmtId="166" fontId="4" fillId="2" borderId="3" xfId="0" applyNumberFormat="1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6" xfId="0" applyBorder="1" applyAlignment="1">
      <alignment horizontal="center"/>
    </xf>
    <xf numFmtId="0" fontId="13" fillId="3" borderId="38" xfId="0" applyFont="1" applyFill="1" applyBorder="1" applyAlignment="1">
      <alignment horizontal="center"/>
    </xf>
    <xf numFmtId="0" fontId="13" fillId="3" borderId="39" xfId="0" applyFont="1" applyFill="1" applyBorder="1" applyAlignment="1">
      <alignment horizontal="center"/>
    </xf>
    <xf numFmtId="0" fontId="13" fillId="3" borderId="40" xfId="0" applyFont="1" applyFill="1" applyBorder="1" applyAlignment="1">
      <alignment horizontal="center"/>
    </xf>
    <xf numFmtId="165" fontId="4" fillId="2" borderId="32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1" fillId="0" borderId="0" xfId="0" applyFont="1" applyAlignment="1">
      <alignment horizontal="justify" vertical="center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2" fillId="0" borderId="0" xfId="0" applyFont="1" applyAlignment="1">
      <alignment horizontal="justify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167" fontId="10" fillId="4" borderId="0" xfId="0" applyNumberFormat="1" applyFont="1" applyFill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4" fillId="0" borderId="35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center" vertical="center" wrapText="1"/>
    </xf>
    <xf numFmtId="0" fontId="4" fillId="0" borderId="37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 wrapText="1"/>
    </xf>
    <xf numFmtId="0" fontId="4" fillId="0" borderId="39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left"/>
    </xf>
    <xf numFmtId="0" fontId="2" fillId="0" borderId="32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167" fontId="4" fillId="2" borderId="5" xfId="0" applyNumberFormat="1" applyFont="1" applyFill="1" applyBorder="1" applyAlignment="1">
      <alignment horizontal="center"/>
    </xf>
    <xf numFmtId="167" fontId="4" fillId="2" borderId="6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550966528254"/>
          <c:y val="3.7603523793783483E-2"/>
          <c:w val="0.79705358194678089"/>
          <c:h val="0.9099802985469075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'Diagrama de Interacción 2D'!$J$3:$J$1048576</c:f>
              <c:numCache>
                <c:formatCode>General</c:formatCode>
                <c:ptCount val="1048574"/>
                <c:pt idx="0">
                  <c:v>-23372.485310240558</c:v>
                </c:pt>
                <c:pt idx="1">
                  <c:v>-24752.530972146313</c:v>
                </c:pt>
                <c:pt idx="2">
                  <c:v>-23979.718456269453</c:v>
                </c:pt>
                <c:pt idx="3">
                  <c:v>-24415.508851387363</c:v>
                </c:pt>
                <c:pt idx="4">
                  <c:v>-26928.278646909799</c:v>
                </c:pt>
                <c:pt idx="5">
                  <c:v>-27763.837236147621</c:v>
                </c:pt>
                <c:pt idx="6">
                  <c:v>-30028.744857400397</c:v>
                </c:pt>
                <c:pt idx="7">
                  <c:v>-32859.386015584292</c:v>
                </c:pt>
                <c:pt idx="8">
                  <c:v>-35661.340928975922</c:v>
                </c:pt>
                <c:pt idx="9">
                  <c:v>-38628.799717380069</c:v>
                </c:pt>
                <c:pt idx="10">
                  <c:v>-41577.355482425999</c:v>
                </c:pt>
                <c:pt idx="11">
                  <c:v>-44610.956234562676</c:v>
                </c:pt>
                <c:pt idx="12">
                  <c:v>-47657.942675080638</c:v>
                </c:pt>
                <c:pt idx="13">
                  <c:v>-50699.767420413227</c:v>
                </c:pt>
                <c:pt idx="14">
                  <c:v>-53769.589756695408</c:v>
                </c:pt>
                <c:pt idx="15">
                  <c:v>-56848.178935229815</c:v>
                </c:pt>
                <c:pt idx="16">
                  <c:v>-59925.601682638226</c:v>
                </c:pt>
                <c:pt idx="17">
                  <c:v>-63002.028983357959</c:v>
                </c:pt>
                <c:pt idx="18">
                  <c:v>-66077.878296008828</c:v>
                </c:pt>
                <c:pt idx="19">
                  <c:v>-69160.987793745342</c:v>
                </c:pt>
                <c:pt idx="20">
                  <c:v>-72238.593960991231</c:v>
                </c:pt>
                <c:pt idx="21">
                  <c:v>-75317.725331475987</c:v>
                </c:pt>
                <c:pt idx="22">
                  <c:v>-75522.308342576594</c:v>
                </c:pt>
                <c:pt idx="23">
                  <c:v>-75727.218582315487</c:v>
                </c:pt>
                <c:pt idx="24">
                  <c:v>-75931.469684729018</c:v>
                </c:pt>
                <c:pt idx="25">
                  <c:v>-76136.371118016992</c:v>
                </c:pt>
                <c:pt idx="26">
                  <c:v>-76340.944499160905</c:v>
                </c:pt>
                <c:pt idx="27">
                  <c:v>-76545.834953729369</c:v>
                </c:pt>
                <c:pt idx="28">
                  <c:v>-76750.085451652922</c:v>
                </c:pt>
                <c:pt idx="29">
                  <c:v>-100844.86464607622</c:v>
                </c:pt>
                <c:pt idx="30">
                  <c:v>-101373.80638308657</c:v>
                </c:pt>
                <c:pt idx="31">
                  <c:v>-101578.60510554501</c:v>
                </c:pt>
                <c:pt idx="32">
                  <c:v>-101783.39669929331</c:v>
                </c:pt>
                <c:pt idx="33">
                  <c:v>-101987.62665275495</c:v>
                </c:pt>
                <c:pt idx="34">
                  <c:v>-102192.40893377506</c:v>
                </c:pt>
                <c:pt idx="35">
                  <c:v>-102396.90553060301</c:v>
                </c:pt>
                <c:pt idx="36">
                  <c:v>-126504.26486505861</c:v>
                </c:pt>
                <c:pt idx="37">
                  <c:v>-126709.01433488882</c:v>
                </c:pt>
                <c:pt idx="38">
                  <c:v>-126913.23069427295</c:v>
                </c:pt>
                <c:pt idx="39">
                  <c:v>-127117.93119137979</c:v>
                </c:pt>
                <c:pt idx="40">
                  <c:v>-127322.4146561096</c:v>
                </c:pt>
                <c:pt idx="41">
                  <c:v>-127527.09833663081</c:v>
                </c:pt>
                <c:pt idx="42">
                  <c:v>-151194.54003649013</c:v>
                </c:pt>
                <c:pt idx="43">
                  <c:v>-151392.75684097598</c:v>
                </c:pt>
                <c:pt idx="44">
                  <c:v>-151710.82484368322</c:v>
                </c:pt>
                <c:pt idx="45">
                  <c:v>-151915.43745408888</c:v>
                </c:pt>
                <c:pt idx="46">
                  <c:v>-152119.90094843865</c:v>
                </c:pt>
                <c:pt idx="47">
                  <c:v>-152324.45742098885</c:v>
                </c:pt>
                <c:pt idx="48">
                  <c:v>-152529.00921305508</c:v>
                </c:pt>
                <c:pt idx="49">
                  <c:v>-155298.00088174004</c:v>
                </c:pt>
                <c:pt idx="50">
                  <c:v>-170608.89910714704</c:v>
                </c:pt>
                <c:pt idx="51">
                  <c:v>-176268.09461432643</c:v>
                </c:pt>
                <c:pt idx="52">
                  <c:v>-176439.5509551334</c:v>
                </c:pt>
                <c:pt idx="53">
                  <c:v>-176658.82090845675</c:v>
                </c:pt>
                <c:pt idx="54">
                  <c:v>157517.81916621423</c:v>
                </c:pt>
                <c:pt idx="55">
                  <c:v>-177015.42210969527</c:v>
                </c:pt>
                <c:pt idx="56">
                  <c:v>-177323.1081860665</c:v>
                </c:pt>
                <c:pt idx="57">
                  <c:v>-224038.42935729434</c:v>
                </c:pt>
                <c:pt idx="58">
                  <c:v>-224467.55655119696</c:v>
                </c:pt>
                <c:pt idx="59">
                  <c:v>-224669.99012926919</c:v>
                </c:pt>
                <c:pt idx="60">
                  <c:v>-224874.25935218803</c:v>
                </c:pt>
                <c:pt idx="61">
                  <c:v>-225078.25938851023</c:v>
                </c:pt>
                <c:pt idx="62">
                  <c:v>-225282.38999369359</c:v>
                </c:pt>
                <c:pt idx="63">
                  <c:v>-225486.46487059735</c:v>
                </c:pt>
                <c:pt idx="64">
                  <c:v>-225690.5418630096</c:v>
                </c:pt>
                <c:pt idx="65">
                  <c:v>-247383.3922816327</c:v>
                </c:pt>
                <c:pt idx="66">
                  <c:v>-248106.55566011759</c:v>
                </c:pt>
                <c:pt idx="67">
                  <c:v>-248310.50477814936</c:v>
                </c:pt>
                <c:pt idx="68">
                  <c:v>-248514.84036096893</c:v>
                </c:pt>
                <c:pt idx="69">
                  <c:v>-248718.89779548667</c:v>
                </c:pt>
                <c:pt idx="70">
                  <c:v>-248922.84350272699</c:v>
                </c:pt>
                <c:pt idx="71">
                  <c:v>-256909.57660160435</c:v>
                </c:pt>
                <c:pt idx="72">
                  <c:v>-257084.49652582555</c:v>
                </c:pt>
                <c:pt idx="73">
                  <c:v>-263588.48113816552</c:v>
                </c:pt>
                <c:pt idx="74">
                  <c:v>-263792.45357997942</c:v>
                </c:pt>
                <c:pt idx="75">
                  <c:v>-264062.12440535409</c:v>
                </c:pt>
                <c:pt idx="76">
                  <c:v>-264265.79251170106</c:v>
                </c:pt>
                <c:pt idx="77">
                  <c:v>-264469.75200388778</c:v>
                </c:pt>
                <c:pt idx="78">
                  <c:v>-264673.75984155358</c:v>
                </c:pt>
                <c:pt idx="79">
                  <c:v>-264877.66554529942</c:v>
                </c:pt>
                <c:pt idx="80">
                  <c:v>-265105.73304190353</c:v>
                </c:pt>
                <c:pt idx="81">
                  <c:v>-270955.84559724055</c:v>
                </c:pt>
                <c:pt idx="82">
                  <c:v>-271474.44712834188</c:v>
                </c:pt>
                <c:pt idx="83">
                  <c:v>-271678.35893075139</c:v>
                </c:pt>
                <c:pt idx="84">
                  <c:v>-271882.50537489267</c:v>
                </c:pt>
                <c:pt idx="85">
                  <c:v>-272086.40824195696</c:v>
                </c:pt>
                <c:pt idx="86">
                  <c:v>-272290.29382778297</c:v>
                </c:pt>
                <c:pt idx="87">
                  <c:v>-272494.17686675646</c:v>
                </c:pt>
                <c:pt idx="88">
                  <c:v>-272809.2740298757</c:v>
                </c:pt>
                <c:pt idx="89">
                  <c:v>-287084.00672706682</c:v>
                </c:pt>
                <c:pt idx="90">
                  <c:v>-308585.9083134291</c:v>
                </c:pt>
                <c:pt idx="91">
                  <c:v>-316336.75861213583</c:v>
                </c:pt>
                <c:pt idx="92">
                  <c:v>-327876.76214439661</c:v>
                </c:pt>
                <c:pt idx="93">
                  <c:v>-335215.14385109965</c:v>
                </c:pt>
                <c:pt idx="94">
                  <c:v>-342108.53514655982</c:v>
                </c:pt>
                <c:pt idx="95">
                  <c:v>-348759.0006773863</c:v>
                </c:pt>
                <c:pt idx="96">
                  <c:v>-355192.35087990604</c:v>
                </c:pt>
                <c:pt idx="97">
                  <c:v>-361407.51337426942</c:v>
                </c:pt>
                <c:pt idx="98">
                  <c:v>-367400.89357956318</c:v>
                </c:pt>
                <c:pt idx="99">
                  <c:v>-373184.44781030971</c:v>
                </c:pt>
                <c:pt idx="100">
                  <c:v>-378559.80462495738</c:v>
                </c:pt>
                <c:pt idx="101">
                  <c:v>-381746.61002663308</c:v>
                </c:pt>
                <c:pt idx="102">
                  <c:v>-387066.45375996089</c:v>
                </c:pt>
                <c:pt idx="103">
                  <c:v>-392180.5268597012</c:v>
                </c:pt>
                <c:pt idx="104">
                  <c:v>-395228.75554564281</c:v>
                </c:pt>
                <c:pt idx="105">
                  <c:v>-400016.51297056006</c:v>
                </c:pt>
                <c:pt idx="106">
                  <c:v>-404665.88546075969</c:v>
                </c:pt>
                <c:pt idx="107">
                  <c:v>-407610.89305026014</c:v>
                </c:pt>
                <c:pt idx="108">
                  <c:v>-412729.75200814201</c:v>
                </c:pt>
                <c:pt idx="109">
                  <c:v>-422053.66975382675</c:v>
                </c:pt>
                <c:pt idx="110">
                  <c:v>-429241.78824361216</c:v>
                </c:pt>
                <c:pt idx="111">
                  <c:v>-437569.67197774001</c:v>
                </c:pt>
                <c:pt idx="112">
                  <c:v>-444824.12732819776</c:v>
                </c:pt>
                <c:pt idx="113">
                  <c:v>-453018.65285694425</c:v>
                </c:pt>
                <c:pt idx="114">
                  <c:v>-459817.05639111175</c:v>
                </c:pt>
                <c:pt idx="115">
                  <c:v>-467140.574276025</c:v>
                </c:pt>
                <c:pt idx="116">
                  <c:v>-480332.47951621504</c:v>
                </c:pt>
                <c:pt idx="117">
                  <c:v>-538272.52622190595</c:v>
                </c:pt>
                <c:pt idx="118">
                  <c:v>-544583.25761706312</c:v>
                </c:pt>
                <c:pt idx="119">
                  <c:v>-550815.17830931791</c:v>
                </c:pt>
                <c:pt idx="120">
                  <c:v>403115.91431249748</c:v>
                </c:pt>
                <c:pt idx="121">
                  <c:v>412201.1405109386</c:v>
                </c:pt>
                <c:pt idx="122">
                  <c:v>-611226.52479886101</c:v>
                </c:pt>
                <c:pt idx="123">
                  <c:v>-611481.78218011174</c:v>
                </c:pt>
                <c:pt idx="124">
                  <c:v>-611722.22099788033</c:v>
                </c:pt>
                <c:pt idx="125">
                  <c:v>-611953.81041402521</c:v>
                </c:pt>
                <c:pt idx="126">
                  <c:v>-610390.06282217056</c:v>
                </c:pt>
                <c:pt idx="127">
                  <c:v>-610590.91607258271</c:v>
                </c:pt>
                <c:pt idx="128">
                  <c:v>-610779.95598208776</c:v>
                </c:pt>
                <c:pt idx="129">
                  <c:v>-610953.6139123051</c:v>
                </c:pt>
                <c:pt idx="130">
                  <c:v>-611112.88177554356</c:v>
                </c:pt>
                <c:pt idx="131">
                  <c:v>-611037.18616616458</c:v>
                </c:pt>
                <c:pt idx="132">
                  <c:v>-609383.73089204147</c:v>
                </c:pt>
                <c:pt idx="133">
                  <c:v>-609495.53995742218</c:v>
                </c:pt>
                <c:pt idx="134">
                  <c:v>-609538.77275029081</c:v>
                </c:pt>
                <c:pt idx="135">
                  <c:v>-609521.4776675842</c:v>
                </c:pt>
                <c:pt idx="136">
                  <c:v>-609496.9422344882</c:v>
                </c:pt>
                <c:pt idx="137">
                  <c:v>-609286.92240021937</c:v>
                </c:pt>
                <c:pt idx="138">
                  <c:v>-607028.45884187752</c:v>
                </c:pt>
                <c:pt idx="139">
                  <c:v>-606953.4347607306</c:v>
                </c:pt>
                <c:pt idx="140">
                  <c:v>-606872.98290163791</c:v>
                </c:pt>
                <c:pt idx="141">
                  <c:v>-606787.27455452201</c:v>
                </c:pt>
                <c:pt idx="142">
                  <c:v>-606696.44680276315</c:v>
                </c:pt>
                <c:pt idx="143">
                  <c:v>-606596.60553935065</c:v>
                </c:pt>
                <c:pt idx="144">
                  <c:v>-606401.7293361004</c:v>
                </c:pt>
                <c:pt idx="145">
                  <c:v>-603682.00505663187</c:v>
                </c:pt>
                <c:pt idx="146">
                  <c:v>-603551.42548890307</c:v>
                </c:pt>
                <c:pt idx="147">
                  <c:v>-603417.32363380492</c:v>
                </c:pt>
                <c:pt idx="148">
                  <c:v>-603279.58244443801</c:v>
                </c:pt>
                <c:pt idx="149">
                  <c:v>-603137.32106191828</c:v>
                </c:pt>
                <c:pt idx="150">
                  <c:v>-602992.09331929579</c:v>
                </c:pt>
                <c:pt idx="151">
                  <c:v>-602844.64440341422</c:v>
                </c:pt>
                <c:pt idx="152">
                  <c:v>-602693.99214223772</c:v>
                </c:pt>
                <c:pt idx="153">
                  <c:v>-599671.67851742741</c:v>
                </c:pt>
                <c:pt idx="154">
                  <c:v>-599516.17706730112</c:v>
                </c:pt>
                <c:pt idx="155">
                  <c:v>-599266.1995103223</c:v>
                </c:pt>
                <c:pt idx="156">
                  <c:v>-599106.07843938074</c:v>
                </c:pt>
                <c:pt idx="157">
                  <c:v>-598943.38657648582</c:v>
                </c:pt>
                <c:pt idx="158">
                  <c:v>-598779.22651326121</c:v>
                </c:pt>
                <c:pt idx="159">
                  <c:v>-598613.22297434497</c:v>
                </c:pt>
                <c:pt idx="160">
                  <c:v>-598445.47116627311</c:v>
                </c:pt>
                <c:pt idx="161">
                  <c:v>-598275.06153947534</c:v>
                </c:pt>
                <c:pt idx="162">
                  <c:v>-597926.73379364552</c:v>
                </c:pt>
                <c:pt idx="163">
                  <c:v>-594675.66666105902</c:v>
                </c:pt>
                <c:pt idx="164">
                  <c:v>-594501.20456215378</c:v>
                </c:pt>
                <c:pt idx="165">
                  <c:v>-594326.12319729442</c:v>
                </c:pt>
                <c:pt idx="166">
                  <c:v>-594149.80674197327</c:v>
                </c:pt>
                <c:pt idx="167">
                  <c:v>-593972.35471134214</c:v>
                </c:pt>
                <c:pt idx="168">
                  <c:v>-589005.6875008049</c:v>
                </c:pt>
                <c:pt idx="169">
                  <c:v>-587521.30884587369</c:v>
                </c:pt>
                <c:pt idx="170">
                  <c:v>-582205.54355184757</c:v>
                </c:pt>
                <c:pt idx="171">
                  <c:v>-580720.92544432706</c:v>
                </c:pt>
                <c:pt idx="172">
                  <c:v>-575078.56417659798</c:v>
                </c:pt>
                <c:pt idx="173">
                  <c:v>-573573.36933079152</c:v>
                </c:pt>
                <c:pt idx="174">
                  <c:v>-572054.60721941921</c:v>
                </c:pt>
                <c:pt idx="175">
                  <c:v>-566163.77275625477</c:v>
                </c:pt>
                <c:pt idx="176">
                  <c:v>-564779.33825648983</c:v>
                </c:pt>
                <c:pt idx="177">
                  <c:v>-563377.89413730521</c:v>
                </c:pt>
                <c:pt idx="178">
                  <c:v>-558160.28598663711</c:v>
                </c:pt>
                <c:pt idx="179">
                  <c:v>-540636.08750448818</c:v>
                </c:pt>
                <c:pt idx="180">
                  <c:v>-539366.49395016581</c:v>
                </c:pt>
                <c:pt idx="181">
                  <c:v>-538095.42495273461</c:v>
                </c:pt>
                <c:pt idx="182">
                  <c:v>-536824.72554805374</c:v>
                </c:pt>
                <c:pt idx="183">
                  <c:v>-498152.85918935086</c:v>
                </c:pt>
                <c:pt idx="184">
                  <c:v>-496875.302900724</c:v>
                </c:pt>
                <c:pt idx="185">
                  <c:v>-495740.86175549921</c:v>
                </c:pt>
                <c:pt idx="186">
                  <c:v>-494613.43215301802</c:v>
                </c:pt>
                <c:pt idx="187">
                  <c:v>-493483.59954435757</c:v>
                </c:pt>
                <c:pt idx="188">
                  <c:v>-492356.06259259488</c:v>
                </c:pt>
                <c:pt idx="189">
                  <c:v>-451625.47732362832</c:v>
                </c:pt>
                <c:pt idx="190">
                  <c:v>-450534.65028685395</c:v>
                </c:pt>
                <c:pt idx="191">
                  <c:v>-449544.99070797878</c:v>
                </c:pt>
                <c:pt idx="192">
                  <c:v>-448557.20702822431</c:v>
                </c:pt>
                <c:pt idx="193">
                  <c:v>-447568.14898279717</c:v>
                </c:pt>
                <c:pt idx="194">
                  <c:v>-446579.69013594004</c:v>
                </c:pt>
                <c:pt idx="195">
                  <c:v>-445590.64553057955</c:v>
                </c:pt>
                <c:pt idx="196">
                  <c:v>-444602.2645403964</c:v>
                </c:pt>
                <c:pt idx="197">
                  <c:v>-443613.17498233647</c:v>
                </c:pt>
                <c:pt idx="198">
                  <c:v>-442624.75955761276</c:v>
                </c:pt>
                <c:pt idx="199">
                  <c:v>-399832.88409943989</c:v>
                </c:pt>
                <c:pt idx="200">
                  <c:v>-398844.19398623524</c:v>
                </c:pt>
                <c:pt idx="201">
                  <c:v>-397855.8415206474</c:v>
                </c:pt>
                <c:pt idx="202">
                  <c:v>-396866.84164578153</c:v>
                </c:pt>
                <c:pt idx="203">
                  <c:v>-395877.89936359174</c:v>
                </c:pt>
                <c:pt idx="204">
                  <c:v>-394888.98955591151</c:v>
                </c:pt>
                <c:pt idx="205">
                  <c:v>-393900.41094774776</c:v>
                </c:pt>
                <c:pt idx="206">
                  <c:v>-392911.54856132419</c:v>
                </c:pt>
                <c:pt idx="207">
                  <c:v>-391922.73174342216</c:v>
                </c:pt>
                <c:pt idx="208">
                  <c:v>-390933.98005991621</c:v>
                </c:pt>
                <c:pt idx="209">
                  <c:v>-389945.1904003314</c:v>
                </c:pt>
                <c:pt idx="210">
                  <c:v>-388956.25628243835</c:v>
                </c:pt>
                <c:pt idx="211">
                  <c:v>-387967.58373759995</c:v>
                </c:pt>
                <c:pt idx="212">
                  <c:v>-386978.87078458577</c:v>
                </c:pt>
                <c:pt idx="213">
                  <c:v>-385990.18987794372</c:v>
                </c:pt>
                <c:pt idx="214">
                  <c:v>-385001.08875977912</c:v>
                </c:pt>
                <c:pt idx="215">
                  <c:v>-281455.60344227008</c:v>
                </c:pt>
                <c:pt idx="216">
                  <c:v>-278126.17107646627</c:v>
                </c:pt>
                <c:pt idx="217">
                  <c:v>-274797.00306697586</c:v>
                </c:pt>
                <c:pt idx="218">
                  <c:v>-271468.18068603415</c:v>
                </c:pt>
                <c:pt idx="219">
                  <c:v>-268138.80832377489</c:v>
                </c:pt>
                <c:pt idx="220">
                  <c:v>-264810.68984876527</c:v>
                </c:pt>
                <c:pt idx="221">
                  <c:v>-261480.98712109658</c:v>
                </c:pt>
                <c:pt idx="222">
                  <c:v>-258150.95556171419</c:v>
                </c:pt>
                <c:pt idx="223">
                  <c:v>-199652.48867841315</c:v>
                </c:pt>
                <c:pt idx="224">
                  <c:v>-196324.11406267702</c:v>
                </c:pt>
                <c:pt idx="225">
                  <c:v>-192994.10021229429</c:v>
                </c:pt>
                <c:pt idx="226">
                  <c:v>-189664.2485496219</c:v>
                </c:pt>
                <c:pt idx="227">
                  <c:v>-186335.72041517418</c:v>
                </c:pt>
                <c:pt idx="228">
                  <c:v>-183006.33986649089</c:v>
                </c:pt>
                <c:pt idx="229">
                  <c:v>-128962.38338513458</c:v>
                </c:pt>
                <c:pt idx="230">
                  <c:v>-125634.24986323323</c:v>
                </c:pt>
                <c:pt idx="231">
                  <c:v>-122304.96160367802</c:v>
                </c:pt>
                <c:pt idx="232">
                  <c:v>-118974.3229937767</c:v>
                </c:pt>
                <c:pt idx="233">
                  <c:v>-115647.33222022752</c:v>
                </c:pt>
                <c:pt idx="234">
                  <c:v>-112484.28453097912</c:v>
                </c:pt>
                <c:pt idx="235">
                  <c:v>-111566.61926380599</c:v>
                </c:pt>
                <c:pt idx="236">
                  <c:v>-110186.57207722035</c:v>
                </c:pt>
                <c:pt idx="237">
                  <c:v>-108863.13047150236</c:v>
                </c:pt>
                <c:pt idx="238">
                  <c:v>-108816.90888413381</c:v>
                </c:pt>
                <c:pt idx="239">
                  <c:v>-108810.99637992449</c:v>
                </c:pt>
                <c:pt idx="240">
                  <c:v>-108912.39870466347</c:v>
                </c:pt>
                <c:pt idx="241">
                  <c:v>-108852.37597861741</c:v>
                </c:pt>
                <c:pt idx="242">
                  <c:v>-108900.36925448808</c:v>
                </c:pt>
                <c:pt idx="243">
                  <c:v>-108895.07901784463</c:v>
                </c:pt>
                <c:pt idx="244">
                  <c:v>-108890.12698506528</c:v>
                </c:pt>
                <c:pt idx="245">
                  <c:v>-108937.95038832357</c:v>
                </c:pt>
                <c:pt idx="246">
                  <c:v>-108933.54673493408</c:v>
                </c:pt>
                <c:pt idx="247">
                  <c:v>-108928.0185226271</c:v>
                </c:pt>
                <c:pt idx="248">
                  <c:v>-108974.55305735205</c:v>
                </c:pt>
                <c:pt idx="249">
                  <c:v>-108969.01391261777</c:v>
                </c:pt>
                <c:pt idx="250">
                  <c:v>-108961.25219594604</c:v>
                </c:pt>
                <c:pt idx="251">
                  <c:v>-109010.59788634427</c:v>
                </c:pt>
                <c:pt idx="252">
                  <c:v>-109004.29613363872</c:v>
                </c:pt>
                <c:pt idx="253">
                  <c:v>-108997.037975074</c:v>
                </c:pt>
                <c:pt idx="254">
                  <c:v>-108990.41200273871</c:v>
                </c:pt>
                <c:pt idx="255">
                  <c:v>-109038.710856996</c:v>
                </c:pt>
                <c:pt idx="256">
                  <c:v>-109088.48676879748</c:v>
                </c:pt>
                <c:pt idx="257">
                  <c:v>-109099.28593797855</c:v>
                </c:pt>
                <c:pt idx="258">
                  <c:v>-109093.9797008942</c:v>
                </c:pt>
                <c:pt idx="259">
                  <c:v>-109088.8916420749</c:v>
                </c:pt>
                <c:pt idx="260">
                  <c:v>-109141.25283896126</c:v>
                </c:pt>
                <c:pt idx="261">
                  <c:v>-109135.3326257437</c:v>
                </c:pt>
                <c:pt idx="262">
                  <c:v>-109099.55776020839</c:v>
                </c:pt>
                <c:pt idx="263">
                  <c:v>-109323.622630618</c:v>
                </c:pt>
                <c:pt idx="264">
                  <c:v>-109518.90209866036</c:v>
                </c:pt>
                <c:pt idx="265">
                  <c:v>-109693.78107428155</c:v>
                </c:pt>
                <c:pt idx="266">
                  <c:v>-109878.45458200114</c:v>
                </c:pt>
                <c:pt idx="267">
                  <c:v>-110107.07222902842</c:v>
                </c:pt>
                <c:pt idx="268">
                  <c:v>-110272.78437253124</c:v>
                </c:pt>
                <c:pt idx="269">
                  <c:v>-110455.96883168245</c:v>
                </c:pt>
                <c:pt idx="270">
                  <c:v>-110637.52761941103</c:v>
                </c:pt>
                <c:pt idx="271">
                  <c:v>-110841.77836305415</c:v>
                </c:pt>
                <c:pt idx="272">
                  <c:v>-111029.41108193716</c:v>
                </c:pt>
                <c:pt idx="273">
                  <c:v>-111577.83562385473</c:v>
                </c:pt>
                <c:pt idx="274">
                  <c:v>-111757.99699603197</c:v>
                </c:pt>
                <c:pt idx="275">
                  <c:v>-111959.46251249366</c:v>
                </c:pt>
                <c:pt idx="276">
                  <c:v>-112140.44714895739</c:v>
                </c:pt>
                <c:pt idx="277">
                  <c:v>-112339.86063661164</c:v>
                </c:pt>
                <c:pt idx="278">
                  <c:v>-112726.8300591649</c:v>
                </c:pt>
                <c:pt idx="279">
                  <c:v>-112907.22508319805</c:v>
                </c:pt>
                <c:pt idx="280">
                  <c:v>-113138.32149449331</c:v>
                </c:pt>
                <c:pt idx="281">
                  <c:v>-113408.78465042089</c:v>
                </c:pt>
                <c:pt idx="282">
                  <c:v>-21974.477793336271</c:v>
                </c:pt>
                <c:pt idx="283">
                  <c:v>-22682.356767707213</c:v>
                </c:pt>
                <c:pt idx="284">
                  <c:v>-23345.633075023386</c:v>
                </c:pt>
                <c:pt idx="285">
                  <c:v>-24062.895869678723</c:v>
                </c:pt>
                <c:pt idx="286">
                  <c:v>-24724.187979624636</c:v>
                </c:pt>
                <c:pt idx="287">
                  <c:v>-23992.674216534568</c:v>
                </c:pt>
                <c:pt idx="288">
                  <c:v>-24396.389708647959</c:v>
                </c:pt>
                <c:pt idx="289">
                  <c:v>-22802.30240179372</c:v>
                </c:pt>
                <c:pt idx="290">
                  <c:v>-22861.650188234493</c:v>
                </c:pt>
                <c:pt idx="291">
                  <c:v>-20740.415189121024</c:v>
                </c:pt>
                <c:pt idx="292">
                  <c:v>-18455.413997922689</c:v>
                </c:pt>
                <c:pt idx="293">
                  <c:v>-16068.218007953154</c:v>
                </c:pt>
                <c:pt idx="294">
                  <c:v>-13622.532365656423</c:v>
                </c:pt>
                <c:pt idx="295">
                  <c:v>-11169.755508596769</c:v>
                </c:pt>
                <c:pt idx="296">
                  <c:v>-8705.9930888023664</c:v>
                </c:pt>
                <c:pt idx="297">
                  <c:v>-6247.6989914879005</c:v>
                </c:pt>
                <c:pt idx="298">
                  <c:v>-3789.9441267050865</c:v>
                </c:pt>
                <c:pt idx="299">
                  <c:v>-1340.3251990438575</c:v>
                </c:pt>
                <c:pt idx="300">
                  <c:v>1082.4987014594999</c:v>
                </c:pt>
                <c:pt idx="301">
                  <c:v>3503.759815725</c:v>
                </c:pt>
                <c:pt idx="302">
                  <c:v>5925.0209679310001</c:v>
                </c:pt>
                <c:pt idx="303">
                  <c:v>8346.2821568100007</c:v>
                </c:pt>
                <c:pt idx="304">
                  <c:v>10754.3597404425</c:v>
                </c:pt>
                <c:pt idx="305">
                  <c:v>13146.405865190001</c:v>
                </c:pt>
                <c:pt idx="306">
                  <c:v>15515.0856216265</c:v>
                </c:pt>
                <c:pt idx="307">
                  <c:v>15672.5017837635</c:v>
                </c:pt>
                <c:pt idx="308">
                  <c:v>15829.918006188</c:v>
                </c:pt>
                <c:pt idx="309">
                  <c:v>15987.3342055505</c:v>
                </c:pt>
                <c:pt idx="310">
                  <c:v>16144.750411244</c:v>
                </c:pt>
                <c:pt idx="311">
                  <c:v>16302.166676562001</c:v>
                </c:pt>
                <c:pt idx="312">
                  <c:v>16459.582797319999</c:v>
                </c:pt>
                <c:pt idx="313">
                  <c:v>16616.999009351002</c:v>
                </c:pt>
                <c:pt idx="314">
                  <c:v>53388.174224183502</c:v>
                </c:pt>
                <c:pt idx="315">
                  <c:v>53545.590444333</c:v>
                </c:pt>
                <c:pt idx="316">
                  <c:v>53703.006652587508</c:v>
                </c:pt>
                <c:pt idx="317">
                  <c:v>53860.422860224498</c:v>
                </c:pt>
                <c:pt idx="318">
                  <c:v>54017.839073269497</c:v>
                </c:pt>
                <c:pt idx="319">
                  <c:v>54175.255285755506</c:v>
                </c:pt>
                <c:pt idx="320">
                  <c:v>54332.671500379998</c:v>
                </c:pt>
                <c:pt idx="321">
                  <c:v>89488.540989490502</c:v>
                </c:pt>
                <c:pt idx="322">
                  <c:v>89645.592886310493</c:v>
                </c:pt>
                <c:pt idx="323">
                  <c:v>89802.644757052505</c:v>
                </c:pt>
                <c:pt idx="324">
                  <c:v>89959.695690403503</c:v>
                </c:pt>
                <c:pt idx="325">
                  <c:v>90116.747865963</c:v>
                </c:pt>
                <c:pt idx="326">
                  <c:v>90273.799724907498</c:v>
                </c:pt>
                <c:pt idx="327">
                  <c:v>123840.20710645476</c:v>
                </c:pt>
                <c:pt idx="328">
                  <c:v>123962.953146448</c:v>
                </c:pt>
                <c:pt idx="329">
                  <c:v>124120.00489231849</c:v>
                </c:pt>
                <c:pt idx="330">
                  <c:v>124277.0565493145</c:v>
                </c:pt>
                <c:pt idx="331">
                  <c:v>124434.10828354351</c:v>
                </c:pt>
                <c:pt idx="332">
                  <c:v>124591.16012745351</c:v>
                </c:pt>
                <c:pt idx="333">
                  <c:v>124748.21176421501</c:v>
                </c:pt>
                <c:pt idx="334">
                  <c:v>156846.16537743402</c:v>
                </c:pt>
                <c:pt idx="335">
                  <c:v>157003.217122687</c:v>
                </c:pt>
                <c:pt idx="336">
                  <c:v>157160.268797311</c:v>
                </c:pt>
                <c:pt idx="337">
                  <c:v>157317.32054093899</c:v>
                </c:pt>
                <c:pt idx="338">
                  <c:v>157474.37227661101</c:v>
                </c:pt>
                <c:pt idx="339">
                  <c:v>157631.4240528885</c:v>
                </c:pt>
                <c:pt idx="340">
                  <c:v>157788.47577624948</c:v>
                </c:pt>
                <c:pt idx="341">
                  <c:v>188179.19226153355</c:v>
                </c:pt>
                <c:pt idx="342">
                  <c:v>188295.22936874651</c:v>
                </c:pt>
                <c:pt idx="343">
                  <c:v>188452.28111319352</c:v>
                </c:pt>
                <c:pt idx="344">
                  <c:v>188609.3328228395</c:v>
                </c:pt>
                <c:pt idx="345">
                  <c:v>188766.38458182701</c:v>
                </c:pt>
                <c:pt idx="346">
                  <c:v>188923.43628797599</c:v>
                </c:pt>
                <c:pt idx="347">
                  <c:v>189080.4880078205</c:v>
                </c:pt>
                <c:pt idx="348">
                  <c:v>218031.68611288516</c:v>
                </c:pt>
                <c:pt idx="349">
                  <c:v>218153.09335298702</c:v>
                </c:pt>
                <c:pt idx="350">
                  <c:v>218310.14508039749</c:v>
                </c:pt>
                <c:pt idx="351">
                  <c:v>218467.19678891249</c:v>
                </c:pt>
                <c:pt idx="352">
                  <c:v>218624.24854611899</c:v>
                </c:pt>
                <c:pt idx="353">
                  <c:v>218781.30027971102</c:v>
                </c:pt>
                <c:pt idx="354">
                  <c:v>218938.3519778715</c:v>
                </c:pt>
                <c:pt idx="355">
                  <c:v>246319.17732918164</c:v>
                </c:pt>
                <c:pt idx="356">
                  <c:v>246419.757361375</c:v>
                </c:pt>
                <c:pt idx="357">
                  <c:v>246576.80908254549</c:v>
                </c:pt>
                <c:pt idx="358">
                  <c:v>246733.86079147001</c:v>
                </c:pt>
                <c:pt idx="359">
                  <c:v>246890.91253812698</c:v>
                </c:pt>
                <c:pt idx="360">
                  <c:v>258256.43104112463</c:v>
                </c:pt>
                <c:pt idx="361">
                  <c:v>259098.58540489629</c:v>
                </c:pt>
                <c:pt idx="362">
                  <c:v>262176.99692614545</c:v>
                </c:pt>
                <c:pt idx="363">
                  <c:v>262268.47687519697</c:v>
                </c:pt>
                <c:pt idx="364">
                  <c:v>262425.52856218402</c:v>
                </c:pt>
                <c:pt idx="365">
                  <c:v>262582.58032409649</c:v>
                </c:pt>
                <c:pt idx="366">
                  <c:v>262739.63207666203</c:v>
                </c:pt>
                <c:pt idx="367">
                  <c:v>262896.68381739099</c:v>
                </c:pt>
                <c:pt idx="368">
                  <c:v>263155.00983027101</c:v>
                </c:pt>
                <c:pt idx="369">
                  <c:v>263285.57673356903</c:v>
                </c:pt>
                <c:pt idx="370">
                  <c:v>266699.87131406588</c:v>
                </c:pt>
                <c:pt idx="371">
                  <c:v>266749.66938217566</c:v>
                </c:pt>
                <c:pt idx="372">
                  <c:v>266886.43752836005</c:v>
                </c:pt>
                <c:pt idx="373">
                  <c:v>267043.48925616051</c:v>
                </c:pt>
                <c:pt idx="374">
                  <c:v>267205.34233960451</c:v>
                </c:pt>
                <c:pt idx="375">
                  <c:v>267361.03708764451</c:v>
                </c:pt>
                <c:pt idx="376">
                  <c:v>267518.088822725</c:v>
                </c:pt>
                <c:pt idx="377">
                  <c:v>267675.1405386955</c:v>
                </c:pt>
                <c:pt idx="378">
                  <c:v>275807.38520583953</c:v>
                </c:pt>
                <c:pt idx="379">
                  <c:v>280970.703524935</c:v>
                </c:pt>
                <c:pt idx="380">
                  <c:v>287553.13793304801</c:v>
                </c:pt>
                <c:pt idx="381">
                  <c:v>291805.513089207</c:v>
                </c:pt>
                <c:pt idx="382">
                  <c:v>297194.08460900071</c:v>
                </c:pt>
                <c:pt idx="383">
                  <c:v>300940.038186619</c:v>
                </c:pt>
                <c:pt idx="384">
                  <c:v>304307.03886831301</c:v>
                </c:pt>
                <c:pt idx="385">
                  <c:v>307460.58256089152</c:v>
                </c:pt>
                <c:pt idx="386">
                  <c:v>310400.6308193765</c:v>
                </c:pt>
                <c:pt idx="387">
                  <c:v>313127.14564942202</c:v>
                </c:pt>
                <c:pt idx="388">
                  <c:v>315640.0957894015</c:v>
                </c:pt>
                <c:pt idx="389">
                  <c:v>317934.12425635901</c:v>
                </c:pt>
                <c:pt idx="390">
                  <c:v>320012.69593564048</c:v>
                </c:pt>
                <c:pt idx="391">
                  <c:v>322306.4639775175</c:v>
                </c:pt>
                <c:pt idx="392">
                  <c:v>324168.3514995575</c:v>
                </c:pt>
                <c:pt idx="393">
                  <c:v>325818.22618401551</c:v>
                </c:pt>
                <c:pt idx="394">
                  <c:v>328024.65651782451</c:v>
                </c:pt>
                <c:pt idx="395">
                  <c:v>329551.29028363101</c:v>
                </c:pt>
                <c:pt idx="396">
                  <c:v>330774.56506659504</c:v>
                </c:pt>
                <c:pt idx="397">
                  <c:v>333061.31547487504</c:v>
                </c:pt>
                <c:pt idx="398">
                  <c:v>334663.54779254069</c:v>
                </c:pt>
                <c:pt idx="399">
                  <c:v>339610.0763979085</c:v>
                </c:pt>
                <c:pt idx="400">
                  <c:v>344731.23770797491</c:v>
                </c:pt>
                <c:pt idx="401">
                  <c:v>348181.59281928197</c:v>
                </c:pt>
                <c:pt idx="402">
                  <c:v>353413.4773242675</c:v>
                </c:pt>
                <c:pt idx="403">
                  <c:v>356659.53893854294</c:v>
                </c:pt>
                <c:pt idx="404">
                  <c:v>361041.00084050704</c:v>
                </c:pt>
                <c:pt idx="405">
                  <c:v>362895.63158146309</c:v>
                </c:pt>
                <c:pt idx="406">
                  <c:v>367033.55496680446</c:v>
                </c:pt>
                <c:pt idx="407">
                  <c:v>371153.4839963048</c:v>
                </c:pt>
                <c:pt idx="408">
                  <c:v>372687.06646526663</c:v>
                </c:pt>
                <c:pt idx="409">
                  <c:v>376720.8542770184</c:v>
                </c:pt>
                <c:pt idx="410">
                  <c:v>377801.68632319459</c:v>
                </c:pt>
                <c:pt idx="411">
                  <c:v>381753.37036016776</c:v>
                </c:pt>
                <c:pt idx="412">
                  <c:v>385687.2627750542</c:v>
                </c:pt>
                <c:pt idx="413">
                  <c:v>386309.49669064768</c:v>
                </c:pt>
                <c:pt idx="414">
                  <c:v>390182.11951683945</c:v>
                </c:pt>
                <c:pt idx="415">
                  <c:v>394016.12603870721</c:v>
                </c:pt>
                <c:pt idx="416">
                  <c:v>394206.9437890292</c:v>
                </c:pt>
                <c:pt idx="417">
                  <c:v>397916.84123948368</c:v>
                </c:pt>
                <c:pt idx="418">
                  <c:v>401638.61611699185</c:v>
                </c:pt>
                <c:pt idx="419">
                  <c:v>401294.651535924</c:v>
                </c:pt>
                <c:pt idx="420">
                  <c:v>404962.64406801062</c:v>
                </c:pt>
                <c:pt idx="421">
                  <c:v>408624.2192569563</c:v>
                </c:pt>
                <c:pt idx="422">
                  <c:v>412213.33071020868</c:v>
                </c:pt>
                <c:pt idx="423">
                  <c:v>411440.62788620178</c:v>
                </c:pt>
                <c:pt idx="424">
                  <c:v>415025.67713850894</c:v>
                </c:pt>
                <c:pt idx="425">
                  <c:v>418618.49661471008</c:v>
                </c:pt>
                <c:pt idx="426">
                  <c:v>421791.57269395748</c:v>
                </c:pt>
                <c:pt idx="427">
                  <c:v>420818.69674718147</c:v>
                </c:pt>
                <c:pt idx="428">
                  <c:v>424335.48457688669</c:v>
                </c:pt>
                <c:pt idx="429">
                  <c:v>425442.89418774302</c:v>
                </c:pt>
                <c:pt idx="430">
                  <c:v>425082.091028544</c:v>
                </c:pt>
                <c:pt idx="431">
                  <c:v>419389.69774882501</c:v>
                </c:pt>
                <c:pt idx="432">
                  <c:v>419029.17860095203</c:v>
                </c:pt>
                <c:pt idx="433">
                  <c:v>418668.65952752705</c:v>
                </c:pt>
                <c:pt idx="434">
                  <c:v>418290.24969509401</c:v>
                </c:pt>
                <c:pt idx="435">
                  <c:v>417929.73087623401</c:v>
                </c:pt>
                <c:pt idx="436">
                  <c:v>412050.30648544797</c:v>
                </c:pt>
                <c:pt idx="437">
                  <c:v>411605.00696375099</c:v>
                </c:pt>
                <c:pt idx="438">
                  <c:v>411244.48878576298</c:v>
                </c:pt>
                <c:pt idx="439">
                  <c:v>410883.97045886097</c:v>
                </c:pt>
                <c:pt idx="440">
                  <c:v>410523.45267090597</c:v>
                </c:pt>
                <c:pt idx="441">
                  <c:v>403884.86772161699</c:v>
                </c:pt>
                <c:pt idx="442">
                  <c:v>403524.35033044498</c:v>
                </c:pt>
                <c:pt idx="443">
                  <c:v>403104.32302220998</c:v>
                </c:pt>
                <c:pt idx="444">
                  <c:v>402651.36034053302</c:v>
                </c:pt>
                <c:pt idx="445">
                  <c:v>402203.40085244318</c:v>
                </c:pt>
                <c:pt idx="446">
                  <c:v>401641.48552763701</c:v>
                </c:pt>
                <c:pt idx="447">
                  <c:v>395137.93618917</c:v>
                </c:pt>
                <c:pt idx="448">
                  <c:v>394707.80320647301</c:v>
                </c:pt>
                <c:pt idx="449">
                  <c:v>394277.66776526399</c:v>
                </c:pt>
                <c:pt idx="450">
                  <c:v>393835.582955538</c:v>
                </c:pt>
                <c:pt idx="451">
                  <c:v>393425.67407909402</c:v>
                </c:pt>
                <c:pt idx="452">
                  <c:v>393023.74985064904</c:v>
                </c:pt>
                <c:pt idx="453">
                  <c:v>392650.39270698599</c:v>
                </c:pt>
                <c:pt idx="454">
                  <c:v>385935.43026566698</c:v>
                </c:pt>
                <c:pt idx="455">
                  <c:v>385308.09692262002</c:v>
                </c:pt>
                <c:pt idx="456">
                  <c:v>384906.174282783</c:v>
                </c:pt>
                <c:pt idx="457">
                  <c:v>384504.25329096301</c:v>
                </c:pt>
                <c:pt idx="458">
                  <c:v>384102.331527762</c:v>
                </c:pt>
                <c:pt idx="459">
                  <c:v>383700.40835412598</c:v>
                </c:pt>
                <c:pt idx="460">
                  <c:v>383298.49244236498</c:v>
                </c:pt>
                <c:pt idx="461">
                  <c:v>382635.89785612852</c:v>
                </c:pt>
                <c:pt idx="462">
                  <c:v>376265.33448266803</c:v>
                </c:pt>
                <c:pt idx="463">
                  <c:v>375287.01723478799</c:v>
                </c:pt>
                <c:pt idx="464">
                  <c:v>374885.096865759</c:v>
                </c:pt>
                <c:pt idx="465">
                  <c:v>374483.17378022399</c:v>
                </c:pt>
                <c:pt idx="466">
                  <c:v>374081.25390301802</c:v>
                </c:pt>
                <c:pt idx="467">
                  <c:v>373679.33702139003</c:v>
                </c:pt>
                <c:pt idx="468">
                  <c:v>373282.81506000902</c:v>
                </c:pt>
                <c:pt idx="469">
                  <c:v>372829.43926910701</c:v>
                </c:pt>
                <c:pt idx="470">
                  <c:v>372427.52102359198</c:v>
                </c:pt>
                <c:pt idx="471">
                  <c:v>372045.86999604682</c:v>
                </c:pt>
                <c:pt idx="472">
                  <c:v>364639.74107634899</c:v>
                </c:pt>
                <c:pt idx="473">
                  <c:v>364237.82323409704</c:v>
                </c:pt>
                <c:pt idx="474">
                  <c:v>363844.29086825403</c:v>
                </c:pt>
                <c:pt idx="475">
                  <c:v>363411.18324096297</c:v>
                </c:pt>
                <c:pt idx="476">
                  <c:v>363049.67104758002</c:v>
                </c:pt>
                <c:pt idx="477">
                  <c:v>352821.24964044901</c:v>
                </c:pt>
                <c:pt idx="478">
                  <c:v>350312.54610214796</c:v>
                </c:pt>
                <c:pt idx="479">
                  <c:v>340112.34597007802</c:v>
                </c:pt>
                <c:pt idx="480">
                  <c:v>337600.87243510498</c:v>
                </c:pt>
                <c:pt idx="481">
                  <c:v>327327.06976557296</c:v>
                </c:pt>
                <c:pt idx="482">
                  <c:v>324597.213144081</c:v>
                </c:pt>
                <c:pt idx="483">
                  <c:v>322245.14459599799</c:v>
                </c:pt>
                <c:pt idx="484">
                  <c:v>311803.19175532501</c:v>
                </c:pt>
                <c:pt idx="485">
                  <c:v>309630.79499007598</c:v>
                </c:pt>
                <c:pt idx="486">
                  <c:v>307720.06908783299</c:v>
                </c:pt>
                <c:pt idx="487">
                  <c:v>297474.339494268</c:v>
                </c:pt>
                <c:pt idx="488">
                  <c:v>284938.699259313</c:v>
                </c:pt>
                <c:pt idx="489">
                  <c:v>283122.56540754897</c:v>
                </c:pt>
                <c:pt idx="490">
                  <c:v>281306.491919811</c:v>
                </c:pt>
                <c:pt idx="491">
                  <c:v>279490.48445274297</c:v>
                </c:pt>
                <c:pt idx="492">
                  <c:v>247163.38447553999</c:v>
                </c:pt>
                <c:pt idx="493">
                  <c:v>245339.61717749399</c:v>
                </c:pt>
                <c:pt idx="494">
                  <c:v>243515.93146660802</c:v>
                </c:pt>
                <c:pt idx="495">
                  <c:v>241692.34340557802</c:v>
                </c:pt>
                <c:pt idx="496">
                  <c:v>239868.84854924103</c:v>
                </c:pt>
                <c:pt idx="497">
                  <c:v>237728.84133792602</c:v>
                </c:pt>
                <c:pt idx="498">
                  <c:v>205098.62404522501</c:v>
                </c:pt>
                <c:pt idx="499">
                  <c:v>203275.49231701798</c:v>
                </c:pt>
                <c:pt idx="500">
                  <c:v>201609.027052155</c:v>
                </c:pt>
                <c:pt idx="501">
                  <c:v>200061.314153496</c:v>
                </c:pt>
                <c:pt idx="502">
                  <c:v>198513.76316486401</c:v>
                </c:pt>
                <c:pt idx="503">
                  <c:v>196955.848579482</c:v>
                </c:pt>
                <c:pt idx="504">
                  <c:v>195408.64780624799</c:v>
                </c:pt>
                <c:pt idx="505">
                  <c:v>193861.64242771198</c:v>
                </c:pt>
                <c:pt idx="506">
                  <c:v>192314.86146213301</c:v>
                </c:pt>
                <c:pt idx="507">
                  <c:v>189767.67367111234</c:v>
                </c:pt>
                <c:pt idx="508">
                  <c:v>157549.55619150901</c:v>
                </c:pt>
                <c:pt idx="509">
                  <c:v>156245.319254097</c:v>
                </c:pt>
                <c:pt idx="510">
                  <c:v>154941.36243643801</c:v>
                </c:pt>
                <c:pt idx="511">
                  <c:v>153637.70840768702</c:v>
                </c:pt>
                <c:pt idx="512">
                  <c:v>152334.38023022699</c:v>
                </c:pt>
                <c:pt idx="513">
                  <c:v>151031.395667934</c:v>
                </c:pt>
                <c:pt idx="514">
                  <c:v>149728.77852002101</c:v>
                </c:pt>
                <c:pt idx="515">
                  <c:v>148426.55384349599</c:v>
                </c:pt>
                <c:pt idx="516">
                  <c:v>147124.74647853899</c:v>
                </c:pt>
                <c:pt idx="517">
                  <c:v>145823.38321984201</c:v>
                </c:pt>
                <c:pt idx="518">
                  <c:v>144522.49213231201</c:v>
                </c:pt>
                <c:pt idx="519">
                  <c:v>143222.10290635502</c:v>
                </c:pt>
                <c:pt idx="520">
                  <c:v>141922.24701416102</c:v>
                </c:pt>
                <c:pt idx="521">
                  <c:v>140813.81339142265</c:v>
                </c:pt>
                <c:pt idx="522">
                  <c:v>138952.0125570462</c:v>
                </c:pt>
                <c:pt idx="523">
                  <c:v>137853.08327253451</c:v>
                </c:pt>
                <c:pt idx="524">
                  <c:v>104582.75419782</c:v>
                </c:pt>
                <c:pt idx="525">
                  <c:v>103328.704977156</c:v>
                </c:pt>
                <c:pt idx="526">
                  <c:v>102047.374148319</c:v>
                </c:pt>
                <c:pt idx="527">
                  <c:v>100692.639105435</c:v>
                </c:pt>
                <c:pt idx="528">
                  <c:v>99211.111799886028</c:v>
                </c:pt>
                <c:pt idx="529">
                  <c:v>97679.353322726995</c:v>
                </c:pt>
                <c:pt idx="530">
                  <c:v>96894.047827107046</c:v>
                </c:pt>
                <c:pt idx="531">
                  <c:v>96143.848933986053</c:v>
                </c:pt>
                <c:pt idx="532">
                  <c:v>95394.682546434036</c:v>
                </c:pt>
                <c:pt idx="533">
                  <c:v>94646.590212159004</c:v>
                </c:pt>
                <c:pt idx="534">
                  <c:v>93899.648833371</c:v>
                </c:pt>
                <c:pt idx="535">
                  <c:v>93153.913460874013</c:v>
                </c:pt>
                <c:pt idx="536">
                  <c:v>92409.437822300999</c:v>
                </c:pt>
                <c:pt idx="537">
                  <c:v>91666.289969541001</c:v>
                </c:pt>
                <c:pt idx="538">
                  <c:v>90924.530116184993</c:v>
                </c:pt>
                <c:pt idx="539">
                  <c:v>90184.224064652997</c:v>
                </c:pt>
                <c:pt idx="540">
                  <c:v>89445.448375847991</c:v>
                </c:pt>
                <c:pt idx="541">
                  <c:v>88708.267064853004</c:v>
                </c:pt>
                <c:pt idx="542">
                  <c:v>87972.757106391</c:v>
                </c:pt>
                <c:pt idx="543">
                  <c:v>87238.994040881997</c:v>
                </c:pt>
                <c:pt idx="544">
                  <c:v>86656.676247255295</c:v>
                </c:pt>
                <c:pt idx="545">
                  <c:v>86000.628802742998</c:v>
                </c:pt>
                <c:pt idx="546">
                  <c:v>84895.303613490003</c:v>
                </c:pt>
                <c:pt idx="547">
                  <c:v>84169.328545637996</c:v>
                </c:pt>
                <c:pt idx="548">
                  <c:v>83445.511773068996</c:v>
                </c:pt>
                <c:pt idx="549">
                  <c:v>82723.940582733005</c:v>
                </c:pt>
                <c:pt idx="550">
                  <c:v>82004.710244237998</c:v>
                </c:pt>
                <c:pt idx="551">
                  <c:v>80162.440541486998</c:v>
                </c:pt>
                <c:pt idx="552">
                  <c:v>43188.229691045999</c:v>
                </c:pt>
                <c:pt idx="553">
                  <c:v>38829.580151526003</c:v>
                </c:pt>
                <c:pt idx="554">
                  <c:v>34516.003485636007</c:v>
                </c:pt>
                <c:pt idx="555">
                  <c:v>30252.573493361997</c:v>
                </c:pt>
                <c:pt idx="556">
                  <c:v>26044.332977943002</c:v>
                </c:pt>
                <c:pt idx="557">
                  <c:v>21896.156146689002</c:v>
                </c:pt>
                <c:pt idx="558">
                  <c:v>17812.601335197</c:v>
                </c:pt>
                <c:pt idx="559">
                  <c:v>14109.713017316992</c:v>
                </c:pt>
                <c:pt idx="560">
                  <c:v>-23276.81505456716</c:v>
                </c:pt>
                <c:pt idx="561">
                  <c:v>-27148.71630791873</c:v>
                </c:pt>
                <c:pt idx="562">
                  <c:v>-30938.605424190584</c:v>
                </c:pt>
                <c:pt idx="563">
                  <c:v>-34639.473490955774</c:v>
                </c:pt>
                <c:pt idx="564">
                  <c:v>-38281.444290644758</c:v>
                </c:pt>
                <c:pt idx="565">
                  <c:v>-41828.829656997907</c:v>
                </c:pt>
                <c:pt idx="566">
                  <c:v>-45316.71051701183</c:v>
                </c:pt>
                <c:pt idx="567">
                  <c:v>-49103.683611447821</c:v>
                </c:pt>
                <c:pt idx="568">
                  <c:v>-85665.749901179908</c:v>
                </c:pt>
                <c:pt idx="569">
                  <c:v>-88928.138624930871</c:v>
                </c:pt>
                <c:pt idx="570">
                  <c:v>-92144.271111877417</c:v>
                </c:pt>
                <c:pt idx="571">
                  <c:v>-95285.943088872533</c:v>
                </c:pt>
                <c:pt idx="572">
                  <c:v>-98369.530623550294</c:v>
                </c:pt>
                <c:pt idx="573">
                  <c:v>-102806.10535856386</c:v>
                </c:pt>
                <c:pt idx="574">
                  <c:v>-103506.55509795129</c:v>
                </c:pt>
                <c:pt idx="575">
                  <c:v>-103703.19656535271</c:v>
                </c:pt>
                <c:pt idx="576">
                  <c:v>-103905.10252663195</c:v>
                </c:pt>
                <c:pt idx="577">
                  <c:v>-104067.97524499656</c:v>
                </c:pt>
                <c:pt idx="578">
                  <c:v>-104180.2691302546</c:v>
                </c:pt>
                <c:pt idx="579">
                  <c:v>-106110.00586571371</c:v>
                </c:pt>
                <c:pt idx="580">
                  <c:v>-108897.4618044926</c:v>
                </c:pt>
                <c:pt idx="581">
                  <c:v>-106141.06019131021</c:v>
                </c:pt>
                <c:pt idx="582">
                  <c:v>-108902.77147300285</c:v>
                </c:pt>
                <c:pt idx="583">
                  <c:v>-108901.90064093747</c:v>
                </c:pt>
                <c:pt idx="584">
                  <c:v>-108907.19604814386</c:v>
                </c:pt>
                <c:pt idx="585">
                  <c:v>-108907.92784881518</c:v>
                </c:pt>
                <c:pt idx="586">
                  <c:v>-106263.24938065995</c:v>
                </c:pt>
                <c:pt idx="587">
                  <c:v>-106288.57638831229</c:v>
                </c:pt>
                <c:pt idx="588">
                  <c:v>-108942.14717833218</c:v>
                </c:pt>
                <c:pt idx="589">
                  <c:v>-108957.78618517336</c:v>
                </c:pt>
                <c:pt idx="590">
                  <c:v>-109012.68973424578</c:v>
                </c:pt>
                <c:pt idx="591">
                  <c:v>-108973.99221301686</c:v>
                </c:pt>
                <c:pt idx="592">
                  <c:v>-109079.70837359391</c:v>
                </c:pt>
                <c:pt idx="593">
                  <c:v>-109069.86711104107</c:v>
                </c:pt>
                <c:pt idx="594">
                  <c:v>-106463.48867455128</c:v>
                </c:pt>
                <c:pt idx="595">
                  <c:v>-109079.96013733964</c:v>
                </c:pt>
                <c:pt idx="596">
                  <c:v>-109078.30521141921</c:v>
                </c:pt>
                <c:pt idx="597">
                  <c:v>-109104.7095815926</c:v>
                </c:pt>
                <c:pt idx="598">
                  <c:v>-109117.26720986495</c:v>
                </c:pt>
                <c:pt idx="599">
                  <c:v>-109110.84359307171</c:v>
                </c:pt>
                <c:pt idx="600">
                  <c:v>-109101.12304129897</c:v>
                </c:pt>
                <c:pt idx="601">
                  <c:v>-109153.6906989381</c:v>
                </c:pt>
                <c:pt idx="602">
                  <c:v>-109334.5516303723</c:v>
                </c:pt>
                <c:pt idx="603">
                  <c:v>-109490.11471748078</c:v>
                </c:pt>
                <c:pt idx="604">
                  <c:v>-109726.60486694986</c:v>
                </c:pt>
                <c:pt idx="605">
                  <c:v>-109913.60778921473</c:v>
                </c:pt>
                <c:pt idx="606">
                  <c:v>-110102.46721225037</c:v>
                </c:pt>
                <c:pt idx="607">
                  <c:v>-110258.81069817</c:v>
                </c:pt>
                <c:pt idx="608">
                  <c:v>-110458.69233436542</c:v>
                </c:pt>
                <c:pt idx="609">
                  <c:v>-110663.86604187779</c:v>
                </c:pt>
                <c:pt idx="610">
                  <c:v>-110860.37682249463</c:v>
                </c:pt>
                <c:pt idx="611">
                  <c:v>-111381.60104469092</c:v>
                </c:pt>
                <c:pt idx="612">
                  <c:v>-111971.2543119867</c:v>
                </c:pt>
                <c:pt idx="613">
                  <c:v>-112897.78536831681</c:v>
                </c:pt>
                <c:pt idx="614">
                  <c:v>-113136.74320194927</c:v>
                </c:pt>
                <c:pt idx="615">
                  <c:v>-113299.19382954412</c:v>
                </c:pt>
                <c:pt idx="616">
                  <c:v>-113574.16401249888</c:v>
                </c:pt>
              </c:numCache>
            </c:numRef>
          </c:xVal>
          <c:yVal>
            <c:numRef>
              <c:f>'Diagrama de Interacción 2D'!$I$3:$I$1048576</c:f>
              <c:numCache>
                <c:formatCode>General</c:formatCode>
                <c:ptCount val="1048574"/>
                <c:pt idx="0">
                  <c:v>15818.297815556516</c:v>
                </c:pt>
                <c:pt idx="1">
                  <c:v>15797.070002907811</c:v>
                </c:pt>
                <c:pt idx="2">
                  <c:v>15808.956265763838</c:v>
                </c:pt>
                <c:pt idx="3">
                  <c:v>15802.253145027826</c:v>
                </c:pt>
                <c:pt idx="4">
                  <c:v>15763.604112277319</c:v>
                </c:pt>
                <c:pt idx="5">
                  <c:v>15750.752347269652</c:v>
                </c:pt>
                <c:pt idx="6">
                  <c:v>15716.533488958399</c:v>
                </c:pt>
                <c:pt idx="7">
                  <c:v>15673.385283244384</c:v>
                </c:pt>
                <c:pt idx="8">
                  <c:v>15629.89023768191</c:v>
                </c:pt>
                <c:pt idx="9">
                  <c:v>15582.82023435512</c:v>
                </c:pt>
                <c:pt idx="10">
                  <c:v>15535.482357671397</c:v>
                </c:pt>
                <c:pt idx="11">
                  <c:v>15486.021347249289</c:v>
                </c:pt>
                <c:pt idx="12">
                  <c:v>15435.078844768314</c:v>
                </c:pt>
                <c:pt idx="13">
                  <c:v>15384.169123652344</c:v>
                </c:pt>
                <c:pt idx="14">
                  <c:v>15332.379714863584</c:v>
                </c:pt>
                <c:pt idx="15">
                  <c:v>15279.313421066772</c:v>
                </c:pt>
                <c:pt idx="16">
                  <c:v>15225.508957919505</c:v>
                </c:pt>
                <c:pt idx="17">
                  <c:v>15171.718638189293</c:v>
                </c:pt>
                <c:pt idx="18">
                  <c:v>15117.937029208608</c:v>
                </c:pt>
                <c:pt idx="19">
                  <c:v>15063.960727837275</c:v>
                </c:pt>
                <c:pt idx="20">
                  <c:v>15009.060762405396</c:v>
                </c:pt>
                <c:pt idx="21">
                  <c:v>14953.807117096678</c:v>
                </c:pt>
                <c:pt idx="22">
                  <c:v>14950.07798647754</c:v>
                </c:pt>
                <c:pt idx="23">
                  <c:v>14946.345505007424</c:v>
                </c:pt>
                <c:pt idx="24">
                  <c:v>14942.619832300596</c:v>
                </c:pt>
                <c:pt idx="25">
                  <c:v>14938.887481246518</c:v>
                </c:pt>
                <c:pt idx="26">
                  <c:v>14935.158529146642</c:v>
                </c:pt>
                <c:pt idx="27">
                  <c:v>14931.426331646422</c:v>
                </c:pt>
                <c:pt idx="28">
                  <c:v>14927.700745779994</c:v>
                </c:pt>
                <c:pt idx="29">
                  <c:v>14592.294709123917</c:v>
                </c:pt>
                <c:pt idx="30">
                  <c:v>14584.037881034052</c:v>
                </c:pt>
                <c:pt idx="31">
                  <c:v>14580.306712923366</c:v>
                </c:pt>
                <c:pt idx="32">
                  <c:v>14576.575639496114</c:v>
                </c:pt>
                <c:pt idx="33">
                  <c:v>14572.850371918699</c:v>
                </c:pt>
                <c:pt idx="34">
                  <c:v>14569.119437412774</c:v>
                </c:pt>
                <c:pt idx="35">
                  <c:v>14565.391466965981</c:v>
                </c:pt>
                <c:pt idx="36">
                  <c:v>14220.311201524122</c:v>
                </c:pt>
                <c:pt idx="37">
                  <c:v>14216.58067265108</c:v>
                </c:pt>
                <c:pt idx="38">
                  <c:v>14212.855656560334</c:v>
                </c:pt>
                <c:pt idx="39">
                  <c:v>14209.125676997384</c:v>
                </c:pt>
                <c:pt idx="40">
                  <c:v>14205.3979553433</c:v>
                </c:pt>
                <c:pt idx="41">
                  <c:v>14201.66819473653</c:v>
                </c:pt>
                <c:pt idx="42">
                  <c:v>13853.062661718137</c:v>
                </c:pt>
                <c:pt idx="43">
                  <c:v>13849.399545946617</c:v>
                </c:pt>
                <c:pt idx="44">
                  <c:v>13843.988705567503</c:v>
                </c:pt>
                <c:pt idx="45">
                  <c:v>13840.259772625688</c:v>
                </c:pt>
                <c:pt idx="46">
                  <c:v>13836.532399275658</c:v>
                </c:pt>
                <c:pt idx="47">
                  <c:v>13832.804092646342</c:v>
                </c:pt>
                <c:pt idx="48">
                  <c:v>13829.075858634802</c:v>
                </c:pt>
                <c:pt idx="49">
                  <c:v>13786.328774890031</c:v>
                </c:pt>
                <c:pt idx="50">
                  <c:v>13554.019472988417</c:v>
                </c:pt>
                <c:pt idx="51">
                  <c:v>13467.19498663302</c:v>
                </c:pt>
                <c:pt idx="52">
                  <c:v>13463.807960800912</c:v>
                </c:pt>
                <c:pt idx="53">
                  <c:v>13459.928118945914</c:v>
                </c:pt>
                <c:pt idx="54">
                  <c:v>11387.618274853716</c:v>
                </c:pt>
                <c:pt idx="55">
                  <c:v>13453.01319600165</c:v>
                </c:pt>
                <c:pt idx="56">
                  <c:v>13448.222159362513</c:v>
                </c:pt>
                <c:pt idx="57">
                  <c:v>12703.25490827168</c:v>
                </c:pt>
                <c:pt idx="58">
                  <c:v>12695.842219728651</c:v>
                </c:pt>
                <c:pt idx="59">
                  <c:v>12692.136269108365</c:v>
                </c:pt>
                <c:pt idx="60">
                  <c:v>12688.411448672303</c:v>
                </c:pt>
                <c:pt idx="61">
                  <c:v>12684.689428314683</c:v>
                </c:pt>
                <c:pt idx="62">
                  <c:v>12680.966092802626</c:v>
                </c:pt>
                <c:pt idx="63">
                  <c:v>12677.243360278098</c:v>
                </c:pt>
                <c:pt idx="64">
                  <c:v>12673.520635496419</c:v>
                </c:pt>
                <c:pt idx="65">
                  <c:v>12311.755675151251</c:v>
                </c:pt>
                <c:pt idx="66">
                  <c:v>12299.271842781716</c:v>
                </c:pt>
                <c:pt idx="67">
                  <c:v>12295.550522110656</c:v>
                </c:pt>
                <c:pt idx="68">
                  <c:v>12291.825253744853</c:v>
                </c:pt>
                <c:pt idx="69">
                  <c:v>12288.102879350887</c:v>
                </c:pt>
                <c:pt idx="70">
                  <c:v>12284.38168600945</c:v>
                </c:pt>
                <c:pt idx="71">
                  <c:v>12147.816767154991</c:v>
                </c:pt>
                <c:pt idx="72">
                  <c:v>12144.394378173503</c:v>
                </c:pt>
                <c:pt idx="73">
                  <c:v>12031.854858596831</c:v>
                </c:pt>
                <c:pt idx="74">
                  <c:v>12028.133547222771</c:v>
                </c:pt>
                <c:pt idx="75">
                  <c:v>12023.282862653834</c:v>
                </c:pt>
                <c:pt idx="76">
                  <c:v>12019.564749229841</c:v>
                </c:pt>
                <c:pt idx="77">
                  <c:v>12015.843669848648</c:v>
                </c:pt>
                <c:pt idx="78">
                  <c:v>12012.122126247283</c:v>
                </c:pt>
                <c:pt idx="79">
                  <c:v>12008.401667391707</c:v>
                </c:pt>
                <c:pt idx="80">
                  <c:v>12004.432601749169</c:v>
                </c:pt>
                <c:pt idx="81">
                  <c:v>11899.870014315402</c:v>
                </c:pt>
                <c:pt idx="82">
                  <c:v>11890.38165863356</c:v>
                </c:pt>
                <c:pt idx="83">
                  <c:v>11886.661273849615</c:v>
                </c:pt>
                <c:pt idx="84">
                  <c:v>11882.938509452018</c:v>
                </c:pt>
                <c:pt idx="85">
                  <c:v>11879.218286916035</c:v>
                </c:pt>
                <c:pt idx="86">
                  <c:v>11875.498277758903</c:v>
                </c:pt>
                <c:pt idx="87">
                  <c:v>11871.778330641911</c:v>
                </c:pt>
                <c:pt idx="88">
                  <c:v>11866.264011471292</c:v>
                </c:pt>
                <c:pt idx="89">
                  <c:v>11598.57321021964</c:v>
                </c:pt>
                <c:pt idx="90">
                  <c:v>11166.469844332605</c:v>
                </c:pt>
                <c:pt idx="91">
                  <c:v>11003.050162161522</c:v>
                </c:pt>
                <c:pt idx="92">
                  <c:v>10740.13676871602</c:v>
                </c:pt>
                <c:pt idx="93">
                  <c:v>10570.213533738975</c:v>
                </c:pt>
                <c:pt idx="94">
                  <c:v>10406.403737053739</c:v>
                </c:pt>
                <c:pt idx="95">
                  <c:v>10242.58491561916</c:v>
                </c:pt>
                <c:pt idx="96">
                  <c:v>10078.832219470283</c:v>
                </c:pt>
                <c:pt idx="97">
                  <c:v>9915.15580359462</c:v>
                </c:pt>
                <c:pt idx="98">
                  <c:v>9751.6659191717936</c:v>
                </c:pt>
                <c:pt idx="99">
                  <c:v>9588.0421332836886</c:v>
                </c:pt>
                <c:pt idx="100">
                  <c:v>9433.2158362425926</c:v>
                </c:pt>
                <c:pt idx="101">
                  <c:v>9367.3826730221226</c:v>
                </c:pt>
                <c:pt idx="102">
                  <c:v>9204.8091787935482</c:v>
                </c:pt>
                <c:pt idx="103">
                  <c:v>9041.7088223115516</c:v>
                </c:pt>
                <c:pt idx="104">
                  <c:v>8982.038789992328</c:v>
                </c:pt>
                <c:pt idx="105">
                  <c:v>8821.6603421630753</c:v>
                </c:pt>
                <c:pt idx="106">
                  <c:v>8658.409903662985</c:v>
                </c:pt>
                <c:pt idx="107">
                  <c:v>8601.9148603727863</c:v>
                </c:pt>
                <c:pt idx="108">
                  <c:v>8453.7455064251826</c:v>
                </c:pt>
                <c:pt idx="109">
                  <c:v>8397.1436961357049</c:v>
                </c:pt>
                <c:pt idx="110">
                  <c:v>8458.2829038197888</c:v>
                </c:pt>
                <c:pt idx="111">
                  <c:v>8408.2896214907068</c:v>
                </c:pt>
                <c:pt idx="112">
                  <c:v>8466.6209631655092</c:v>
                </c:pt>
                <c:pt idx="113">
                  <c:v>8410.437552955982</c:v>
                </c:pt>
                <c:pt idx="114">
                  <c:v>8474.0798057053998</c:v>
                </c:pt>
                <c:pt idx="115">
                  <c:v>8426.2935895120409</c:v>
                </c:pt>
                <c:pt idx="116">
                  <c:v>8554.9983937894085</c:v>
                </c:pt>
                <c:pt idx="117">
                  <c:v>8637.1057797962112</c:v>
                </c:pt>
                <c:pt idx="118">
                  <c:v>8703.3039224428794</c:v>
                </c:pt>
                <c:pt idx="119">
                  <c:v>8765.7627103482228</c:v>
                </c:pt>
                <c:pt idx="120">
                  <c:v>3647.5008009008111</c:v>
                </c:pt>
                <c:pt idx="121">
                  <c:v>3637.5343590863731</c:v>
                </c:pt>
                <c:pt idx="122">
                  <c:v>8792.4235744382568</c:v>
                </c:pt>
                <c:pt idx="123">
                  <c:v>8777.4655532101388</c:v>
                </c:pt>
                <c:pt idx="124">
                  <c:v>8762.7684158761749</c:v>
                </c:pt>
                <c:pt idx="125">
                  <c:v>8748.5618941298417</c:v>
                </c:pt>
                <c:pt idx="126">
                  <c:v>8586.2589435810096</c:v>
                </c:pt>
                <c:pt idx="127">
                  <c:v>8572.1627723948568</c:v>
                </c:pt>
                <c:pt idx="128">
                  <c:v>8558.253445321272</c:v>
                </c:pt>
                <c:pt idx="129">
                  <c:v>8544.1804938975311</c:v>
                </c:pt>
                <c:pt idx="130">
                  <c:v>8530.0491557537316</c:v>
                </c:pt>
                <c:pt idx="131">
                  <c:v>8499.8433033089605</c:v>
                </c:pt>
                <c:pt idx="132">
                  <c:v>8357.9450994101335</c:v>
                </c:pt>
                <c:pt idx="133">
                  <c:v>8343.3800594740642</c:v>
                </c:pt>
                <c:pt idx="134">
                  <c:v>8328.0541775667753</c:v>
                </c:pt>
                <c:pt idx="135">
                  <c:v>8311.1982923073465</c:v>
                </c:pt>
                <c:pt idx="136">
                  <c:v>8294.4700943657881</c:v>
                </c:pt>
                <c:pt idx="137">
                  <c:v>8266.6248702131234</c:v>
                </c:pt>
                <c:pt idx="138">
                  <c:v>8115.1839305939047</c:v>
                </c:pt>
                <c:pt idx="139">
                  <c:v>8100.8025174350541</c:v>
                </c:pt>
                <c:pt idx="140">
                  <c:v>8086.5304266280109</c:v>
                </c:pt>
                <c:pt idx="141">
                  <c:v>8072.3562433391426</c:v>
                </c:pt>
                <c:pt idx="142">
                  <c:v>8058.2682967408191</c:v>
                </c:pt>
                <c:pt idx="143">
                  <c:v>8044.3179891771888</c:v>
                </c:pt>
                <c:pt idx="144">
                  <c:v>8028.2225607558803</c:v>
                </c:pt>
                <c:pt idx="145">
                  <c:v>7872.4821059197302</c:v>
                </c:pt>
                <c:pt idx="146">
                  <c:v>7860.6171336242551</c:v>
                </c:pt>
                <c:pt idx="147">
                  <c:v>7848.8234916028159</c:v>
                </c:pt>
                <c:pt idx="148">
                  <c:v>7837.0860737694602</c:v>
                </c:pt>
                <c:pt idx="149">
                  <c:v>7825.3557425741619</c:v>
                </c:pt>
                <c:pt idx="150">
                  <c:v>7813.6926560177744</c:v>
                </c:pt>
                <c:pt idx="151">
                  <c:v>7802.1029572868865</c:v>
                </c:pt>
                <c:pt idx="152">
                  <c:v>7790.5452083211821</c:v>
                </c:pt>
                <c:pt idx="153">
                  <c:v>7635.3520331935988</c:v>
                </c:pt>
                <c:pt idx="154">
                  <c:v>7623.8858147307947</c:v>
                </c:pt>
                <c:pt idx="155">
                  <c:v>7608.2188443071191</c:v>
                </c:pt>
                <c:pt idx="156">
                  <c:v>7596.8220814902843</c:v>
                </c:pt>
                <c:pt idx="157">
                  <c:v>7585.4417031172516</c:v>
                </c:pt>
                <c:pt idx="158">
                  <c:v>7574.1085129889188</c:v>
                </c:pt>
                <c:pt idx="159">
                  <c:v>7562.8043097774826</c:v>
                </c:pt>
                <c:pt idx="160">
                  <c:v>7551.5269559822209</c:v>
                </c:pt>
                <c:pt idx="161">
                  <c:v>7540.2409798145754</c:v>
                </c:pt>
                <c:pt idx="162">
                  <c:v>7520.8803987069823</c:v>
                </c:pt>
                <c:pt idx="163">
                  <c:v>7369.8849413579837</c:v>
                </c:pt>
                <c:pt idx="164">
                  <c:v>7358.6771770244677</c:v>
                </c:pt>
                <c:pt idx="165">
                  <c:v>7347.5120169668853</c:v>
                </c:pt>
                <c:pt idx="166">
                  <c:v>7336.3651651894406</c:v>
                </c:pt>
                <c:pt idx="167">
                  <c:v>7325.2365387597392</c:v>
                </c:pt>
                <c:pt idx="168">
                  <c:v>7102.6745258195851</c:v>
                </c:pt>
                <c:pt idx="169">
                  <c:v>7035.2808055906326</c:v>
                </c:pt>
                <c:pt idx="170">
                  <c:v>6825.430980409782</c:v>
                </c:pt>
                <c:pt idx="171">
                  <c:v>6763.868939652376</c:v>
                </c:pt>
                <c:pt idx="172">
                  <c:v>6554.4549935895848</c:v>
                </c:pt>
                <c:pt idx="173">
                  <c:v>6493.2093450869352</c:v>
                </c:pt>
                <c:pt idx="174">
                  <c:v>6431.7907245247516</c:v>
                </c:pt>
                <c:pt idx="175">
                  <c:v>6228.2748852984832</c:v>
                </c:pt>
                <c:pt idx="176">
                  <c:v>6176.3061864735582</c:v>
                </c:pt>
                <c:pt idx="177">
                  <c:v>6124.2782154309425</c:v>
                </c:pt>
                <c:pt idx="178">
                  <c:v>5956.028626294722</c:v>
                </c:pt>
                <c:pt idx="179">
                  <c:v>5411.0380798270762</c:v>
                </c:pt>
                <c:pt idx="180">
                  <c:v>5366.5706527465381</c:v>
                </c:pt>
                <c:pt idx="181">
                  <c:v>5322.0857623447846</c:v>
                </c:pt>
                <c:pt idx="182">
                  <c:v>5277.6315838466035</c:v>
                </c:pt>
                <c:pt idx="183">
                  <c:v>4132.6771732116977</c:v>
                </c:pt>
                <c:pt idx="184">
                  <c:v>4088.1089758083285</c:v>
                </c:pt>
                <c:pt idx="185">
                  <c:v>4049.6413187743483</c:v>
                </c:pt>
                <c:pt idx="186">
                  <c:v>4011.4100920590008</c:v>
                </c:pt>
                <c:pt idx="187">
                  <c:v>3973.1144848761633</c:v>
                </c:pt>
                <c:pt idx="188">
                  <c:v>3934.8895343462295</c:v>
                </c:pt>
                <c:pt idx="189">
                  <c:v>2796.1664609873401</c:v>
                </c:pt>
                <c:pt idx="190">
                  <c:v>2759.4270467142801</c:v>
                </c:pt>
                <c:pt idx="191">
                  <c:v>2726.4360683677778</c:v>
                </c:pt>
                <c:pt idx="192">
                  <c:v>2693.5000551407002</c:v>
                </c:pt>
                <c:pt idx="193">
                  <c:v>2660.5291504615898</c:v>
                </c:pt>
                <c:pt idx="194">
                  <c:v>2627.5763560482837</c:v>
                </c:pt>
                <c:pt idx="195">
                  <c:v>2594.6077924111919</c:v>
                </c:pt>
                <c:pt idx="196">
                  <c:v>2561.6588112244926</c:v>
                </c:pt>
                <c:pt idx="197">
                  <c:v>2528.6902827063172</c:v>
                </c:pt>
                <c:pt idx="198">
                  <c:v>2495.7414042449582</c:v>
                </c:pt>
                <c:pt idx="199">
                  <c:v>1362.3497077325349</c:v>
                </c:pt>
                <c:pt idx="200">
                  <c:v>1329.3937646519273</c:v>
                </c:pt>
                <c:pt idx="201">
                  <c:v>1296.4476999552696</c:v>
                </c:pt>
                <c:pt idx="202">
                  <c:v>1263.4834695754676</c:v>
                </c:pt>
                <c:pt idx="203">
                  <c:v>1230.5210742491279</c:v>
                </c:pt>
                <c:pt idx="204">
                  <c:v>1197.5597689632891</c:v>
                </c:pt>
                <c:pt idx="205">
                  <c:v>1164.6080186610643</c:v>
                </c:pt>
                <c:pt idx="206">
                  <c:v>1131.6483222866111</c:v>
                </c:pt>
                <c:pt idx="207">
                  <c:v>1098.6900230199183</c:v>
                </c:pt>
                <c:pt idx="208">
                  <c:v>1065.7336620021031</c:v>
                </c:pt>
                <c:pt idx="209">
                  <c:v>1032.7762959236838</c:v>
                </c:pt>
                <c:pt idx="210">
                  <c:v>999.8148876240067</c:v>
                </c:pt>
                <c:pt idx="211">
                  <c:v>966.86096885330574</c:v>
                </c:pt>
                <c:pt idx="212">
                  <c:v>933.90594876458579</c:v>
                </c:pt>
                <c:pt idx="213">
                  <c:v>900.95188030935537</c:v>
                </c:pt>
                <c:pt idx="214">
                  <c:v>867.9859034121049</c:v>
                </c:pt>
                <c:pt idx="215">
                  <c:v>-1795.2600288548615</c:v>
                </c:pt>
                <c:pt idx="216">
                  <c:v>-1870.9971688802125</c:v>
                </c:pt>
                <c:pt idx="217">
                  <c:v>-1946.7283261712553</c:v>
                </c:pt>
                <c:pt idx="218">
                  <c:v>-2022.4516614420695</c:v>
                </c:pt>
                <c:pt idx="219">
                  <c:v>-2098.187443505074</c:v>
                </c:pt>
                <c:pt idx="220">
                  <c:v>-2173.8948485444957</c:v>
                </c:pt>
                <c:pt idx="221">
                  <c:v>-2249.6381071717642</c:v>
                </c:pt>
                <c:pt idx="222">
                  <c:v>-2325.3888076861613</c:v>
                </c:pt>
                <c:pt idx="223">
                  <c:v>-3655.4769703843253</c:v>
                </c:pt>
                <c:pt idx="224">
                  <c:v>-3731.1901725329353</c:v>
                </c:pt>
                <c:pt idx="225">
                  <c:v>-3806.9404720342145</c:v>
                </c:pt>
                <c:pt idx="226">
                  <c:v>-3882.687101111339</c:v>
                </c:pt>
                <c:pt idx="227">
                  <c:v>-3958.403777512171</c:v>
                </c:pt>
                <c:pt idx="228">
                  <c:v>-4034.1397448348744</c:v>
                </c:pt>
                <c:pt idx="229">
                  <c:v>-5212.7797529315976</c:v>
                </c:pt>
                <c:pt idx="230">
                  <c:v>-5288.487499772802</c:v>
                </c:pt>
                <c:pt idx="231">
                  <c:v>-5364.221378636812</c:v>
                </c:pt>
                <c:pt idx="232">
                  <c:v>-5439.9858161709581</c:v>
                </c:pt>
                <c:pt idx="233">
                  <c:v>-5515.6677027809674</c:v>
                </c:pt>
                <c:pt idx="234">
                  <c:v>-5556.5469217383852</c:v>
                </c:pt>
                <c:pt idx="235">
                  <c:v>-5544.0383096375745</c:v>
                </c:pt>
                <c:pt idx="236">
                  <c:v>-5522.9612237016354</c:v>
                </c:pt>
                <c:pt idx="237">
                  <c:v>-5502.188611393306</c:v>
                </c:pt>
                <c:pt idx="238">
                  <c:v>-5503.1656917561859</c:v>
                </c:pt>
                <c:pt idx="239">
                  <c:v>-5503.0747438767039</c:v>
                </c:pt>
                <c:pt idx="240">
                  <c:v>-5504.6344089275281</c:v>
                </c:pt>
                <c:pt idx="241">
                  <c:v>-5503.7111915001724</c:v>
                </c:pt>
                <c:pt idx="242">
                  <c:v>-5504.4493706626754</c:v>
                </c:pt>
                <c:pt idx="243">
                  <c:v>-5504.3679948546096</c:v>
                </c:pt>
                <c:pt idx="244">
                  <c:v>-5504.2918199864616</c:v>
                </c:pt>
                <c:pt idx="245">
                  <c:v>-5505.0273863078055</c:v>
                </c:pt>
                <c:pt idx="246">
                  <c:v>-5504.9596469623739</c:v>
                </c:pt>
                <c:pt idx="247">
                  <c:v>-5504.8746097375251</c:v>
                </c:pt>
                <c:pt idx="248">
                  <c:v>-5505.5903519275498</c:v>
                </c:pt>
                <c:pt idx="249">
                  <c:v>-5505.5051473978774</c:v>
                </c:pt>
                <c:pt idx="250">
                  <c:v>-5505.3857563188503</c:v>
                </c:pt>
                <c:pt idx="251">
                  <c:v>-5506.144737154822</c:v>
                </c:pt>
                <c:pt idx="252">
                  <c:v>-5506.047802664043</c:v>
                </c:pt>
                <c:pt idx="253">
                  <c:v>-5505.9361567512105</c:v>
                </c:pt>
                <c:pt idx="254">
                  <c:v>-5505.8342345026813</c:v>
                </c:pt>
                <c:pt idx="255">
                  <c:v>-5506.5771146354782</c:v>
                </c:pt>
                <c:pt idx="256">
                  <c:v>-5507.342711781961</c:v>
                </c:pt>
                <c:pt idx="257">
                  <c:v>-5507.5088068372634</c:v>
                </c:pt>
                <c:pt idx="258">
                  <c:v>-5507.4271845261319</c:v>
                </c:pt>
                <c:pt idx="259">
                  <c:v>-5507.3489173294756</c:v>
                </c:pt>
                <c:pt idx="260">
                  <c:v>-5508.1542787268836</c:v>
                </c:pt>
                <c:pt idx="261">
                  <c:v>-5508.0632127655963</c:v>
                </c:pt>
                <c:pt idx="262">
                  <c:v>-5507.5129498001579</c:v>
                </c:pt>
                <c:pt idx="263">
                  <c:v>-5510.9591874123698</c:v>
                </c:pt>
                <c:pt idx="264">
                  <c:v>-5513.9626685433841</c:v>
                </c:pt>
                <c:pt idx="265">
                  <c:v>-5516.6523630208103</c:v>
                </c:pt>
                <c:pt idx="266">
                  <c:v>-5519.4927016448937</c:v>
                </c:pt>
                <c:pt idx="267">
                  <c:v>-5523.0089402835938</c:v>
                </c:pt>
                <c:pt idx="268">
                  <c:v>-5525.5576227318898</c:v>
                </c:pt>
                <c:pt idx="269">
                  <c:v>-5528.3750410596076</c:v>
                </c:pt>
                <c:pt idx="270">
                  <c:v>-5531.1674489224688</c:v>
                </c:pt>
                <c:pt idx="271">
                  <c:v>-5534.3088764188415</c:v>
                </c:pt>
                <c:pt idx="272">
                  <c:v>-5537.1946961653248</c:v>
                </c:pt>
                <c:pt idx="273">
                  <c:v>-5545.6295026726884</c:v>
                </c:pt>
                <c:pt idx="274">
                  <c:v>-5548.4003822660916</c:v>
                </c:pt>
                <c:pt idx="275">
                  <c:v>-5551.4989369531941</c:v>
                </c:pt>
                <c:pt idx="276">
                  <c:v>-5554.2824686604372</c:v>
                </c:pt>
                <c:pt idx="277">
                  <c:v>-5557.3494492648078</c:v>
                </c:pt>
                <c:pt idx="278">
                  <c:v>-5563.301012652566</c:v>
                </c:pt>
                <c:pt idx="279">
                  <c:v>-5566.0754538234005</c:v>
                </c:pt>
                <c:pt idx="280">
                  <c:v>-5569.6297270671466</c:v>
                </c:pt>
                <c:pt idx="281">
                  <c:v>-5573.7892588879859</c:v>
                </c:pt>
                <c:pt idx="282">
                  <c:v>15839.802713821033</c:v>
                </c:pt>
                <c:pt idx="283">
                  <c:v>15828.913643490709</c:v>
                </c:pt>
                <c:pt idx="284">
                  <c:v>15818.710830760927</c:v>
                </c:pt>
                <c:pt idx="285">
                  <c:v>15807.677853770874</c:v>
                </c:pt>
                <c:pt idx="286">
                  <c:v>15797.505947176995</c:v>
                </c:pt>
                <c:pt idx="287">
                  <c:v>15808.756992904335</c:v>
                </c:pt>
                <c:pt idx="288">
                  <c:v>15802.547217549783</c:v>
                </c:pt>
                <c:pt idx="289">
                  <c:v>15827.065926080468</c:v>
                </c:pt>
                <c:pt idx="290">
                  <c:v>15826.153089057547</c:v>
                </c:pt>
                <c:pt idx="291">
                  <c:v>15816.631471758292</c:v>
                </c:pt>
                <c:pt idx="292">
                  <c:v>15756.807832442979</c:v>
                </c:pt>
                <c:pt idx="293">
                  <c:v>15692.866314684306</c:v>
                </c:pt>
                <c:pt idx="294">
                  <c:v>15625.18574532124</c:v>
                </c:pt>
                <c:pt idx="295">
                  <c:v>15556.766643024484</c:v>
                </c:pt>
                <c:pt idx="296">
                  <c:v>15486.235247127062</c:v>
                </c:pt>
                <c:pt idx="297">
                  <c:v>15414.152958760456</c:v>
                </c:pt>
                <c:pt idx="298">
                  <c:v>15342.083159730917</c:v>
                </c:pt>
                <c:pt idx="299">
                  <c:v>15268.994912375792</c:v>
                </c:pt>
                <c:pt idx="300">
                  <c:v>15194.597005116242</c:v>
                </c:pt>
                <c:pt idx="301">
                  <c:v>15119.548501168898</c:v>
                </c:pt>
                <c:pt idx="302">
                  <c:v>15044.499997812274</c:v>
                </c:pt>
                <c:pt idx="303">
                  <c:v>14969.451495102792</c:v>
                </c:pt>
                <c:pt idx="304">
                  <c:v>14893.795362121271</c:v>
                </c:pt>
                <c:pt idx="305">
                  <c:v>14817.570563889394</c:v>
                </c:pt>
                <c:pt idx="306">
                  <c:v>14740.434309023312</c:v>
                </c:pt>
                <c:pt idx="307">
                  <c:v>14735.279761307611</c:v>
                </c:pt>
                <c:pt idx="308">
                  <c:v>14730.125212119043</c:v>
                </c:pt>
                <c:pt idx="309">
                  <c:v>14724.970663504013</c:v>
                </c:pt>
                <c:pt idx="310">
                  <c:v>14719.816114741026</c:v>
                </c:pt>
                <c:pt idx="311">
                  <c:v>14714.66156452145</c:v>
                </c:pt>
                <c:pt idx="312">
                  <c:v>14709.507017858703</c:v>
                </c:pt>
                <c:pt idx="313">
                  <c:v>14704.352468962314</c:v>
                </c:pt>
                <c:pt idx="314">
                  <c:v>13902.905994976905</c:v>
                </c:pt>
                <c:pt idx="315">
                  <c:v>13897.751445889617</c:v>
                </c:pt>
                <c:pt idx="316">
                  <c:v>13892.59689710175</c:v>
                </c:pt>
                <c:pt idx="317">
                  <c:v>13887.442348336564</c:v>
                </c:pt>
                <c:pt idx="318">
                  <c:v>13882.287799445903</c:v>
                </c:pt>
                <c:pt idx="319">
                  <c:v>13877.13325057658</c:v>
                </c:pt>
                <c:pt idx="320">
                  <c:v>13871.978701662079</c:v>
                </c:pt>
                <c:pt idx="321">
                  <c:v>13071.124136887411</c:v>
                </c:pt>
                <c:pt idx="322">
                  <c:v>13065.978533706624</c:v>
                </c:pt>
                <c:pt idx="323">
                  <c:v>13060.832931173965</c:v>
                </c:pt>
                <c:pt idx="324">
                  <c:v>13055.687351666298</c:v>
                </c:pt>
                <c:pt idx="325">
                  <c:v>13050.54174166409</c:v>
                </c:pt>
                <c:pt idx="326">
                  <c:v>13045.396139444205</c:v>
                </c:pt>
                <c:pt idx="327">
                  <c:v>12244.49913690066</c:v>
                </c:pt>
                <c:pt idx="328">
                  <c:v>12240.195668688546</c:v>
                </c:pt>
                <c:pt idx="329">
                  <c:v>12235.050069275037</c:v>
                </c:pt>
                <c:pt idx="330">
                  <c:v>12229.904472051359</c:v>
                </c:pt>
                <c:pt idx="331">
                  <c:v>12224.75887293911</c:v>
                </c:pt>
                <c:pt idx="332">
                  <c:v>12219.613271141301</c:v>
                </c:pt>
                <c:pt idx="333">
                  <c:v>12214.467674437916</c:v>
                </c:pt>
                <c:pt idx="334">
                  <c:v>11409.267199151529</c:v>
                </c:pt>
                <c:pt idx="335">
                  <c:v>11404.12159981406</c:v>
                </c:pt>
                <c:pt idx="336">
                  <c:v>11398.97600221892</c:v>
                </c:pt>
                <c:pt idx="337">
                  <c:v>11393.830402937081</c:v>
                </c:pt>
                <c:pt idx="338">
                  <c:v>11388.68480385845</c:v>
                </c:pt>
                <c:pt idx="339">
                  <c:v>11383.539203790562</c:v>
                </c:pt>
                <c:pt idx="340">
                  <c:v>11378.393605029938</c:v>
                </c:pt>
                <c:pt idx="341">
                  <c:v>10577.331848476711</c:v>
                </c:pt>
                <c:pt idx="342">
                  <c:v>10573.193130452182</c:v>
                </c:pt>
                <c:pt idx="343">
                  <c:v>10568.047531204116</c:v>
                </c:pt>
                <c:pt idx="344">
                  <c:v>10562.901932818657</c:v>
                </c:pt>
                <c:pt idx="345">
                  <c:v>10557.756333229292</c:v>
                </c:pt>
                <c:pt idx="346">
                  <c:v>10552.610734945369</c:v>
                </c:pt>
                <c:pt idx="347">
                  <c:v>10547.465136333127</c:v>
                </c:pt>
                <c:pt idx="348">
                  <c:v>9741.3895653698728</c:v>
                </c:pt>
                <c:pt idx="349">
                  <c:v>9737.1190625469371</c:v>
                </c:pt>
                <c:pt idx="350">
                  <c:v>9731.973463787579</c:v>
                </c:pt>
                <c:pt idx="351">
                  <c:v>9726.8278655001432</c:v>
                </c:pt>
                <c:pt idx="352">
                  <c:v>9721.6822660251073</c:v>
                </c:pt>
                <c:pt idx="353">
                  <c:v>9716.5366671378288</c:v>
                </c:pt>
                <c:pt idx="354">
                  <c:v>9711.3910691284837</c:v>
                </c:pt>
                <c:pt idx="355">
                  <c:v>8904.804267544916</c:v>
                </c:pt>
                <c:pt idx="356">
                  <c:v>8901.0449946757217</c:v>
                </c:pt>
                <c:pt idx="357">
                  <c:v>8895.8993961406013</c:v>
                </c:pt>
                <c:pt idx="358">
                  <c:v>8890.7537979140434</c:v>
                </c:pt>
                <c:pt idx="359">
                  <c:v>8885.608198769256</c:v>
                </c:pt>
                <c:pt idx="360">
                  <c:v>8535.5351080601467</c:v>
                </c:pt>
                <c:pt idx="361">
                  <c:v>8509.3422518562838</c:v>
                </c:pt>
                <c:pt idx="362">
                  <c:v>8412.5417134996824</c:v>
                </c:pt>
                <c:pt idx="363">
                  <c:v>8409.0058052453332</c:v>
                </c:pt>
                <c:pt idx="364">
                  <c:v>8403.8602076155021</c:v>
                </c:pt>
                <c:pt idx="365">
                  <c:v>8398.7146081539595</c:v>
                </c:pt>
                <c:pt idx="366">
                  <c:v>8393.5690089302352</c:v>
                </c:pt>
                <c:pt idx="367">
                  <c:v>8388.4234100051235</c:v>
                </c:pt>
                <c:pt idx="368">
                  <c:v>8380.5166878441523</c:v>
                </c:pt>
                <c:pt idx="369">
                  <c:v>8375.8192807911764</c:v>
                </c:pt>
                <c:pt idx="370">
                  <c:v>8263.1380631904885</c:v>
                </c:pt>
                <c:pt idx="371">
                  <c:v>8260.6245755850414</c:v>
                </c:pt>
                <c:pt idx="372">
                  <c:v>8255.9769965882952</c:v>
                </c:pt>
                <c:pt idx="373">
                  <c:v>8250.8313980255371</c:v>
                </c:pt>
                <c:pt idx="374">
                  <c:v>8245.5510457613091</c:v>
                </c:pt>
                <c:pt idx="375">
                  <c:v>8240.4219097625228</c:v>
                </c:pt>
                <c:pt idx="376">
                  <c:v>8235.2763110454744</c:v>
                </c:pt>
                <c:pt idx="377">
                  <c:v>8230.1307128060707</c:v>
                </c:pt>
                <c:pt idx="378">
                  <c:v>7939.2839610888495</c:v>
                </c:pt>
                <c:pt idx="379">
                  <c:v>7745.8280682373143</c:v>
                </c:pt>
                <c:pt idx="380">
                  <c:v>7463.5872418086747</c:v>
                </c:pt>
                <c:pt idx="381">
                  <c:v>7278.7503946695142</c:v>
                </c:pt>
                <c:pt idx="382">
                  <c:v>6999.5823608824403</c:v>
                </c:pt>
                <c:pt idx="383">
                  <c:v>6801.8321602615251</c:v>
                </c:pt>
                <c:pt idx="384">
                  <c:v>6616.2750143400863</c:v>
                </c:pt>
                <c:pt idx="385">
                  <c:v>6430.7192202447941</c:v>
                </c:pt>
                <c:pt idx="386">
                  <c:v>6245.1646889242829</c:v>
                </c:pt>
                <c:pt idx="387">
                  <c:v>6059.611320329569</c:v>
                </c:pt>
                <c:pt idx="388">
                  <c:v>5874.0588500903486</c:v>
                </c:pt>
                <c:pt idx="389">
                  <c:v>5688.6369958757359</c:v>
                </c:pt>
                <c:pt idx="390">
                  <c:v>5504.9486739770582</c:v>
                </c:pt>
                <c:pt idx="391">
                  <c:v>5424.4638943290875</c:v>
                </c:pt>
                <c:pt idx="392">
                  <c:v>5239.1610171137536</c:v>
                </c:pt>
                <c:pt idx="393">
                  <c:v>5053.955304299523</c:v>
                </c:pt>
                <c:pt idx="394">
                  <c:v>4965.0752720580995</c:v>
                </c:pt>
                <c:pt idx="395">
                  <c:v>4789.5997117089137</c:v>
                </c:pt>
                <c:pt idx="396">
                  <c:v>4604.2333240962398</c:v>
                </c:pt>
                <c:pt idx="397">
                  <c:v>4524.8896768236027</c:v>
                </c:pt>
                <c:pt idx="398">
                  <c:v>4347.5018964875162</c:v>
                </c:pt>
                <c:pt idx="399">
                  <c:v>4223.7137771760354</c:v>
                </c:pt>
                <c:pt idx="400">
                  <c:v>4220.3238963740005</c:v>
                </c:pt>
                <c:pt idx="401">
                  <c:v>4110.931050407502</c:v>
                </c:pt>
                <c:pt idx="402">
                  <c:v>4109.7205249129502</c:v>
                </c:pt>
                <c:pt idx="403">
                  <c:v>3996.5902762041765</c:v>
                </c:pt>
                <c:pt idx="404">
                  <c:v>4010.4922445481243</c:v>
                </c:pt>
                <c:pt idx="405">
                  <c:v>3918.1392353479187</c:v>
                </c:pt>
                <c:pt idx="406">
                  <c:v>3940.515770353511</c:v>
                </c:pt>
                <c:pt idx="407">
                  <c:v>3961.1243620238793</c:v>
                </c:pt>
                <c:pt idx="408">
                  <c:v>3863.2855153892469</c:v>
                </c:pt>
                <c:pt idx="409">
                  <c:v>3884.7744205439785</c:v>
                </c:pt>
                <c:pt idx="410">
                  <c:v>3783.3713583679009</c:v>
                </c:pt>
                <c:pt idx="411">
                  <c:v>3805.2659117964185</c:v>
                </c:pt>
                <c:pt idx="412">
                  <c:v>3827.4064915972845</c:v>
                </c:pt>
                <c:pt idx="413">
                  <c:v>3722.0832071948134</c:v>
                </c:pt>
                <c:pt idx="414">
                  <c:v>3741.6683330727988</c:v>
                </c:pt>
                <c:pt idx="415">
                  <c:v>3761.8365545812458</c:v>
                </c:pt>
                <c:pt idx="416">
                  <c:v>3653.5469924527943</c:v>
                </c:pt>
                <c:pt idx="417">
                  <c:v>3671.958726663157</c:v>
                </c:pt>
                <c:pt idx="418">
                  <c:v>3693.7196680925549</c:v>
                </c:pt>
                <c:pt idx="419">
                  <c:v>3580.2668034283834</c:v>
                </c:pt>
                <c:pt idx="420">
                  <c:v>3600.3376216837628</c:v>
                </c:pt>
                <c:pt idx="421">
                  <c:v>3620.1018009856552</c:v>
                </c:pt>
                <c:pt idx="422">
                  <c:v>3637.5487794311439</c:v>
                </c:pt>
                <c:pt idx="423">
                  <c:v>3518.5729866806696</c:v>
                </c:pt>
                <c:pt idx="424">
                  <c:v>3535.6388024193507</c:v>
                </c:pt>
                <c:pt idx="425">
                  <c:v>3552.8310338837337</c:v>
                </c:pt>
                <c:pt idx="426">
                  <c:v>3556.8519037950173</c:v>
                </c:pt>
                <c:pt idx="427">
                  <c:v>3440.3295320957441</c:v>
                </c:pt>
                <c:pt idx="428">
                  <c:v>3457.6332760474011</c:v>
                </c:pt>
                <c:pt idx="429">
                  <c:v>3455.3485514500612</c:v>
                </c:pt>
                <c:pt idx="430">
                  <c:v>3441.100319357683</c:v>
                </c:pt>
                <c:pt idx="431">
                  <c:v>3279.5651731797602</c:v>
                </c:pt>
                <c:pt idx="432">
                  <c:v>3267.7989087656219</c:v>
                </c:pt>
                <c:pt idx="433">
                  <c:v>3256.0326458855729</c:v>
                </c:pt>
                <c:pt idx="434">
                  <c:v>3243.8125871029497</c:v>
                </c:pt>
                <c:pt idx="435">
                  <c:v>3232.0463284283437</c:v>
                </c:pt>
                <c:pt idx="436">
                  <c:v>3075.0771687327469</c:v>
                </c:pt>
                <c:pt idx="437">
                  <c:v>3061.1075115338863</c:v>
                </c:pt>
                <c:pt idx="438">
                  <c:v>3049.3412618910838</c:v>
                </c:pt>
                <c:pt idx="439">
                  <c:v>3037.5750115552037</c:v>
                </c:pt>
                <c:pt idx="440">
                  <c:v>3025.8087676144478</c:v>
                </c:pt>
                <c:pt idx="441">
                  <c:v>2854.4047883044082</c:v>
                </c:pt>
                <c:pt idx="442">
                  <c:v>2842.6385510818664</c:v>
                </c:pt>
                <c:pt idx="443">
                  <c:v>2829.8792455669413</c:v>
                </c:pt>
                <c:pt idx="444">
                  <c:v>2816.5978256302396</c:v>
                </c:pt>
                <c:pt idx="445">
                  <c:v>2803.8981455388421</c:v>
                </c:pt>
                <c:pt idx="446">
                  <c:v>2790.2094693618565</c:v>
                </c:pt>
                <c:pt idx="447">
                  <c:v>2634.4602681641063</c:v>
                </c:pt>
                <c:pt idx="448">
                  <c:v>2623.2910964766079</c:v>
                </c:pt>
                <c:pt idx="449">
                  <c:v>2612.121890205688</c:v>
                </c:pt>
                <c:pt idx="450">
                  <c:v>2600.8132159698348</c:v>
                </c:pt>
                <c:pt idx="451">
                  <c:v>2591.4452872683764</c:v>
                </c:pt>
                <c:pt idx="452">
                  <c:v>2582.2746077682991</c:v>
                </c:pt>
                <c:pt idx="453">
                  <c:v>2573.5431814705921</c:v>
                </c:pt>
                <c:pt idx="454">
                  <c:v>2421.1309707334876</c:v>
                </c:pt>
                <c:pt idx="455">
                  <c:v>2406.8642574577552</c:v>
                </c:pt>
                <c:pt idx="456">
                  <c:v>2397.6936023890989</c:v>
                </c:pt>
                <c:pt idx="457">
                  <c:v>2388.5229726623352</c:v>
                </c:pt>
                <c:pt idx="458">
                  <c:v>2379.3523310752298</c:v>
                </c:pt>
                <c:pt idx="459">
                  <c:v>2370.1816678011828</c:v>
                </c:pt>
                <c:pt idx="460">
                  <c:v>2361.0111161922091</c:v>
                </c:pt>
                <c:pt idx="461">
                  <c:v>2345.7236599909306</c:v>
                </c:pt>
                <c:pt idx="462">
                  <c:v>2207.1907986119404</c:v>
                </c:pt>
                <c:pt idx="463">
                  <c:v>2185.5959380351578</c:v>
                </c:pt>
                <c:pt idx="464">
                  <c:v>2176.4253178917834</c:v>
                </c:pt>
                <c:pt idx="465">
                  <c:v>2167.2546559784414</c:v>
                </c:pt>
                <c:pt idx="466">
                  <c:v>2158.0840433997655</c:v>
                </c:pt>
                <c:pt idx="467">
                  <c:v>2148.9134768845051</c:v>
                </c:pt>
                <c:pt idx="468">
                  <c:v>2139.7107296963932</c:v>
                </c:pt>
                <c:pt idx="469">
                  <c:v>2129.6186510819653</c:v>
                </c:pt>
                <c:pt idx="470">
                  <c:v>2120.4480635979085</c:v>
                </c:pt>
                <c:pt idx="471">
                  <c:v>2111.5891117567098</c:v>
                </c:pt>
                <c:pt idx="472">
                  <c:v>1956.6263279668804</c:v>
                </c:pt>
                <c:pt idx="473">
                  <c:v>1947.4557466870551</c:v>
                </c:pt>
                <c:pt idx="474">
                  <c:v>1938.8807913983292</c:v>
                </c:pt>
                <c:pt idx="475">
                  <c:v>1929.8649357343518</c:v>
                </c:pt>
                <c:pt idx="476">
                  <c:v>1922.3230547849705</c:v>
                </c:pt>
                <c:pt idx="477">
                  <c:v>1715.9152299889129</c:v>
                </c:pt>
                <c:pt idx="478">
                  <c:v>1668.5056666277003</c:v>
                </c:pt>
                <c:pt idx="479">
                  <c:v>1473.2156129090301</c:v>
                </c:pt>
                <c:pt idx="480">
                  <c:v>1425.7552980248281</c:v>
                </c:pt>
                <c:pt idx="481">
                  <c:v>1234.5558460155833</c:v>
                </c:pt>
                <c:pt idx="482">
                  <c:v>1183.0729821462569</c:v>
                </c:pt>
                <c:pt idx="483">
                  <c:v>1139.81925393494</c:v>
                </c:pt>
                <c:pt idx="484">
                  <c:v>953.53943116348387</c:v>
                </c:pt>
                <c:pt idx="485">
                  <c:v>914.99662128325667</c:v>
                </c:pt>
                <c:pt idx="486">
                  <c:v>883.11354857879553</c:v>
                </c:pt>
                <c:pt idx="487">
                  <c:v>707.55502443240323</c:v>
                </c:pt>
                <c:pt idx="488">
                  <c:v>494.09386735369054</c:v>
                </c:pt>
                <c:pt idx="489">
                  <c:v>463.8487142935507</c:v>
                </c:pt>
                <c:pt idx="490">
                  <c:v>433.60448980656719</c:v>
                </c:pt>
                <c:pt idx="491">
                  <c:v>403.36128110335852</c:v>
                </c:pt>
                <c:pt idx="492">
                  <c:v>-135.28020062179294</c:v>
                </c:pt>
                <c:pt idx="493">
                  <c:v>-165.6483503982036</c:v>
                </c:pt>
                <c:pt idx="494">
                  <c:v>-196.01524807270309</c:v>
                </c:pt>
                <c:pt idx="495">
                  <c:v>-226.38064036702312</c:v>
                </c:pt>
                <c:pt idx="496">
                  <c:v>-256.74460428075844</c:v>
                </c:pt>
                <c:pt idx="497">
                  <c:v>-292.23182397404696</c:v>
                </c:pt>
                <c:pt idx="498">
                  <c:v>-819.35509948636786</c:v>
                </c:pt>
                <c:pt idx="499">
                  <c:v>-849.7134765625982</c:v>
                </c:pt>
                <c:pt idx="500">
                  <c:v>-876.99298793945707</c:v>
                </c:pt>
                <c:pt idx="501">
                  <c:v>-902.13666349633911</c:v>
                </c:pt>
                <c:pt idx="502">
                  <c:v>-927.27784803343059</c:v>
                </c:pt>
                <c:pt idx="503">
                  <c:v>-952.58298759934348</c:v>
                </c:pt>
                <c:pt idx="504">
                  <c:v>-977.71879011568365</c:v>
                </c:pt>
                <c:pt idx="505">
                  <c:v>-1002.8515896951465</c:v>
                </c:pt>
                <c:pt idx="506">
                  <c:v>-1027.9809320486313</c:v>
                </c:pt>
                <c:pt idx="507">
                  <c:v>-1068.7415591123563</c:v>
                </c:pt>
                <c:pt idx="508">
                  <c:v>-1572.6387377756598</c:v>
                </c:pt>
                <c:pt idx="509">
                  <c:v>-1593.4363694966978</c:v>
                </c:pt>
                <c:pt idx="510">
                  <c:v>-1614.229696219483</c:v>
                </c:pt>
                <c:pt idx="511">
                  <c:v>-1635.0183681285337</c:v>
                </c:pt>
                <c:pt idx="512">
                  <c:v>-1655.8020296572383</c:v>
                </c:pt>
                <c:pt idx="513">
                  <c:v>-1676.5804094088076</c:v>
                </c:pt>
                <c:pt idx="514">
                  <c:v>-1697.3531411599752</c:v>
                </c:pt>
                <c:pt idx="515">
                  <c:v>-1718.1198393401407</c:v>
                </c:pt>
                <c:pt idx="516">
                  <c:v>-1738.880122343302</c:v>
                </c:pt>
                <c:pt idx="517">
                  <c:v>-1759.6335782524172</c:v>
                </c:pt>
                <c:pt idx="518">
                  <c:v>-1780.3797756682548</c:v>
                </c:pt>
                <c:pt idx="519">
                  <c:v>-1801.1182581176938</c:v>
                </c:pt>
                <c:pt idx="520">
                  <c:v>-1821.8485416064295</c:v>
                </c:pt>
                <c:pt idx="521">
                  <c:v>-1839.555285469196</c:v>
                </c:pt>
                <c:pt idx="522">
                  <c:v>-1868.7820248128637</c:v>
                </c:pt>
                <c:pt idx="523">
                  <c:v>-1886.339191454304</c:v>
                </c:pt>
                <c:pt idx="524">
                  <c:v>-2391.5844990208102</c:v>
                </c:pt>
                <c:pt idx="525">
                  <c:v>-2411.5425443917402</c:v>
                </c:pt>
                <c:pt idx="526">
                  <c:v>-2431.8882528281752</c:v>
                </c:pt>
                <c:pt idx="527">
                  <c:v>-2453.3148209470005</c:v>
                </c:pt>
                <c:pt idx="528">
                  <c:v>-2476.6280875541347</c:v>
                </c:pt>
                <c:pt idx="529">
                  <c:v>-2500.4808564347436</c:v>
                </c:pt>
                <c:pt idx="530">
                  <c:v>-2512.3397370937269</c:v>
                </c:pt>
                <c:pt idx="531">
                  <c:v>-2523.6678552404787</c:v>
                </c:pt>
                <c:pt idx="532">
                  <c:v>-2534.9800847428232</c:v>
                </c:pt>
                <c:pt idx="533">
                  <c:v>-2546.2757780897496</c:v>
                </c:pt>
                <c:pt idx="534">
                  <c:v>-2557.5537653996425</c:v>
                </c:pt>
                <c:pt idx="535">
                  <c:v>-2568.8131974584535</c:v>
                </c:pt>
                <c:pt idx="536">
                  <c:v>-2580.0532431503775</c:v>
                </c:pt>
                <c:pt idx="537">
                  <c:v>-2591.2728588774139</c:v>
                </c:pt>
                <c:pt idx="538">
                  <c:v>-2602.4711151202046</c:v>
                </c:pt>
                <c:pt idx="539">
                  <c:v>-2613.6469985744338</c:v>
                </c:pt>
                <c:pt idx="540">
                  <c:v>-2624.7993359960733</c:v>
                </c:pt>
                <c:pt idx="541">
                  <c:v>-2635.9271375343346</c:v>
                </c:pt>
                <c:pt idx="542">
                  <c:v>-2647.0292209671607</c:v>
                </c:pt>
                <c:pt idx="543">
                  <c:v>-2658.1044237662786</c:v>
                </c:pt>
                <c:pt idx="544">
                  <c:v>-2666.9537141883129</c:v>
                </c:pt>
                <c:pt idx="545">
                  <c:v>-2676.8820743829178</c:v>
                </c:pt>
                <c:pt idx="546">
                  <c:v>-2693.431686891457</c:v>
                </c:pt>
                <c:pt idx="547">
                  <c:v>-2704.3870546755256</c:v>
                </c:pt>
                <c:pt idx="548">
                  <c:v>-2715.3092118091336</c:v>
                </c:pt>
                <c:pt idx="549">
                  <c:v>-2726.1968144331736</c:v>
                </c:pt>
                <c:pt idx="550">
                  <c:v>-2737.0483998688833</c:v>
                </c:pt>
                <c:pt idx="551">
                  <c:v>-2764.8407273931116</c:v>
                </c:pt>
                <c:pt idx="552">
                  <c:v>-3308.6637727056709</c:v>
                </c:pt>
                <c:pt idx="553">
                  <c:v>-3372.9217569028237</c:v>
                </c:pt>
                <c:pt idx="554">
                  <c:v>-3436.486147864186</c:v>
                </c:pt>
                <c:pt idx="555">
                  <c:v>-3499.2788891605514</c:v>
                </c:pt>
                <c:pt idx="556">
                  <c:v>-3561.2224082176222</c:v>
                </c:pt>
                <c:pt idx="557">
                  <c:v>-3622.2417344102441</c:v>
                </c:pt>
                <c:pt idx="558">
                  <c:v>-3682.2667657837092</c:v>
                </c:pt>
                <c:pt idx="559">
                  <c:v>-3736.6665991427876</c:v>
                </c:pt>
                <c:pt idx="560">
                  <c:v>-4272.3392548934507</c:v>
                </c:pt>
                <c:pt idx="561">
                  <c:v>-4329.1040324993464</c:v>
                </c:pt>
                <c:pt idx="562">
                  <c:v>-4384.6109518756512</c:v>
                </c:pt>
                <c:pt idx="563">
                  <c:v>-4438.7571734567446</c:v>
                </c:pt>
                <c:pt idx="564">
                  <c:v>-4491.9823370631902</c:v>
                </c:pt>
                <c:pt idx="565">
                  <c:v>-4543.7664530238599</c:v>
                </c:pt>
                <c:pt idx="566">
                  <c:v>-4594.6220179750853</c:v>
                </c:pt>
                <c:pt idx="567">
                  <c:v>-4649.4848249927409</c:v>
                </c:pt>
                <c:pt idx="568">
                  <c:v>-5159.4957899756437</c:v>
                </c:pt>
                <c:pt idx="569">
                  <c:v>-5206.8937632974275</c:v>
                </c:pt>
                <c:pt idx="570">
                  <c:v>-5253.5652060206521</c:v>
                </c:pt>
                <c:pt idx="571">
                  <c:v>-5299.1049964991562</c:v>
                </c:pt>
                <c:pt idx="572">
                  <c:v>-5343.7543460370734</c:v>
                </c:pt>
                <c:pt idx="573">
                  <c:v>-5410.8039496894107</c:v>
                </c:pt>
                <c:pt idx="574">
                  <c:v>-5421.4872598586944</c:v>
                </c:pt>
                <c:pt idx="575">
                  <c:v>-5424.5116032095593</c:v>
                </c:pt>
                <c:pt idx="576">
                  <c:v>-5427.6169144351807</c:v>
                </c:pt>
                <c:pt idx="577">
                  <c:v>-5430.1218572462749</c:v>
                </c:pt>
                <c:pt idx="578">
                  <c:v>-5431.8488500297435</c:v>
                </c:pt>
                <c:pt idx="579">
                  <c:v>-5461.5308315474231</c:v>
                </c:pt>
                <c:pt idx="580">
                  <c:v>-5504.4046577733852</c:v>
                </c:pt>
                <c:pt idx="581">
                  <c:v>-5462.0084280859992</c:v>
                </c:pt>
                <c:pt idx="582">
                  <c:v>-5504.4863125569773</c:v>
                </c:pt>
                <c:pt idx="583">
                  <c:v>-5504.4729113510039</c:v>
                </c:pt>
                <c:pt idx="584">
                  <c:v>-5504.5543528996759</c:v>
                </c:pt>
                <c:pt idx="585">
                  <c:v>-5504.5656012883765</c:v>
                </c:pt>
                <c:pt idx="586">
                  <c:v>-5463.8877507164207</c:v>
                </c:pt>
                <c:pt idx="587">
                  <c:v>-5464.2772953909061</c:v>
                </c:pt>
                <c:pt idx="588">
                  <c:v>-5505.0919083939425</c:v>
                </c:pt>
                <c:pt idx="589">
                  <c:v>-5505.3324453791429</c:v>
                </c:pt>
                <c:pt idx="590">
                  <c:v>-5506.1769118795437</c:v>
                </c:pt>
                <c:pt idx="591">
                  <c:v>-5505.5816960570774</c:v>
                </c:pt>
                <c:pt idx="592">
                  <c:v>-5507.2077121513157</c:v>
                </c:pt>
                <c:pt idx="593">
                  <c:v>-5507.0563366912602</c:v>
                </c:pt>
                <c:pt idx="594">
                  <c:v>-5466.9675292213815</c:v>
                </c:pt>
                <c:pt idx="595">
                  <c:v>-5507.211563617102</c:v>
                </c:pt>
                <c:pt idx="596">
                  <c:v>-5507.1861021695977</c:v>
                </c:pt>
                <c:pt idx="597">
                  <c:v>-5507.5922208778411</c:v>
                </c:pt>
                <c:pt idx="598">
                  <c:v>-5507.7853627466666</c:v>
                </c:pt>
                <c:pt idx="599">
                  <c:v>-5507.686553861241</c:v>
                </c:pt>
                <c:pt idx="600">
                  <c:v>-5507.5370334628751</c:v>
                </c:pt>
                <c:pt idx="601">
                  <c:v>-5508.3455712233708</c:v>
                </c:pt>
                <c:pt idx="602">
                  <c:v>-5511.1272865545352</c:v>
                </c:pt>
                <c:pt idx="603">
                  <c:v>-5513.519888111332</c:v>
                </c:pt>
                <c:pt idx="604">
                  <c:v>-5517.1572263908192</c:v>
                </c:pt>
                <c:pt idx="605">
                  <c:v>-5520.0333939674347</c:v>
                </c:pt>
                <c:pt idx="606">
                  <c:v>-5522.9381105234606</c:v>
                </c:pt>
                <c:pt idx="607">
                  <c:v>-5525.3426931716913</c:v>
                </c:pt>
                <c:pt idx="608">
                  <c:v>-5528.4169312471586</c:v>
                </c:pt>
                <c:pt idx="609">
                  <c:v>-5531.5725603544697</c:v>
                </c:pt>
                <c:pt idx="610">
                  <c:v>-5534.5949392413613</c:v>
                </c:pt>
                <c:pt idx="611">
                  <c:v>-5542.6113938814287</c:v>
                </c:pt>
                <c:pt idx="612">
                  <c:v>-5551.6803065200138</c:v>
                </c:pt>
                <c:pt idx="613">
                  <c:v>-5565.9302616693985</c:v>
                </c:pt>
                <c:pt idx="614">
                  <c:v>-5569.6054513667768</c:v>
                </c:pt>
                <c:pt idx="615">
                  <c:v>-5572.103879168958</c:v>
                </c:pt>
                <c:pt idx="616">
                  <c:v>-5576.3329270599161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C0-49A0-85E3-2D686408F4BB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'Diagrama de Interacción 2D'!$D$33:$D$1048576</c:f>
              <c:numCache>
                <c:formatCode>0.000</c:formatCode>
                <c:ptCount val="1048544"/>
              </c:numCache>
            </c:numRef>
          </c:xVal>
          <c:yVal>
            <c:numRef>
              <c:f>'Diagrama de Interacción 2D'!$C$33:$C$1048576</c:f>
              <c:numCache>
                <c:formatCode>0.000</c:formatCode>
                <c:ptCount val="10485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C0-49A0-85E3-2D686408F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894976"/>
        <c:axId val="78896512"/>
      </c:scatterChart>
      <c:valAx>
        <c:axId val="78894976"/>
        <c:scaling>
          <c:orientation val="minMax"/>
        </c:scaling>
        <c:delete val="0"/>
        <c:axPos val="b"/>
        <c:majorGridlines>
          <c:spPr>
            <a:ln>
              <a:prstDash val="dash"/>
            </a:ln>
          </c:spPr>
        </c:majorGridlines>
        <c:numFmt formatCode="0.0E+00" sourceLinked="0"/>
        <c:majorTickMark val="out"/>
        <c:minorTickMark val="none"/>
        <c:tickLblPos val="low"/>
        <c:spPr>
          <a:ln w="19050">
            <a:solidFill>
              <a:schemeClr val="tx1"/>
            </a:solidFill>
          </a:ln>
        </c:spPr>
        <c:crossAx val="78896512"/>
        <c:crossesAt val="0"/>
        <c:crossBetween val="midCat"/>
      </c:valAx>
      <c:valAx>
        <c:axId val="7889651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.0E+00" sourceLinked="0"/>
        <c:majorTickMark val="out"/>
        <c:minorTickMark val="none"/>
        <c:tickLblPos val="low"/>
        <c:spPr>
          <a:ln w="22225">
            <a:solidFill>
              <a:schemeClr val="tx1"/>
            </a:solidFill>
          </a:ln>
        </c:spPr>
        <c:crossAx val="78894976"/>
        <c:crossesAt val="0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161</xdr:row>
          <xdr:rowOff>133350</xdr:rowOff>
        </xdr:from>
        <xdr:to>
          <xdr:col>6</xdr:col>
          <xdr:colOff>561975</xdr:colOff>
          <xdr:row>164</xdr:row>
          <xdr:rowOff>152400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Diagrama de Interacción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1</xdr:row>
          <xdr:rowOff>285750</xdr:rowOff>
        </xdr:from>
        <xdr:to>
          <xdr:col>6</xdr:col>
          <xdr:colOff>771525</xdr:colOff>
          <xdr:row>4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 VALORES POR DEFECTO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53</xdr:row>
          <xdr:rowOff>57150</xdr:rowOff>
        </xdr:from>
        <xdr:to>
          <xdr:col>6</xdr:col>
          <xdr:colOff>352425</xdr:colOff>
          <xdr:row>56</xdr:row>
          <xdr:rowOff>76200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Diagrama de Interacción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1</xdr:row>
          <xdr:rowOff>285750</xdr:rowOff>
        </xdr:from>
        <xdr:to>
          <xdr:col>6</xdr:col>
          <xdr:colOff>771525</xdr:colOff>
          <xdr:row>4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VOLVER A VALORES POR DEFECTO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2</xdr:row>
      <xdr:rowOff>23811</xdr:rowOff>
    </xdr:from>
    <xdr:to>
      <xdr:col>6</xdr:col>
      <xdr:colOff>742949</xdr:colOff>
      <xdr:row>28</xdr:row>
      <xdr:rowOff>171450</xdr:rowOff>
    </xdr:to>
    <xdr:graphicFrame macro="">
      <xdr:nvGraphicFramePr>
        <xdr:cNvPr id="2" name="3 Gráfic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</xdr:row>
      <xdr:rowOff>47625</xdr:rowOff>
    </xdr:from>
    <xdr:to>
      <xdr:col>0</xdr:col>
      <xdr:colOff>314325</xdr:colOff>
      <xdr:row>16</xdr:row>
      <xdr:rowOff>133350</xdr:rowOff>
    </xdr:to>
    <xdr:sp macro="" textlink="">
      <xdr:nvSpPr>
        <xdr:cNvPr id="3" name="4 CuadroText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 rot="16200000">
          <a:off x="-361950" y="2514600"/>
          <a:ext cx="10382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l-GR" sz="1000" b="1">
              <a:latin typeface="Arial" pitchFamily="34" charset="0"/>
              <a:cs typeface="Arial" pitchFamily="34" charset="0"/>
            </a:rPr>
            <a:t>Φ</a:t>
          </a:r>
          <a:r>
            <a:rPr lang="es-ES" sz="1000" b="1">
              <a:latin typeface="Arial" pitchFamily="34" charset="0"/>
              <a:cs typeface="Arial" pitchFamily="34" charset="0"/>
            </a:rPr>
            <a:t>Pn [KN]</a:t>
          </a:r>
        </a:p>
      </xdr:txBody>
    </xdr:sp>
    <xdr:clientData/>
  </xdr:twoCellAnchor>
  <xdr:twoCellAnchor>
    <xdr:from>
      <xdr:col>3</xdr:col>
      <xdr:colOff>133350</xdr:colOff>
      <xdr:row>28</xdr:row>
      <xdr:rowOff>85725</xdr:rowOff>
    </xdr:from>
    <xdr:to>
      <xdr:col>4</xdr:col>
      <xdr:colOff>409575</xdr:colOff>
      <xdr:row>30</xdr:row>
      <xdr:rowOff>19050</xdr:rowOff>
    </xdr:to>
    <xdr:sp macro="" textlink="">
      <xdr:nvSpPr>
        <xdr:cNvPr id="4" name="5 CuadroText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2343150" y="5429250"/>
          <a:ext cx="10382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l-GR" sz="1000" b="1">
              <a:latin typeface="Arial" pitchFamily="34" charset="0"/>
              <a:cs typeface="Arial" pitchFamily="34" charset="0"/>
            </a:rPr>
            <a:t>Φ</a:t>
          </a:r>
          <a:r>
            <a:rPr lang="es-ES" sz="1000" b="1">
              <a:latin typeface="Arial" pitchFamily="34" charset="0"/>
              <a:cs typeface="Arial" pitchFamily="34" charset="0"/>
            </a:rPr>
            <a:t>Mn</a:t>
          </a:r>
          <a:r>
            <a:rPr lang="el-GR" sz="1000" b="1">
              <a:latin typeface="Arial" pitchFamily="34" charset="0"/>
              <a:cs typeface="Arial" pitchFamily="34" charset="0"/>
            </a:rPr>
            <a:t>λ</a:t>
          </a:r>
          <a:r>
            <a:rPr lang="es-ES" sz="1000" b="1">
              <a:latin typeface="Arial" pitchFamily="34" charset="0"/>
              <a:cs typeface="Arial" pitchFamily="34" charset="0"/>
            </a:rPr>
            <a:t> [KNm]</a:t>
          </a:r>
        </a:p>
      </xdr:txBody>
    </xdr:sp>
    <xdr:clientData/>
  </xdr:twoCellAnchor>
  <xdr:twoCellAnchor editAs="oneCell">
    <xdr:from>
      <xdr:col>11</xdr:col>
      <xdr:colOff>315311</xdr:colOff>
      <xdr:row>0</xdr:row>
      <xdr:rowOff>0</xdr:rowOff>
    </xdr:from>
    <xdr:to>
      <xdr:col>18</xdr:col>
      <xdr:colOff>352272</xdr:colOff>
      <xdr:row>22</xdr:row>
      <xdr:rowOff>115764</xdr:rowOff>
    </xdr:to>
    <xdr:pic>
      <xdr:nvPicPr>
        <xdr:cNvPr id="39" name="geometria">
          <a:extLst>
            <a:ext uri="{FF2B5EF4-FFF2-40B4-BE49-F238E27FC236}">
              <a16:creationId xmlns:a16="http://schemas.microsoft.com/office/drawing/2014/main" id="{E54AE716-5860-F6A8-9B00-8790AC767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4405" y="0"/>
          <a:ext cx="5120930" cy="43186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4054</xdr:rowOff>
    </xdr:from>
    <xdr:to>
      <xdr:col>6</xdr:col>
      <xdr:colOff>144517</xdr:colOff>
      <xdr:row>24</xdr:row>
      <xdr:rowOff>4054</xdr:rowOff>
    </xdr:to>
    <xdr:pic>
      <xdr:nvPicPr>
        <xdr:cNvPr id="13" name="Geometría Discretizada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6054"/>
          <a:ext cx="3787830" cy="381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65315</xdr:rowOff>
    </xdr:from>
    <xdr:to>
      <xdr:col>4</xdr:col>
      <xdr:colOff>827942</xdr:colOff>
      <xdr:row>28</xdr:row>
      <xdr:rowOff>110540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780065"/>
          <a:ext cx="5062904" cy="35318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19CF-6ADB-42DB-892B-6E41BC7D49E6}">
  <sheetPr codeName="Sheet1"/>
  <dimension ref="A1:XFC165"/>
  <sheetViews>
    <sheetView tabSelected="1" topLeftCell="A23" zoomScale="130" zoomScaleNormal="130" workbookViewId="0">
      <selection activeCell="F158" sqref="F158"/>
    </sheetView>
  </sheetViews>
  <sheetFormatPr defaultColWidth="0" defaultRowHeight="15" x14ac:dyDescent="0.25"/>
  <cols>
    <col min="1" max="1" width="18.85546875" style="16" customWidth="1"/>
    <col min="2" max="2" width="12.5703125" style="16" customWidth="1"/>
    <col min="3" max="3" width="22.85546875" style="16" customWidth="1"/>
    <col min="4" max="4" width="15.42578125" style="16" customWidth="1"/>
    <col min="5" max="5" width="17.85546875" style="16" customWidth="1"/>
    <col min="6" max="6" width="11.42578125" style="16" customWidth="1"/>
    <col min="7" max="7" width="15.7109375" style="16" customWidth="1"/>
    <col min="8" max="8" width="100.7109375" style="75" hidden="1" customWidth="1"/>
    <col min="9" max="16379" width="9.140625" style="16" hidden="1"/>
    <col min="16380" max="16380" width="7" style="16" hidden="1" customWidth="1"/>
    <col min="16381" max="16381" width="5.28515625" style="16" hidden="1" customWidth="1"/>
    <col min="16382" max="16382" width="12.140625" style="16" hidden="1" customWidth="1"/>
    <col min="16383" max="16383" width="17.85546875" style="16" hidden="1" customWidth="1"/>
    <col min="16384" max="16384" width="10.85546875" style="16" hidden="1" customWidth="1"/>
  </cols>
  <sheetData>
    <row r="1" spans="1:7" s="75" customFormat="1" x14ac:dyDescent="0.25">
      <c r="A1" s="92" t="s">
        <v>0</v>
      </c>
      <c r="B1" s="92"/>
      <c r="C1" s="92"/>
      <c r="D1" s="74"/>
      <c r="E1" s="74"/>
      <c r="F1" s="74"/>
      <c r="G1" s="3"/>
    </row>
    <row r="2" spans="1:7" s="75" customFormat="1" ht="28.5" customHeight="1" x14ac:dyDescent="0.25">
      <c r="A2" s="4"/>
      <c r="B2" s="4"/>
      <c r="C2" s="5" t="s">
        <v>1</v>
      </c>
      <c r="D2" s="6"/>
      <c r="E2" s="7"/>
      <c r="F2" s="6"/>
      <c r="G2" s="7"/>
    </row>
    <row r="3" spans="1:7" s="75" customFormat="1" x14ac:dyDescent="0.25">
      <c r="A3" s="8"/>
      <c r="B3" s="3"/>
      <c r="C3" s="3"/>
      <c r="D3" s="9"/>
      <c r="E3" s="10"/>
      <c r="F3" s="10"/>
      <c r="G3" s="10"/>
    </row>
    <row r="4" spans="1:7" s="75" customFormat="1" x14ac:dyDescent="0.25">
      <c r="A4" s="102" t="s">
        <v>2</v>
      </c>
      <c r="B4" s="102"/>
      <c r="C4" s="11">
        <v>30</v>
      </c>
      <c r="D4" s="10"/>
      <c r="E4" s="10"/>
      <c r="F4" s="10"/>
      <c r="G4" s="10"/>
    </row>
    <row r="5" spans="1:7" s="75" customFormat="1" x14ac:dyDescent="0.25">
      <c r="A5" s="5"/>
      <c r="B5" s="5"/>
      <c r="C5" s="5"/>
      <c r="D5" s="10"/>
      <c r="E5" s="10"/>
      <c r="F5" s="10"/>
      <c r="G5" s="10"/>
    </row>
    <row r="6" spans="1:7" s="75" customFormat="1" x14ac:dyDescent="0.25">
      <c r="A6" s="102" t="s">
        <v>3</v>
      </c>
      <c r="B6" s="102"/>
      <c r="C6" s="1" t="s">
        <v>4</v>
      </c>
      <c r="D6" s="7"/>
      <c r="E6" s="16"/>
      <c r="F6" s="3"/>
      <c r="G6" s="22"/>
    </row>
    <row r="7" spans="1:7" s="75" customFormat="1" x14ac:dyDescent="0.25">
      <c r="A7" s="5"/>
      <c r="B7" s="5"/>
      <c r="C7" s="5"/>
      <c r="D7" s="5"/>
      <c r="E7" s="5"/>
      <c r="F7" s="5"/>
      <c r="G7" s="3"/>
    </row>
    <row r="8" spans="1:7" s="75" customFormat="1" x14ac:dyDescent="0.25">
      <c r="A8" s="102" t="s">
        <v>5</v>
      </c>
      <c r="B8" s="102"/>
      <c r="C8" s="11" t="s">
        <v>40</v>
      </c>
      <c r="D8" s="5" t="s">
        <v>6</v>
      </c>
      <c r="E8" s="12">
        <v>5.21</v>
      </c>
      <c r="F8" s="3" t="s">
        <v>42</v>
      </c>
      <c r="G8" s="3"/>
    </row>
    <row r="9" spans="1:7" s="75" customFormat="1" x14ac:dyDescent="0.25">
      <c r="A9" s="103"/>
      <c r="B9" s="104"/>
      <c r="C9" s="104"/>
      <c r="D9" s="104"/>
      <c r="E9" s="104"/>
      <c r="F9" s="104"/>
      <c r="G9" s="105"/>
    </row>
    <row r="10" spans="1:7" s="75" customFormat="1" x14ac:dyDescent="0.25">
      <c r="A10" s="90" t="s">
        <v>7</v>
      </c>
      <c r="B10" s="90"/>
      <c r="C10" s="90"/>
      <c r="D10" s="14" t="s">
        <v>8</v>
      </c>
      <c r="E10" s="106" t="s">
        <v>9</v>
      </c>
      <c r="F10" s="106"/>
      <c r="G10" s="13"/>
    </row>
    <row r="11" spans="1:7" s="75" customFormat="1" x14ac:dyDescent="0.25">
      <c r="A11" s="13"/>
      <c r="B11" s="13"/>
      <c r="C11" s="13"/>
      <c r="D11" s="13"/>
      <c r="E11" s="13"/>
      <c r="F11" s="13"/>
      <c r="G11" s="13"/>
    </row>
    <row r="12" spans="1:7" s="75" customFormat="1" x14ac:dyDescent="0.25">
      <c r="A12" s="90" t="s">
        <v>10</v>
      </c>
      <c r="B12" s="90"/>
      <c r="C12" s="90"/>
      <c r="D12" s="90"/>
      <c r="E12" s="90"/>
      <c r="F12" s="13"/>
      <c r="G12" s="13"/>
    </row>
    <row r="13" spans="1:7" s="75" customFormat="1" x14ac:dyDescent="0.25">
      <c r="A13" s="13"/>
      <c r="B13" s="13"/>
      <c r="C13" s="13"/>
      <c r="D13" s="13"/>
      <c r="E13" s="13"/>
      <c r="F13" s="13"/>
      <c r="G13" s="13"/>
    </row>
    <row r="14" spans="1:7" s="75" customFormat="1" x14ac:dyDescent="0.25">
      <c r="A14" s="99" t="s">
        <v>11</v>
      </c>
      <c r="B14" s="100"/>
      <c r="C14" s="101"/>
      <c r="D14" s="37">
        <v>4</v>
      </c>
      <c r="E14" s="13"/>
      <c r="F14" s="13"/>
      <c r="G14" s="13"/>
    </row>
    <row r="15" spans="1:7" s="75" customFormat="1" x14ac:dyDescent="0.25">
      <c r="A15" s="49"/>
      <c r="B15" s="13"/>
      <c r="C15" s="50"/>
      <c r="D15" s="13"/>
      <c r="E15" s="13"/>
      <c r="F15" s="13"/>
      <c r="G15" s="13"/>
    </row>
    <row r="16" spans="1:7" s="75" customFormat="1" ht="28.5" x14ac:dyDescent="0.25">
      <c r="A16" s="23" t="s">
        <v>60</v>
      </c>
      <c r="B16" s="23" t="s">
        <v>59</v>
      </c>
      <c r="C16" s="1" t="s">
        <v>48</v>
      </c>
      <c r="D16" s="23" t="s">
        <v>58</v>
      </c>
      <c r="E16" s="1" t="s">
        <v>49</v>
      </c>
      <c r="F16" s="61" t="s">
        <v>12</v>
      </c>
      <c r="G16" s="1">
        <v>4</v>
      </c>
    </row>
    <row r="17" spans="1:7" s="75" customFormat="1" x14ac:dyDescent="0.25">
      <c r="A17" s="62"/>
      <c r="B17" s="62"/>
      <c r="C17" s="62"/>
      <c r="D17" s="62"/>
      <c r="E17" s="63"/>
      <c r="F17" s="64"/>
      <c r="G17" s="64"/>
    </row>
    <row r="18" spans="1:7" s="75" customFormat="1" x14ac:dyDescent="0.25">
      <c r="A18" s="60" t="s">
        <v>46</v>
      </c>
      <c r="B18" s="55"/>
      <c r="C18" s="58" t="s">
        <v>13</v>
      </c>
      <c r="D18" s="55"/>
      <c r="E18" s="81" t="s">
        <v>14</v>
      </c>
      <c r="F18" s="3"/>
      <c r="G18" s="3"/>
    </row>
    <row r="19" spans="1:7" s="75" customFormat="1" x14ac:dyDescent="0.25">
      <c r="A19" s="66">
        <v>1</v>
      </c>
      <c r="B19" s="51"/>
      <c r="C19" s="79">
        <v>0</v>
      </c>
      <c r="D19" s="80"/>
      <c r="E19" s="79">
        <v>0</v>
      </c>
      <c r="F19" s="52"/>
      <c r="G19" s="3"/>
    </row>
    <row r="20" spans="1:7" s="75" customFormat="1" x14ac:dyDescent="0.25">
      <c r="A20" s="67">
        <v>2</v>
      </c>
      <c r="B20" s="51"/>
      <c r="C20" s="79">
        <v>240</v>
      </c>
      <c r="D20" s="80"/>
      <c r="E20" s="79">
        <v>0</v>
      </c>
      <c r="F20" s="52"/>
      <c r="G20" s="3"/>
    </row>
    <row r="21" spans="1:7" s="75" customFormat="1" x14ac:dyDescent="0.25">
      <c r="A21" s="67">
        <v>3</v>
      </c>
      <c r="B21" s="51"/>
      <c r="C21" s="79">
        <v>240</v>
      </c>
      <c r="D21" s="80"/>
      <c r="E21" s="79">
        <v>120</v>
      </c>
      <c r="F21" s="52"/>
      <c r="G21" s="3"/>
    </row>
    <row r="22" spans="1:7" s="75" customFormat="1" x14ac:dyDescent="0.25">
      <c r="A22" s="68">
        <v>4</v>
      </c>
      <c r="B22" s="51"/>
      <c r="C22" s="79">
        <v>0</v>
      </c>
      <c r="D22" s="80"/>
      <c r="E22" s="79">
        <v>120</v>
      </c>
      <c r="F22" s="52"/>
      <c r="G22" s="3"/>
    </row>
    <row r="23" spans="1:7" s="75" customFormat="1" x14ac:dyDescent="0.25">
      <c r="A23" s="55"/>
      <c r="B23" s="55"/>
      <c r="C23" s="55"/>
      <c r="D23" s="3"/>
      <c r="E23" s="3"/>
      <c r="F23" s="3"/>
      <c r="G23" s="59"/>
    </row>
    <row r="24" spans="1:7" ht="28.5" x14ac:dyDescent="0.25">
      <c r="A24" s="23" t="s">
        <v>104</v>
      </c>
      <c r="B24" s="23" t="s">
        <v>59</v>
      </c>
      <c r="C24" s="1" t="s">
        <v>107</v>
      </c>
      <c r="D24" s="23" t="s">
        <v>58</v>
      </c>
      <c r="E24" s="1" t="s">
        <v>49</v>
      </c>
      <c r="F24" s="61" t="s">
        <v>12</v>
      </c>
      <c r="G24" s="1">
        <v>4</v>
      </c>
    </row>
    <row r="25" spans="1:7" x14ac:dyDescent="0.25">
      <c r="A25" s="62"/>
      <c r="B25" s="62"/>
      <c r="C25" s="62"/>
      <c r="D25" s="62"/>
      <c r="E25" s="63"/>
      <c r="F25" s="64"/>
      <c r="G25" s="64"/>
    </row>
    <row r="26" spans="1:7" x14ac:dyDescent="0.25">
      <c r="A26" s="60" t="s">
        <v>46</v>
      </c>
      <c r="B26" s="55"/>
      <c r="C26" s="58" t="s">
        <v>13</v>
      </c>
      <c r="D26" s="55"/>
      <c r="E26" s="81" t="s">
        <v>14</v>
      </c>
      <c r="F26" s="3"/>
      <c r="G26" s="3"/>
    </row>
    <row r="27" spans="1:7" x14ac:dyDescent="0.25">
      <c r="A27" s="66">
        <v>1</v>
      </c>
      <c r="B27" s="51"/>
      <c r="C27" s="79">
        <v>0</v>
      </c>
      <c r="D27" s="80"/>
      <c r="E27" s="79">
        <v>0</v>
      </c>
      <c r="F27" s="52"/>
      <c r="G27" s="3"/>
    </row>
    <row r="28" spans="1:7" x14ac:dyDescent="0.25">
      <c r="A28" s="67">
        <v>2</v>
      </c>
      <c r="B28" s="51"/>
      <c r="C28" s="79">
        <v>69.7</v>
      </c>
      <c r="D28" s="80"/>
      <c r="E28" s="79">
        <v>0</v>
      </c>
      <c r="F28" s="52"/>
      <c r="G28" s="3"/>
    </row>
    <row r="29" spans="1:7" x14ac:dyDescent="0.25">
      <c r="A29" s="67">
        <v>3</v>
      </c>
      <c r="B29" s="51"/>
      <c r="C29" s="79">
        <v>28.9</v>
      </c>
      <c r="D29" s="80"/>
      <c r="E29" s="79">
        <v>105</v>
      </c>
      <c r="F29" s="52"/>
      <c r="G29" s="3"/>
    </row>
    <row r="30" spans="1:7" x14ac:dyDescent="0.25">
      <c r="A30" s="68">
        <v>4</v>
      </c>
      <c r="B30" s="51"/>
      <c r="C30" s="79">
        <v>0</v>
      </c>
      <c r="D30" s="80"/>
      <c r="E30" s="79">
        <v>105</v>
      </c>
      <c r="F30" s="52"/>
      <c r="G30" s="3"/>
    </row>
    <row r="31" spans="1:7" x14ac:dyDescent="0.25">
      <c r="A31" s="3"/>
      <c r="B31" s="3"/>
      <c r="C31" s="55"/>
      <c r="D31" s="3"/>
      <c r="E31" s="55"/>
      <c r="F31" s="3"/>
      <c r="G31"/>
    </row>
    <row r="32" spans="1:7" ht="28.5" x14ac:dyDescent="0.25">
      <c r="A32" s="23" t="s">
        <v>105</v>
      </c>
      <c r="B32" s="23" t="s">
        <v>59</v>
      </c>
      <c r="C32" s="1" t="s">
        <v>107</v>
      </c>
      <c r="D32" s="23" t="s">
        <v>58</v>
      </c>
      <c r="E32" s="1" t="s">
        <v>49</v>
      </c>
      <c r="F32" s="61" t="s">
        <v>12</v>
      </c>
      <c r="G32" s="1">
        <v>4</v>
      </c>
    </row>
    <row r="33" spans="1:7" x14ac:dyDescent="0.25">
      <c r="A33" s="62"/>
      <c r="B33" s="62"/>
      <c r="C33" s="62"/>
      <c r="D33" s="62"/>
      <c r="E33" s="63"/>
      <c r="F33" s="64"/>
      <c r="G33" s="64"/>
    </row>
    <row r="34" spans="1:7" x14ac:dyDescent="0.25">
      <c r="A34" s="60" t="s">
        <v>46</v>
      </c>
      <c r="B34" s="55"/>
      <c r="C34" s="58" t="s">
        <v>13</v>
      </c>
      <c r="D34" s="55"/>
      <c r="E34" s="81" t="s">
        <v>14</v>
      </c>
      <c r="F34" s="3"/>
      <c r="G34" s="3"/>
    </row>
    <row r="35" spans="1:7" x14ac:dyDescent="0.25">
      <c r="A35" s="66">
        <v>1</v>
      </c>
      <c r="B35" s="51"/>
      <c r="C35" s="79">
        <v>170.3</v>
      </c>
      <c r="D35" s="80"/>
      <c r="E35" s="79">
        <v>0</v>
      </c>
      <c r="F35" s="52"/>
      <c r="G35" s="3"/>
    </row>
    <row r="36" spans="1:7" x14ac:dyDescent="0.25">
      <c r="A36" s="67">
        <v>2</v>
      </c>
      <c r="B36" s="51"/>
      <c r="C36" s="79">
        <v>240</v>
      </c>
      <c r="D36" s="80"/>
      <c r="E36" s="79">
        <v>0</v>
      </c>
      <c r="F36" s="52"/>
      <c r="G36" s="3"/>
    </row>
    <row r="37" spans="1:7" x14ac:dyDescent="0.25">
      <c r="A37" s="67">
        <v>3</v>
      </c>
      <c r="B37" s="51"/>
      <c r="C37" s="79">
        <v>240</v>
      </c>
      <c r="D37" s="80"/>
      <c r="E37" s="79">
        <v>105</v>
      </c>
      <c r="F37" s="52"/>
      <c r="G37" s="3"/>
    </row>
    <row r="38" spans="1:7" x14ac:dyDescent="0.25">
      <c r="A38" s="68">
        <v>4</v>
      </c>
      <c r="B38" s="51"/>
      <c r="C38" s="79">
        <v>211</v>
      </c>
      <c r="D38" s="80"/>
      <c r="E38" s="79">
        <v>105</v>
      </c>
      <c r="F38" s="52"/>
      <c r="G38" s="3"/>
    </row>
    <row r="39" spans="1:7" x14ac:dyDescent="0.25">
      <c r="A39" s="3"/>
      <c r="B39" s="3"/>
      <c r="C39" s="55"/>
      <c r="D39" s="3"/>
      <c r="E39" s="55"/>
      <c r="F39" s="3"/>
      <c r="G39"/>
    </row>
    <row r="40" spans="1:7" ht="28.5" x14ac:dyDescent="0.25">
      <c r="A40" s="23" t="s">
        <v>106</v>
      </c>
      <c r="B40" s="23" t="s">
        <v>59</v>
      </c>
      <c r="C40" s="1" t="s">
        <v>107</v>
      </c>
      <c r="D40" s="23" t="s">
        <v>58</v>
      </c>
      <c r="E40" s="1" t="s">
        <v>49</v>
      </c>
      <c r="F40" s="61" t="s">
        <v>12</v>
      </c>
      <c r="G40" s="1">
        <v>4</v>
      </c>
    </row>
    <row r="41" spans="1:7" x14ac:dyDescent="0.25">
      <c r="A41" s="62"/>
      <c r="B41" s="62"/>
      <c r="C41" s="62"/>
      <c r="D41" s="62"/>
      <c r="E41" s="63"/>
      <c r="F41" s="64"/>
      <c r="G41" s="64"/>
    </row>
    <row r="42" spans="1:7" x14ac:dyDescent="0.25">
      <c r="A42" s="60" t="s">
        <v>46</v>
      </c>
      <c r="B42" s="55"/>
      <c r="C42" s="58" t="s">
        <v>13</v>
      </c>
      <c r="D42" s="55"/>
      <c r="E42" s="81" t="s">
        <v>14</v>
      </c>
      <c r="F42" s="3"/>
      <c r="G42" s="3"/>
    </row>
    <row r="43" spans="1:7" x14ac:dyDescent="0.25">
      <c r="A43" s="66">
        <v>1</v>
      </c>
      <c r="B43" s="51"/>
      <c r="C43" s="79">
        <v>45</v>
      </c>
      <c r="D43" s="80"/>
      <c r="E43" s="79">
        <v>105</v>
      </c>
      <c r="F43" s="52"/>
      <c r="G43" s="3"/>
    </row>
    <row r="44" spans="1:7" x14ac:dyDescent="0.25">
      <c r="A44" s="67">
        <v>2</v>
      </c>
      <c r="B44" s="51"/>
      <c r="C44" s="79">
        <v>80</v>
      </c>
      <c r="D44" s="80"/>
      <c r="E44" s="79">
        <v>15</v>
      </c>
      <c r="F44" s="52"/>
      <c r="G44" s="3"/>
    </row>
    <row r="45" spans="1:7" x14ac:dyDescent="0.25">
      <c r="A45" s="67">
        <v>3</v>
      </c>
      <c r="B45" s="51"/>
      <c r="C45" s="79">
        <v>160</v>
      </c>
      <c r="D45" s="80"/>
      <c r="E45" s="79">
        <v>15</v>
      </c>
      <c r="F45" s="52"/>
      <c r="G45" s="3"/>
    </row>
    <row r="46" spans="1:7" x14ac:dyDescent="0.25">
      <c r="A46" s="68">
        <v>4</v>
      </c>
      <c r="B46" s="51"/>
      <c r="C46" s="79">
        <v>195</v>
      </c>
      <c r="D46" s="80"/>
      <c r="E46" s="79">
        <v>105</v>
      </c>
      <c r="F46" s="52"/>
      <c r="G46" s="3"/>
    </row>
    <row r="47" spans="1:7" x14ac:dyDescent="0.25">
      <c r="A47" s="3"/>
      <c r="B47" s="3"/>
      <c r="C47" s="55"/>
      <c r="D47" s="3"/>
      <c r="E47" s="55"/>
      <c r="F47" s="3"/>
      <c r="G47"/>
    </row>
    <row r="48" spans="1:7" x14ac:dyDescent="0.25">
      <c r="A48" s="76" t="s">
        <v>15</v>
      </c>
      <c r="B48" s="77"/>
      <c r="C48" s="91"/>
      <c r="D48" s="107"/>
      <c r="E48" s="108"/>
      <c r="F48" s="108"/>
      <c r="G48" s="109"/>
    </row>
    <row r="49" spans="1:7" x14ac:dyDescent="0.25">
      <c r="A49" s="13"/>
      <c r="B49" s="13"/>
      <c r="C49" s="13"/>
      <c r="D49" s="13"/>
      <c r="E49" s="13"/>
      <c r="F49" s="13"/>
      <c r="G49" s="13"/>
    </row>
    <row r="50" spans="1:7" x14ac:dyDescent="0.25">
      <c r="A50" s="99" t="s">
        <v>16</v>
      </c>
      <c r="B50" s="100"/>
      <c r="C50" s="101"/>
      <c r="D50" s="17">
        <v>88</v>
      </c>
      <c r="E50" s="13"/>
      <c r="F50" s="13"/>
      <c r="G50" s="13"/>
    </row>
    <row r="51" spans="1:7" x14ac:dyDescent="0.25">
      <c r="A51" s="13"/>
      <c r="B51" s="13"/>
      <c r="C51" s="13"/>
      <c r="D51" s="13"/>
      <c r="E51" s="13"/>
      <c r="F51" s="13"/>
      <c r="G51" s="13"/>
    </row>
    <row r="52" spans="1:7" x14ac:dyDescent="0.25">
      <c r="A52" s="14" t="s">
        <v>17</v>
      </c>
      <c r="B52" s="13"/>
      <c r="C52" s="14" t="s">
        <v>13</v>
      </c>
      <c r="D52" s="13"/>
      <c r="E52" s="14" t="s">
        <v>14</v>
      </c>
      <c r="F52" s="13"/>
      <c r="G52" s="94" t="s">
        <v>100</v>
      </c>
    </row>
    <row r="53" spans="1:7" x14ac:dyDescent="0.25">
      <c r="A53" s="21">
        <f t="shared" ref="A53:A116" si="0">A54-1</f>
        <v>1</v>
      </c>
      <c r="B53" s="13"/>
      <c r="C53" s="20">
        <v>120</v>
      </c>
      <c r="D53" s="13"/>
      <c r="E53" s="20">
        <v>12</v>
      </c>
      <c r="F53" s="13"/>
      <c r="G53" s="2">
        <v>12</v>
      </c>
    </row>
    <row r="54" spans="1:7" x14ac:dyDescent="0.25">
      <c r="A54" s="21">
        <f t="shared" si="0"/>
        <v>2</v>
      </c>
      <c r="B54" s="13"/>
      <c r="C54" s="20">
        <v>132.20000000000002</v>
      </c>
      <c r="D54" s="13"/>
      <c r="E54" s="20">
        <v>12</v>
      </c>
      <c r="F54" s="13"/>
      <c r="G54" s="2">
        <v>12</v>
      </c>
    </row>
    <row r="55" spans="1:7" x14ac:dyDescent="0.25">
      <c r="A55" s="21">
        <f t="shared" si="0"/>
        <v>3</v>
      </c>
      <c r="B55" s="13"/>
      <c r="C55" s="20">
        <v>144.19999999999999</v>
      </c>
      <c r="D55" s="13"/>
      <c r="E55" s="20">
        <v>12</v>
      </c>
      <c r="F55" s="13"/>
      <c r="G55" s="2">
        <v>12</v>
      </c>
    </row>
    <row r="56" spans="1:7" x14ac:dyDescent="0.25">
      <c r="A56" s="21">
        <f t="shared" si="0"/>
        <v>4</v>
      </c>
      <c r="B56" s="13"/>
      <c r="C56" s="20">
        <v>120</v>
      </c>
      <c r="D56" s="13"/>
      <c r="E56" s="20">
        <v>3</v>
      </c>
      <c r="F56" s="13"/>
      <c r="G56" s="2">
        <v>12</v>
      </c>
    </row>
    <row r="57" spans="1:7" x14ac:dyDescent="0.25">
      <c r="A57" s="21">
        <f t="shared" si="0"/>
        <v>5</v>
      </c>
      <c r="B57" s="13"/>
      <c r="C57" s="20">
        <v>132.20000000000002</v>
      </c>
      <c r="D57" s="13"/>
      <c r="E57" s="20">
        <v>3</v>
      </c>
      <c r="F57" s="13"/>
      <c r="G57" s="2">
        <v>12</v>
      </c>
    </row>
    <row r="58" spans="1:7" x14ac:dyDescent="0.25">
      <c r="A58" s="21">
        <f t="shared" si="0"/>
        <v>6</v>
      </c>
      <c r="B58" s="13"/>
      <c r="C58" s="20">
        <v>144.19999999999999</v>
      </c>
      <c r="D58" s="13"/>
      <c r="E58" s="20">
        <v>3</v>
      </c>
      <c r="F58" s="13"/>
      <c r="G58" s="2">
        <v>12</v>
      </c>
    </row>
    <row r="59" spans="1:7" x14ac:dyDescent="0.25">
      <c r="A59" s="21">
        <f t="shared" si="0"/>
        <v>7</v>
      </c>
      <c r="B59" s="13"/>
      <c r="C59" s="20">
        <v>156.20000000000002</v>
      </c>
      <c r="D59" s="13"/>
      <c r="E59" s="20">
        <v>3</v>
      </c>
      <c r="F59" s="13"/>
      <c r="G59" s="2">
        <v>12</v>
      </c>
    </row>
    <row r="60" spans="1:7" x14ac:dyDescent="0.25">
      <c r="A60" s="21">
        <f t="shared" si="0"/>
        <v>8</v>
      </c>
      <c r="B60" s="13"/>
      <c r="C60" s="20">
        <v>162.1</v>
      </c>
      <c r="D60" s="13"/>
      <c r="E60" s="20">
        <v>12</v>
      </c>
      <c r="F60" s="13"/>
      <c r="G60" s="2">
        <v>12</v>
      </c>
    </row>
    <row r="61" spans="1:7" x14ac:dyDescent="0.25">
      <c r="A61" s="21">
        <f t="shared" si="0"/>
        <v>9</v>
      </c>
      <c r="B61" s="13"/>
      <c r="C61" s="20">
        <v>168.2</v>
      </c>
      <c r="D61" s="13"/>
      <c r="E61" s="20">
        <v>3</v>
      </c>
      <c r="F61" s="13"/>
      <c r="G61" s="2">
        <v>12</v>
      </c>
    </row>
    <row r="62" spans="1:7" x14ac:dyDescent="0.25">
      <c r="A62" s="21">
        <f t="shared" si="0"/>
        <v>10</v>
      </c>
      <c r="B62" s="13"/>
      <c r="C62" s="20">
        <v>120</v>
      </c>
      <c r="D62" s="13"/>
      <c r="E62" s="20">
        <v>12</v>
      </c>
      <c r="F62" s="13"/>
      <c r="G62" s="2">
        <v>12</v>
      </c>
    </row>
    <row r="63" spans="1:7" x14ac:dyDescent="0.25">
      <c r="A63" s="21">
        <f t="shared" si="0"/>
        <v>11</v>
      </c>
      <c r="B63" s="13"/>
      <c r="C63" s="20">
        <v>107.80000000000001</v>
      </c>
      <c r="D63" s="95"/>
      <c r="E63" s="20">
        <v>12</v>
      </c>
      <c r="F63" s="13"/>
      <c r="G63" s="2">
        <v>12</v>
      </c>
    </row>
    <row r="64" spans="1:7" x14ac:dyDescent="0.25">
      <c r="A64" s="21">
        <f t="shared" si="0"/>
        <v>12</v>
      </c>
      <c r="B64" s="13"/>
      <c r="C64" s="20">
        <v>95.8</v>
      </c>
      <c r="D64" s="13"/>
      <c r="E64" s="20">
        <v>12</v>
      </c>
      <c r="F64" s="13"/>
      <c r="G64" s="2">
        <v>12</v>
      </c>
    </row>
    <row r="65" spans="1:7" x14ac:dyDescent="0.25">
      <c r="A65" s="21">
        <f t="shared" si="0"/>
        <v>13</v>
      </c>
      <c r="B65" s="13"/>
      <c r="C65" s="20">
        <v>120</v>
      </c>
      <c r="D65" s="13"/>
      <c r="E65" s="20">
        <v>3</v>
      </c>
      <c r="F65" s="13"/>
      <c r="G65" s="2">
        <v>12</v>
      </c>
    </row>
    <row r="66" spans="1:7" x14ac:dyDescent="0.25">
      <c r="A66" s="21">
        <f t="shared" si="0"/>
        <v>14</v>
      </c>
      <c r="B66" s="13"/>
      <c r="C66" s="20">
        <v>107.80000000000001</v>
      </c>
      <c r="D66" s="13"/>
      <c r="E66" s="20">
        <v>3</v>
      </c>
      <c r="F66" s="13"/>
      <c r="G66" s="2">
        <v>12</v>
      </c>
    </row>
    <row r="67" spans="1:7" x14ac:dyDescent="0.25">
      <c r="A67" s="21">
        <f t="shared" si="0"/>
        <v>15</v>
      </c>
      <c r="B67" s="13"/>
      <c r="C67" s="20">
        <v>95.8</v>
      </c>
      <c r="D67" s="13"/>
      <c r="E67" s="20">
        <v>3</v>
      </c>
      <c r="F67" s="13"/>
      <c r="G67" s="2">
        <v>12</v>
      </c>
    </row>
    <row r="68" spans="1:7" x14ac:dyDescent="0.25">
      <c r="A68" s="21">
        <f t="shared" si="0"/>
        <v>16</v>
      </c>
      <c r="B68" s="13"/>
      <c r="C68" s="20">
        <v>83.8</v>
      </c>
      <c r="D68" s="13"/>
      <c r="E68" s="20">
        <v>3</v>
      </c>
      <c r="F68" s="13"/>
      <c r="G68" s="2">
        <v>12</v>
      </c>
    </row>
    <row r="69" spans="1:7" x14ac:dyDescent="0.25">
      <c r="A69" s="21">
        <f t="shared" si="0"/>
        <v>17</v>
      </c>
      <c r="B69" s="13"/>
      <c r="C69" s="20">
        <v>77.900000000000006</v>
      </c>
      <c r="D69" s="13"/>
      <c r="E69" s="20">
        <v>12</v>
      </c>
      <c r="F69" s="13"/>
      <c r="G69" s="2">
        <v>12</v>
      </c>
    </row>
    <row r="70" spans="1:7" x14ac:dyDescent="0.25">
      <c r="A70" s="21">
        <f t="shared" si="0"/>
        <v>18</v>
      </c>
      <c r="B70" s="13"/>
      <c r="C70" s="20">
        <v>71.8</v>
      </c>
      <c r="D70" s="13"/>
      <c r="E70" s="20">
        <v>3</v>
      </c>
      <c r="F70" s="13"/>
      <c r="G70" s="2">
        <v>12</v>
      </c>
    </row>
    <row r="71" spans="1:7" x14ac:dyDescent="0.25">
      <c r="A71" s="21">
        <f t="shared" si="0"/>
        <v>19</v>
      </c>
      <c r="B71" s="13"/>
      <c r="C71" s="20">
        <v>40.6</v>
      </c>
      <c r="D71" s="13"/>
      <c r="E71" s="20">
        <v>108</v>
      </c>
      <c r="F71" s="13"/>
      <c r="G71" s="2">
        <v>12</v>
      </c>
    </row>
    <row r="72" spans="1:7" x14ac:dyDescent="0.25">
      <c r="A72" s="21">
        <f t="shared" si="0"/>
        <v>20</v>
      </c>
      <c r="B72" s="13"/>
      <c r="C72" s="20">
        <v>111.00000000000001</v>
      </c>
      <c r="D72" s="13"/>
      <c r="E72" s="20">
        <v>108</v>
      </c>
      <c r="F72" s="13"/>
      <c r="G72" s="2">
        <v>12</v>
      </c>
    </row>
    <row r="73" spans="1:7" x14ac:dyDescent="0.25">
      <c r="A73" s="21">
        <f t="shared" si="0"/>
        <v>21</v>
      </c>
      <c r="B73" s="13"/>
      <c r="C73" s="20">
        <v>99</v>
      </c>
      <c r="D73" s="13"/>
      <c r="E73" s="20">
        <v>108</v>
      </c>
      <c r="F73" s="13"/>
      <c r="G73" s="2">
        <v>12</v>
      </c>
    </row>
    <row r="74" spans="1:7" x14ac:dyDescent="0.25">
      <c r="A74" s="21">
        <f t="shared" si="0"/>
        <v>22</v>
      </c>
      <c r="B74" s="13"/>
      <c r="C74" s="20">
        <v>87</v>
      </c>
      <c r="D74" s="13"/>
      <c r="E74" s="20">
        <v>108</v>
      </c>
      <c r="F74" s="13"/>
      <c r="G74" s="2">
        <v>12</v>
      </c>
    </row>
    <row r="75" spans="1:7" x14ac:dyDescent="0.25">
      <c r="A75" s="21">
        <f t="shared" si="0"/>
        <v>23</v>
      </c>
      <c r="B75" s="13"/>
      <c r="C75" s="20">
        <v>75</v>
      </c>
      <c r="D75" s="13"/>
      <c r="E75" s="20">
        <v>108</v>
      </c>
      <c r="F75" s="13"/>
      <c r="G75" s="2">
        <v>12</v>
      </c>
    </row>
    <row r="76" spans="1:7" x14ac:dyDescent="0.25">
      <c r="A76" s="21">
        <f t="shared" si="0"/>
        <v>24</v>
      </c>
      <c r="B76" s="13"/>
      <c r="C76" s="20">
        <v>63</v>
      </c>
      <c r="D76" s="13"/>
      <c r="E76" s="20">
        <v>108</v>
      </c>
      <c r="F76" s="13"/>
      <c r="G76" s="2">
        <v>12</v>
      </c>
    </row>
    <row r="77" spans="1:7" x14ac:dyDescent="0.25">
      <c r="A77" s="21">
        <f t="shared" si="0"/>
        <v>25</v>
      </c>
      <c r="B77" s="13"/>
      <c r="C77" s="20">
        <v>51</v>
      </c>
      <c r="D77" s="13"/>
      <c r="E77" s="20">
        <v>108</v>
      </c>
      <c r="F77" s="13"/>
      <c r="G77" s="2">
        <v>12</v>
      </c>
    </row>
    <row r="78" spans="1:7" x14ac:dyDescent="0.25">
      <c r="A78" s="21">
        <f t="shared" si="0"/>
        <v>26</v>
      </c>
      <c r="B78" s="13"/>
      <c r="C78" s="20">
        <v>31</v>
      </c>
      <c r="D78" s="13"/>
      <c r="E78" s="20">
        <v>108</v>
      </c>
      <c r="F78" s="13"/>
      <c r="G78" s="2">
        <v>12</v>
      </c>
    </row>
    <row r="79" spans="1:7" x14ac:dyDescent="0.25">
      <c r="A79" s="21">
        <f t="shared" si="0"/>
        <v>27</v>
      </c>
      <c r="B79" s="13"/>
      <c r="C79" s="20">
        <v>15</v>
      </c>
      <c r="D79" s="13"/>
      <c r="E79" s="20">
        <v>108</v>
      </c>
      <c r="F79" s="13"/>
      <c r="G79" s="2">
        <v>12</v>
      </c>
    </row>
    <row r="80" spans="1:7" x14ac:dyDescent="0.25">
      <c r="A80" s="21">
        <f t="shared" si="0"/>
        <v>28</v>
      </c>
      <c r="B80" s="13"/>
      <c r="C80" s="20">
        <v>3</v>
      </c>
      <c r="D80" s="13"/>
      <c r="E80" s="20">
        <v>108</v>
      </c>
      <c r="F80" s="13"/>
      <c r="G80" s="2">
        <v>12</v>
      </c>
    </row>
    <row r="81" spans="1:7" x14ac:dyDescent="0.25">
      <c r="A81" s="21">
        <f t="shared" si="0"/>
        <v>29</v>
      </c>
      <c r="B81" s="13"/>
      <c r="C81" s="20">
        <v>111.00000000000001</v>
      </c>
      <c r="D81" s="13"/>
      <c r="E81" s="20">
        <v>117</v>
      </c>
      <c r="F81" s="13"/>
      <c r="G81" s="2">
        <v>12</v>
      </c>
    </row>
    <row r="82" spans="1:7" x14ac:dyDescent="0.25">
      <c r="A82" s="21">
        <f t="shared" si="0"/>
        <v>30</v>
      </c>
      <c r="B82" s="13"/>
      <c r="C82" s="20">
        <v>99</v>
      </c>
      <c r="D82" s="13"/>
      <c r="E82" s="20">
        <v>117</v>
      </c>
      <c r="F82" s="13"/>
      <c r="G82" s="2">
        <v>12</v>
      </c>
    </row>
    <row r="83" spans="1:7" x14ac:dyDescent="0.25">
      <c r="A83" s="21">
        <f t="shared" si="0"/>
        <v>31</v>
      </c>
      <c r="B83" s="13"/>
      <c r="C83" s="20">
        <v>87</v>
      </c>
      <c r="D83" s="13"/>
      <c r="E83" s="20">
        <v>117</v>
      </c>
      <c r="F83" s="13"/>
      <c r="G83" s="2">
        <v>12</v>
      </c>
    </row>
    <row r="84" spans="1:7" x14ac:dyDescent="0.25">
      <c r="A84" s="21">
        <f t="shared" si="0"/>
        <v>32</v>
      </c>
      <c r="B84" s="13"/>
      <c r="C84" s="20">
        <v>75</v>
      </c>
      <c r="D84" s="13"/>
      <c r="E84" s="20">
        <v>117</v>
      </c>
      <c r="F84" s="13"/>
      <c r="G84" s="2">
        <v>12</v>
      </c>
    </row>
    <row r="85" spans="1:7" x14ac:dyDescent="0.25">
      <c r="A85" s="21">
        <f t="shared" si="0"/>
        <v>33</v>
      </c>
      <c r="B85" s="13"/>
      <c r="C85" s="20">
        <v>63</v>
      </c>
      <c r="D85" s="13"/>
      <c r="E85" s="20">
        <v>117</v>
      </c>
      <c r="F85" s="13"/>
      <c r="G85" s="2">
        <v>12</v>
      </c>
    </row>
    <row r="86" spans="1:7" x14ac:dyDescent="0.25">
      <c r="A86" s="21">
        <f t="shared" si="0"/>
        <v>34</v>
      </c>
      <c r="B86" s="13"/>
      <c r="C86" s="20">
        <v>51</v>
      </c>
      <c r="D86" s="13"/>
      <c r="E86" s="20">
        <v>117</v>
      </c>
      <c r="F86" s="13"/>
      <c r="G86" s="2">
        <v>12</v>
      </c>
    </row>
    <row r="87" spans="1:7" x14ac:dyDescent="0.25">
      <c r="A87" s="21">
        <f t="shared" si="0"/>
        <v>35</v>
      </c>
      <c r="B87" s="13"/>
      <c r="C87" s="20">
        <v>39</v>
      </c>
      <c r="D87" s="13"/>
      <c r="E87" s="20">
        <v>117</v>
      </c>
      <c r="F87" s="13"/>
      <c r="G87" s="2">
        <v>12</v>
      </c>
    </row>
    <row r="88" spans="1:7" x14ac:dyDescent="0.25">
      <c r="A88" s="21">
        <f t="shared" si="0"/>
        <v>36</v>
      </c>
      <c r="B88" s="13"/>
      <c r="C88" s="20">
        <v>27</v>
      </c>
      <c r="D88" s="13"/>
      <c r="E88" s="20">
        <v>117</v>
      </c>
      <c r="F88" s="13"/>
      <c r="G88" s="2">
        <v>12</v>
      </c>
    </row>
    <row r="89" spans="1:7" x14ac:dyDescent="0.25">
      <c r="A89" s="21">
        <f t="shared" si="0"/>
        <v>37</v>
      </c>
      <c r="B89" s="13"/>
      <c r="C89" s="20">
        <v>15</v>
      </c>
      <c r="D89" s="13"/>
      <c r="E89" s="20">
        <v>117</v>
      </c>
      <c r="F89" s="13"/>
      <c r="G89" s="2">
        <v>12</v>
      </c>
    </row>
    <row r="90" spans="1:7" x14ac:dyDescent="0.25">
      <c r="A90" s="21">
        <f t="shared" si="0"/>
        <v>38</v>
      </c>
      <c r="B90" s="13"/>
      <c r="C90" s="20">
        <v>3</v>
      </c>
      <c r="D90" s="13"/>
      <c r="E90" s="20">
        <v>117</v>
      </c>
      <c r="F90" s="13"/>
      <c r="G90" s="2">
        <v>12</v>
      </c>
    </row>
    <row r="91" spans="1:7" x14ac:dyDescent="0.25">
      <c r="A91" s="21">
        <f t="shared" si="0"/>
        <v>39</v>
      </c>
      <c r="B91" s="13"/>
      <c r="C91" s="20">
        <v>120</v>
      </c>
      <c r="D91" s="13"/>
      <c r="E91" s="20">
        <v>108</v>
      </c>
      <c r="F91" s="13"/>
      <c r="G91" s="2">
        <v>12</v>
      </c>
    </row>
    <row r="92" spans="1:7" x14ac:dyDescent="0.25">
      <c r="A92" s="21">
        <f t="shared" si="0"/>
        <v>40</v>
      </c>
      <c r="B92" s="13"/>
      <c r="C92" s="20">
        <v>199.4</v>
      </c>
      <c r="D92" s="13"/>
      <c r="E92" s="20">
        <v>108</v>
      </c>
      <c r="F92" s="13"/>
      <c r="G92" s="2">
        <v>12</v>
      </c>
    </row>
    <row r="93" spans="1:7" x14ac:dyDescent="0.25">
      <c r="A93" s="21">
        <f t="shared" si="0"/>
        <v>41</v>
      </c>
      <c r="B93" s="13"/>
      <c r="C93" s="20">
        <v>129</v>
      </c>
      <c r="D93" s="13"/>
      <c r="E93" s="20">
        <v>108</v>
      </c>
      <c r="F93" s="13"/>
      <c r="G93" s="2">
        <v>12</v>
      </c>
    </row>
    <row r="94" spans="1:7" x14ac:dyDescent="0.25">
      <c r="A94" s="21">
        <f t="shared" si="0"/>
        <v>42</v>
      </c>
      <c r="B94" s="13"/>
      <c r="C94" s="20">
        <v>141</v>
      </c>
      <c r="D94" s="13"/>
      <c r="E94" s="20">
        <v>108</v>
      </c>
      <c r="F94" s="13"/>
      <c r="G94" s="2">
        <v>12</v>
      </c>
    </row>
    <row r="95" spans="1:7" x14ac:dyDescent="0.25">
      <c r="A95" s="21">
        <f t="shared" si="0"/>
        <v>43</v>
      </c>
      <c r="B95" s="13"/>
      <c r="C95" s="20">
        <v>153</v>
      </c>
      <c r="D95" s="13"/>
      <c r="E95" s="20">
        <v>108</v>
      </c>
      <c r="F95" s="13"/>
      <c r="G95" s="2">
        <v>12</v>
      </c>
    </row>
    <row r="96" spans="1:7" x14ac:dyDescent="0.25">
      <c r="A96" s="21">
        <f t="shared" si="0"/>
        <v>44</v>
      </c>
      <c r="B96" s="13"/>
      <c r="C96" s="20">
        <v>165</v>
      </c>
      <c r="D96" s="13"/>
      <c r="E96" s="20">
        <v>108</v>
      </c>
      <c r="F96" s="13"/>
      <c r="G96" s="2">
        <v>12</v>
      </c>
    </row>
    <row r="97" spans="1:7" x14ac:dyDescent="0.25">
      <c r="A97" s="21">
        <f t="shared" si="0"/>
        <v>45</v>
      </c>
      <c r="B97" s="13"/>
      <c r="C97" s="20">
        <v>177</v>
      </c>
      <c r="D97" s="13"/>
      <c r="E97" s="20">
        <v>108</v>
      </c>
      <c r="F97" s="13"/>
      <c r="G97" s="2">
        <v>12</v>
      </c>
    </row>
    <row r="98" spans="1:7" x14ac:dyDescent="0.25">
      <c r="A98" s="21">
        <f t="shared" si="0"/>
        <v>46</v>
      </c>
      <c r="B98" s="13"/>
      <c r="C98" s="20">
        <v>189</v>
      </c>
      <c r="D98" s="13"/>
      <c r="E98" s="20">
        <v>108</v>
      </c>
      <c r="F98" s="13"/>
      <c r="G98" s="2">
        <v>12</v>
      </c>
    </row>
    <row r="99" spans="1:7" x14ac:dyDescent="0.25">
      <c r="A99" s="21">
        <f t="shared" si="0"/>
        <v>47</v>
      </c>
      <c r="B99" s="13"/>
      <c r="C99" s="20">
        <v>209</v>
      </c>
      <c r="D99" s="13"/>
      <c r="E99" s="20">
        <v>108</v>
      </c>
      <c r="F99" s="13"/>
      <c r="G99" s="2">
        <v>12</v>
      </c>
    </row>
    <row r="100" spans="1:7" x14ac:dyDescent="0.25">
      <c r="A100" s="21">
        <f t="shared" si="0"/>
        <v>48</v>
      </c>
      <c r="B100" s="13"/>
      <c r="C100" s="20">
        <v>225</v>
      </c>
      <c r="D100" s="13"/>
      <c r="E100" s="20">
        <v>108</v>
      </c>
      <c r="F100" s="13"/>
      <c r="G100" s="2">
        <v>12</v>
      </c>
    </row>
    <row r="101" spans="1:7" x14ac:dyDescent="0.25">
      <c r="A101" s="21">
        <f t="shared" si="0"/>
        <v>49</v>
      </c>
      <c r="B101" s="13"/>
      <c r="C101" s="20">
        <v>237</v>
      </c>
      <c r="D101" s="13"/>
      <c r="E101" s="20">
        <v>108</v>
      </c>
      <c r="F101" s="13"/>
      <c r="G101" s="2">
        <v>12</v>
      </c>
    </row>
    <row r="102" spans="1:7" x14ac:dyDescent="0.25">
      <c r="A102" s="21">
        <f t="shared" si="0"/>
        <v>50</v>
      </c>
      <c r="B102" s="13"/>
      <c r="C102" s="20">
        <v>120</v>
      </c>
      <c r="D102" s="13"/>
      <c r="E102" s="20">
        <v>117</v>
      </c>
      <c r="F102" s="13"/>
      <c r="G102" s="2">
        <v>12</v>
      </c>
    </row>
    <row r="103" spans="1:7" x14ac:dyDescent="0.25">
      <c r="A103" s="21">
        <f t="shared" si="0"/>
        <v>51</v>
      </c>
      <c r="B103" s="13"/>
      <c r="C103" s="20">
        <v>129</v>
      </c>
      <c r="D103" s="13"/>
      <c r="E103" s="20">
        <v>117</v>
      </c>
      <c r="F103" s="13"/>
      <c r="G103" s="2">
        <v>12</v>
      </c>
    </row>
    <row r="104" spans="1:7" x14ac:dyDescent="0.25">
      <c r="A104" s="21">
        <f t="shared" si="0"/>
        <v>52</v>
      </c>
      <c r="B104" s="13"/>
      <c r="C104" s="20">
        <v>141</v>
      </c>
      <c r="D104" s="13"/>
      <c r="E104" s="20">
        <v>117</v>
      </c>
      <c r="F104" s="13"/>
      <c r="G104" s="2">
        <v>12</v>
      </c>
    </row>
    <row r="105" spans="1:7" x14ac:dyDescent="0.25">
      <c r="A105" s="21">
        <f t="shared" si="0"/>
        <v>53</v>
      </c>
      <c r="B105" s="13"/>
      <c r="C105" s="20">
        <v>153</v>
      </c>
      <c r="D105" s="13"/>
      <c r="E105" s="20">
        <v>117</v>
      </c>
      <c r="F105" s="13"/>
      <c r="G105" s="2">
        <v>12</v>
      </c>
    </row>
    <row r="106" spans="1:7" x14ac:dyDescent="0.25">
      <c r="A106" s="21">
        <f t="shared" si="0"/>
        <v>54</v>
      </c>
      <c r="B106" s="13"/>
      <c r="C106" s="20">
        <v>165</v>
      </c>
      <c r="D106" s="13"/>
      <c r="E106" s="20">
        <v>117</v>
      </c>
      <c r="F106" s="13"/>
      <c r="G106" s="2">
        <v>12</v>
      </c>
    </row>
    <row r="107" spans="1:7" x14ac:dyDescent="0.25">
      <c r="A107" s="21">
        <f t="shared" si="0"/>
        <v>55</v>
      </c>
      <c r="B107" s="13"/>
      <c r="C107" s="20">
        <v>177</v>
      </c>
      <c r="D107" s="13"/>
      <c r="E107" s="20">
        <v>117</v>
      </c>
      <c r="F107" s="13"/>
      <c r="G107" s="2">
        <v>12</v>
      </c>
    </row>
    <row r="108" spans="1:7" x14ac:dyDescent="0.25">
      <c r="A108" s="21">
        <f t="shared" si="0"/>
        <v>56</v>
      </c>
      <c r="B108" s="13"/>
      <c r="C108" s="20">
        <v>189</v>
      </c>
      <c r="D108" s="13"/>
      <c r="E108" s="20">
        <v>117</v>
      </c>
      <c r="F108" s="13"/>
      <c r="G108" s="2">
        <v>12</v>
      </c>
    </row>
    <row r="109" spans="1:7" x14ac:dyDescent="0.25">
      <c r="A109" s="21">
        <f t="shared" si="0"/>
        <v>57</v>
      </c>
      <c r="B109" s="13"/>
      <c r="C109" s="20">
        <v>200.99999999999997</v>
      </c>
      <c r="D109" s="13"/>
      <c r="E109" s="20">
        <v>117</v>
      </c>
      <c r="F109" s="13"/>
      <c r="G109" s="2">
        <v>12</v>
      </c>
    </row>
    <row r="110" spans="1:7" x14ac:dyDescent="0.25">
      <c r="A110" s="21">
        <f t="shared" si="0"/>
        <v>58</v>
      </c>
      <c r="B110" s="13"/>
      <c r="C110" s="20">
        <v>213</v>
      </c>
      <c r="D110" s="13"/>
      <c r="E110" s="20">
        <v>117</v>
      </c>
      <c r="F110" s="13"/>
      <c r="G110" s="2">
        <v>12</v>
      </c>
    </row>
    <row r="111" spans="1:7" x14ac:dyDescent="0.25">
      <c r="A111" s="21">
        <f t="shared" si="0"/>
        <v>59</v>
      </c>
      <c r="B111" s="13"/>
      <c r="C111" s="20">
        <v>225</v>
      </c>
      <c r="D111" s="13"/>
      <c r="E111" s="20">
        <v>117</v>
      </c>
      <c r="F111" s="13"/>
      <c r="G111" s="2">
        <v>12</v>
      </c>
    </row>
    <row r="112" spans="1:7" x14ac:dyDescent="0.25">
      <c r="A112" s="21">
        <f t="shared" si="0"/>
        <v>60</v>
      </c>
      <c r="B112" s="13"/>
      <c r="C112" s="20">
        <v>237</v>
      </c>
      <c r="D112" s="13"/>
      <c r="E112" s="20">
        <v>117</v>
      </c>
      <c r="F112" s="13"/>
      <c r="G112" s="2">
        <v>12</v>
      </c>
    </row>
    <row r="113" spans="1:7" x14ac:dyDescent="0.25">
      <c r="A113" s="21">
        <f t="shared" si="0"/>
        <v>61</v>
      </c>
      <c r="B113" s="13"/>
      <c r="C113" s="20">
        <v>43.9</v>
      </c>
      <c r="D113" s="13"/>
      <c r="E113" s="20">
        <v>99.5</v>
      </c>
      <c r="F113" s="13"/>
      <c r="G113" s="2">
        <v>12</v>
      </c>
    </row>
    <row r="114" spans="1:7" x14ac:dyDescent="0.25">
      <c r="A114" s="21">
        <f t="shared" si="0"/>
        <v>62</v>
      </c>
      <c r="B114" s="13"/>
      <c r="C114" s="20">
        <v>47.599999999999994</v>
      </c>
      <c r="D114" s="13"/>
      <c r="E114" s="20">
        <v>90.100000000000009</v>
      </c>
      <c r="F114" s="13"/>
      <c r="G114" s="2">
        <v>12</v>
      </c>
    </row>
    <row r="115" spans="1:7" x14ac:dyDescent="0.25">
      <c r="A115" s="21">
        <f t="shared" si="0"/>
        <v>63</v>
      </c>
      <c r="B115" s="13"/>
      <c r="C115" s="20">
        <v>53</v>
      </c>
      <c r="D115" s="13"/>
      <c r="E115" s="20">
        <v>76.2</v>
      </c>
      <c r="F115" s="13"/>
      <c r="G115" s="2">
        <v>12</v>
      </c>
    </row>
    <row r="116" spans="1:7" x14ac:dyDescent="0.25">
      <c r="A116" s="21">
        <f t="shared" si="0"/>
        <v>64</v>
      </c>
      <c r="B116" s="13"/>
      <c r="C116" s="20">
        <v>58.4</v>
      </c>
      <c r="D116" s="13"/>
      <c r="E116" s="20">
        <v>62.2</v>
      </c>
      <c r="F116" s="13"/>
      <c r="G116" s="2">
        <v>12</v>
      </c>
    </row>
    <row r="117" spans="1:7" x14ac:dyDescent="0.25">
      <c r="A117" s="21">
        <f t="shared" ref="A117:A138" si="1">A118-1</f>
        <v>65</v>
      </c>
      <c r="B117" s="13"/>
      <c r="C117" s="20">
        <v>63.9</v>
      </c>
      <c r="D117" s="13"/>
      <c r="E117" s="20">
        <v>48.199999999999996</v>
      </c>
      <c r="F117" s="13"/>
      <c r="G117" s="2">
        <v>12</v>
      </c>
    </row>
    <row r="118" spans="1:7" x14ac:dyDescent="0.25">
      <c r="A118" s="21">
        <f t="shared" si="1"/>
        <v>66</v>
      </c>
      <c r="B118" s="13"/>
      <c r="C118" s="20">
        <v>69.3</v>
      </c>
      <c r="D118" s="13"/>
      <c r="E118" s="20">
        <v>34.200000000000003</v>
      </c>
      <c r="F118" s="13"/>
      <c r="G118" s="2">
        <v>12</v>
      </c>
    </row>
    <row r="119" spans="1:7" x14ac:dyDescent="0.25">
      <c r="A119" s="21">
        <f t="shared" si="1"/>
        <v>67</v>
      </c>
      <c r="B119" s="13"/>
      <c r="C119" s="20">
        <v>74.7</v>
      </c>
      <c r="D119" s="13"/>
      <c r="E119" s="20">
        <v>20.200000000000003</v>
      </c>
      <c r="F119" s="13"/>
      <c r="G119" s="2">
        <v>12</v>
      </c>
    </row>
    <row r="120" spans="1:7" x14ac:dyDescent="0.25">
      <c r="A120" s="21">
        <f t="shared" si="1"/>
        <v>68</v>
      </c>
      <c r="B120" s="13"/>
      <c r="C120" s="20">
        <v>35.5</v>
      </c>
      <c r="D120" s="13"/>
      <c r="E120" s="20">
        <v>96.2</v>
      </c>
      <c r="F120" s="13"/>
      <c r="G120" s="2">
        <v>12</v>
      </c>
    </row>
    <row r="121" spans="1:7" x14ac:dyDescent="0.25">
      <c r="A121" s="21">
        <f t="shared" si="1"/>
        <v>69</v>
      </c>
      <c r="B121" s="13"/>
      <c r="C121" s="20">
        <v>39.200000000000003</v>
      </c>
      <c r="D121" s="13"/>
      <c r="E121" s="20">
        <v>86.9</v>
      </c>
      <c r="F121" s="13"/>
      <c r="G121" s="2">
        <v>12</v>
      </c>
    </row>
    <row r="122" spans="1:7" x14ac:dyDescent="0.25">
      <c r="A122" s="21">
        <f t="shared" si="1"/>
        <v>70</v>
      </c>
      <c r="B122" s="13"/>
      <c r="C122" s="20">
        <v>44.6</v>
      </c>
      <c r="D122" s="13"/>
      <c r="E122" s="20">
        <v>72.899999999999991</v>
      </c>
      <c r="F122" s="13"/>
      <c r="G122" s="2">
        <v>12</v>
      </c>
    </row>
    <row r="123" spans="1:7" x14ac:dyDescent="0.25">
      <c r="A123" s="21">
        <f t="shared" si="1"/>
        <v>71</v>
      </c>
      <c r="B123" s="13"/>
      <c r="C123" s="20">
        <v>50</v>
      </c>
      <c r="D123" s="13"/>
      <c r="E123" s="20">
        <v>58.9</v>
      </c>
      <c r="F123" s="13"/>
      <c r="G123" s="2">
        <v>12</v>
      </c>
    </row>
    <row r="124" spans="1:7" x14ac:dyDescent="0.25">
      <c r="A124" s="21">
        <f t="shared" si="1"/>
        <v>72</v>
      </c>
      <c r="B124" s="13"/>
      <c r="C124" s="20">
        <v>55.500000000000007</v>
      </c>
      <c r="D124" s="13"/>
      <c r="E124" s="20">
        <v>44.9</v>
      </c>
      <c r="F124" s="13"/>
      <c r="G124" s="2">
        <v>12</v>
      </c>
    </row>
    <row r="125" spans="1:7" x14ac:dyDescent="0.25">
      <c r="A125" s="21">
        <f t="shared" si="1"/>
        <v>73</v>
      </c>
      <c r="B125" s="13"/>
      <c r="C125" s="20">
        <v>60.9</v>
      </c>
      <c r="D125" s="13"/>
      <c r="E125" s="20">
        <v>31</v>
      </c>
      <c r="F125" s="13"/>
      <c r="G125" s="2">
        <v>12</v>
      </c>
    </row>
    <row r="126" spans="1:7" x14ac:dyDescent="0.25">
      <c r="A126" s="21">
        <f t="shared" si="1"/>
        <v>74</v>
      </c>
      <c r="B126" s="13"/>
      <c r="C126" s="20">
        <v>66.400000000000006</v>
      </c>
      <c r="D126" s="13"/>
      <c r="E126" s="20">
        <v>17</v>
      </c>
      <c r="F126" s="13"/>
      <c r="G126" s="2">
        <v>12</v>
      </c>
    </row>
    <row r="127" spans="1:7" x14ac:dyDescent="0.25">
      <c r="A127" s="21">
        <f t="shared" si="1"/>
        <v>75</v>
      </c>
      <c r="B127" s="13"/>
      <c r="C127" s="20">
        <v>196.1</v>
      </c>
      <c r="D127" s="13"/>
      <c r="E127" s="20">
        <v>99.5</v>
      </c>
      <c r="F127" s="13"/>
      <c r="G127" s="2">
        <v>12</v>
      </c>
    </row>
    <row r="128" spans="1:7" x14ac:dyDescent="0.25">
      <c r="A128" s="21">
        <f t="shared" si="1"/>
        <v>76</v>
      </c>
      <c r="B128" s="13"/>
      <c r="C128" s="20">
        <v>192.4</v>
      </c>
      <c r="D128" s="13"/>
      <c r="E128" s="20">
        <v>90.100000000000009</v>
      </c>
      <c r="F128" s="13"/>
      <c r="G128" s="2">
        <v>12</v>
      </c>
    </row>
    <row r="129" spans="1:7" x14ac:dyDescent="0.25">
      <c r="A129" s="21">
        <f t="shared" si="1"/>
        <v>77</v>
      </c>
      <c r="B129" s="13"/>
      <c r="C129" s="20">
        <v>187</v>
      </c>
      <c r="D129" s="13"/>
      <c r="E129" s="20">
        <v>76.2</v>
      </c>
      <c r="F129" s="13"/>
      <c r="G129" s="2">
        <v>12</v>
      </c>
    </row>
    <row r="130" spans="1:7" x14ac:dyDescent="0.25">
      <c r="A130" s="21">
        <f t="shared" si="1"/>
        <v>78</v>
      </c>
      <c r="B130" s="13"/>
      <c r="C130" s="20">
        <v>181.6</v>
      </c>
      <c r="D130" s="13"/>
      <c r="E130" s="20">
        <v>62.2</v>
      </c>
      <c r="F130" s="13"/>
      <c r="G130" s="2">
        <v>12</v>
      </c>
    </row>
    <row r="131" spans="1:7" x14ac:dyDescent="0.25">
      <c r="A131" s="21">
        <f t="shared" si="1"/>
        <v>79</v>
      </c>
      <c r="B131" s="13"/>
      <c r="C131" s="20">
        <v>176.1</v>
      </c>
      <c r="D131" s="13"/>
      <c r="E131" s="20">
        <v>48.199999999999996</v>
      </c>
      <c r="F131" s="13"/>
      <c r="G131" s="2">
        <v>12</v>
      </c>
    </row>
    <row r="132" spans="1:7" x14ac:dyDescent="0.25">
      <c r="A132" s="21">
        <f t="shared" si="1"/>
        <v>80</v>
      </c>
      <c r="B132" s="13"/>
      <c r="C132" s="20">
        <v>170.70000000000002</v>
      </c>
      <c r="D132" s="13"/>
      <c r="E132" s="20">
        <v>34.200000000000003</v>
      </c>
      <c r="F132" s="13"/>
      <c r="G132" s="2">
        <v>12</v>
      </c>
    </row>
    <row r="133" spans="1:7" x14ac:dyDescent="0.25">
      <c r="A133" s="21">
        <f t="shared" si="1"/>
        <v>81</v>
      </c>
      <c r="B133" s="13"/>
      <c r="C133" s="20">
        <v>165.3</v>
      </c>
      <c r="D133" s="13"/>
      <c r="E133" s="20">
        <v>20.200000000000003</v>
      </c>
      <c r="F133" s="13"/>
      <c r="G133" s="2">
        <v>12</v>
      </c>
    </row>
    <row r="134" spans="1:7" x14ac:dyDescent="0.25">
      <c r="A134" s="21">
        <f t="shared" si="1"/>
        <v>82</v>
      </c>
      <c r="B134" s="13"/>
      <c r="C134" s="20">
        <v>204.5</v>
      </c>
      <c r="D134" s="13"/>
      <c r="E134" s="20">
        <v>96.2</v>
      </c>
      <c r="F134" s="13"/>
      <c r="G134" s="2">
        <v>12</v>
      </c>
    </row>
    <row r="135" spans="1:7" x14ac:dyDescent="0.25">
      <c r="A135" s="21">
        <f t="shared" si="1"/>
        <v>83</v>
      </c>
      <c r="B135" s="13"/>
      <c r="C135" s="20">
        <v>200.8</v>
      </c>
      <c r="D135" s="13"/>
      <c r="E135" s="20">
        <v>86.9</v>
      </c>
      <c r="F135" s="13"/>
      <c r="G135" s="2">
        <v>12</v>
      </c>
    </row>
    <row r="136" spans="1:7" x14ac:dyDescent="0.25">
      <c r="A136" s="21">
        <f t="shared" si="1"/>
        <v>84</v>
      </c>
      <c r="B136" s="13"/>
      <c r="C136" s="20">
        <v>195.4</v>
      </c>
      <c r="D136" s="13"/>
      <c r="E136" s="20">
        <v>72.899999999999991</v>
      </c>
      <c r="F136" s="13"/>
      <c r="G136" s="2">
        <v>12</v>
      </c>
    </row>
    <row r="137" spans="1:7" x14ac:dyDescent="0.25">
      <c r="A137" s="21">
        <f t="shared" si="1"/>
        <v>85</v>
      </c>
      <c r="B137" s="13"/>
      <c r="C137" s="96">
        <v>190</v>
      </c>
      <c r="D137" s="13"/>
      <c r="E137" s="20">
        <v>58.9</v>
      </c>
      <c r="F137" s="13"/>
      <c r="G137" s="2">
        <v>12</v>
      </c>
    </row>
    <row r="138" spans="1:7" x14ac:dyDescent="0.25">
      <c r="A138" s="21">
        <f t="shared" si="1"/>
        <v>86</v>
      </c>
      <c r="B138" s="13"/>
      <c r="C138" s="20">
        <v>184.5</v>
      </c>
      <c r="D138" s="13"/>
      <c r="E138" s="20">
        <v>44.9</v>
      </c>
      <c r="F138" s="13"/>
      <c r="G138" s="2">
        <v>12</v>
      </c>
    </row>
    <row r="139" spans="1:7" x14ac:dyDescent="0.25">
      <c r="A139" s="21">
        <f>A140-1</f>
        <v>87</v>
      </c>
      <c r="B139" s="13"/>
      <c r="C139" s="20">
        <v>179.1</v>
      </c>
      <c r="D139" s="13"/>
      <c r="E139" s="20">
        <v>31</v>
      </c>
      <c r="F139" s="13"/>
      <c r="G139" s="2">
        <v>12</v>
      </c>
    </row>
    <row r="140" spans="1:7" x14ac:dyDescent="0.25">
      <c r="A140" s="21">
        <v>88</v>
      </c>
      <c r="B140" s="13"/>
      <c r="C140" s="20">
        <v>173.6</v>
      </c>
      <c r="D140" s="13"/>
      <c r="E140" s="20">
        <v>17</v>
      </c>
      <c r="F140" s="13"/>
      <c r="G140" s="2">
        <v>12</v>
      </c>
    </row>
    <row r="141" spans="1:7" x14ac:dyDescent="0.25">
      <c r="A141" s="110"/>
      <c r="B141" s="111"/>
      <c r="C141" s="111"/>
      <c r="D141" s="111"/>
      <c r="E141" s="111"/>
      <c r="F141" s="111"/>
      <c r="G141" s="112"/>
    </row>
    <row r="142" spans="1:7" x14ac:dyDescent="0.25">
      <c r="A142" s="76" t="s">
        <v>18</v>
      </c>
      <c r="B142" s="77"/>
      <c r="C142" s="91"/>
      <c r="E142" s="13"/>
    </row>
    <row r="143" spans="1:7" x14ac:dyDescent="0.25">
      <c r="A143" s="13"/>
      <c r="B143" s="13"/>
      <c r="C143" s="13"/>
      <c r="D143" s="13"/>
      <c r="E143" s="13"/>
      <c r="F143" s="13"/>
      <c r="G143" s="13"/>
    </row>
    <row r="144" spans="1:7" x14ac:dyDescent="0.25">
      <c r="A144" s="99" t="s">
        <v>16</v>
      </c>
      <c r="B144" s="100"/>
      <c r="C144" s="101"/>
      <c r="D144" s="17">
        <v>3</v>
      </c>
      <c r="E144" s="13"/>
      <c r="F144" s="13"/>
      <c r="G144" s="13"/>
    </row>
    <row r="145" spans="1:7" x14ac:dyDescent="0.25">
      <c r="A145" s="13"/>
      <c r="B145" s="13"/>
      <c r="C145" s="13"/>
      <c r="D145" s="13"/>
      <c r="E145" s="13"/>
      <c r="F145" s="13"/>
      <c r="G145" s="13"/>
    </row>
    <row r="146" spans="1:7" x14ac:dyDescent="0.25">
      <c r="A146" s="14" t="s">
        <v>17</v>
      </c>
      <c r="B146" s="13"/>
      <c r="C146" s="14" t="s">
        <v>13</v>
      </c>
      <c r="D146" s="13"/>
      <c r="E146" s="14" t="s">
        <v>14</v>
      </c>
      <c r="F146" s="13"/>
      <c r="G146" s="94" t="s">
        <v>19</v>
      </c>
    </row>
    <row r="147" spans="1:7" x14ac:dyDescent="0.25">
      <c r="A147" s="97">
        <v>1</v>
      </c>
      <c r="B147" s="13"/>
      <c r="C147" s="96">
        <v>100</v>
      </c>
      <c r="D147" s="13"/>
      <c r="E147" s="96">
        <v>8</v>
      </c>
      <c r="F147" s="13"/>
      <c r="G147" s="98">
        <v>3.5</v>
      </c>
    </row>
    <row r="148" spans="1:7" x14ac:dyDescent="0.25">
      <c r="A148" s="97">
        <v>1</v>
      </c>
      <c r="B148" s="13"/>
      <c r="C148" s="96">
        <v>120</v>
      </c>
      <c r="D148" s="13"/>
      <c r="E148" s="96">
        <v>8</v>
      </c>
      <c r="F148" s="13"/>
      <c r="G148" s="98">
        <v>3.5</v>
      </c>
    </row>
    <row r="149" spans="1:7" x14ac:dyDescent="0.25">
      <c r="A149" s="97">
        <v>1</v>
      </c>
      <c r="B149" s="13"/>
      <c r="C149" s="96">
        <v>140</v>
      </c>
      <c r="D149" s="13"/>
      <c r="E149" s="96">
        <v>8</v>
      </c>
      <c r="F149" s="13"/>
      <c r="G149" s="98">
        <v>3.5</v>
      </c>
    </row>
    <row r="150" spans="1:7" x14ac:dyDescent="0.25">
      <c r="A150" s="3"/>
      <c r="B150" s="3"/>
      <c r="C150" s="55"/>
      <c r="D150" s="3"/>
      <c r="E150" s="55"/>
      <c r="F150" s="3"/>
      <c r="G150"/>
    </row>
    <row r="151" spans="1:7" x14ac:dyDescent="0.25">
      <c r="A151" s="76" t="s">
        <v>20</v>
      </c>
      <c r="B151" s="77"/>
      <c r="C151" s="13"/>
      <c r="D151" s="13"/>
      <c r="E151" s="13"/>
      <c r="F151" s="13"/>
      <c r="G151" s="13"/>
    </row>
    <row r="152" spans="1:7" x14ac:dyDescent="0.25">
      <c r="A152" s="13"/>
      <c r="B152" s="13"/>
      <c r="C152" s="13"/>
      <c r="D152" s="13"/>
      <c r="E152" s="13"/>
      <c r="F152" s="13"/>
      <c r="G152" s="13"/>
    </row>
    <row r="153" spans="1:7" x14ac:dyDescent="0.25">
      <c r="A153" s="99" t="s">
        <v>61</v>
      </c>
      <c r="B153" s="100"/>
      <c r="C153" s="113" t="s">
        <v>81</v>
      </c>
      <c r="D153" s="113"/>
      <c r="E153" s="89"/>
      <c r="F153" s="13"/>
      <c r="G153" s="13"/>
    </row>
    <row r="154" spans="1:7" x14ac:dyDescent="0.25">
      <c r="A154" s="13"/>
      <c r="B154" s="13"/>
      <c r="C154" s="13"/>
      <c r="D154" s="13"/>
      <c r="E154" s="13"/>
      <c r="F154" s="13"/>
      <c r="G154" s="13"/>
    </row>
    <row r="155" spans="1:7" x14ac:dyDescent="0.25">
      <c r="A155" s="114" t="s">
        <v>101</v>
      </c>
      <c r="B155" s="114"/>
      <c r="C155" s="15">
        <v>2</v>
      </c>
      <c r="D155" s="13"/>
      <c r="E155" s="13" t="s">
        <v>96</v>
      </c>
      <c r="F155" s="13"/>
      <c r="G155" s="13"/>
    </row>
    <row r="156" spans="1:7" x14ac:dyDescent="0.25">
      <c r="A156" s="13"/>
      <c r="B156" s="13"/>
      <c r="C156" s="18"/>
      <c r="D156" s="13"/>
      <c r="E156" s="13" t="s">
        <v>95</v>
      </c>
      <c r="F156" s="13"/>
      <c r="G156" s="13"/>
    </row>
    <row r="157" spans="1:7" x14ac:dyDescent="0.25">
      <c r="A157" s="114" t="s">
        <v>102</v>
      </c>
      <c r="B157" s="114"/>
      <c r="C157" s="15">
        <v>2</v>
      </c>
      <c r="D157" s="13"/>
      <c r="E157" s="13" t="s">
        <v>97</v>
      </c>
      <c r="F157" s="13"/>
      <c r="G157" s="13"/>
    </row>
    <row r="158" spans="1:7" x14ac:dyDescent="0.25">
      <c r="A158" s="3"/>
      <c r="B158" s="3"/>
      <c r="C158" s="55"/>
      <c r="D158" s="3"/>
      <c r="E158" s="55" t="s">
        <v>98</v>
      </c>
      <c r="F158" s="13"/>
      <c r="G158" s="13"/>
    </row>
    <row r="159" spans="1:7" hidden="1" x14ac:dyDescent="0.25">
      <c r="A159" s="114" t="s">
        <v>103</v>
      </c>
      <c r="B159" s="114"/>
      <c r="C159" s="15">
        <v>2</v>
      </c>
      <c r="D159" s="13" t="s">
        <v>99</v>
      </c>
      <c r="F159" s="13"/>
      <c r="G159" s="13"/>
    </row>
    <row r="160" spans="1:7" hidden="1" x14ac:dyDescent="0.25">
      <c r="A160" s="3"/>
      <c r="B160" s="3"/>
      <c r="C160" s="55"/>
      <c r="D160" s="3"/>
      <c r="F160" s="3"/>
      <c r="G160"/>
    </row>
    <row r="161" spans="1:7" x14ac:dyDescent="0.25">
      <c r="A161" s="76" t="s">
        <v>83</v>
      </c>
      <c r="B161" s="13"/>
      <c r="C161" s="13"/>
      <c r="D161" s="13"/>
      <c r="E161" s="13"/>
      <c r="F161" s="13"/>
      <c r="G161" s="13"/>
    </row>
    <row r="162" spans="1:7" x14ac:dyDescent="0.25">
      <c r="B162" s="13"/>
      <c r="C162" s="13"/>
      <c r="D162" s="13"/>
      <c r="E162" s="13"/>
      <c r="F162" s="13"/>
      <c r="G162" s="13"/>
    </row>
    <row r="163" spans="1:7" x14ac:dyDescent="0.25">
      <c r="A163" s="99" t="s">
        <v>58</v>
      </c>
      <c r="B163" s="101"/>
      <c r="C163" s="15" t="s">
        <v>62</v>
      </c>
      <c r="G163" s="13"/>
    </row>
    <row r="165" spans="1:7" x14ac:dyDescent="0.25">
      <c r="A165" s="99" t="s">
        <v>64</v>
      </c>
      <c r="B165" s="101"/>
      <c r="C165" s="19">
        <v>0</v>
      </c>
    </row>
  </sheetData>
  <dataConsolidate/>
  <mergeCells count="17">
    <mergeCell ref="A155:B155"/>
    <mergeCell ref="A157:B157"/>
    <mergeCell ref="A159:B159"/>
    <mergeCell ref="A163:B163"/>
    <mergeCell ref="A165:B165"/>
    <mergeCell ref="D48:G48"/>
    <mergeCell ref="A50:C50"/>
    <mergeCell ref="A141:G141"/>
    <mergeCell ref="A144:C144"/>
    <mergeCell ref="A153:B153"/>
    <mergeCell ref="C153:D153"/>
    <mergeCell ref="A14:C14"/>
    <mergeCell ref="A4:B4"/>
    <mergeCell ref="A6:B6"/>
    <mergeCell ref="A8:B8"/>
    <mergeCell ref="A9:G9"/>
    <mergeCell ref="E10:F10"/>
  </mergeCells>
  <dataValidations count="16">
    <dataValidation type="decimal" allowBlank="1" showInputMessage="1" showErrorMessage="1" errorTitle="ERROR" error="El ángulo de inclinación del plano de carga debe estar comprendido entre -90º y 90º" sqref="C165" xr:uid="{148CFDBF-87D9-4DA1-B6B3-CA668D06595A}">
      <formula1>-90</formula1>
      <formula2>90</formula2>
    </dataValidation>
    <dataValidation type="list" allowBlank="1" showInputMessage="1" showErrorMessage="1" sqref="C8" xr:uid="{714B7850-DAF2-4917-A51B-BA819F2B1D60}">
      <formula1>"Barras 1050, Trenzas C1650, Trenzas C1900, Provisto por Usuario"</formula1>
    </dataValidation>
    <dataValidation type="whole" allowBlank="1" showInputMessage="1" showErrorMessage="1" errorTitle="Error" error="El número de barras debe estar comprendido entre 1 y 500" sqref="A53:A141 A147:A150" xr:uid="{45FE6653-164F-44E6-A64F-757D2E6A1298}">
      <formula1>1</formula1>
      <formula2>500</formula2>
    </dataValidation>
    <dataValidation type="list" allowBlank="1" showInputMessage="1" sqref="C4" xr:uid="{E7F8424D-69C1-4F1F-9194-9A83ACB3ADB4}">
      <formula1>"20,25,30,35,40,45,50,55, 60, Otro(Ingresar en misma Celda)"</formula1>
    </dataValidation>
    <dataValidation type="list" allowBlank="1" showInputMessage="1" showErrorMessage="1" sqref="C163" xr:uid="{A9E32B38-6DF8-4C55-AC5A-74B0232A7126}">
      <formula1>"2D,3D, Verificación"</formula1>
    </dataValidation>
    <dataValidation type="list" allowBlank="1" showInputMessage="1" showErrorMessage="1" sqref="E10:F10" xr:uid="{FD32E655-95C4-4427-A4B4-72A1C3005D9E}">
      <formula1>"Estribos, Barras Zunchadas"</formula1>
    </dataValidation>
    <dataValidation type="whole" allowBlank="1" showInputMessage="1" showErrorMessage="1" errorTitle="Error" error="El número de nodos debe estar comprendido entre 1 y 500" sqref="A19:A22 A27:A30 A35:A38 A43:A46" xr:uid="{41FFF124-BE76-47D1-912A-4CBA5454F777}">
      <formula1>1</formula1>
      <formula2>500</formula2>
    </dataValidation>
    <dataValidation type="list" allowBlank="1" showInputMessage="1" showErrorMessage="1" sqref="C16 C24 C32 C40" xr:uid="{FBB3B46E-1EC5-4864-A2A7-AD94986CE7C7}">
      <formula1>"Positivo, Negativo"</formula1>
    </dataValidation>
    <dataValidation type="whole" allowBlank="1" showInputMessage="1" showErrorMessage="1" errorTitle="Error" error="El número de nodos debe estar comprendido entre 3 y 500" sqref="G16 G24 G32 G40" xr:uid="{B44065D4-A91F-4011-B533-7A7CA7E0F79B}">
      <formula1>3</formula1>
      <formula2>500</formula2>
    </dataValidation>
    <dataValidation type="whole" allowBlank="1" showInputMessage="1" showErrorMessage="1" errorTitle="Error" error="El número de barras debe estar comprendido entre 0 y 500" sqref="D50" xr:uid="{1DF2E171-202B-43F1-A3CB-6D6DB608437A}">
      <formula1>0</formula1>
      <formula2>500</formula2>
    </dataValidation>
    <dataValidation type="decimal" operator="greaterThan" allowBlank="1" showInputMessage="1" showErrorMessage="1" errorTitle="Discretización" error="Los valores para ΔX, ΔY o Δθ deben ser siempre postiivos mayores a 0." sqref="C155 C157 C159" xr:uid="{BFE79152-86CD-4649-9E40-5D0D2FE91063}">
      <formula1>0</formula1>
    </dataValidation>
    <dataValidation type="whole" allowBlank="1" showInputMessage="1" showErrorMessage="1" errorTitle="Error" error="El número de barras debe estar comprendido entre 1 y 500" sqref="D144" xr:uid="{F5B58E75-77DC-40A0-8B71-4A5FCD180C30}">
      <formula1>0</formula1>
      <formula2>500</formula2>
    </dataValidation>
    <dataValidation type="whole" operator="greaterThanOrEqual" allowBlank="1" showInputMessage="1" showErrorMessage="1" errorTitle="Ingreso de Contornos" error="Por lo menos debe ingresar 1 contorno." sqref="D14" xr:uid="{5A6F806F-AC38-480B-B228-D5C381B54EB0}">
      <formula1>1</formula1>
    </dataValidation>
    <dataValidation type="list" allowBlank="1" showInputMessage="1" showErrorMessage="1" sqref="E16" xr:uid="{966F6BFB-8B67-4DA4-952E-F75E065CFA18}">
      <formula1>"Poligonal, Circular"</formula1>
    </dataValidation>
    <dataValidation type="list" allowBlank="1" showInputMessage="1" showErrorMessage="1" sqref="C153:D153" xr:uid="{E5451C43-CB43-4916-AA82-C3D8DF9BE9CE}">
      <formula1>"Muy Fina, Fina, Media, Gruesa, Muy Gruesa, Avanzada (Ingreso Manual)"</formula1>
    </dataValidation>
    <dataValidation type="list" allowBlank="1" showInputMessage="1" showErrorMessage="1" sqref="E24 E32 E40" xr:uid="{A1CF0ECE-88C0-4086-8C6D-6FA85EA6A25F}">
      <formula1>"Poligonal, Circular, Trapecio Circular"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3" r:id="rId4" name="Button 35">
              <controlPr defaultSize="0" print="0" autoFill="0" autoPict="0" macro="[0]!Sheet1.RunPyExe_Click">
                <anchor moveWithCells="1" sizeWithCells="1">
                  <from>
                    <xdr:col>3</xdr:col>
                    <xdr:colOff>219075</xdr:colOff>
                    <xdr:row>161</xdr:row>
                    <xdr:rowOff>133350</xdr:rowOff>
                  </from>
                  <to>
                    <xdr:col>6</xdr:col>
                    <xdr:colOff>561975</xdr:colOff>
                    <xdr:row>164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5" name="Button 36">
              <controlPr defaultSize="0" print="0" autoFill="0" autoPict="0" macro="[0]!Sheet1.CopyBackupSheet">
                <anchor moveWithCells="1" sizeWithCells="1">
                  <from>
                    <xdr:col>3</xdr:col>
                    <xdr:colOff>542925</xdr:colOff>
                    <xdr:row>1</xdr:row>
                    <xdr:rowOff>285750</xdr:rowOff>
                  </from>
                  <to>
                    <xdr:col>6</xdr:col>
                    <xdr:colOff>771525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D043B0-C741-4BA7-94DC-9FCE19159A2B}">
          <x14:formula1>
            <xm:f>'Armaduras Pasivas'!$B$2:$E$2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84579-75F6-4C03-A056-57780E92867D}">
  <sheetPr codeName="Sheet6"/>
  <dimension ref="A1:XFC52"/>
  <sheetViews>
    <sheetView topLeftCell="A19" zoomScaleNormal="100" workbookViewId="0">
      <selection activeCell="E16" sqref="E16"/>
    </sheetView>
  </sheetViews>
  <sheetFormatPr defaultColWidth="0" defaultRowHeight="15" x14ac:dyDescent="0.25"/>
  <cols>
    <col min="1" max="1" width="18.85546875" style="16" customWidth="1"/>
    <col min="2" max="2" width="12.5703125" style="16" customWidth="1"/>
    <col min="3" max="3" width="22.85546875" style="16" customWidth="1"/>
    <col min="4" max="4" width="15.42578125" style="16" customWidth="1"/>
    <col min="5" max="5" width="17.85546875" style="16" customWidth="1"/>
    <col min="6" max="6" width="11.42578125" style="16" customWidth="1"/>
    <col min="7" max="7" width="15.7109375" style="16" customWidth="1"/>
    <col min="8" max="8" width="100.7109375" style="75" hidden="1" customWidth="1"/>
    <col min="9" max="16379" width="9.140625" style="16" hidden="1"/>
    <col min="16380" max="16380" width="7" style="16" hidden="1" customWidth="1"/>
    <col min="16381" max="16381" width="5.28515625" style="16" hidden="1" customWidth="1"/>
    <col min="16382" max="16382" width="12.140625" style="16" hidden="1" customWidth="1"/>
    <col min="16383" max="16383" width="17.85546875" style="16" hidden="1" customWidth="1"/>
    <col min="16384" max="16384" width="10.85546875" style="16" hidden="1" customWidth="1"/>
  </cols>
  <sheetData>
    <row r="1" spans="1:7" s="75" customFormat="1" x14ac:dyDescent="0.25">
      <c r="A1" s="92" t="s">
        <v>0</v>
      </c>
      <c r="B1" s="92"/>
      <c r="C1" s="92"/>
      <c r="D1" s="74"/>
      <c r="E1" s="74"/>
      <c r="F1" s="74"/>
      <c r="G1" s="3"/>
    </row>
    <row r="2" spans="1:7" s="75" customFormat="1" ht="28.5" customHeight="1" x14ac:dyDescent="0.25">
      <c r="A2" s="4"/>
      <c r="B2" s="4"/>
      <c r="C2" s="5" t="s">
        <v>1</v>
      </c>
      <c r="D2" s="6"/>
      <c r="E2" s="7"/>
      <c r="F2" s="6"/>
      <c r="G2" s="7"/>
    </row>
    <row r="3" spans="1:7" s="75" customFormat="1" x14ac:dyDescent="0.25">
      <c r="A3" s="8"/>
      <c r="B3" s="3"/>
      <c r="C3" s="3"/>
      <c r="D3" s="9"/>
      <c r="E3" s="10"/>
      <c r="F3" s="10"/>
      <c r="G3" s="10"/>
    </row>
    <row r="4" spans="1:7" s="75" customFormat="1" x14ac:dyDescent="0.25">
      <c r="A4" s="102" t="s">
        <v>2</v>
      </c>
      <c r="B4" s="102"/>
      <c r="C4" s="11">
        <v>25</v>
      </c>
      <c r="D4" s="10"/>
      <c r="E4" s="10"/>
      <c r="F4" s="10"/>
      <c r="G4" s="10"/>
    </row>
    <row r="5" spans="1:7" s="75" customFormat="1" x14ac:dyDescent="0.25">
      <c r="A5" s="5"/>
      <c r="B5" s="5"/>
      <c r="C5" s="5"/>
      <c r="D5" s="10"/>
      <c r="E5" s="10"/>
      <c r="F5" s="10"/>
      <c r="G5" s="10"/>
    </row>
    <row r="6" spans="1:7" s="75" customFormat="1" x14ac:dyDescent="0.25">
      <c r="A6" s="102" t="s">
        <v>3</v>
      </c>
      <c r="B6" s="102"/>
      <c r="C6" s="1" t="s">
        <v>4</v>
      </c>
      <c r="D6" s="7"/>
      <c r="E6" s="16"/>
      <c r="F6" s="3"/>
      <c r="G6" s="22"/>
    </row>
    <row r="7" spans="1:7" s="75" customFormat="1" x14ac:dyDescent="0.25">
      <c r="A7" s="5"/>
      <c r="B7" s="5"/>
      <c r="C7" s="5"/>
      <c r="D7" s="5"/>
      <c r="E7" s="5"/>
      <c r="F7" s="5"/>
      <c r="G7" s="3"/>
    </row>
    <row r="8" spans="1:7" s="75" customFormat="1" x14ac:dyDescent="0.25">
      <c r="A8" s="102" t="s">
        <v>5</v>
      </c>
      <c r="B8" s="102"/>
      <c r="C8" s="11" t="s">
        <v>40</v>
      </c>
      <c r="D8" s="5" t="s">
        <v>6</v>
      </c>
      <c r="E8" s="12">
        <v>5.21</v>
      </c>
      <c r="F8" s="3" t="s">
        <v>42</v>
      </c>
      <c r="G8" s="3"/>
    </row>
    <row r="9" spans="1:7" s="75" customFormat="1" x14ac:dyDescent="0.25">
      <c r="A9" s="103"/>
      <c r="B9" s="104"/>
      <c r="C9" s="104"/>
      <c r="D9" s="104"/>
      <c r="E9" s="104"/>
      <c r="F9" s="104"/>
      <c r="G9" s="105"/>
    </row>
    <row r="10" spans="1:7" s="75" customFormat="1" x14ac:dyDescent="0.25">
      <c r="A10" s="90" t="s">
        <v>7</v>
      </c>
      <c r="B10" s="90"/>
      <c r="C10" s="90"/>
      <c r="D10" s="14" t="s">
        <v>8</v>
      </c>
      <c r="E10" s="106" t="s">
        <v>9</v>
      </c>
      <c r="F10" s="106"/>
      <c r="G10" s="13"/>
    </row>
    <row r="11" spans="1:7" s="75" customFormat="1" x14ac:dyDescent="0.25">
      <c r="A11" s="13"/>
      <c r="B11" s="13"/>
      <c r="C11" s="13"/>
      <c r="D11" s="13"/>
      <c r="E11" s="13"/>
      <c r="F11" s="13"/>
      <c r="G11" s="13"/>
    </row>
    <row r="12" spans="1:7" s="75" customFormat="1" x14ac:dyDescent="0.25">
      <c r="A12" s="90" t="s">
        <v>10</v>
      </c>
      <c r="B12" s="90"/>
      <c r="C12" s="90"/>
      <c r="D12" s="90"/>
      <c r="E12" s="90"/>
      <c r="F12" s="13"/>
      <c r="G12" s="13"/>
    </row>
    <row r="13" spans="1:7" s="75" customFormat="1" x14ac:dyDescent="0.25">
      <c r="A13" s="13"/>
      <c r="B13" s="13"/>
      <c r="C13" s="13"/>
      <c r="D13" s="13"/>
      <c r="E13" s="13"/>
      <c r="F13" s="13"/>
      <c r="G13" s="13"/>
    </row>
    <row r="14" spans="1:7" s="75" customFormat="1" x14ac:dyDescent="0.25">
      <c r="A14" s="99" t="s">
        <v>11</v>
      </c>
      <c r="B14" s="100"/>
      <c r="C14" s="101"/>
      <c r="D14" s="37">
        <v>1</v>
      </c>
      <c r="E14" s="13"/>
      <c r="F14" s="13"/>
      <c r="G14" s="13"/>
    </row>
    <row r="15" spans="1:7" s="75" customFormat="1" x14ac:dyDescent="0.25">
      <c r="A15" s="49"/>
      <c r="B15" s="13"/>
      <c r="C15" s="50"/>
      <c r="D15" s="13"/>
      <c r="E15" s="13"/>
      <c r="F15" s="13"/>
      <c r="G15" s="13"/>
    </row>
    <row r="16" spans="1:7" s="75" customFormat="1" ht="28.5" x14ac:dyDescent="0.25">
      <c r="A16" s="23" t="s">
        <v>60</v>
      </c>
      <c r="B16" s="23" t="s">
        <v>59</v>
      </c>
      <c r="C16" s="1" t="s">
        <v>48</v>
      </c>
      <c r="D16" s="23" t="s">
        <v>58</v>
      </c>
      <c r="E16" s="1" t="s">
        <v>49</v>
      </c>
      <c r="F16" s="61" t="s">
        <v>12</v>
      </c>
      <c r="G16" s="1">
        <v>4</v>
      </c>
    </row>
    <row r="17" spans="1:7" s="75" customFormat="1" x14ac:dyDescent="0.25">
      <c r="A17" s="62"/>
      <c r="B17" s="62"/>
      <c r="C17" s="62"/>
      <c r="D17" s="62"/>
      <c r="E17" s="63"/>
      <c r="F17" s="64"/>
      <c r="G17" s="64"/>
    </row>
    <row r="18" spans="1:7" s="75" customFormat="1" x14ac:dyDescent="0.25">
      <c r="A18" s="60" t="s">
        <v>46</v>
      </c>
      <c r="B18" s="55"/>
      <c r="C18" s="58" t="s">
        <v>13</v>
      </c>
      <c r="D18" s="55"/>
      <c r="E18" s="81" t="s">
        <v>14</v>
      </c>
      <c r="F18" s="3"/>
      <c r="G18" s="3"/>
    </row>
    <row r="19" spans="1:7" s="75" customFormat="1" x14ac:dyDescent="0.25">
      <c r="A19" s="66">
        <v>1</v>
      </c>
      <c r="B19" s="51"/>
      <c r="C19" s="79">
        <v>0</v>
      </c>
      <c r="D19" s="80"/>
      <c r="E19" s="79">
        <v>0</v>
      </c>
      <c r="F19" s="52"/>
      <c r="G19" s="3"/>
    </row>
    <row r="20" spans="1:7" s="75" customFormat="1" x14ac:dyDescent="0.25">
      <c r="A20" s="67">
        <v>2</v>
      </c>
      <c r="B20" s="51"/>
      <c r="C20" s="79">
        <v>0</v>
      </c>
      <c r="D20" s="80"/>
      <c r="E20" s="79">
        <v>0</v>
      </c>
      <c r="F20" s="52"/>
      <c r="G20" s="3"/>
    </row>
    <row r="21" spans="1:7" s="75" customFormat="1" x14ac:dyDescent="0.25">
      <c r="A21" s="67">
        <v>3</v>
      </c>
      <c r="B21" s="51"/>
      <c r="C21" s="79">
        <v>0</v>
      </c>
      <c r="D21" s="80"/>
      <c r="E21" s="79">
        <v>0</v>
      </c>
      <c r="F21" s="52"/>
      <c r="G21" s="3"/>
    </row>
    <row r="22" spans="1:7" s="75" customFormat="1" x14ac:dyDescent="0.25">
      <c r="A22" s="68">
        <f>A21+1</f>
        <v>4</v>
      </c>
      <c r="B22" s="51"/>
      <c r="C22" s="79">
        <v>0</v>
      </c>
      <c r="D22" s="80"/>
      <c r="E22" s="79">
        <v>0</v>
      </c>
      <c r="F22" s="52"/>
      <c r="G22" s="3"/>
    </row>
    <row r="23" spans="1:7" s="75" customFormat="1" x14ac:dyDescent="0.25">
      <c r="A23" s="55"/>
      <c r="B23" s="55"/>
      <c r="C23" s="55"/>
      <c r="D23" s="3"/>
      <c r="E23" s="3"/>
      <c r="F23" s="3"/>
      <c r="G23" s="59"/>
    </row>
    <row r="24" spans="1:7" s="75" customFormat="1" x14ac:dyDescent="0.25">
      <c r="A24" s="76" t="s">
        <v>15</v>
      </c>
      <c r="B24" s="77"/>
      <c r="C24" s="91"/>
      <c r="D24" s="107"/>
      <c r="E24" s="108"/>
      <c r="F24" s="108"/>
      <c r="G24" s="109"/>
    </row>
    <row r="25" spans="1:7" s="75" customFormat="1" x14ac:dyDescent="0.25">
      <c r="A25" s="13"/>
      <c r="B25" s="13"/>
      <c r="C25" s="13"/>
      <c r="D25" s="13"/>
      <c r="E25" s="13"/>
      <c r="F25" s="13"/>
      <c r="G25" s="13"/>
    </row>
    <row r="26" spans="1:7" s="75" customFormat="1" x14ac:dyDescent="0.25">
      <c r="A26" s="99" t="s">
        <v>16</v>
      </c>
      <c r="B26" s="100"/>
      <c r="C26" s="101"/>
      <c r="D26" s="17">
        <v>0</v>
      </c>
      <c r="E26" s="13"/>
      <c r="F26" s="13"/>
      <c r="G26" s="13"/>
    </row>
    <row r="27" spans="1:7" s="75" customFormat="1" x14ac:dyDescent="0.25">
      <c r="A27" s="13"/>
      <c r="B27" s="13"/>
      <c r="C27" s="13"/>
      <c r="D27" s="13"/>
      <c r="E27" s="13"/>
      <c r="F27" s="13"/>
      <c r="G27" s="13"/>
    </row>
    <row r="28" spans="1:7" s="75" customFormat="1" x14ac:dyDescent="0.25">
      <c r="A28" s="14" t="s">
        <v>17</v>
      </c>
      <c r="B28" s="13"/>
      <c r="C28" s="14" t="s">
        <v>13</v>
      </c>
      <c r="D28" s="13"/>
      <c r="E28" s="14" t="s">
        <v>14</v>
      </c>
      <c r="F28" s="13"/>
      <c r="G28" s="94" t="s">
        <v>100</v>
      </c>
    </row>
    <row r="29" spans="1:7" s="75" customFormat="1" x14ac:dyDescent="0.25">
      <c r="A29" s="110"/>
      <c r="B29" s="111"/>
      <c r="C29" s="111"/>
      <c r="D29" s="111"/>
      <c r="E29" s="111"/>
      <c r="F29" s="111"/>
      <c r="G29" s="112"/>
    </row>
    <row r="30" spans="1:7" s="75" customFormat="1" x14ac:dyDescent="0.25">
      <c r="A30" s="76" t="s">
        <v>18</v>
      </c>
      <c r="B30" s="77"/>
      <c r="C30" s="91"/>
      <c r="D30" s="16"/>
      <c r="E30" s="13"/>
      <c r="F30" s="16"/>
      <c r="G30" s="16"/>
    </row>
    <row r="31" spans="1:7" s="75" customFormat="1" x14ac:dyDescent="0.25">
      <c r="A31" s="13"/>
      <c r="B31" s="13"/>
      <c r="C31" s="13"/>
      <c r="D31" s="13"/>
      <c r="E31" s="13"/>
      <c r="F31" s="13"/>
      <c r="G31" s="13"/>
    </row>
    <row r="32" spans="1:7" s="75" customFormat="1" x14ac:dyDescent="0.25">
      <c r="A32" s="99" t="s">
        <v>16</v>
      </c>
      <c r="B32" s="100"/>
      <c r="C32" s="101"/>
      <c r="D32" s="17">
        <v>0</v>
      </c>
      <c r="E32" s="13"/>
      <c r="F32" s="13"/>
      <c r="G32" s="13"/>
    </row>
    <row r="33" spans="1:7" x14ac:dyDescent="0.25">
      <c r="A33" s="13"/>
      <c r="B33" s="13"/>
      <c r="C33" s="13"/>
      <c r="D33" s="13"/>
      <c r="E33" s="13"/>
      <c r="F33" s="13"/>
      <c r="G33" s="13"/>
    </row>
    <row r="34" spans="1:7" x14ac:dyDescent="0.25">
      <c r="A34" s="14" t="s">
        <v>17</v>
      </c>
      <c r="B34" s="13"/>
      <c r="C34" s="14" t="s">
        <v>13</v>
      </c>
      <c r="D34" s="13"/>
      <c r="E34" s="14" t="s">
        <v>14</v>
      </c>
      <c r="F34" s="13"/>
      <c r="G34" s="94" t="s">
        <v>19</v>
      </c>
    </row>
    <row r="35" spans="1:7" x14ac:dyDescent="0.25">
      <c r="A35" s="3"/>
      <c r="B35" s="3"/>
      <c r="C35" s="55"/>
      <c r="D35" s="3"/>
      <c r="E35" s="55"/>
      <c r="F35" s="3"/>
      <c r="G35"/>
    </row>
    <row r="36" spans="1:7" x14ac:dyDescent="0.25">
      <c r="A36" s="76" t="s">
        <v>20</v>
      </c>
      <c r="B36" s="77"/>
      <c r="C36" s="13"/>
      <c r="D36" s="13"/>
      <c r="E36" s="13"/>
      <c r="F36" s="13"/>
      <c r="G36" s="13"/>
    </row>
    <row r="37" spans="1:7" x14ac:dyDescent="0.25">
      <c r="A37" s="13"/>
      <c r="B37" s="13"/>
      <c r="C37" s="13"/>
      <c r="D37" s="13"/>
      <c r="E37" s="13"/>
      <c r="F37" s="13"/>
      <c r="G37" s="13"/>
    </row>
    <row r="38" spans="1:7" x14ac:dyDescent="0.25">
      <c r="A38" s="99" t="s">
        <v>61</v>
      </c>
      <c r="B38" s="100"/>
      <c r="C38" s="113" t="s">
        <v>81</v>
      </c>
      <c r="D38" s="113"/>
      <c r="E38" s="89"/>
      <c r="F38" s="13"/>
      <c r="G38" s="13"/>
    </row>
    <row r="39" spans="1:7" x14ac:dyDescent="0.25">
      <c r="A39" s="13"/>
      <c r="B39" s="13"/>
      <c r="C39" s="13"/>
      <c r="D39" s="13"/>
      <c r="E39" s="13"/>
      <c r="F39" s="13"/>
      <c r="G39" s="13"/>
    </row>
    <row r="40" spans="1:7" x14ac:dyDescent="0.25">
      <c r="A40" s="114" t="s">
        <v>101</v>
      </c>
      <c r="B40" s="114"/>
      <c r="C40" s="15">
        <v>2</v>
      </c>
      <c r="D40" s="13"/>
      <c r="E40" s="13" t="s">
        <v>96</v>
      </c>
      <c r="F40" s="13"/>
      <c r="G40" s="13"/>
    </row>
    <row r="41" spans="1:7" x14ac:dyDescent="0.25">
      <c r="A41" s="13"/>
      <c r="B41" s="13"/>
      <c r="C41" s="18"/>
      <c r="D41" s="13"/>
      <c r="E41" s="13" t="s">
        <v>95</v>
      </c>
      <c r="F41" s="13"/>
      <c r="G41" s="13"/>
    </row>
    <row r="42" spans="1:7" x14ac:dyDescent="0.25">
      <c r="A42" s="114" t="s">
        <v>102</v>
      </c>
      <c r="B42" s="114"/>
      <c r="C42" s="15">
        <v>2</v>
      </c>
      <c r="D42" s="13"/>
      <c r="E42" s="13" t="s">
        <v>97</v>
      </c>
      <c r="F42" s="13"/>
      <c r="G42" s="13"/>
    </row>
    <row r="43" spans="1:7" ht="15.75" customHeight="1" x14ac:dyDescent="0.25">
      <c r="A43" s="3"/>
      <c r="B43" s="3"/>
      <c r="C43" s="55"/>
      <c r="D43" s="3"/>
      <c r="E43" s="55" t="s">
        <v>98</v>
      </c>
      <c r="F43" s="13"/>
      <c r="G43" s="13"/>
    </row>
    <row r="44" spans="1:7" ht="21" hidden="1" customHeight="1" x14ac:dyDescent="0.25">
      <c r="A44" s="114" t="s">
        <v>103</v>
      </c>
      <c r="B44" s="114"/>
      <c r="C44" s="15">
        <v>2</v>
      </c>
      <c r="D44" s="13"/>
      <c r="F44" s="13"/>
      <c r="G44" s="13"/>
    </row>
    <row r="45" spans="1:7" ht="21" hidden="1" customHeight="1" x14ac:dyDescent="0.25">
      <c r="A45" s="3"/>
      <c r="B45" s="3"/>
      <c r="C45" s="55"/>
      <c r="D45" s="3"/>
      <c r="F45" s="3"/>
      <c r="G45"/>
    </row>
    <row r="46" spans="1:7" x14ac:dyDescent="0.25">
      <c r="A46" s="76" t="s">
        <v>83</v>
      </c>
      <c r="B46" s="13"/>
      <c r="C46" s="13"/>
      <c r="D46" s="13"/>
      <c r="E46" s="13"/>
      <c r="F46" s="13"/>
      <c r="G46" s="13"/>
    </row>
    <row r="47" spans="1:7" x14ac:dyDescent="0.25">
      <c r="B47" s="13"/>
      <c r="C47" s="13"/>
      <c r="D47" s="13"/>
      <c r="E47" s="13"/>
      <c r="F47" s="13"/>
      <c r="G47" s="13"/>
    </row>
    <row r="48" spans="1:7" x14ac:dyDescent="0.25">
      <c r="A48" s="99" t="s">
        <v>58</v>
      </c>
      <c r="B48" s="101"/>
      <c r="C48" s="15" t="s">
        <v>62</v>
      </c>
      <c r="G48" s="13"/>
    </row>
    <row r="50" spans="1:3" x14ac:dyDescent="0.25">
      <c r="A50" s="99" t="s">
        <v>64</v>
      </c>
      <c r="B50" s="101"/>
      <c r="C50" s="19">
        <v>0</v>
      </c>
    </row>
    <row r="52" spans="1:3" x14ac:dyDescent="0.25">
      <c r="A52" s="107" t="s">
        <v>84</v>
      </c>
      <c r="B52" s="108"/>
      <c r="C52" s="15" t="s">
        <v>85</v>
      </c>
    </row>
  </sheetData>
  <dataConsolidate/>
  <mergeCells count="18">
    <mergeCell ref="A52:B52"/>
    <mergeCell ref="D24:G24"/>
    <mergeCell ref="A26:C26"/>
    <mergeCell ref="A29:G29"/>
    <mergeCell ref="A32:C32"/>
    <mergeCell ref="A38:B38"/>
    <mergeCell ref="C38:D38"/>
    <mergeCell ref="A40:B40"/>
    <mergeCell ref="A42:B42"/>
    <mergeCell ref="A44:B44"/>
    <mergeCell ref="A48:B48"/>
    <mergeCell ref="A50:B50"/>
    <mergeCell ref="A14:C14"/>
    <mergeCell ref="A4:B4"/>
    <mergeCell ref="A6:B6"/>
    <mergeCell ref="A8:B8"/>
    <mergeCell ref="A9:G9"/>
    <mergeCell ref="E10:F10"/>
  </mergeCells>
  <dataValidations count="16">
    <dataValidation type="whole" operator="greaterThanOrEqual" allowBlank="1" showInputMessage="1" showErrorMessage="1" errorTitle="Ingreso de Contornos" error="Por lo menos debe ingresar 1 contorno." sqref="D14" xr:uid="{888B13D5-7C62-4D62-B32A-0F0E66A90DAC}">
      <formula1>1</formula1>
    </dataValidation>
    <dataValidation type="whole" allowBlank="1" showInputMessage="1" showErrorMessage="1" errorTitle="Error" error="El número de barras debe estar comprendido entre 1 y 500" sqref="D32" xr:uid="{1C69A999-CE3A-4017-B1ED-FD9DAB0A1249}">
      <formula1>0</formula1>
      <formula2>500</formula2>
    </dataValidation>
    <dataValidation type="decimal" operator="greaterThan" allowBlank="1" showInputMessage="1" showErrorMessage="1" errorTitle="Discretización" error="Los valores para ΔX, ΔY o Δθ deben ser siempre postiivos mayores a 0." sqref="C40 C42 C44" xr:uid="{7DBF28A9-B166-4381-8AF0-8C85D00AD3B5}">
      <formula1>0</formula1>
    </dataValidation>
    <dataValidation type="whole" allowBlank="1" showInputMessage="1" showErrorMessage="1" errorTitle="Error" error="El número de barras debe estar comprendido entre 0 y 500" sqref="D26" xr:uid="{32E18556-2EBD-4C42-8280-40866A1CA86F}">
      <formula1>0</formula1>
      <formula2>500</formula2>
    </dataValidation>
    <dataValidation type="whole" allowBlank="1" showInputMessage="1" showErrorMessage="1" errorTitle="Error" error="El número de nodos debe estar comprendido entre 3 y 500" sqref="G16" xr:uid="{805ED717-3B84-495C-89C1-AF1B6DF6F1E7}">
      <formula1>3</formula1>
      <formula2>500</formula2>
    </dataValidation>
    <dataValidation type="list" allowBlank="1" showInputMessage="1" showErrorMessage="1" sqref="C16" xr:uid="{35DDC1CD-BF34-4C90-A2F6-C825D6496EF9}">
      <formula1>"Positivo, Negativo"</formula1>
    </dataValidation>
    <dataValidation type="list" allowBlank="1" showInputMessage="1" showErrorMessage="1" sqref="E16" xr:uid="{B104D374-A4E9-4376-B0E6-1928237DFA30}">
      <formula1>"Poligonal, Circular"</formula1>
    </dataValidation>
    <dataValidation type="whole" allowBlank="1" showInputMessage="1" showErrorMessage="1" errorTitle="Error" error="El número de nodos debe estar comprendido entre 1 y 500" sqref="A19:A22" xr:uid="{B03588E7-D1EF-4A41-8B41-73785544C17B}">
      <formula1>1</formula1>
      <formula2>500</formula2>
    </dataValidation>
    <dataValidation type="list" allowBlank="1" showInputMessage="1" showErrorMessage="1" sqref="C52" xr:uid="{1A2E58FE-01FF-4C7E-B827-3DD1B91120F9}">
      <formula1>"Si, No"</formula1>
    </dataValidation>
    <dataValidation type="list" allowBlank="1" showInputMessage="1" showErrorMessage="1" sqref="E10:F10" xr:uid="{C320EF0D-7624-4824-AB3E-6C4AC657825E}">
      <formula1>"Estribos, Barras Zunchadas"</formula1>
    </dataValidation>
    <dataValidation type="list" allowBlank="1" showInputMessage="1" showErrorMessage="1" sqref="C38" xr:uid="{71ED5624-373A-4D50-AF28-BA6A70832770}">
      <formula1>"Extra Fina, Fina, Media, Gruesa, Muy Gruesa, Avanzada (Ingreso Manual)"</formula1>
    </dataValidation>
    <dataValidation type="list" allowBlank="1" showInputMessage="1" showErrorMessage="1" sqref="C48" xr:uid="{FF0B2CE4-AF34-4110-80C5-651FCFFF6FE9}">
      <formula1>"2D,3D, Verificación"</formula1>
    </dataValidation>
    <dataValidation type="list" allowBlank="1" showInputMessage="1" sqref="C4" xr:uid="{0229C449-F26A-4E09-8E8E-DE6E3C61D9B6}">
      <formula1>"20,25,30,35,40,45,50,55, 60, Otro(Ingresar en misma Celda)"</formula1>
    </dataValidation>
    <dataValidation type="whole" allowBlank="1" showInputMessage="1" showErrorMessage="1" errorTitle="Error" error="El número de barras debe estar comprendido entre 1 y 500" sqref="A29 A35" xr:uid="{8E583253-3782-41ED-A29E-11E6F199E8C1}">
      <formula1>1</formula1>
      <formula2>500</formula2>
    </dataValidation>
    <dataValidation type="list" allowBlank="1" showInputMessage="1" showErrorMessage="1" sqref="C8" xr:uid="{047151CC-E05E-43EF-8396-C11743173519}">
      <formula1>"Barras 1050, Trenzas C1650, Trenzas C1900, Provisto por Usuario"</formula1>
    </dataValidation>
    <dataValidation type="decimal" allowBlank="1" showInputMessage="1" showErrorMessage="1" errorTitle="ERROR" error="El ángulo de inclinación del plano de carga debe estar comprendido entre -90º y 90º" sqref="C50" xr:uid="{CB7FD1BF-F94F-4C64-9F5E-479CC496D9B6}">
      <formula1>-90</formula1>
      <formula2>90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Sheet1.RunPyExe_Click">
                <anchor moveWithCells="1" sizeWithCells="1">
                  <from>
                    <xdr:col>3</xdr:col>
                    <xdr:colOff>9525</xdr:colOff>
                    <xdr:row>53</xdr:row>
                    <xdr:rowOff>57150</xdr:rowOff>
                  </from>
                  <to>
                    <xdr:col>6</xdr:col>
                    <xdr:colOff>352425</xdr:colOff>
                    <xdr:row>56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Sheet1.CopyBackupSheet">
                <anchor moveWithCells="1" sizeWithCells="1">
                  <from>
                    <xdr:col>3</xdr:col>
                    <xdr:colOff>542925</xdr:colOff>
                    <xdr:row>1</xdr:row>
                    <xdr:rowOff>285750</xdr:rowOff>
                  </from>
                  <to>
                    <xdr:col>6</xdr:col>
                    <xdr:colOff>771525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29677D-82E8-4C2E-8FB8-F62653BF46B0}">
          <x14:formula1>
            <xm:f>'Armaduras Pasivas'!$B$2:$E$2</xm:f>
          </x14:formula1>
          <xm:sqref>C6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498D8-AF7A-4267-AD9C-149E73B08CE5}">
  <sheetPr codeName="Hoja4"/>
  <dimension ref="A1:O639"/>
  <sheetViews>
    <sheetView showGridLines="0" zoomScale="160" zoomScaleNormal="160" workbookViewId="0">
      <selection activeCell="P31" sqref="P31"/>
    </sheetView>
  </sheetViews>
  <sheetFormatPr defaultColWidth="10.85546875" defaultRowHeight="15" x14ac:dyDescent="0.25"/>
  <cols>
    <col min="3" max="4" width="10.85546875" style="87"/>
    <col min="9" max="11" width="10.85546875" style="88"/>
  </cols>
  <sheetData>
    <row r="1" spans="1:15" ht="15" customHeight="1" x14ac:dyDescent="0.25">
      <c r="A1" s="121" t="s">
        <v>86</v>
      </c>
      <c r="B1" s="121"/>
      <c r="C1" s="121"/>
      <c r="D1" s="121"/>
      <c r="E1" s="121"/>
      <c r="F1" s="121"/>
      <c r="G1" s="122">
        <f>'Ingreso de Datos'!C165</f>
        <v>0</v>
      </c>
      <c r="I1" s="119" t="s">
        <v>87</v>
      </c>
      <c r="J1" s="119" t="s">
        <v>88</v>
      </c>
      <c r="K1" s="119" t="s">
        <v>93</v>
      </c>
      <c r="L1" s="115"/>
      <c r="M1" s="115"/>
      <c r="N1" s="115"/>
      <c r="O1" s="115"/>
    </row>
    <row r="2" spans="1:15" ht="15.75" thickBot="1" x14ac:dyDescent="0.3">
      <c r="A2" s="121"/>
      <c r="B2" s="121"/>
      <c r="C2" s="121"/>
      <c r="D2" s="121"/>
      <c r="E2" s="121"/>
      <c r="F2" s="121"/>
      <c r="G2" s="122"/>
      <c r="I2" s="120"/>
      <c r="J2" s="120"/>
      <c r="K2" s="120"/>
      <c r="L2" s="115"/>
      <c r="M2" s="115"/>
      <c r="N2" s="115"/>
      <c r="O2" s="115"/>
    </row>
    <row r="3" spans="1:15" x14ac:dyDescent="0.25">
      <c r="C3"/>
      <c r="D3"/>
      <c r="I3">
        <v>15818.297815556516</v>
      </c>
      <c r="J3">
        <v>-23372.485310240558</v>
      </c>
      <c r="K3">
        <v>0.65</v>
      </c>
      <c r="L3" s="115"/>
      <c r="M3" s="115"/>
      <c r="N3" s="115"/>
      <c r="O3" s="115"/>
    </row>
    <row r="4" spans="1:15" x14ac:dyDescent="0.25">
      <c r="C4"/>
      <c r="D4"/>
      <c r="I4">
        <v>15797.070002907811</v>
      </c>
      <c r="J4">
        <v>-24752.530972146313</v>
      </c>
      <c r="K4">
        <v>0.65</v>
      </c>
      <c r="L4" s="115"/>
      <c r="M4" s="115"/>
      <c r="N4" s="115"/>
      <c r="O4" s="115"/>
    </row>
    <row r="5" spans="1:15" x14ac:dyDescent="0.25">
      <c r="C5"/>
      <c r="D5"/>
      <c r="I5">
        <v>15808.956265763838</v>
      </c>
      <c r="J5">
        <v>-23979.718456269453</v>
      </c>
      <c r="K5">
        <v>0.65</v>
      </c>
      <c r="L5" s="115"/>
      <c r="M5" s="115"/>
      <c r="N5" s="115"/>
      <c r="O5" s="115"/>
    </row>
    <row r="6" spans="1:15" x14ac:dyDescent="0.25">
      <c r="C6"/>
      <c r="D6"/>
      <c r="I6">
        <v>15802.253145027826</v>
      </c>
      <c r="J6">
        <v>-24415.508851387363</v>
      </c>
      <c r="K6">
        <v>0.65</v>
      </c>
      <c r="L6" s="115"/>
      <c r="M6" s="115"/>
      <c r="N6" s="115"/>
      <c r="O6" s="115"/>
    </row>
    <row r="7" spans="1:15" x14ac:dyDescent="0.25">
      <c r="C7"/>
      <c r="D7"/>
      <c r="I7">
        <v>15763.604112277319</v>
      </c>
      <c r="J7">
        <v>-26928.278646909799</v>
      </c>
      <c r="K7">
        <v>0.65</v>
      </c>
      <c r="L7" s="115"/>
      <c r="M7" s="115"/>
      <c r="N7" s="115"/>
      <c r="O7" s="115"/>
    </row>
    <row r="8" spans="1:15" x14ac:dyDescent="0.25">
      <c r="C8"/>
      <c r="D8"/>
      <c r="I8">
        <v>15750.752347269652</v>
      </c>
      <c r="J8">
        <v>-27763.837236147621</v>
      </c>
      <c r="K8">
        <v>0.65</v>
      </c>
      <c r="L8" s="115"/>
      <c r="M8" s="115"/>
      <c r="N8" s="115"/>
      <c r="O8" s="115"/>
    </row>
    <row r="9" spans="1:15" x14ac:dyDescent="0.25">
      <c r="C9"/>
      <c r="D9"/>
      <c r="I9">
        <v>15716.533488958399</v>
      </c>
      <c r="J9">
        <v>-30028.744857400397</v>
      </c>
      <c r="K9">
        <v>0.65</v>
      </c>
    </row>
    <row r="10" spans="1:15" x14ac:dyDescent="0.25">
      <c r="C10"/>
      <c r="D10"/>
      <c r="I10">
        <v>15673.385283244384</v>
      </c>
      <c r="J10">
        <v>-32859.386015584292</v>
      </c>
      <c r="K10">
        <v>0.65</v>
      </c>
    </row>
    <row r="11" spans="1:15" x14ac:dyDescent="0.25">
      <c r="C11"/>
      <c r="D11"/>
      <c r="I11">
        <v>15629.89023768191</v>
      </c>
      <c r="J11">
        <v>-35661.340928975922</v>
      </c>
      <c r="K11">
        <v>0.65</v>
      </c>
    </row>
    <row r="12" spans="1:15" x14ac:dyDescent="0.25">
      <c r="C12"/>
      <c r="D12"/>
      <c r="I12">
        <v>15582.82023435512</v>
      </c>
      <c r="J12">
        <v>-38628.799717380069</v>
      </c>
      <c r="K12">
        <v>0.65</v>
      </c>
    </row>
    <row r="13" spans="1:15" x14ac:dyDescent="0.25">
      <c r="C13"/>
      <c r="D13"/>
      <c r="I13">
        <v>15535.482357671397</v>
      </c>
      <c r="J13">
        <v>-41577.355482425999</v>
      </c>
      <c r="K13">
        <v>0.65</v>
      </c>
    </row>
    <row r="14" spans="1:15" x14ac:dyDescent="0.25">
      <c r="C14"/>
      <c r="D14"/>
      <c r="I14">
        <v>15486.021347249289</v>
      </c>
      <c r="J14">
        <v>-44610.956234562676</v>
      </c>
      <c r="K14">
        <v>0.65</v>
      </c>
    </row>
    <row r="15" spans="1:15" x14ac:dyDescent="0.25">
      <c r="C15"/>
      <c r="D15"/>
      <c r="I15">
        <v>15435.078844768314</v>
      </c>
      <c r="J15">
        <v>-47657.942675080638</v>
      </c>
      <c r="K15">
        <v>0.65</v>
      </c>
    </row>
    <row r="16" spans="1:15" x14ac:dyDescent="0.25">
      <c r="C16"/>
      <c r="D16"/>
      <c r="I16">
        <v>15384.169123652344</v>
      </c>
      <c r="J16">
        <v>-50699.767420413227</v>
      </c>
      <c r="K16">
        <v>0.65</v>
      </c>
    </row>
    <row r="17" spans="1:11" x14ac:dyDescent="0.25">
      <c r="C17"/>
      <c r="D17"/>
      <c r="I17">
        <v>15332.379714863584</v>
      </c>
      <c r="J17">
        <v>-53769.589756695408</v>
      </c>
      <c r="K17">
        <v>0.65</v>
      </c>
    </row>
    <row r="18" spans="1:11" x14ac:dyDescent="0.25">
      <c r="C18"/>
      <c r="D18"/>
      <c r="I18">
        <v>15279.313421066772</v>
      </c>
      <c r="J18">
        <v>-56848.178935229815</v>
      </c>
      <c r="K18">
        <v>0.65</v>
      </c>
    </row>
    <row r="19" spans="1:11" x14ac:dyDescent="0.25">
      <c r="C19"/>
      <c r="D19"/>
      <c r="I19">
        <v>15225.508957919505</v>
      </c>
      <c r="J19">
        <v>-59925.601682638226</v>
      </c>
      <c r="K19">
        <v>0.65</v>
      </c>
    </row>
    <row r="20" spans="1:11" x14ac:dyDescent="0.25">
      <c r="C20"/>
      <c r="D20"/>
      <c r="I20">
        <v>15171.718638189293</v>
      </c>
      <c r="J20">
        <v>-63002.028983357959</v>
      </c>
      <c r="K20">
        <v>0.65</v>
      </c>
    </row>
    <row r="21" spans="1:11" x14ac:dyDescent="0.25">
      <c r="C21"/>
      <c r="D21"/>
      <c r="I21">
        <v>15117.937029208608</v>
      </c>
      <c r="J21">
        <v>-66077.878296008828</v>
      </c>
      <c r="K21">
        <v>0.65</v>
      </c>
    </row>
    <row r="22" spans="1:11" x14ac:dyDescent="0.25">
      <c r="C22"/>
      <c r="D22"/>
      <c r="I22">
        <v>15063.960727837275</v>
      </c>
      <c r="J22">
        <v>-69160.987793745342</v>
      </c>
      <c r="K22">
        <v>0.65</v>
      </c>
    </row>
    <row r="23" spans="1:11" x14ac:dyDescent="0.25">
      <c r="C23"/>
      <c r="D23"/>
      <c r="I23">
        <v>15009.060762405396</v>
      </c>
      <c r="J23">
        <v>-72238.593960991231</v>
      </c>
      <c r="K23">
        <v>0.65</v>
      </c>
    </row>
    <row r="24" spans="1:11" x14ac:dyDescent="0.25">
      <c r="C24"/>
      <c r="D24"/>
      <c r="I24">
        <v>14953.807117096678</v>
      </c>
      <c r="J24">
        <v>-75317.725331475987</v>
      </c>
      <c r="K24">
        <v>0.65</v>
      </c>
    </row>
    <row r="25" spans="1:11" x14ac:dyDescent="0.25">
      <c r="C25"/>
      <c r="D25"/>
      <c r="I25">
        <v>14950.07798647754</v>
      </c>
      <c r="J25">
        <v>-75522.308342576594</v>
      </c>
      <c r="K25">
        <v>0.65</v>
      </c>
    </row>
    <row r="26" spans="1:11" x14ac:dyDescent="0.25">
      <c r="C26"/>
      <c r="D26"/>
      <c r="I26">
        <v>14946.345505007424</v>
      </c>
      <c r="J26">
        <v>-75727.218582315487</v>
      </c>
      <c r="K26">
        <v>0.65</v>
      </c>
    </row>
    <row r="27" spans="1:11" x14ac:dyDescent="0.25">
      <c r="C27"/>
      <c r="D27"/>
      <c r="I27">
        <v>14942.619832300596</v>
      </c>
      <c r="J27">
        <v>-75931.469684729018</v>
      </c>
      <c r="K27">
        <v>0.65</v>
      </c>
    </row>
    <row r="28" spans="1:11" x14ac:dyDescent="0.25">
      <c r="C28"/>
      <c r="D28"/>
      <c r="I28">
        <v>14938.887481246518</v>
      </c>
      <c r="J28">
        <v>-76136.371118016992</v>
      </c>
      <c r="K28">
        <v>0.65</v>
      </c>
    </row>
    <row r="29" spans="1:11" x14ac:dyDescent="0.25">
      <c r="C29"/>
      <c r="D29"/>
      <c r="I29">
        <v>14935.158529146642</v>
      </c>
      <c r="J29">
        <v>-76340.944499160905</v>
      </c>
      <c r="K29">
        <v>0.65</v>
      </c>
    </row>
    <row r="30" spans="1:11" x14ac:dyDescent="0.25">
      <c r="C30"/>
      <c r="D30"/>
      <c r="I30">
        <v>14931.426331646422</v>
      </c>
      <c r="J30">
        <v>-76545.834953729369</v>
      </c>
      <c r="K30">
        <v>0.65</v>
      </c>
    </row>
    <row r="31" spans="1:11" x14ac:dyDescent="0.25">
      <c r="A31" s="116" t="s">
        <v>89</v>
      </c>
      <c r="B31" s="116"/>
      <c r="C31" s="117" t="s">
        <v>90</v>
      </c>
      <c r="D31" s="117" t="s">
        <v>91</v>
      </c>
      <c r="I31">
        <v>14927.700745779994</v>
      </c>
      <c r="J31">
        <v>-76750.085451652922</v>
      </c>
      <c r="K31">
        <v>0.65</v>
      </c>
    </row>
    <row r="32" spans="1:11" x14ac:dyDescent="0.25">
      <c r="A32" s="116"/>
      <c r="B32" s="116"/>
      <c r="C32" s="117"/>
      <c r="D32" s="117"/>
      <c r="E32" s="118" t="s">
        <v>92</v>
      </c>
      <c r="F32" s="118"/>
      <c r="G32" s="118"/>
      <c r="I32">
        <v>14592.294709123917</v>
      </c>
      <c r="J32">
        <v>-100844.86464607622</v>
      </c>
      <c r="K32">
        <v>0.65</v>
      </c>
    </row>
    <row r="33" spans="3:11" x14ac:dyDescent="0.25">
      <c r="C33" s="86"/>
      <c r="D33" s="86"/>
      <c r="E33" s="118"/>
      <c r="F33" s="118"/>
      <c r="G33" s="118"/>
      <c r="I33">
        <v>14584.037881034052</v>
      </c>
      <c r="J33">
        <v>-101373.80638308657</v>
      </c>
      <c r="K33">
        <v>0.65</v>
      </c>
    </row>
    <row r="34" spans="3:11" x14ac:dyDescent="0.25">
      <c r="C34" s="86"/>
      <c r="D34" s="86"/>
      <c r="E34" s="118"/>
      <c r="F34" s="118"/>
      <c r="G34" s="118"/>
      <c r="I34">
        <v>14580.306712923366</v>
      </c>
      <c r="J34">
        <v>-101578.60510554501</v>
      </c>
      <c r="K34">
        <v>0.65</v>
      </c>
    </row>
    <row r="35" spans="3:11" x14ac:dyDescent="0.25">
      <c r="C35" s="86"/>
      <c r="D35" s="86"/>
      <c r="E35" s="118"/>
      <c r="F35" s="118"/>
      <c r="G35" s="118"/>
      <c r="I35">
        <v>14576.575639496114</v>
      </c>
      <c r="J35">
        <v>-101783.39669929331</v>
      </c>
      <c r="K35">
        <v>0.65</v>
      </c>
    </row>
    <row r="36" spans="3:11" x14ac:dyDescent="0.25">
      <c r="C36" s="86"/>
      <c r="D36" s="86"/>
      <c r="E36" s="118"/>
      <c r="F36" s="118"/>
      <c r="G36" s="118"/>
      <c r="I36">
        <v>14572.850371918699</v>
      </c>
      <c r="J36">
        <v>-101987.62665275495</v>
      </c>
      <c r="K36">
        <v>0.65</v>
      </c>
    </row>
    <row r="37" spans="3:11" x14ac:dyDescent="0.25">
      <c r="C37" s="86"/>
      <c r="D37" s="86"/>
      <c r="I37">
        <v>14569.119437412774</v>
      </c>
      <c r="J37">
        <v>-102192.40893377506</v>
      </c>
      <c r="K37">
        <v>0.65</v>
      </c>
    </row>
    <row r="38" spans="3:11" x14ac:dyDescent="0.25">
      <c r="C38" s="86"/>
      <c r="D38" s="86"/>
      <c r="I38">
        <v>14565.391466965981</v>
      </c>
      <c r="J38">
        <v>-102396.90553060301</v>
      </c>
      <c r="K38">
        <v>0.65</v>
      </c>
    </row>
    <row r="39" spans="3:11" x14ac:dyDescent="0.25">
      <c r="C39" s="86"/>
      <c r="D39" s="86"/>
      <c r="I39">
        <v>14220.311201524122</v>
      </c>
      <c r="J39">
        <v>-126504.26486505861</v>
      </c>
      <c r="K39">
        <v>0.65</v>
      </c>
    </row>
    <row r="40" spans="3:11" x14ac:dyDescent="0.25">
      <c r="C40" s="86"/>
      <c r="D40" s="86"/>
      <c r="I40">
        <v>14216.58067265108</v>
      </c>
      <c r="J40">
        <v>-126709.01433488882</v>
      </c>
      <c r="K40">
        <v>0.65</v>
      </c>
    </row>
    <row r="41" spans="3:11" x14ac:dyDescent="0.25">
      <c r="C41" s="86"/>
      <c r="D41" s="86"/>
      <c r="I41">
        <v>14212.855656560334</v>
      </c>
      <c r="J41">
        <v>-126913.23069427295</v>
      </c>
      <c r="K41">
        <v>0.65</v>
      </c>
    </row>
    <row r="42" spans="3:11" x14ac:dyDescent="0.25">
      <c r="C42" s="86"/>
      <c r="D42" s="86"/>
      <c r="I42">
        <v>14209.125676997384</v>
      </c>
      <c r="J42">
        <v>-127117.93119137979</v>
      </c>
      <c r="K42">
        <v>0.65</v>
      </c>
    </row>
    <row r="43" spans="3:11" x14ac:dyDescent="0.25">
      <c r="C43" s="86"/>
      <c r="D43" s="86"/>
      <c r="I43">
        <v>14205.3979553433</v>
      </c>
      <c r="J43">
        <v>-127322.4146561096</v>
      </c>
      <c r="K43">
        <v>0.65</v>
      </c>
    </row>
    <row r="44" spans="3:11" x14ac:dyDescent="0.25">
      <c r="C44" s="86"/>
      <c r="D44" s="86"/>
      <c r="I44">
        <v>14201.66819473653</v>
      </c>
      <c r="J44">
        <v>-127527.09833663081</v>
      </c>
      <c r="K44">
        <v>0.65</v>
      </c>
    </row>
    <row r="45" spans="3:11" x14ac:dyDescent="0.25">
      <c r="C45" s="86"/>
      <c r="D45" s="86"/>
      <c r="I45">
        <v>13853.062661718137</v>
      </c>
      <c r="J45">
        <v>-151194.54003649013</v>
      </c>
      <c r="K45">
        <v>0.65</v>
      </c>
    </row>
    <row r="46" spans="3:11" x14ac:dyDescent="0.25">
      <c r="C46" s="86"/>
      <c r="D46" s="86"/>
      <c r="I46">
        <v>13849.399545946617</v>
      </c>
      <c r="J46">
        <v>-151392.75684097598</v>
      </c>
      <c r="K46">
        <v>0.65</v>
      </c>
    </row>
    <row r="47" spans="3:11" x14ac:dyDescent="0.25">
      <c r="C47" s="86"/>
      <c r="D47" s="86"/>
      <c r="I47">
        <v>13843.988705567503</v>
      </c>
      <c r="J47">
        <v>-151710.82484368322</v>
      </c>
      <c r="K47">
        <v>0.65</v>
      </c>
    </row>
    <row r="48" spans="3:11" x14ac:dyDescent="0.25">
      <c r="C48" s="86"/>
      <c r="D48" s="86"/>
      <c r="I48">
        <v>13840.259772625688</v>
      </c>
      <c r="J48">
        <v>-151915.43745408888</v>
      </c>
      <c r="K48">
        <v>0.65</v>
      </c>
    </row>
    <row r="49" spans="3:11" x14ac:dyDescent="0.25">
      <c r="C49" s="86"/>
      <c r="D49" s="86"/>
      <c r="I49">
        <v>13836.532399275658</v>
      </c>
      <c r="J49">
        <v>-152119.90094843865</v>
      </c>
      <c r="K49">
        <v>0.65</v>
      </c>
    </row>
    <row r="50" spans="3:11" x14ac:dyDescent="0.25">
      <c r="C50" s="86"/>
      <c r="D50" s="86"/>
      <c r="I50">
        <v>13832.804092646342</v>
      </c>
      <c r="J50">
        <v>-152324.45742098885</v>
      </c>
      <c r="K50">
        <v>0.65</v>
      </c>
    </row>
    <row r="51" spans="3:11" x14ac:dyDescent="0.25">
      <c r="I51">
        <v>13829.075858634802</v>
      </c>
      <c r="J51">
        <v>-152529.00921305508</v>
      </c>
      <c r="K51">
        <v>0.65</v>
      </c>
    </row>
    <row r="52" spans="3:11" x14ac:dyDescent="0.25">
      <c r="I52">
        <v>13786.328774890031</v>
      </c>
      <c r="J52">
        <v>-155298.00088174004</v>
      </c>
      <c r="K52">
        <v>0.65</v>
      </c>
    </row>
    <row r="53" spans="3:11" x14ac:dyDescent="0.25">
      <c r="I53">
        <v>13554.019472988417</v>
      </c>
      <c r="J53">
        <v>-170608.89910714704</v>
      </c>
      <c r="K53">
        <v>0.65</v>
      </c>
    </row>
    <row r="54" spans="3:11" x14ac:dyDescent="0.25">
      <c r="I54">
        <v>13467.19498663302</v>
      </c>
      <c r="J54">
        <v>-176268.09461432643</v>
      </c>
      <c r="K54">
        <v>0.65</v>
      </c>
    </row>
    <row r="55" spans="3:11" x14ac:dyDescent="0.25">
      <c r="I55">
        <v>13463.807960800912</v>
      </c>
      <c r="J55">
        <v>-176439.5509551334</v>
      </c>
      <c r="K55">
        <v>0.65</v>
      </c>
    </row>
    <row r="56" spans="3:11" x14ac:dyDescent="0.25">
      <c r="I56">
        <v>13459.928118945914</v>
      </c>
      <c r="J56">
        <v>-176658.82090845675</v>
      </c>
      <c r="K56">
        <v>0.65</v>
      </c>
    </row>
    <row r="57" spans="3:11" x14ac:dyDescent="0.25">
      <c r="I57">
        <v>11387.618274853716</v>
      </c>
      <c r="J57">
        <v>157517.81916621423</v>
      </c>
      <c r="K57">
        <v>0.65</v>
      </c>
    </row>
    <row r="58" spans="3:11" x14ac:dyDescent="0.25">
      <c r="I58">
        <v>13453.01319600165</v>
      </c>
      <c r="J58">
        <v>-177015.42210969527</v>
      </c>
      <c r="K58">
        <v>0.65</v>
      </c>
    </row>
    <row r="59" spans="3:11" x14ac:dyDescent="0.25">
      <c r="I59">
        <v>13448.222159362513</v>
      </c>
      <c r="J59">
        <v>-177323.1081860665</v>
      </c>
      <c r="K59">
        <v>0.65</v>
      </c>
    </row>
    <row r="60" spans="3:11" x14ac:dyDescent="0.25">
      <c r="I60">
        <v>12703.25490827168</v>
      </c>
      <c r="J60">
        <v>-224038.42935729434</v>
      </c>
      <c r="K60">
        <v>0.65</v>
      </c>
    </row>
    <row r="61" spans="3:11" x14ac:dyDescent="0.25">
      <c r="I61">
        <v>12695.842219728651</v>
      </c>
      <c r="J61">
        <v>-224467.55655119696</v>
      </c>
      <c r="K61">
        <v>0.65</v>
      </c>
    </row>
    <row r="62" spans="3:11" x14ac:dyDescent="0.25">
      <c r="I62">
        <v>12692.136269108365</v>
      </c>
      <c r="J62">
        <v>-224669.99012926919</v>
      </c>
      <c r="K62">
        <v>0.65</v>
      </c>
    </row>
    <row r="63" spans="3:11" x14ac:dyDescent="0.25">
      <c r="I63">
        <v>12688.411448672303</v>
      </c>
      <c r="J63">
        <v>-224874.25935218803</v>
      </c>
      <c r="K63">
        <v>0.65</v>
      </c>
    </row>
    <row r="64" spans="3:11" x14ac:dyDescent="0.25">
      <c r="I64">
        <v>12684.689428314683</v>
      </c>
      <c r="J64">
        <v>-225078.25938851023</v>
      </c>
      <c r="K64">
        <v>0.65</v>
      </c>
    </row>
    <row r="65" spans="9:11" x14ac:dyDescent="0.25">
      <c r="I65">
        <v>12680.966092802626</v>
      </c>
      <c r="J65">
        <v>-225282.38999369359</v>
      </c>
      <c r="K65">
        <v>0.65</v>
      </c>
    </row>
    <row r="66" spans="9:11" x14ac:dyDescent="0.25">
      <c r="I66">
        <v>12677.243360278098</v>
      </c>
      <c r="J66">
        <v>-225486.46487059735</v>
      </c>
      <c r="K66">
        <v>0.65</v>
      </c>
    </row>
    <row r="67" spans="9:11" x14ac:dyDescent="0.25">
      <c r="I67">
        <v>12673.520635496419</v>
      </c>
      <c r="J67">
        <v>-225690.5418630096</v>
      </c>
      <c r="K67">
        <v>0.65</v>
      </c>
    </row>
    <row r="68" spans="9:11" x14ac:dyDescent="0.25">
      <c r="I68">
        <v>12311.755675151251</v>
      </c>
      <c r="J68">
        <v>-247383.3922816327</v>
      </c>
      <c r="K68">
        <v>0.65</v>
      </c>
    </row>
    <row r="69" spans="9:11" x14ac:dyDescent="0.25">
      <c r="I69">
        <v>12299.271842781716</v>
      </c>
      <c r="J69">
        <v>-248106.55566011759</v>
      </c>
      <c r="K69">
        <v>0.65</v>
      </c>
    </row>
    <row r="70" spans="9:11" x14ac:dyDescent="0.25">
      <c r="I70">
        <v>12295.550522110656</v>
      </c>
      <c r="J70">
        <v>-248310.50477814936</v>
      </c>
      <c r="K70">
        <v>0.65</v>
      </c>
    </row>
    <row r="71" spans="9:11" x14ac:dyDescent="0.25">
      <c r="I71">
        <v>12291.825253744853</v>
      </c>
      <c r="J71">
        <v>-248514.84036096893</v>
      </c>
      <c r="K71">
        <v>0.65</v>
      </c>
    </row>
    <row r="72" spans="9:11" x14ac:dyDescent="0.25">
      <c r="I72">
        <v>12288.102879350887</v>
      </c>
      <c r="J72">
        <v>-248718.89779548667</v>
      </c>
      <c r="K72">
        <v>0.65</v>
      </c>
    </row>
    <row r="73" spans="9:11" x14ac:dyDescent="0.25">
      <c r="I73">
        <v>12284.38168600945</v>
      </c>
      <c r="J73">
        <v>-248922.84350272699</v>
      </c>
      <c r="K73">
        <v>0.65</v>
      </c>
    </row>
    <row r="74" spans="9:11" x14ac:dyDescent="0.25">
      <c r="I74">
        <v>12147.816767154991</v>
      </c>
      <c r="J74">
        <v>-256909.57660160435</v>
      </c>
      <c r="K74">
        <v>0.65</v>
      </c>
    </row>
    <row r="75" spans="9:11" x14ac:dyDescent="0.25">
      <c r="I75">
        <v>12144.394378173503</v>
      </c>
      <c r="J75">
        <v>-257084.49652582555</v>
      </c>
      <c r="K75">
        <v>0.65</v>
      </c>
    </row>
    <row r="76" spans="9:11" x14ac:dyDescent="0.25">
      <c r="I76">
        <v>12031.854858596831</v>
      </c>
      <c r="J76">
        <v>-263588.48113816552</v>
      </c>
      <c r="K76">
        <v>0.65</v>
      </c>
    </row>
    <row r="77" spans="9:11" x14ac:dyDescent="0.25">
      <c r="I77">
        <v>12028.133547222771</v>
      </c>
      <c r="J77">
        <v>-263792.45357997942</v>
      </c>
      <c r="K77">
        <v>0.65</v>
      </c>
    </row>
    <row r="78" spans="9:11" x14ac:dyDescent="0.25">
      <c r="I78">
        <v>12023.282862653834</v>
      </c>
      <c r="J78">
        <v>-264062.12440535409</v>
      </c>
      <c r="K78">
        <v>0.65</v>
      </c>
    </row>
    <row r="79" spans="9:11" x14ac:dyDescent="0.25">
      <c r="I79">
        <v>12019.564749229841</v>
      </c>
      <c r="J79">
        <v>-264265.79251170106</v>
      </c>
      <c r="K79">
        <v>0.65</v>
      </c>
    </row>
    <row r="80" spans="9:11" x14ac:dyDescent="0.25">
      <c r="I80">
        <v>12015.843669848648</v>
      </c>
      <c r="J80">
        <v>-264469.75200388778</v>
      </c>
      <c r="K80">
        <v>0.65</v>
      </c>
    </row>
    <row r="81" spans="9:11" x14ac:dyDescent="0.25">
      <c r="I81">
        <v>12012.122126247283</v>
      </c>
      <c r="J81">
        <v>-264673.75984155358</v>
      </c>
      <c r="K81">
        <v>0.65</v>
      </c>
    </row>
    <row r="82" spans="9:11" x14ac:dyDescent="0.25">
      <c r="I82">
        <v>12008.401667391707</v>
      </c>
      <c r="J82">
        <v>-264877.66554529942</v>
      </c>
      <c r="K82">
        <v>0.65</v>
      </c>
    </row>
    <row r="83" spans="9:11" x14ac:dyDescent="0.25">
      <c r="I83">
        <v>12004.432601749169</v>
      </c>
      <c r="J83">
        <v>-265105.73304190353</v>
      </c>
      <c r="K83">
        <v>0.65</v>
      </c>
    </row>
    <row r="84" spans="9:11" x14ac:dyDescent="0.25">
      <c r="I84">
        <v>11899.870014315402</v>
      </c>
      <c r="J84">
        <v>-270955.84559724055</v>
      </c>
      <c r="K84">
        <v>0.65</v>
      </c>
    </row>
    <row r="85" spans="9:11" x14ac:dyDescent="0.25">
      <c r="I85">
        <v>11890.38165863356</v>
      </c>
      <c r="J85">
        <v>-271474.44712834188</v>
      </c>
      <c r="K85">
        <v>0.65</v>
      </c>
    </row>
    <row r="86" spans="9:11" x14ac:dyDescent="0.25">
      <c r="I86">
        <v>11886.661273849615</v>
      </c>
      <c r="J86">
        <v>-271678.35893075139</v>
      </c>
      <c r="K86">
        <v>0.65</v>
      </c>
    </row>
    <row r="87" spans="9:11" x14ac:dyDescent="0.25">
      <c r="I87">
        <v>11882.938509452018</v>
      </c>
      <c r="J87">
        <v>-271882.50537489267</v>
      </c>
      <c r="K87">
        <v>0.65</v>
      </c>
    </row>
    <row r="88" spans="9:11" x14ac:dyDescent="0.25">
      <c r="I88">
        <v>11879.218286916035</v>
      </c>
      <c r="J88">
        <v>-272086.40824195696</v>
      </c>
      <c r="K88">
        <v>0.65</v>
      </c>
    </row>
    <row r="89" spans="9:11" x14ac:dyDescent="0.25">
      <c r="I89">
        <v>11875.498277758903</v>
      </c>
      <c r="J89">
        <v>-272290.29382778297</v>
      </c>
      <c r="K89">
        <v>0.65</v>
      </c>
    </row>
    <row r="90" spans="9:11" x14ac:dyDescent="0.25">
      <c r="I90">
        <v>11871.778330641911</v>
      </c>
      <c r="J90">
        <v>-272494.17686675646</v>
      </c>
      <c r="K90">
        <v>0.65</v>
      </c>
    </row>
    <row r="91" spans="9:11" x14ac:dyDescent="0.25">
      <c r="I91">
        <v>11866.264011471292</v>
      </c>
      <c r="J91">
        <v>-272809.2740298757</v>
      </c>
      <c r="K91">
        <v>0.65</v>
      </c>
    </row>
    <row r="92" spans="9:11" x14ac:dyDescent="0.25">
      <c r="I92">
        <v>11598.57321021964</v>
      </c>
      <c r="J92">
        <v>-287084.00672706682</v>
      </c>
      <c r="K92">
        <v>0.65</v>
      </c>
    </row>
    <row r="93" spans="9:11" x14ac:dyDescent="0.25">
      <c r="I93">
        <v>11166.469844332605</v>
      </c>
      <c r="J93">
        <v>-308585.9083134291</v>
      </c>
      <c r="K93">
        <v>0.65</v>
      </c>
    </row>
    <row r="94" spans="9:11" x14ac:dyDescent="0.25">
      <c r="I94">
        <v>11003.050162161522</v>
      </c>
      <c r="J94">
        <v>-316336.75861213583</v>
      </c>
      <c r="K94">
        <v>0.65</v>
      </c>
    </row>
    <row r="95" spans="9:11" x14ac:dyDescent="0.25">
      <c r="I95">
        <v>10740.13676871602</v>
      </c>
      <c r="J95">
        <v>-327876.76214439661</v>
      </c>
      <c r="K95">
        <v>0.65</v>
      </c>
    </row>
    <row r="96" spans="9:11" x14ac:dyDescent="0.25">
      <c r="I96">
        <v>10570.213533738975</v>
      </c>
      <c r="J96">
        <v>-335215.14385109965</v>
      </c>
      <c r="K96">
        <v>0.65</v>
      </c>
    </row>
    <row r="97" spans="9:11" x14ac:dyDescent="0.25">
      <c r="I97">
        <v>10406.403737053739</v>
      </c>
      <c r="J97">
        <v>-342108.53514655982</v>
      </c>
      <c r="K97">
        <v>0.65</v>
      </c>
    </row>
    <row r="98" spans="9:11" x14ac:dyDescent="0.25">
      <c r="I98">
        <v>10242.58491561916</v>
      </c>
      <c r="J98">
        <v>-348759.0006773863</v>
      </c>
      <c r="K98">
        <v>0.65</v>
      </c>
    </row>
    <row r="99" spans="9:11" x14ac:dyDescent="0.25">
      <c r="I99">
        <v>10078.832219470283</v>
      </c>
      <c r="J99">
        <v>-355192.35087990604</v>
      </c>
      <c r="K99">
        <v>0.65</v>
      </c>
    </row>
    <row r="100" spans="9:11" x14ac:dyDescent="0.25">
      <c r="I100">
        <v>9915.15580359462</v>
      </c>
      <c r="J100">
        <v>-361407.51337426942</v>
      </c>
      <c r="K100">
        <v>0.65</v>
      </c>
    </row>
    <row r="101" spans="9:11" x14ac:dyDescent="0.25">
      <c r="I101">
        <v>9751.6659191717936</v>
      </c>
      <c r="J101">
        <v>-367400.89357956318</v>
      </c>
      <c r="K101">
        <v>0.65</v>
      </c>
    </row>
    <row r="102" spans="9:11" x14ac:dyDescent="0.25">
      <c r="I102">
        <v>9588.0421332836886</v>
      </c>
      <c r="J102">
        <v>-373184.44781030971</v>
      </c>
      <c r="K102">
        <v>0.65</v>
      </c>
    </row>
    <row r="103" spans="9:11" x14ac:dyDescent="0.25">
      <c r="I103">
        <v>9433.2158362425926</v>
      </c>
      <c r="J103">
        <v>-378559.80462495738</v>
      </c>
      <c r="K103">
        <v>0.65</v>
      </c>
    </row>
    <row r="104" spans="9:11" x14ac:dyDescent="0.25">
      <c r="I104">
        <v>9367.3826730221226</v>
      </c>
      <c r="J104">
        <v>-381746.61002663308</v>
      </c>
      <c r="K104">
        <v>0.65</v>
      </c>
    </row>
    <row r="105" spans="9:11" x14ac:dyDescent="0.25">
      <c r="I105">
        <v>9204.8091787935482</v>
      </c>
      <c r="J105">
        <v>-387066.45375996089</v>
      </c>
      <c r="K105">
        <v>0.65</v>
      </c>
    </row>
    <row r="106" spans="9:11" x14ac:dyDescent="0.25">
      <c r="I106">
        <v>9041.7088223115516</v>
      </c>
      <c r="J106">
        <v>-392180.5268597012</v>
      </c>
      <c r="K106">
        <v>0.65</v>
      </c>
    </row>
    <row r="107" spans="9:11" x14ac:dyDescent="0.25">
      <c r="I107">
        <v>8982.038789992328</v>
      </c>
      <c r="J107">
        <v>-395228.75554564281</v>
      </c>
      <c r="K107">
        <v>0.65</v>
      </c>
    </row>
    <row r="108" spans="9:11" x14ac:dyDescent="0.25">
      <c r="I108">
        <v>8821.6603421630753</v>
      </c>
      <c r="J108">
        <v>-400016.51297056006</v>
      </c>
      <c r="K108">
        <v>0.65</v>
      </c>
    </row>
    <row r="109" spans="9:11" x14ac:dyDescent="0.25">
      <c r="I109">
        <v>8658.409903662985</v>
      </c>
      <c r="J109">
        <v>-404665.88546075969</v>
      </c>
      <c r="K109">
        <v>0.65</v>
      </c>
    </row>
    <row r="110" spans="9:11" x14ac:dyDescent="0.25">
      <c r="I110">
        <v>8601.9148603727863</v>
      </c>
      <c r="J110">
        <v>-407610.89305026014</v>
      </c>
      <c r="K110">
        <v>0.65</v>
      </c>
    </row>
    <row r="111" spans="9:11" x14ac:dyDescent="0.25">
      <c r="I111">
        <v>8453.7455064251826</v>
      </c>
      <c r="J111">
        <v>-412729.75200814201</v>
      </c>
      <c r="K111">
        <v>0.65113469815162139</v>
      </c>
    </row>
    <row r="112" spans="9:11" x14ac:dyDescent="0.25">
      <c r="I112">
        <v>8397.1436961357049</v>
      </c>
      <c r="J112">
        <v>-422053.66975382675</v>
      </c>
      <c r="K112">
        <v>0.65932724928984743</v>
      </c>
    </row>
    <row r="113" spans="9:11" x14ac:dyDescent="0.25">
      <c r="I113">
        <v>8458.2829038197888</v>
      </c>
      <c r="J113">
        <v>-429241.78824361216</v>
      </c>
      <c r="K113">
        <v>0.66751888642463009</v>
      </c>
    </row>
    <row r="114" spans="9:11" x14ac:dyDescent="0.25">
      <c r="I114">
        <v>8408.2896214907068</v>
      </c>
      <c r="J114">
        <v>-437569.67197774001</v>
      </c>
      <c r="K114">
        <v>0.67571027624081603</v>
      </c>
    </row>
    <row r="115" spans="9:11" x14ac:dyDescent="0.25">
      <c r="I115">
        <v>8466.6209631655092</v>
      </c>
      <c r="J115">
        <v>-444824.12732819776</v>
      </c>
      <c r="K115">
        <v>0.68390217323093361</v>
      </c>
    </row>
    <row r="116" spans="9:11" x14ac:dyDescent="0.25">
      <c r="I116">
        <v>8410.437552955982</v>
      </c>
      <c r="J116">
        <v>-453018.65285694425</v>
      </c>
      <c r="K116">
        <v>0.69209359259638203</v>
      </c>
    </row>
    <row r="117" spans="9:11" x14ac:dyDescent="0.25">
      <c r="I117">
        <v>8474.0798057053998</v>
      </c>
      <c r="J117">
        <v>-459817.05639111175</v>
      </c>
      <c r="K117">
        <v>0.70028596922970721</v>
      </c>
    </row>
    <row r="118" spans="9:11" x14ac:dyDescent="0.25">
      <c r="I118">
        <v>8426.2935895120409</v>
      </c>
      <c r="J118">
        <v>-467140.574276025</v>
      </c>
      <c r="K118">
        <v>0.70847853659575422</v>
      </c>
    </row>
    <row r="119" spans="9:11" x14ac:dyDescent="0.25">
      <c r="I119">
        <v>8554.9983937894085</v>
      </c>
      <c r="J119">
        <v>-480332.47951621504</v>
      </c>
      <c r="K119">
        <v>0.72486038424680144</v>
      </c>
    </row>
    <row r="120" spans="9:11" x14ac:dyDescent="0.25">
      <c r="I120">
        <v>8637.1057797962112</v>
      </c>
      <c r="J120">
        <v>-538272.52622190595</v>
      </c>
      <c r="K120">
        <v>0.79861818138665175</v>
      </c>
    </row>
    <row r="121" spans="9:11" x14ac:dyDescent="0.25">
      <c r="I121">
        <v>8703.3039224428794</v>
      </c>
      <c r="J121">
        <v>-544583.25761706312</v>
      </c>
      <c r="K121">
        <v>0.80678063959688817</v>
      </c>
    </row>
    <row r="122" spans="9:11" x14ac:dyDescent="0.25">
      <c r="I122">
        <v>8765.7627103482228</v>
      </c>
      <c r="J122">
        <v>-550815.17830931791</v>
      </c>
      <c r="K122">
        <v>0.81498153036084053</v>
      </c>
    </row>
    <row r="123" spans="9:11" x14ac:dyDescent="0.25">
      <c r="I123">
        <v>3647.5008009008111</v>
      </c>
      <c r="J123">
        <v>403115.91431249748</v>
      </c>
      <c r="K123">
        <v>0.82320360659829506</v>
      </c>
    </row>
    <row r="124" spans="9:11" x14ac:dyDescent="0.25">
      <c r="I124">
        <v>3637.5343590863731</v>
      </c>
      <c r="J124">
        <v>412201.1405109386</v>
      </c>
      <c r="K124">
        <v>0.84774579605641254</v>
      </c>
    </row>
    <row r="125" spans="9:11" x14ac:dyDescent="0.25">
      <c r="I125">
        <v>8792.4235744382568</v>
      </c>
      <c r="J125">
        <v>-611226.52479886101</v>
      </c>
      <c r="K125">
        <v>0.9</v>
      </c>
    </row>
    <row r="126" spans="9:11" x14ac:dyDescent="0.25">
      <c r="I126">
        <v>8777.4655532101388</v>
      </c>
      <c r="J126">
        <v>-611481.78218011174</v>
      </c>
      <c r="K126">
        <v>0.9</v>
      </c>
    </row>
    <row r="127" spans="9:11" x14ac:dyDescent="0.25">
      <c r="I127">
        <v>8762.7684158761749</v>
      </c>
      <c r="J127">
        <v>-611722.22099788033</v>
      </c>
      <c r="K127">
        <v>0.9</v>
      </c>
    </row>
    <row r="128" spans="9:11" x14ac:dyDescent="0.25">
      <c r="I128">
        <v>8748.5618941298417</v>
      </c>
      <c r="J128">
        <v>-611953.81041402521</v>
      </c>
      <c r="K128">
        <v>0.9</v>
      </c>
    </row>
    <row r="129" spans="9:11" x14ac:dyDescent="0.25">
      <c r="I129">
        <v>8586.2589435810096</v>
      </c>
      <c r="J129">
        <v>-610390.06282217056</v>
      </c>
      <c r="K129">
        <v>0.9</v>
      </c>
    </row>
    <row r="130" spans="9:11" x14ac:dyDescent="0.25">
      <c r="I130">
        <v>8572.1627723948568</v>
      </c>
      <c r="J130">
        <v>-610590.91607258271</v>
      </c>
      <c r="K130">
        <v>0.9</v>
      </c>
    </row>
    <row r="131" spans="9:11" x14ac:dyDescent="0.25">
      <c r="I131">
        <v>8558.253445321272</v>
      </c>
      <c r="J131">
        <v>-610779.95598208776</v>
      </c>
      <c r="K131">
        <v>0.9</v>
      </c>
    </row>
    <row r="132" spans="9:11" x14ac:dyDescent="0.25">
      <c r="I132">
        <v>8544.1804938975311</v>
      </c>
      <c r="J132">
        <v>-610953.6139123051</v>
      </c>
      <c r="K132">
        <v>0.9</v>
      </c>
    </row>
    <row r="133" spans="9:11" x14ac:dyDescent="0.25">
      <c r="I133">
        <v>8530.0491557537316</v>
      </c>
      <c r="J133">
        <v>-611112.88177554356</v>
      </c>
      <c r="K133">
        <v>0.9</v>
      </c>
    </row>
    <row r="134" spans="9:11" x14ac:dyDescent="0.25">
      <c r="I134">
        <v>8499.8433033089605</v>
      </c>
      <c r="J134">
        <v>-611037.18616616458</v>
      </c>
      <c r="K134">
        <v>0.9</v>
      </c>
    </row>
    <row r="135" spans="9:11" x14ac:dyDescent="0.25">
      <c r="I135">
        <v>8357.9450994101335</v>
      </c>
      <c r="J135">
        <v>-609383.73089204147</v>
      </c>
      <c r="K135">
        <v>0.9</v>
      </c>
    </row>
    <row r="136" spans="9:11" x14ac:dyDescent="0.25">
      <c r="I136">
        <v>8343.3800594740642</v>
      </c>
      <c r="J136">
        <v>-609495.53995742218</v>
      </c>
      <c r="K136">
        <v>0.9</v>
      </c>
    </row>
    <row r="137" spans="9:11" x14ac:dyDescent="0.25">
      <c r="I137">
        <v>8328.0541775667753</v>
      </c>
      <c r="J137">
        <v>-609538.77275029081</v>
      </c>
      <c r="K137">
        <v>0.9</v>
      </c>
    </row>
    <row r="138" spans="9:11" x14ac:dyDescent="0.25">
      <c r="I138">
        <v>8311.1982923073465</v>
      </c>
      <c r="J138">
        <v>-609521.4776675842</v>
      </c>
      <c r="K138">
        <v>0.9</v>
      </c>
    </row>
    <row r="139" spans="9:11" x14ac:dyDescent="0.25">
      <c r="I139">
        <v>8294.4700943657881</v>
      </c>
      <c r="J139">
        <v>-609496.9422344882</v>
      </c>
      <c r="K139">
        <v>0.9</v>
      </c>
    </row>
    <row r="140" spans="9:11" x14ac:dyDescent="0.25">
      <c r="I140">
        <v>8266.6248702131234</v>
      </c>
      <c r="J140">
        <v>-609286.92240021937</v>
      </c>
      <c r="K140">
        <v>0.9</v>
      </c>
    </row>
    <row r="141" spans="9:11" x14ac:dyDescent="0.25">
      <c r="I141">
        <v>8115.1839305939047</v>
      </c>
      <c r="J141">
        <v>-607028.45884187752</v>
      </c>
      <c r="K141">
        <v>0.9</v>
      </c>
    </row>
    <row r="142" spans="9:11" x14ac:dyDescent="0.25">
      <c r="I142">
        <v>8100.8025174350541</v>
      </c>
      <c r="J142">
        <v>-606953.4347607306</v>
      </c>
      <c r="K142">
        <v>0.9</v>
      </c>
    </row>
    <row r="143" spans="9:11" x14ac:dyDescent="0.25">
      <c r="I143">
        <v>8086.5304266280109</v>
      </c>
      <c r="J143">
        <v>-606872.98290163791</v>
      </c>
      <c r="K143">
        <v>0.9</v>
      </c>
    </row>
    <row r="144" spans="9:11" x14ac:dyDescent="0.25">
      <c r="I144">
        <v>8072.3562433391426</v>
      </c>
      <c r="J144">
        <v>-606787.27455452201</v>
      </c>
      <c r="K144">
        <v>0.9</v>
      </c>
    </row>
    <row r="145" spans="9:11" x14ac:dyDescent="0.25">
      <c r="I145">
        <v>8058.2682967408191</v>
      </c>
      <c r="J145">
        <v>-606696.44680276315</v>
      </c>
      <c r="K145">
        <v>0.9</v>
      </c>
    </row>
    <row r="146" spans="9:11" x14ac:dyDescent="0.25">
      <c r="I146">
        <v>8044.3179891771888</v>
      </c>
      <c r="J146">
        <v>-606596.60553935065</v>
      </c>
      <c r="K146">
        <v>0.9</v>
      </c>
    </row>
    <row r="147" spans="9:11" x14ac:dyDescent="0.25">
      <c r="I147">
        <v>8028.2225607558803</v>
      </c>
      <c r="J147">
        <v>-606401.7293361004</v>
      </c>
      <c r="K147">
        <v>0.9</v>
      </c>
    </row>
    <row r="148" spans="9:11" x14ac:dyDescent="0.25">
      <c r="I148">
        <v>7872.4821059197302</v>
      </c>
      <c r="J148">
        <v>-603682.00505663187</v>
      </c>
      <c r="K148">
        <v>0.9</v>
      </c>
    </row>
    <row r="149" spans="9:11" x14ac:dyDescent="0.25">
      <c r="I149">
        <v>7860.6171336242551</v>
      </c>
      <c r="J149">
        <v>-603551.42548890307</v>
      </c>
      <c r="K149">
        <v>0.9</v>
      </c>
    </row>
    <row r="150" spans="9:11" x14ac:dyDescent="0.25">
      <c r="I150">
        <v>7848.8234916028159</v>
      </c>
      <c r="J150">
        <v>-603417.32363380492</v>
      </c>
      <c r="K150">
        <v>0.9</v>
      </c>
    </row>
    <row r="151" spans="9:11" x14ac:dyDescent="0.25">
      <c r="I151">
        <v>7837.0860737694602</v>
      </c>
      <c r="J151">
        <v>-603279.58244443801</v>
      </c>
      <c r="K151">
        <v>0.9</v>
      </c>
    </row>
    <row r="152" spans="9:11" x14ac:dyDescent="0.25">
      <c r="I152">
        <v>7825.3557425741619</v>
      </c>
      <c r="J152">
        <v>-603137.32106191828</v>
      </c>
      <c r="K152">
        <v>0.9</v>
      </c>
    </row>
    <row r="153" spans="9:11" x14ac:dyDescent="0.25">
      <c r="I153">
        <v>7813.6926560177744</v>
      </c>
      <c r="J153">
        <v>-602992.09331929579</v>
      </c>
      <c r="K153">
        <v>0.9</v>
      </c>
    </row>
    <row r="154" spans="9:11" x14ac:dyDescent="0.25">
      <c r="I154">
        <v>7802.1029572868865</v>
      </c>
      <c r="J154">
        <v>-602844.64440341422</v>
      </c>
      <c r="K154">
        <v>0.9</v>
      </c>
    </row>
    <row r="155" spans="9:11" x14ac:dyDescent="0.25">
      <c r="I155">
        <v>7790.5452083211821</v>
      </c>
      <c r="J155">
        <v>-602693.99214223772</v>
      </c>
      <c r="K155">
        <v>0.9</v>
      </c>
    </row>
    <row r="156" spans="9:11" x14ac:dyDescent="0.25">
      <c r="I156">
        <v>7635.3520331935988</v>
      </c>
      <c r="J156">
        <v>-599671.67851742741</v>
      </c>
      <c r="K156">
        <v>0.9</v>
      </c>
    </row>
    <row r="157" spans="9:11" x14ac:dyDescent="0.25">
      <c r="I157">
        <v>7623.8858147307947</v>
      </c>
      <c r="J157">
        <v>-599516.17706730112</v>
      </c>
      <c r="K157">
        <v>0.9</v>
      </c>
    </row>
    <row r="158" spans="9:11" x14ac:dyDescent="0.25">
      <c r="I158">
        <v>7608.2188443071191</v>
      </c>
      <c r="J158">
        <v>-599266.1995103223</v>
      </c>
      <c r="K158">
        <v>0.9</v>
      </c>
    </row>
    <row r="159" spans="9:11" x14ac:dyDescent="0.25">
      <c r="I159">
        <v>7596.8220814902843</v>
      </c>
      <c r="J159">
        <v>-599106.07843938074</v>
      </c>
      <c r="K159">
        <v>0.9</v>
      </c>
    </row>
    <row r="160" spans="9:11" x14ac:dyDescent="0.25">
      <c r="I160">
        <v>7585.4417031172516</v>
      </c>
      <c r="J160">
        <v>-598943.38657648582</v>
      </c>
      <c r="K160">
        <v>0.9</v>
      </c>
    </row>
    <row r="161" spans="9:11" x14ac:dyDescent="0.25">
      <c r="I161">
        <v>7574.1085129889188</v>
      </c>
      <c r="J161">
        <v>-598779.22651326121</v>
      </c>
      <c r="K161">
        <v>0.9</v>
      </c>
    </row>
    <row r="162" spans="9:11" x14ac:dyDescent="0.25">
      <c r="I162">
        <v>7562.8043097774826</v>
      </c>
      <c r="J162">
        <v>-598613.22297434497</v>
      </c>
      <c r="K162">
        <v>0.9</v>
      </c>
    </row>
    <row r="163" spans="9:11" x14ac:dyDescent="0.25">
      <c r="I163">
        <v>7551.5269559822209</v>
      </c>
      <c r="J163">
        <v>-598445.47116627311</v>
      </c>
      <c r="K163">
        <v>0.9</v>
      </c>
    </row>
    <row r="164" spans="9:11" x14ac:dyDescent="0.25">
      <c r="I164">
        <v>7540.2409798145754</v>
      </c>
      <c r="J164">
        <v>-598275.06153947534</v>
      </c>
      <c r="K164">
        <v>0.9</v>
      </c>
    </row>
    <row r="165" spans="9:11" x14ac:dyDescent="0.25">
      <c r="I165">
        <v>7520.8803987069823</v>
      </c>
      <c r="J165">
        <v>-597926.73379364552</v>
      </c>
      <c r="K165">
        <v>0.9</v>
      </c>
    </row>
    <row r="166" spans="9:11" x14ac:dyDescent="0.25">
      <c r="I166">
        <v>7369.8849413579837</v>
      </c>
      <c r="J166">
        <v>-594675.66666105902</v>
      </c>
      <c r="K166">
        <v>0.9</v>
      </c>
    </row>
    <row r="167" spans="9:11" x14ac:dyDescent="0.25">
      <c r="I167">
        <v>7358.6771770244677</v>
      </c>
      <c r="J167">
        <v>-594501.20456215378</v>
      </c>
      <c r="K167">
        <v>0.9</v>
      </c>
    </row>
    <row r="168" spans="9:11" x14ac:dyDescent="0.25">
      <c r="I168">
        <v>7347.5120169668853</v>
      </c>
      <c r="J168">
        <v>-594326.12319729442</v>
      </c>
      <c r="K168">
        <v>0.9</v>
      </c>
    </row>
    <row r="169" spans="9:11" x14ac:dyDescent="0.25">
      <c r="I169">
        <v>7336.3651651894406</v>
      </c>
      <c r="J169">
        <v>-594149.80674197327</v>
      </c>
      <c r="K169">
        <v>0.9</v>
      </c>
    </row>
    <row r="170" spans="9:11" x14ac:dyDescent="0.25">
      <c r="I170">
        <v>7325.2365387597392</v>
      </c>
      <c r="J170">
        <v>-593972.35471134214</v>
      </c>
      <c r="K170">
        <v>0.9</v>
      </c>
    </row>
    <row r="171" spans="9:11" x14ac:dyDescent="0.25">
      <c r="I171">
        <v>7102.6745258195851</v>
      </c>
      <c r="J171">
        <v>-589005.6875008049</v>
      </c>
      <c r="K171">
        <v>0.9</v>
      </c>
    </row>
    <row r="172" spans="9:11" x14ac:dyDescent="0.25">
      <c r="I172">
        <v>7035.2808055906326</v>
      </c>
      <c r="J172">
        <v>-587521.30884587369</v>
      </c>
      <c r="K172">
        <v>0.9</v>
      </c>
    </row>
    <row r="173" spans="9:11" x14ac:dyDescent="0.25">
      <c r="I173">
        <v>6825.430980409782</v>
      </c>
      <c r="J173">
        <v>-582205.54355184757</v>
      </c>
      <c r="K173">
        <v>0.9</v>
      </c>
    </row>
    <row r="174" spans="9:11" x14ac:dyDescent="0.25">
      <c r="I174">
        <v>6763.868939652376</v>
      </c>
      <c r="J174">
        <v>-580720.92544432706</v>
      </c>
      <c r="K174">
        <v>0.9</v>
      </c>
    </row>
    <row r="175" spans="9:11" x14ac:dyDescent="0.25">
      <c r="I175">
        <v>6554.4549935895848</v>
      </c>
      <c r="J175">
        <v>-575078.56417659798</v>
      </c>
      <c r="K175">
        <v>0.9</v>
      </c>
    </row>
    <row r="176" spans="9:11" x14ac:dyDescent="0.25">
      <c r="I176">
        <v>6493.2093450869352</v>
      </c>
      <c r="J176">
        <v>-573573.36933079152</v>
      </c>
      <c r="K176">
        <v>0.9</v>
      </c>
    </row>
    <row r="177" spans="9:11" x14ac:dyDescent="0.25">
      <c r="I177">
        <v>6431.7907245247516</v>
      </c>
      <c r="J177">
        <v>-572054.60721941921</v>
      </c>
      <c r="K177">
        <v>0.9</v>
      </c>
    </row>
    <row r="178" spans="9:11" x14ac:dyDescent="0.25">
      <c r="I178">
        <v>6228.2748852984832</v>
      </c>
      <c r="J178">
        <v>-566163.77275625477</v>
      </c>
      <c r="K178">
        <v>0.9</v>
      </c>
    </row>
    <row r="179" spans="9:11" x14ac:dyDescent="0.25">
      <c r="I179">
        <v>6176.3061864735582</v>
      </c>
      <c r="J179">
        <v>-564779.33825648983</v>
      </c>
      <c r="K179">
        <v>0.9</v>
      </c>
    </row>
    <row r="180" spans="9:11" x14ac:dyDescent="0.25">
      <c r="I180">
        <v>6124.2782154309425</v>
      </c>
      <c r="J180">
        <v>-563377.89413730521</v>
      </c>
      <c r="K180">
        <v>0.9</v>
      </c>
    </row>
    <row r="181" spans="9:11" x14ac:dyDescent="0.25">
      <c r="I181">
        <v>5956.028626294722</v>
      </c>
      <c r="J181">
        <v>-558160.28598663711</v>
      </c>
      <c r="K181">
        <v>0.9</v>
      </c>
    </row>
    <row r="182" spans="9:11" x14ac:dyDescent="0.25">
      <c r="I182">
        <v>5411.0380798270762</v>
      </c>
      <c r="J182">
        <v>-540636.08750448818</v>
      </c>
      <c r="K182">
        <v>0.9</v>
      </c>
    </row>
    <row r="183" spans="9:11" x14ac:dyDescent="0.25">
      <c r="I183">
        <v>5366.5706527465381</v>
      </c>
      <c r="J183">
        <v>-539366.49395016581</v>
      </c>
      <c r="K183">
        <v>0.9</v>
      </c>
    </row>
    <row r="184" spans="9:11" x14ac:dyDescent="0.25">
      <c r="I184">
        <v>5322.0857623447846</v>
      </c>
      <c r="J184">
        <v>-538095.42495273461</v>
      </c>
      <c r="K184">
        <v>0.9</v>
      </c>
    </row>
    <row r="185" spans="9:11" x14ac:dyDescent="0.25">
      <c r="I185">
        <v>5277.6315838466035</v>
      </c>
      <c r="J185">
        <v>-536824.72554805374</v>
      </c>
      <c r="K185">
        <v>0.9</v>
      </c>
    </row>
    <row r="186" spans="9:11" x14ac:dyDescent="0.25">
      <c r="I186">
        <v>4132.6771732116977</v>
      </c>
      <c r="J186">
        <v>-498152.85918935086</v>
      </c>
      <c r="K186">
        <v>0.9</v>
      </c>
    </row>
    <row r="187" spans="9:11" x14ac:dyDescent="0.25">
      <c r="I187">
        <v>4088.1089758083285</v>
      </c>
      <c r="J187">
        <v>-496875.302900724</v>
      </c>
      <c r="K187">
        <v>0.9</v>
      </c>
    </row>
    <row r="188" spans="9:11" x14ac:dyDescent="0.25">
      <c r="I188">
        <v>4049.6413187743483</v>
      </c>
      <c r="J188">
        <v>-495740.86175549921</v>
      </c>
      <c r="K188">
        <v>0.9</v>
      </c>
    </row>
    <row r="189" spans="9:11" x14ac:dyDescent="0.25">
      <c r="I189">
        <v>4011.4100920590008</v>
      </c>
      <c r="J189">
        <v>-494613.43215301802</v>
      </c>
      <c r="K189">
        <v>0.9</v>
      </c>
    </row>
    <row r="190" spans="9:11" x14ac:dyDescent="0.25">
      <c r="I190">
        <v>3973.1144848761633</v>
      </c>
      <c r="J190">
        <v>-493483.59954435757</v>
      </c>
      <c r="K190">
        <v>0.9</v>
      </c>
    </row>
    <row r="191" spans="9:11" x14ac:dyDescent="0.25">
      <c r="I191">
        <v>3934.8895343462295</v>
      </c>
      <c r="J191">
        <v>-492356.06259259488</v>
      </c>
      <c r="K191">
        <v>0.9</v>
      </c>
    </row>
    <row r="192" spans="9:11" x14ac:dyDescent="0.25">
      <c r="I192">
        <v>2796.1664609873401</v>
      </c>
      <c r="J192">
        <v>-451625.47732362832</v>
      </c>
      <c r="K192">
        <v>0.9</v>
      </c>
    </row>
    <row r="193" spans="9:11" x14ac:dyDescent="0.25">
      <c r="I193">
        <v>2759.4270467142801</v>
      </c>
      <c r="J193">
        <v>-450534.65028685395</v>
      </c>
      <c r="K193">
        <v>0.9</v>
      </c>
    </row>
    <row r="194" spans="9:11" x14ac:dyDescent="0.25">
      <c r="I194">
        <v>2726.4360683677778</v>
      </c>
      <c r="J194">
        <v>-449544.99070797878</v>
      </c>
      <c r="K194">
        <v>0.9</v>
      </c>
    </row>
    <row r="195" spans="9:11" x14ac:dyDescent="0.25">
      <c r="I195">
        <v>2693.5000551407002</v>
      </c>
      <c r="J195">
        <v>-448557.20702822431</v>
      </c>
      <c r="K195">
        <v>0.9</v>
      </c>
    </row>
    <row r="196" spans="9:11" x14ac:dyDescent="0.25">
      <c r="I196">
        <v>2660.5291504615898</v>
      </c>
      <c r="J196">
        <v>-447568.14898279717</v>
      </c>
      <c r="K196">
        <v>0.9</v>
      </c>
    </row>
    <row r="197" spans="9:11" x14ac:dyDescent="0.25">
      <c r="I197">
        <v>2627.5763560482837</v>
      </c>
      <c r="J197">
        <v>-446579.69013594004</v>
      </c>
      <c r="K197">
        <v>0.9</v>
      </c>
    </row>
    <row r="198" spans="9:11" x14ac:dyDescent="0.25">
      <c r="I198">
        <v>2594.6077924111919</v>
      </c>
      <c r="J198">
        <v>-445590.64553057955</v>
      </c>
      <c r="K198">
        <v>0.9</v>
      </c>
    </row>
    <row r="199" spans="9:11" x14ac:dyDescent="0.25">
      <c r="I199">
        <v>2561.6588112244926</v>
      </c>
      <c r="J199">
        <v>-444602.2645403964</v>
      </c>
      <c r="K199">
        <v>0.9</v>
      </c>
    </row>
    <row r="200" spans="9:11" x14ac:dyDescent="0.25">
      <c r="I200">
        <v>2528.6902827063172</v>
      </c>
      <c r="J200">
        <v>-443613.17498233647</v>
      </c>
      <c r="K200">
        <v>0.9</v>
      </c>
    </row>
    <row r="201" spans="9:11" x14ac:dyDescent="0.25">
      <c r="I201">
        <v>2495.7414042449582</v>
      </c>
      <c r="J201">
        <v>-442624.75955761276</v>
      </c>
      <c r="K201">
        <v>0.9</v>
      </c>
    </row>
    <row r="202" spans="9:11" x14ac:dyDescent="0.25">
      <c r="I202">
        <v>1362.3497077325349</v>
      </c>
      <c r="J202">
        <v>-399832.88409943989</v>
      </c>
      <c r="K202">
        <v>0.9</v>
      </c>
    </row>
    <row r="203" spans="9:11" x14ac:dyDescent="0.25">
      <c r="I203">
        <v>1329.3937646519273</v>
      </c>
      <c r="J203">
        <v>-398844.19398623524</v>
      </c>
      <c r="K203">
        <v>0.9</v>
      </c>
    </row>
    <row r="204" spans="9:11" x14ac:dyDescent="0.25">
      <c r="I204">
        <v>1296.4476999552696</v>
      </c>
      <c r="J204">
        <v>-397855.8415206474</v>
      </c>
      <c r="K204">
        <v>0.9</v>
      </c>
    </row>
    <row r="205" spans="9:11" x14ac:dyDescent="0.25">
      <c r="I205">
        <v>1263.4834695754676</v>
      </c>
      <c r="J205">
        <v>-396866.84164578153</v>
      </c>
      <c r="K205">
        <v>0.9</v>
      </c>
    </row>
    <row r="206" spans="9:11" x14ac:dyDescent="0.25">
      <c r="I206">
        <v>1230.5210742491279</v>
      </c>
      <c r="J206">
        <v>-395877.89936359174</v>
      </c>
      <c r="K206">
        <v>0.9</v>
      </c>
    </row>
    <row r="207" spans="9:11" x14ac:dyDescent="0.25">
      <c r="I207">
        <v>1197.5597689632891</v>
      </c>
      <c r="J207">
        <v>-394888.98955591151</v>
      </c>
      <c r="K207">
        <v>0.9</v>
      </c>
    </row>
    <row r="208" spans="9:11" x14ac:dyDescent="0.25">
      <c r="I208">
        <v>1164.6080186610643</v>
      </c>
      <c r="J208">
        <v>-393900.41094774776</v>
      </c>
      <c r="K208">
        <v>0.9</v>
      </c>
    </row>
    <row r="209" spans="9:11" x14ac:dyDescent="0.25">
      <c r="I209">
        <v>1131.6483222866111</v>
      </c>
      <c r="J209">
        <v>-392911.54856132419</v>
      </c>
      <c r="K209">
        <v>0.9</v>
      </c>
    </row>
    <row r="210" spans="9:11" x14ac:dyDescent="0.25">
      <c r="I210">
        <v>1098.6900230199183</v>
      </c>
      <c r="J210">
        <v>-391922.73174342216</v>
      </c>
      <c r="K210">
        <v>0.9</v>
      </c>
    </row>
    <row r="211" spans="9:11" x14ac:dyDescent="0.25">
      <c r="I211">
        <v>1065.7336620021031</v>
      </c>
      <c r="J211">
        <v>-390933.98005991621</v>
      </c>
      <c r="K211">
        <v>0.9</v>
      </c>
    </row>
    <row r="212" spans="9:11" x14ac:dyDescent="0.25">
      <c r="I212">
        <v>1032.7762959236838</v>
      </c>
      <c r="J212">
        <v>-389945.1904003314</v>
      </c>
      <c r="K212">
        <v>0.9</v>
      </c>
    </row>
    <row r="213" spans="9:11" x14ac:dyDescent="0.25">
      <c r="I213">
        <v>999.8148876240067</v>
      </c>
      <c r="J213">
        <v>-388956.25628243835</v>
      </c>
      <c r="K213">
        <v>0.9</v>
      </c>
    </row>
    <row r="214" spans="9:11" x14ac:dyDescent="0.25">
      <c r="I214">
        <v>966.86096885330574</v>
      </c>
      <c r="J214">
        <v>-387967.58373759995</v>
      </c>
      <c r="K214">
        <v>0.9</v>
      </c>
    </row>
    <row r="215" spans="9:11" x14ac:dyDescent="0.25">
      <c r="I215">
        <v>933.90594876458579</v>
      </c>
      <c r="J215">
        <v>-386978.87078458577</v>
      </c>
      <c r="K215">
        <v>0.9</v>
      </c>
    </row>
    <row r="216" spans="9:11" x14ac:dyDescent="0.25">
      <c r="I216">
        <v>900.95188030935537</v>
      </c>
      <c r="J216">
        <v>-385990.18987794372</v>
      </c>
      <c r="K216">
        <v>0.9</v>
      </c>
    </row>
    <row r="217" spans="9:11" x14ac:dyDescent="0.25">
      <c r="I217">
        <v>867.9859034121049</v>
      </c>
      <c r="J217">
        <v>-385001.08875977912</v>
      </c>
      <c r="K217">
        <v>0.9</v>
      </c>
    </row>
    <row r="218" spans="9:11" x14ac:dyDescent="0.25">
      <c r="I218">
        <v>-1795.2600288548615</v>
      </c>
      <c r="J218">
        <v>-281455.60344227008</v>
      </c>
      <c r="K218">
        <v>0.9</v>
      </c>
    </row>
    <row r="219" spans="9:11" x14ac:dyDescent="0.25">
      <c r="I219">
        <v>-1870.9971688802125</v>
      </c>
      <c r="J219">
        <v>-278126.17107646627</v>
      </c>
      <c r="K219">
        <v>0.9</v>
      </c>
    </row>
    <row r="220" spans="9:11" x14ac:dyDescent="0.25">
      <c r="I220">
        <v>-1946.7283261712553</v>
      </c>
      <c r="J220">
        <v>-274797.00306697586</v>
      </c>
      <c r="K220">
        <v>0.9</v>
      </c>
    </row>
    <row r="221" spans="9:11" x14ac:dyDescent="0.25">
      <c r="I221">
        <v>-2022.4516614420695</v>
      </c>
      <c r="J221">
        <v>-271468.18068603415</v>
      </c>
      <c r="K221">
        <v>0.9</v>
      </c>
    </row>
    <row r="222" spans="9:11" x14ac:dyDescent="0.25">
      <c r="I222">
        <v>-2098.187443505074</v>
      </c>
      <c r="J222">
        <v>-268138.80832377489</v>
      </c>
      <c r="K222">
        <v>0.9</v>
      </c>
    </row>
    <row r="223" spans="9:11" x14ac:dyDescent="0.25">
      <c r="I223">
        <v>-2173.8948485444957</v>
      </c>
      <c r="J223">
        <v>-264810.68984876527</v>
      </c>
      <c r="K223">
        <v>0.9</v>
      </c>
    </row>
    <row r="224" spans="9:11" x14ac:dyDescent="0.25">
      <c r="I224">
        <v>-2249.6381071717642</v>
      </c>
      <c r="J224">
        <v>-261480.98712109658</v>
      </c>
      <c r="K224">
        <v>0.9</v>
      </c>
    </row>
    <row r="225" spans="9:11" x14ac:dyDescent="0.25">
      <c r="I225">
        <v>-2325.3888076861613</v>
      </c>
      <c r="J225">
        <v>-258150.95556171419</v>
      </c>
      <c r="K225">
        <v>0.9</v>
      </c>
    </row>
    <row r="226" spans="9:11" x14ac:dyDescent="0.25">
      <c r="I226">
        <v>-3655.4769703843253</v>
      </c>
      <c r="J226">
        <v>-199652.48867841315</v>
      </c>
      <c r="K226">
        <v>0.9</v>
      </c>
    </row>
    <row r="227" spans="9:11" x14ac:dyDescent="0.25">
      <c r="I227">
        <v>-3731.1901725329353</v>
      </c>
      <c r="J227">
        <v>-196324.11406267702</v>
      </c>
      <c r="K227">
        <v>0.9</v>
      </c>
    </row>
    <row r="228" spans="9:11" x14ac:dyDescent="0.25">
      <c r="I228">
        <v>-3806.9404720342145</v>
      </c>
      <c r="J228">
        <v>-192994.10021229429</v>
      </c>
      <c r="K228">
        <v>0.9</v>
      </c>
    </row>
    <row r="229" spans="9:11" x14ac:dyDescent="0.25">
      <c r="I229">
        <v>-3882.687101111339</v>
      </c>
      <c r="J229">
        <v>-189664.2485496219</v>
      </c>
      <c r="K229">
        <v>0.9</v>
      </c>
    </row>
    <row r="230" spans="9:11" x14ac:dyDescent="0.25">
      <c r="I230">
        <v>-3958.403777512171</v>
      </c>
      <c r="J230">
        <v>-186335.72041517418</v>
      </c>
      <c r="K230">
        <v>0.9</v>
      </c>
    </row>
    <row r="231" spans="9:11" x14ac:dyDescent="0.25">
      <c r="I231">
        <v>-4034.1397448348744</v>
      </c>
      <c r="J231">
        <v>-183006.33986649089</v>
      </c>
      <c r="K231">
        <v>0.9</v>
      </c>
    </row>
    <row r="232" spans="9:11" x14ac:dyDescent="0.25">
      <c r="I232">
        <v>-5212.7797529315976</v>
      </c>
      <c r="J232">
        <v>-128962.38338513458</v>
      </c>
      <c r="K232">
        <v>0.9</v>
      </c>
    </row>
    <row r="233" spans="9:11" x14ac:dyDescent="0.25">
      <c r="I233">
        <v>-5288.487499772802</v>
      </c>
      <c r="J233">
        <v>-125634.24986323323</v>
      </c>
      <c r="K233">
        <v>0.9</v>
      </c>
    </row>
    <row r="234" spans="9:11" x14ac:dyDescent="0.25">
      <c r="I234">
        <v>-5364.221378636812</v>
      </c>
      <c r="J234">
        <v>-122304.96160367802</v>
      </c>
      <c r="K234">
        <v>0.9</v>
      </c>
    </row>
    <row r="235" spans="9:11" x14ac:dyDescent="0.25">
      <c r="I235">
        <v>-5439.9858161709581</v>
      </c>
      <c r="J235">
        <v>-118974.3229937767</v>
      </c>
      <c r="K235">
        <v>0.9</v>
      </c>
    </row>
    <row r="236" spans="9:11" x14ac:dyDescent="0.25">
      <c r="I236">
        <v>-5515.6677027809674</v>
      </c>
      <c r="J236">
        <v>-115647.33222022752</v>
      </c>
      <c r="K236">
        <v>0.9</v>
      </c>
    </row>
    <row r="237" spans="9:11" x14ac:dyDescent="0.25">
      <c r="I237">
        <v>-5556.5469217383852</v>
      </c>
      <c r="J237">
        <v>-112484.28453097912</v>
      </c>
      <c r="K237">
        <v>0.9</v>
      </c>
    </row>
    <row r="238" spans="9:11" x14ac:dyDescent="0.25">
      <c r="I238">
        <v>-5544.0383096375745</v>
      </c>
      <c r="J238">
        <v>-111566.61926380599</v>
      </c>
      <c r="K238">
        <v>0.9</v>
      </c>
    </row>
    <row r="239" spans="9:11" x14ac:dyDescent="0.25">
      <c r="I239">
        <v>-5522.9612237016354</v>
      </c>
      <c r="J239">
        <v>-110186.57207722035</v>
      </c>
      <c r="K239">
        <v>0.9</v>
      </c>
    </row>
    <row r="240" spans="9:11" x14ac:dyDescent="0.25">
      <c r="I240">
        <v>-5502.188611393306</v>
      </c>
      <c r="J240">
        <v>-108863.13047150236</v>
      </c>
      <c r="K240">
        <v>0.9</v>
      </c>
    </row>
    <row r="241" spans="9:11" x14ac:dyDescent="0.25">
      <c r="I241">
        <v>-5503.1656917561859</v>
      </c>
      <c r="J241">
        <v>-108816.90888413381</v>
      </c>
      <c r="K241">
        <v>0.9</v>
      </c>
    </row>
    <row r="242" spans="9:11" x14ac:dyDescent="0.25">
      <c r="I242">
        <v>-5503.0747438767039</v>
      </c>
      <c r="J242">
        <v>-108810.99637992449</v>
      </c>
      <c r="K242">
        <v>0.9</v>
      </c>
    </row>
    <row r="243" spans="9:11" x14ac:dyDescent="0.25">
      <c r="I243">
        <v>-5504.6344089275281</v>
      </c>
      <c r="J243">
        <v>-108912.39870466347</v>
      </c>
      <c r="K243">
        <v>0.9</v>
      </c>
    </row>
    <row r="244" spans="9:11" x14ac:dyDescent="0.25">
      <c r="I244">
        <v>-5503.7111915001724</v>
      </c>
      <c r="J244">
        <v>-108852.37597861741</v>
      </c>
      <c r="K244">
        <v>0.9</v>
      </c>
    </row>
    <row r="245" spans="9:11" x14ac:dyDescent="0.25">
      <c r="I245">
        <v>-5504.4493706626754</v>
      </c>
      <c r="J245">
        <v>-108900.36925448808</v>
      </c>
      <c r="K245">
        <v>0.9</v>
      </c>
    </row>
    <row r="246" spans="9:11" x14ac:dyDescent="0.25">
      <c r="I246">
        <v>-5504.3679948546096</v>
      </c>
      <c r="J246">
        <v>-108895.07901784463</v>
      </c>
      <c r="K246">
        <v>0.9</v>
      </c>
    </row>
    <row r="247" spans="9:11" x14ac:dyDescent="0.25">
      <c r="I247">
        <v>-5504.2918199864616</v>
      </c>
      <c r="J247">
        <v>-108890.12698506528</v>
      </c>
      <c r="K247">
        <v>0.9</v>
      </c>
    </row>
    <row r="248" spans="9:11" x14ac:dyDescent="0.25">
      <c r="I248">
        <v>-5505.0273863078055</v>
      </c>
      <c r="J248">
        <v>-108937.95038832357</v>
      </c>
      <c r="K248">
        <v>0.9</v>
      </c>
    </row>
    <row r="249" spans="9:11" x14ac:dyDescent="0.25">
      <c r="I249">
        <v>-5504.9596469623739</v>
      </c>
      <c r="J249">
        <v>-108933.54673493408</v>
      </c>
      <c r="K249">
        <v>0.9</v>
      </c>
    </row>
    <row r="250" spans="9:11" x14ac:dyDescent="0.25">
      <c r="I250">
        <v>-5504.8746097375251</v>
      </c>
      <c r="J250">
        <v>-108928.0185226271</v>
      </c>
      <c r="K250">
        <v>0.9</v>
      </c>
    </row>
    <row r="251" spans="9:11" x14ac:dyDescent="0.25">
      <c r="I251">
        <v>-5505.5903519275498</v>
      </c>
      <c r="J251">
        <v>-108974.55305735205</v>
      </c>
      <c r="K251">
        <v>0.9</v>
      </c>
    </row>
    <row r="252" spans="9:11" x14ac:dyDescent="0.25">
      <c r="I252">
        <v>-5505.5051473978774</v>
      </c>
      <c r="J252">
        <v>-108969.01391261777</v>
      </c>
      <c r="K252">
        <v>0.9</v>
      </c>
    </row>
    <row r="253" spans="9:11" x14ac:dyDescent="0.25">
      <c r="I253">
        <v>-5505.3857563188503</v>
      </c>
      <c r="J253">
        <v>-108961.25219594604</v>
      </c>
      <c r="K253">
        <v>0.9</v>
      </c>
    </row>
    <row r="254" spans="9:11" x14ac:dyDescent="0.25">
      <c r="I254">
        <v>-5506.144737154822</v>
      </c>
      <c r="J254">
        <v>-109010.59788634427</v>
      </c>
      <c r="K254">
        <v>0.9</v>
      </c>
    </row>
    <row r="255" spans="9:11" x14ac:dyDescent="0.25">
      <c r="I255">
        <v>-5506.047802664043</v>
      </c>
      <c r="J255">
        <v>-109004.29613363872</v>
      </c>
      <c r="K255">
        <v>0.9</v>
      </c>
    </row>
    <row r="256" spans="9:11" x14ac:dyDescent="0.25">
      <c r="I256">
        <v>-5505.9361567512105</v>
      </c>
      <c r="J256">
        <v>-108997.037975074</v>
      </c>
      <c r="K256">
        <v>0.9</v>
      </c>
    </row>
    <row r="257" spans="9:11" x14ac:dyDescent="0.25">
      <c r="I257">
        <v>-5505.8342345026813</v>
      </c>
      <c r="J257">
        <v>-108990.41200273871</v>
      </c>
      <c r="K257">
        <v>0.9</v>
      </c>
    </row>
    <row r="258" spans="9:11" x14ac:dyDescent="0.25">
      <c r="I258">
        <v>-5506.5771146354782</v>
      </c>
      <c r="J258">
        <v>-109038.710856996</v>
      </c>
      <c r="K258">
        <v>0.9</v>
      </c>
    </row>
    <row r="259" spans="9:11" x14ac:dyDescent="0.25">
      <c r="I259">
        <v>-5507.342711781961</v>
      </c>
      <c r="J259">
        <v>-109088.48676879748</v>
      </c>
      <c r="K259">
        <v>0.9</v>
      </c>
    </row>
    <row r="260" spans="9:11" x14ac:dyDescent="0.25">
      <c r="I260">
        <v>-5507.5088068372634</v>
      </c>
      <c r="J260">
        <v>-109099.28593797855</v>
      </c>
      <c r="K260">
        <v>0.9</v>
      </c>
    </row>
    <row r="261" spans="9:11" x14ac:dyDescent="0.25">
      <c r="I261">
        <v>-5507.4271845261319</v>
      </c>
      <c r="J261">
        <v>-109093.9797008942</v>
      </c>
      <c r="K261">
        <v>0.9</v>
      </c>
    </row>
    <row r="262" spans="9:11" x14ac:dyDescent="0.25">
      <c r="I262">
        <v>-5507.3489173294756</v>
      </c>
      <c r="J262">
        <v>-109088.8916420749</v>
      </c>
      <c r="K262">
        <v>0.9</v>
      </c>
    </row>
    <row r="263" spans="9:11" x14ac:dyDescent="0.25">
      <c r="I263">
        <v>-5508.1542787268836</v>
      </c>
      <c r="J263">
        <v>-109141.25283896126</v>
      </c>
      <c r="K263">
        <v>0.9</v>
      </c>
    </row>
    <row r="264" spans="9:11" x14ac:dyDescent="0.25">
      <c r="I264">
        <v>-5508.0632127655963</v>
      </c>
      <c r="J264">
        <v>-109135.3326257437</v>
      </c>
      <c r="K264">
        <v>0.9</v>
      </c>
    </row>
    <row r="265" spans="9:11" x14ac:dyDescent="0.25">
      <c r="I265">
        <v>-5507.5129498001579</v>
      </c>
      <c r="J265">
        <v>-109099.55776020839</v>
      </c>
      <c r="K265">
        <v>0.9</v>
      </c>
    </row>
    <row r="266" spans="9:11" x14ac:dyDescent="0.25">
      <c r="I266">
        <v>-5510.9591874123698</v>
      </c>
      <c r="J266">
        <v>-109323.622630618</v>
      </c>
      <c r="K266">
        <v>0.9</v>
      </c>
    </row>
    <row r="267" spans="9:11" x14ac:dyDescent="0.25">
      <c r="I267">
        <v>-5513.9626685433841</v>
      </c>
      <c r="J267">
        <v>-109518.90209866036</v>
      </c>
      <c r="K267">
        <v>0.9</v>
      </c>
    </row>
    <row r="268" spans="9:11" x14ac:dyDescent="0.25">
      <c r="I268">
        <v>-5516.6523630208103</v>
      </c>
      <c r="J268">
        <v>-109693.78107428155</v>
      </c>
      <c r="K268">
        <v>0.9</v>
      </c>
    </row>
    <row r="269" spans="9:11" x14ac:dyDescent="0.25">
      <c r="I269">
        <v>-5519.4927016448937</v>
      </c>
      <c r="J269">
        <v>-109878.45458200114</v>
      </c>
      <c r="K269">
        <v>0.9</v>
      </c>
    </row>
    <row r="270" spans="9:11" x14ac:dyDescent="0.25">
      <c r="I270">
        <v>-5523.0089402835938</v>
      </c>
      <c r="J270">
        <v>-110107.07222902842</v>
      </c>
      <c r="K270">
        <v>0.9</v>
      </c>
    </row>
    <row r="271" spans="9:11" x14ac:dyDescent="0.25">
      <c r="I271">
        <v>-5525.5576227318898</v>
      </c>
      <c r="J271">
        <v>-110272.78437253124</v>
      </c>
      <c r="K271">
        <v>0.9</v>
      </c>
    </row>
    <row r="272" spans="9:11" x14ac:dyDescent="0.25">
      <c r="I272">
        <v>-5528.3750410596076</v>
      </c>
      <c r="J272">
        <v>-110455.96883168245</v>
      </c>
      <c r="K272">
        <v>0.9</v>
      </c>
    </row>
    <row r="273" spans="9:11" x14ac:dyDescent="0.25">
      <c r="I273">
        <v>-5531.1674489224688</v>
      </c>
      <c r="J273">
        <v>-110637.52761941103</v>
      </c>
      <c r="K273">
        <v>0.9</v>
      </c>
    </row>
    <row r="274" spans="9:11" x14ac:dyDescent="0.25">
      <c r="I274">
        <v>-5534.3088764188415</v>
      </c>
      <c r="J274">
        <v>-110841.77836305415</v>
      </c>
      <c r="K274">
        <v>0.9</v>
      </c>
    </row>
    <row r="275" spans="9:11" x14ac:dyDescent="0.25">
      <c r="I275">
        <v>-5537.1946961653248</v>
      </c>
      <c r="J275">
        <v>-111029.41108193716</v>
      </c>
      <c r="K275">
        <v>0.9</v>
      </c>
    </row>
    <row r="276" spans="9:11" x14ac:dyDescent="0.25">
      <c r="I276">
        <v>-5545.6295026726884</v>
      </c>
      <c r="J276">
        <v>-111577.83562385473</v>
      </c>
      <c r="K276">
        <v>0.9</v>
      </c>
    </row>
    <row r="277" spans="9:11" x14ac:dyDescent="0.25">
      <c r="I277">
        <v>-5548.4003822660916</v>
      </c>
      <c r="J277">
        <v>-111757.99699603197</v>
      </c>
      <c r="K277">
        <v>0.9</v>
      </c>
    </row>
    <row r="278" spans="9:11" x14ac:dyDescent="0.25">
      <c r="I278">
        <v>-5551.4989369531941</v>
      </c>
      <c r="J278">
        <v>-111959.46251249366</v>
      </c>
      <c r="K278">
        <v>0.9</v>
      </c>
    </row>
    <row r="279" spans="9:11" x14ac:dyDescent="0.25">
      <c r="I279">
        <v>-5554.2824686604372</v>
      </c>
      <c r="J279">
        <v>-112140.44714895739</v>
      </c>
      <c r="K279">
        <v>0.9</v>
      </c>
    </row>
    <row r="280" spans="9:11" x14ac:dyDescent="0.25">
      <c r="I280">
        <v>-5557.3494492648078</v>
      </c>
      <c r="J280">
        <v>-112339.86063661164</v>
      </c>
      <c r="K280">
        <v>0.9</v>
      </c>
    </row>
    <row r="281" spans="9:11" x14ac:dyDescent="0.25">
      <c r="I281">
        <v>-5563.301012652566</v>
      </c>
      <c r="J281">
        <v>-112726.8300591649</v>
      </c>
      <c r="K281">
        <v>0.9</v>
      </c>
    </row>
    <row r="282" spans="9:11" x14ac:dyDescent="0.25">
      <c r="I282">
        <v>-5566.0754538234005</v>
      </c>
      <c r="J282">
        <v>-112907.22508319805</v>
      </c>
      <c r="K282">
        <v>0.9</v>
      </c>
    </row>
    <row r="283" spans="9:11" x14ac:dyDescent="0.25">
      <c r="I283">
        <v>-5569.6297270671466</v>
      </c>
      <c r="J283">
        <v>-113138.32149449331</v>
      </c>
      <c r="K283">
        <v>0.9</v>
      </c>
    </row>
    <row r="284" spans="9:11" x14ac:dyDescent="0.25">
      <c r="I284">
        <v>-5573.7892588879859</v>
      </c>
      <c r="J284">
        <v>-113408.78465042089</v>
      </c>
      <c r="K284">
        <v>0.9</v>
      </c>
    </row>
    <row r="285" spans="9:11" x14ac:dyDescent="0.25">
      <c r="I285">
        <v>15839.802713821033</v>
      </c>
      <c r="J285">
        <v>-21974.477793336271</v>
      </c>
      <c r="K285">
        <v>0.65</v>
      </c>
    </row>
    <row r="286" spans="9:11" x14ac:dyDescent="0.25">
      <c r="I286">
        <v>15828.913643490709</v>
      </c>
      <c r="J286">
        <v>-22682.356767707213</v>
      </c>
      <c r="K286">
        <v>0.65</v>
      </c>
    </row>
    <row r="287" spans="9:11" x14ac:dyDescent="0.25">
      <c r="I287">
        <v>15818.710830760927</v>
      </c>
      <c r="J287">
        <v>-23345.633075023386</v>
      </c>
      <c r="K287">
        <v>0.65</v>
      </c>
    </row>
    <row r="288" spans="9:11" x14ac:dyDescent="0.25">
      <c r="I288">
        <v>15807.677853770874</v>
      </c>
      <c r="J288">
        <v>-24062.895869678723</v>
      </c>
      <c r="K288">
        <v>0.65</v>
      </c>
    </row>
    <row r="289" spans="9:11" x14ac:dyDescent="0.25">
      <c r="I289">
        <v>15797.505947176995</v>
      </c>
      <c r="J289">
        <v>-24724.187979624636</v>
      </c>
      <c r="K289">
        <v>0.65</v>
      </c>
    </row>
    <row r="290" spans="9:11" x14ac:dyDescent="0.25">
      <c r="I290">
        <v>15808.756992904335</v>
      </c>
      <c r="J290">
        <v>-23992.674216534568</v>
      </c>
      <c r="K290">
        <v>0.65</v>
      </c>
    </row>
    <row r="291" spans="9:11" x14ac:dyDescent="0.25">
      <c r="I291">
        <v>15802.547217549783</v>
      </c>
      <c r="J291">
        <v>-24396.389708647959</v>
      </c>
      <c r="K291">
        <v>0.65</v>
      </c>
    </row>
    <row r="292" spans="9:11" x14ac:dyDescent="0.25">
      <c r="I292">
        <v>15827.065926080468</v>
      </c>
      <c r="J292">
        <v>-22802.30240179372</v>
      </c>
      <c r="K292">
        <v>0.65</v>
      </c>
    </row>
    <row r="293" spans="9:11" x14ac:dyDescent="0.25">
      <c r="I293">
        <v>15826.153089057547</v>
      </c>
      <c r="J293">
        <v>-22861.650188234493</v>
      </c>
      <c r="K293">
        <v>0.65</v>
      </c>
    </row>
    <row r="294" spans="9:11" x14ac:dyDescent="0.25">
      <c r="I294">
        <v>15816.631471758292</v>
      </c>
      <c r="J294">
        <v>-20740.415189121024</v>
      </c>
      <c r="K294">
        <v>0.65</v>
      </c>
    </row>
    <row r="295" spans="9:11" x14ac:dyDescent="0.25">
      <c r="I295">
        <v>15756.807832442979</v>
      </c>
      <c r="J295">
        <v>-18455.413997922689</v>
      </c>
      <c r="K295">
        <v>0.65</v>
      </c>
    </row>
    <row r="296" spans="9:11" x14ac:dyDescent="0.25">
      <c r="I296">
        <v>15692.866314684306</v>
      </c>
      <c r="J296">
        <v>-16068.218007953154</v>
      </c>
      <c r="K296">
        <v>0.65</v>
      </c>
    </row>
    <row r="297" spans="9:11" x14ac:dyDescent="0.25">
      <c r="I297">
        <v>15625.18574532124</v>
      </c>
      <c r="J297">
        <v>-13622.532365656423</v>
      </c>
      <c r="K297">
        <v>0.65</v>
      </c>
    </row>
    <row r="298" spans="9:11" x14ac:dyDescent="0.25">
      <c r="I298">
        <v>15556.766643024484</v>
      </c>
      <c r="J298">
        <v>-11169.755508596769</v>
      </c>
      <c r="K298">
        <v>0.65</v>
      </c>
    </row>
    <row r="299" spans="9:11" x14ac:dyDescent="0.25">
      <c r="I299">
        <v>15486.235247127062</v>
      </c>
      <c r="J299">
        <v>-8705.9930888023664</v>
      </c>
      <c r="K299">
        <v>0.65</v>
      </c>
    </row>
    <row r="300" spans="9:11" x14ac:dyDescent="0.25">
      <c r="I300">
        <v>15414.152958760456</v>
      </c>
      <c r="J300">
        <v>-6247.6989914879005</v>
      </c>
      <c r="K300">
        <v>0.65</v>
      </c>
    </row>
    <row r="301" spans="9:11" x14ac:dyDescent="0.25">
      <c r="I301">
        <v>15342.083159730917</v>
      </c>
      <c r="J301">
        <v>-3789.9441267050865</v>
      </c>
      <c r="K301">
        <v>0.65</v>
      </c>
    </row>
    <row r="302" spans="9:11" x14ac:dyDescent="0.25">
      <c r="I302">
        <v>15268.994912375792</v>
      </c>
      <c r="J302">
        <v>-1340.3251990438575</v>
      </c>
      <c r="K302">
        <v>0.65</v>
      </c>
    </row>
    <row r="303" spans="9:11" x14ac:dyDescent="0.25">
      <c r="I303">
        <v>15194.597005116242</v>
      </c>
      <c r="J303">
        <v>1082.4987014594999</v>
      </c>
      <c r="K303">
        <v>0.65</v>
      </c>
    </row>
    <row r="304" spans="9:11" x14ac:dyDescent="0.25">
      <c r="I304">
        <v>15119.548501168898</v>
      </c>
      <c r="J304">
        <v>3503.759815725</v>
      </c>
      <c r="K304">
        <v>0.65</v>
      </c>
    </row>
    <row r="305" spans="9:11" x14ac:dyDescent="0.25">
      <c r="I305">
        <v>15044.499997812274</v>
      </c>
      <c r="J305">
        <v>5925.0209679310001</v>
      </c>
      <c r="K305">
        <v>0.65</v>
      </c>
    </row>
    <row r="306" spans="9:11" x14ac:dyDescent="0.25">
      <c r="I306">
        <v>14969.451495102792</v>
      </c>
      <c r="J306">
        <v>8346.2821568100007</v>
      </c>
      <c r="K306">
        <v>0.65</v>
      </c>
    </row>
    <row r="307" spans="9:11" x14ac:dyDescent="0.25">
      <c r="I307">
        <v>14893.795362121271</v>
      </c>
      <c r="J307">
        <v>10754.3597404425</v>
      </c>
      <c r="K307">
        <v>0.65</v>
      </c>
    </row>
    <row r="308" spans="9:11" x14ac:dyDescent="0.25">
      <c r="I308">
        <v>14817.570563889394</v>
      </c>
      <c r="J308">
        <v>13146.405865190001</v>
      </c>
      <c r="K308">
        <v>0.65</v>
      </c>
    </row>
    <row r="309" spans="9:11" x14ac:dyDescent="0.25">
      <c r="I309">
        <v>14740.434309023312</v>
      </c>
      <c r="J309">
        <v>15515.0856216265</v>
      </c>
      <c r="K309">
        <v>0.65</v>
      </c>
    </row>
    <row r="310" spans="9:11" x14ac:dyDescent="0.25">
      <c r="I310">
        <v>14735.279761307611</v>
      </c>
      <c r="J310">
        <v>15672.5017837635</v>
      </c>
      <c r="K310">
        <v>0.65</v>
      </c>
    </row>
    <row r="311" spans="9:11" x14ac:dyDescent="0.25">
      <c r="I311">
        <v>14730.125212119043</v>
      </c>
      <c r="J311">
        <v>15829.918006188</v>
      </c>
      <c r="K311">
        <v>0.65</v>
      </c>
    </row>
    <row r="312" spans="9:11" x14ac:dyDescent="0.25">
      <c r="I312">
        <v>14724.970663504013</v>
      </c>
      <c r="J312">
        <v>15987.3342055505</v>
      </c>
      <c r="K312">
        <v>0.65</v>
      </c>
    </row>
    <row r="313" spans="9:11" x14ac:dyDescent="0.25">
      <c r="I313">
        <v>14719.816114741026</v>
      </c>
      <c r="J313">
        <v>16144.750411244</v>
      </c>
      <c r="K313">
        <v>0.65</v>
      </c>
    </row>
    <row r="314" spans="9:11" x14ac:dyDescent="0.25">
      <c r="I314">
        <v>14714.66156452145</v>
      </c>
      <c r="J314">
        <v>16302.166676562001</v>
      </c>
      <c r="K314">
        <v>0.65</v>
      </c>
    </row>
    <row r="315" spans="9:11" x14ac:dyDescent="0.25">
      <c r="I315">
        <v>14709.507017858703</v>
      </c>
      <c r="J315">
        <v>16459.582797319999</v>
      </c>
      <c r="K315">
        <v>0.65</v>
      </c>
    </row>
    <row r="316" spans="9:11" x14ac:dyDescent="0.25">
      <c r="I316">
        <v>14704.352468962314</v>
      </c>
      <c r="J316">
        <v>16616.999009351002</v>
      </c>
      <c r="K316">
        <v>0.65</v>
      </c>
    </row>
    <row r="317" spans="9:11" x14ac:dyDescent="0.25">
      <c r="I317">
        <v>13902.905994976905</v>
      </c>
      <c r="J317">
        <v>53388.174224183502</v>
      </c>
      <c r="K317">
        <v>0.65</v>
      </c>
    </row>
    <row r="318" spans="9:11" x14ac:dyDescent="0.25">
      <c r="I318">
        <v>13897.751445889617</v>
      </c>
      <c r="J318">
        <v>53545.590444333</v>
      </c>
      <c r="K318">
        <v>0.65</v>
      </c>
    </row>
    <row r="319" spans="9:11" x14ac:dyDescent="0.25">
      <c r="I319">
        <v>13892.59689710175</v>
      </c>
      <c r="J319">
        <v>53703.006652587508</v>
      </c>
      <c r="K319">
        <v>0.65</v>
      </c>
    </row>
    <row r="320" spans="9:11" x14ac:dyDescent="0.25">
      <c r="I320">
        <v>13887.442348336564</v>
      </c>
      <c r="J320">
        <v>53860.422860224498</v>
      </c>
      <c r="K320">
        <v>0.65</v>
      </c>
    </row>
    <row r="321" spans="9:11" x14ac:dyDescent="0.25">
      <c r="I321">
        <v>13882.287799445903</v>
      </c>
      <c r="J321">
        <v>54017.839073269497</v>
      </c>
      <c r="K321">
        <v>0.65</v>
      </c>
    </row>
    <row r="322" spans="9:11" x14ac:dyDescent="0.25">
      <c r="I322">
        <v>13877.13325057658</v>
      </c>
      <c r="J322">
        <v>54175.255285755506</v>
      </c>
      <c r="K322">
        <v>0.65</v>
      </c>
    </row>
    <row r="323" spans="9:11" x14ac:dyDescent="0.25">
      <c r="I323">
        <v>13871.978701662079</v>
      </c>
      <c r="J323">
        <v>54332.671500379998</v>
      </c>
      <c r="K323">
        <v>0.65</v>
      </c>
    </row>
    <row r="324" spans="9:11" x14ac:dyDescent="0.25">
      <c r="I324">
        <v>13071.124136887411</v>
      </c>
      <c r="J324">
        <v>89488.540989490502</v>
      </c>
      <c r="K324">
        <v>0.65</v>
      </c>
    </row>
    <row r="325" spans="9:11" x14ac:dyDescent="0.25">
      <c r="I325">
        <v>13065.978533706624</v>
      </c>
      <c r="J325">
        <v>89645.592886310493</v>
      </c>
      <c r="K325">
        <v>0.65</v>
      </c>
    </row>
    <row r="326" spans="9:11" x14ac:dyDescent="0.25">
      <c r="I326">
        <v>13060.832931173965</v>
      </c>
      <c r="J326">
        <v>89802.644757052505</v>
      </c>
      <c r="K326">
        <v>0.65</v>
      </c>
    </row>
    <row r="327" spans="9:11" x14ac:dyDescent="0.25">
      <c r="I327">
        <v>13055.687351666298</v>
      </c>
      <c r="J327">
        <v>89959.695690403503</v>
      </c>
      <c r="K327">
        <v>0.65</v>
      </c>
    </row>
    <row r="328" spans="9:11" x14ac:dyDescent="0.25">
      <c r="I328">
        <v>13050.54174166409</v>
      </c>
      <c r="J328">
        <v>90116.747865963</v>
      </c>
      <c r="K328">
        <v>0.65</v>
      </c>
    </row>
    <row r="329" spans="9:11" x14ac:dyDescent="0.25">
      <c r="I329">
        <v>13045.396139444205</v>
      </c>
      <c r="J329">
        <v>90273.799724907498</v>
      </c>
      <c r="K329">
        <v>0.65</v>
      </c>
    </row>
    <row r="330" spans="9:11" x14ac:dyDescent="0.25">
      <c r="I330">
        <v>12244.49913690066</v>
      </c>
      <c r="J330">
        <v>123840.20710645476</v>
      </c>
      <c r="K330">
        <v>0.65</v>
      </c>
    </row>
    <row r="331" spans="9:11" x14ac:dyDescent="0.25">
      <c r="I331">
        <v>12240.195668688546</v>
      </c>
      <c r="J331">
        <v>123962.953146448</v>
      </c>
      <c r="K331">
        <v>0.65</v>
      </c>
    </row>
    <row r="332" spans="9:11" x14ac:dyDescent="0.25">
      <c r="I332">
        <v>12235.050069275037</v>
      </c>
      <c r="J332">
        <v>124120.00489231849</v>
      </c>
      <c r="K332">
        <v>0.65</v>
      </c>
    </row>
    <row r="333" spans="9:11" x14ac:dyDescent="0.25">
      <c r="I333">
        <v>12229.904472051359</v>
      </c>
      <c r="J333">
        <v>124277.0565493145</v>
      </c>
      <c r="K333">
        <v>0.65</v>
      </c>
    </row>
    <row r="334" spans="9:11" x14ac:dyDescent="0.25">
      <c r="I334">
        <v>12224.75887293911</v>
      </c>
      <c r="J334">
        <v>124434.10828354351</v>
      </c>
      <c r="K334">
        <v>0.65</v>
      </c>
    </row>
    <row r="335" spans="9:11" x14ac:dyDescent="0.25">
      <c r="I335">
        <v>12219.613271141301</v>
      </c>
      <c r="J335">
        <v>124591.16012745351</v>
      </c>
      <c r="K335">
        <v>0.65</v>
      </c>
    </row>
    <row r="336" spans="9:11" x14ac:dyDescent="0.25">
      <c r="I336">
        <v>12214.467674437916</v>
      </c>
      <c r="J336">
        <v>124748.21176421501</v>
      </c>
      <c r="K336">
        <v>0.65</v>
      </c>
    </row>
    <row r="337" spans="9:11" x14ac:dyDescent="0.25">
      <c r="I337">
        <v>11409.267199151529</v>
      </c>
      <c r="J337">
        <v>156846.16537743402</v>
      </c>
      <c r="K337">
        <v>0.65</v>
      </c>
    </row>
    <row r="338" spans="9:11" x14ac:dyDescent="0.25">
      <c r="I338">
        <v>11404.12159981406</v>
      </c>
      <c r="J338">
        <v>157003.217122687</v>
      </c>
      <c r="K338">
        <v>0.65</v>
      </c>
    </row>
    <row r="339" spans="9:11" x14ac:dyDescent="0.25">
      <c r="I339">
        <v>11398.97600221892</v>
      </c>
      <c r="J339">
        <v>157160.268797311</v>
      </c>
      <c r="K339">
        <v>0.65</v>
      </c>
    </row>
    <row r="340" spans="9:11" x14ac:dyDescent="0.25">
      <c r="I340">
        <v>11393.830402937081</v>
      </c>
      <c r="J340">
        <v>157317.32054093899</v>
      </c>
      <c r="K340">
        <v>0.65</v>
      </c>
    </row>
    <row r="341" spans="9:11" x14ac:dyDescent="0.25">
      <c r="I341">
        <v>11388.68480385845</v>
      </c>
      <c r="J341">
        <v>157474.37227661101</v>
      </c>
      <c r="K341">
        <v>0.65</v>
      </c>
    </row>
    <row r="342" spans="9:11" x14ac:dyDescent="0.25">
      <c r="I342">
        <v>11383.539203790562</v>
      </c>
      <c r="J342">
        <v>157631.4240528885</v>
      </c>
      <c r="K342">
        <v>0.65</v>
      </c>
    </row>
    <row r="343" spans="9:11" x14ac:dyDescent="0.25">
      <c r="I343">
        <v>11378.393605029938</v>
      </c>
      <c r="J343">
        <v>157788.47577624948</v>
      </c>
      <c r="K343">
        <v>0.65</v>
      </c>
    </row>
    <row r="344" spans="9:11" x14ac:dyDescent="0.25">
      <c r="I344">
        <v>10577.331848476711</v>
      </c>
      <c r="J344">
        <v>188179.19226153355</v>
      </c>
      <c r="K344">
        <v>0.65</v>
      </c>
    </row>
    <row r="345" spans="9:11" x14ac:dyDescent="0.25">
      <c r="I345">
        <v>10573.193130452182</v>
      </c>
      <c r="J345">
        <v>188295.22936874651</v>
      </c>
      <c r="K345">
        <v>0.65</v>
      </c>
    </row>
    <row r="346" spans="9:11" x14ac:dyDescent="0.25">
      <c r="I346">
        <v>10568.047531204116</v>
      </c>
      <c r="J346">
        <v>188452.28111319352</v>
      </c>
      <c r="K346">
        <v>0.65</v>
      </c>
    </row>
    <row r="347" spans="9:11" x14ac:dyDescent="0.25">
      <c r="I347">
        <v>10562.901932818657</v>
      </c>
      <c r="J347">
        <v>188609.3328228395</v>
      </c>
      <c r="K347">
        <v>0.65</v>
      </c>
    </row>
    <row r="348" spans="9:11" x14ac:dyDescent="0.25">
      <c r="I348">
        <v>10557.756333229292</v>
      </c>
      <c r="J348">
        <v>188766.38458182701</v>
      </c>
      <c r="K348">
        <v>0.65</v>
      </c>
    </row>
    <row r="349" spans="9:11" x14ac:dyDescent="0.25">
      <c r="I349">
        <v>10552.610734945369</v>
      </c>
      <c r="J349">
        <v>188923.43628797599</v>
      </c>
      <c r="K349">
        <v>0.65</v>
      </c>
    </row>
    <row r="350" spans="9:11" x14ac:dyDescent="0.25">
      <c r="I350">
        <v>10547.465136333127</v>
      </c>
      <c r="J350">
        <v>189080.4880078205</v>
      </c>
      <c r="K350">
        <v>0.65</v>
      </c>
    </row>
    <row r="351" spans="9:11" x14ac:dyDescent="0.25">
      <c r="I351">
        <v>9741.3895653698728</v>
      </c>
      <c r="J351">
        <v>218031.68611288516</v>
      </c>
      <c r="K351">
        <v>0.65</v>
      </c>
    </row>
    <row r="352" spans="9:11" x14ac:dyDescent="0.25">
      <c r="I352">
        <v>9737.1190625469371</v>
      </c>
      <c r="J352">
        <v>218153.09335298702</v>
      </c>
      <c r="K352">
        <v>0.65</v>
      </c>
    </row>
    <row r="353" spans="9:11" x14ac:dyDescent="0.25">
      <c r="I353">
        <v>9731.973463787579</v>
      </c>
      <c r="J353">
        <v>218310.14508039749</v>
      </c>
      <c r="K353">
        <v>0.65</v>
      </c>
    </row>
    <row r="354" spans="9:11" x14ac:dyDescent="0.25">
      <c r="I354">
        <v>9726.8278655001432</v>
      </c>
      <c r="J354">
        <v>218467.19678891249</v>
      </c>
      <c r="K354">
        <v>0.65</v>
      </c>
    </row>
    <row r="355" spans="9:11" x14ac:dyDescent="0.25">
      <c r="I355">
        <v>9721.6822660251073</v>
      </c>
      <c r="J355">
        <v>218624.24854611899</v>
      </c>
      <c r="K355">
        <v>0.65</v>
      </c>
    </row>
    <row r="356" spans="9:11" x14ac:dyDescent="0.25">
      <c r="I356">
        <v>9716.5366671378288</v>
      </c>
      <c r="J356">
        <v>218781.30027971102</v>
      </c>
      <c r="K356">
        <v>0.65</v>
      </c>
    </row>
    <row r="357" spans="9:11" x14ac:dyDescent="0.25">
      <c r="I357">
        <v>9711.3910691284837</v>
      </c>
      <c r="J357">
        <v>218938.3519778715</v>
      </c>
      <c r="K357">
        <v>0.65</v>
      </c>
    </row>
    <row r="358" spans="9:11" x14ac:dyDescent="0.25">
      <c r="I358">
        <v>8904.804267544916</v>
      </c>
      <c r="J358">
        <v>246319.17732918164</v>
      </c>
      <c r="K358">
        <v>0.65</v>
      </c>
    </row>
    <row r="359" spans="9:11" x14ac:dyDescent="0.25">
      <c r="I359">
        <v>8901.0449946757217</v>
      </c>
      <c r="J359">
        <v>246419.757361375</v>
      </c>
      <c r="K359">
        <v>0.65</v>
      </c>
    </row>
    <row r="360" spans="9:11" x14ac:dyDescent="0.25">
      <c r="I360">
        <v>8895.8993961406013</v>
      </c>
      <c r="J360">
        <v>246576.80908254549</v>
      </c>
      <c r="K360">
        <v>0.65</v>
      </c>
    </row>
    <row r="361" spans="9:11" x14ac:dyDescent="0.25">
      <c r="I361">
        <v>8890.7537979140434</v>
      </c>
      <c r="J361">
        <v>246733.86079147001</v>
      </c>
      <c r="K361">
        <v>0.65</v>
      </c>
    </row>
    <row r="362" spans="9:11" x14ac:dyDescent="0.25">
      <c r="I362">
        <v>8885.608198769256</v>
      </c>
      <c r="J362">
        <v>246890.91253812698</v>
      </c>
      <c r="K362">
        <v>0.65</v>
      </c>
    </row>
    <row r="363" spans="9:11" x14ac:dyDescent="0.25">
      <c r="I363">
        <v>8535.5351080601467</v>
      </c>
      <c r="J363">
        <v>258256.43104112463</v>
      </c>
      <c r="K363">
        <v>0.65</v>
      </c>
    </row>
    <row r="364" spans="9:11" x14ac:dyDescent="0.25">
      <c r="I364">
        <v>8509.3422518562838</v>
      </c>
      <c r="J364">
        <v>259098.58540489629</v>
      </c>
      <c r="K364">
        <v>0.65</v>
      </c>
    </row>
    <row r="365" spans="9:11" x14ac:dyDescent="0.25">
      <c r="I365">
        <v>8412.5417134996824</v>
      </c>
      <c r="J365">
        <v>262176.99692614545</v>
      </c>
      <c r="K365">
        <v>0.65</v>
      </c>
    </row>
    <row r="366" spans="9:11" x14ac:dyDescent="0.25">
      <c r="I366">
        <v>8409.0058052453332</v>
      </c>
      <c r="J366">
        <v>262268.47687519697</v>
      </c>
      <c r="K366">
        <v>0.65</v>
      </c>
    </row>
    <row r="367" spans="9:11" x14ac:dyDescent="0.25">
      <c r="I367">
        <v>8403.8602076155021</v>
      </c>
      <c r="J367">
        <v>262425.52856218402</v>
      </c>
      <c r="K367">
        <v>0.65</v>
      </c>
    </row>
    <row r="368" spans="9:11" x14ac:dyDescent="0.25">
      <c r="I368">
        <v>8398.7146081539595</v>
      </c>
      <c r="J368">
        <v>262582.58032409649</v>
      </c>
      <c r="K368">
        <v>0.65</v>
      </c>
    </row>
    <row r="369" spans="9:11" x14ac:dyDescent="0.25">
      <c r="I369">
        <v>8393.5690089302352</v>
      </c>
      <c r="J369">
        <v>262739.63207666203</v>
      </c>
      <c r="K369">
        <v>0.65</v>
      </c>
    </row>
    <row r="370" spans="9:11" x14ac:dyDescent="0.25">
      <c r="I370">
        <v>8388.4234100051235</v>
      </c>
      <c r="J370">
        <v>262896.68381739099</v>
      </c>
      <c r="K370">
        <v>0.65</v>
      </c>
    </row>
    <row r="371" spans="9:11" x14ac:dyDescent="0.25">
      <c r="I371">
        <v>8380.5166878441523</v>
      </c>
      <c r="J371">
        <v>263155.00983027101</v>
      </c>
      <c r="K371">
        <v>0.65</v>
      </c>
    </row>
    <row r="372" spans="9:11" x14ac:dyDescent="0.25">
      <c r="I372">
        <v>8375.8192807911764</v>
      </c>
      <c r="J372">
        <v>263285.57673356903</v>
      </c>
      <c r="K372">
        <v>0.65</v>
      </c>
    </row>
    <row r="373" spans="9:11" x14ac:dyDescent="0.25">
      <c r="I373">
        <v>8263.1380631904885</v>
      </c>
      <c r="J373">
        <v>266699.87131406588</v>
      </c>
      <c r="K373">
        <v>0.65</v>
      </c>
    </row>
    <row r="374" spans="9:11" x14ac:dyDescent="0.25">
      <c r="I374">
        <v>8260.6245755850414</v>
      </c>
      <c r="J374">
        <v>266749.66938217566</v>
      </c>
      <c r="K374">
        <v>0.65</v>
      </c>
    </row>
    <row r="375" spans="9:11" x14ac:dyDescent="0.25">
      <c r="I375">
        <v>8255.9769965882952</v>
      </c>
      <c r="J375">
        <v>266886.43752836005</v>
      </c>
      <c r="K375">
        <v>0.65</v>
      </c>
    </row>
    <row r="376" spans="9:11" x14ac:dyDescent="0.25">
      <c r="I376">
        <v>8250.8313980255371</v>
      </c>
      <c r="J376">
        <v>267043.48925616051</v>
      </c>
      <c r="K376">
        <v>0.65</v>
      </c>
    </row>
    <row r="377" spans="9:11" x14ac:dyDescent="0.25">
      <c r="I377">
        <v>8245.5510457613091</v>
      </c>
      <c r="J377">
        <v>267205.34233960451</v>
      </c>
      <c r="K377">
        <v>0.65</v>
      </c>
    </row>
    <row r="378" spans="9:11" x14ac:dyDescent="0.25">
      <c r="I378">
        <v>8240.4219097625228</v>
      </c>
      <c r="J378">
        <v>267361.03708764451</v>
      </c>
      <c r="K378">
        <v>0.65</v>
      </c>
    </row>
    <row r="379" spans="9:11" x14ac:dyDescent="0.25">
      <c r="I379">
        <v>8235.2763110454744</v>
      </c>
      <c r="J379">
        <v>267518.088822725</v>
      </c>
      <c r="K379">
        <v>0.65</v>
      </c>
    </row>
    <row r="380" spans="9:11" x14ac:dyDescent="0.25">
      <c r="I380">
        <v>8230.1307128060707</v>
      </c>
      <c r="J380">
        <v>267675.1405386955</v>
      </c>
      <c r="K380">
        <v>0.65</v>
      </c>
    </row>
    <row r="381" spans="9:11" x14ac:dyDescent="0.25">
      <c r="I381">
        <v>7939.2839610888495</v>
      </c>
      <c r="J381">
        <v>275807.38520583953</v>
      </c>
      <c r="K381">
        <v>0.65</v>
      </c>
    </row>
    <row r="382" spans="9:11" x14ac:dyDescent="0.25">
      <c r="I382">
        <v>7745.8280682373143</v>
      </c>
      <c r="J382">
        <v>280970.703524935</v>
      </c>
      <c r="K382">
        <v>0.65</v>
      </c>
    </row>
    <row r="383" spans="9:11" x14ac:dyDescent="0.25">
      <c r="I383">
        <v>7463.5872418086747</v>
      </c>
      <c r="J383">
        <v>287553.13793304801</v>
      </c>
      <c r="K383">
        <v>0.65</v>
      </c>
    </row>
    <row r="384" spans="9:11" x14ac:dyDescent="0.25">
      <c r="I384">
        <v>7278.7503946695142</v>
      </c>
      <c r="J384">
        <v>291805.513089207</v>
      </c>
      <c r="K384">
        <v>0.65</v>
      </c>
    </row>
    <row r="385" spans="9:11" x14ac:dyDescent="0.25">
      <c r="I385">
        <v>6999.5823608824403</v>
      </c>
      <c r="J385">
        <v>297194.08460900071</v>
      </c>
      <c r="K385">
        <v>0.65</v>
      </c>
    </row>
    <row r="386" spans="9:11" x14ac:dyDescent="0.25">
      <c r="I386">
        <v>6801.8321602615251</v>
      </c>
      <c r="J386">
        <v>300940.038186619</v>
      </c>
      <c r="K386">
        <v>0.65</v>
      </c>
    </row>
    <row r="387" spans="9:11" x14ac:dyDescent="0.25">
      <c r="I387">
        <v>6616.2750143400863</v>
      </c>
      <c r="J387">
        <v>304307.03886831301</v>
      </c>
      <c r="K387">
        <v>0.65</v>
      </c>
    </row>
    <row r="388" spans="9:11" x14ac:dyDescent="0.25">
      <c r="I388">
        <v>6430.7192202447941</v>
      </c>
      <c r="J388">
        <v>307460.58256089152</v>
      </c>
      <c r="K388">
        <v>0.65</v>
      </c>
    </row>
    <row r="389" spans="9:11" x14ac:dyDescent="0.25">
      <c r="I389">
        <v>6245.1646889242829</v>
      </c>
      <c r="J389">
        <v>310400.6308193765</v>
      </c>
      <c r="K389">
        <v>0.65</v>
      </c>
    </row>
    <row r="390" spans="9:11" x14ac:dyDescent="0.25">
      <c r="I390">
        <v>6059.611320329569</v>
      </c>
      <c r="J390">
        <v>313127.14564942202</v>
      </c>
      <c r="K390">
        <v>0.65</v>
      </c>
    </row>
    <row r="391" spans="9:11" x14ac:dyDescent="0.25">
      <c r="I391">
        <v>5874.0588500903486</v>
      </c>
      <c r="J391">
        <v>315640.0957894015</v>
      </c>
      <c r="K391">
        <v>0.65</v>
      </c>
    </row>
    <row r="392" spans="9:11" x14ac:dyDescent="0.25">
      <c r="I392">
        <v>5688.6369958757359</v>
      </c>
      <c r="J392">
        <v>317934.12425635901</v>
      </c>
      <c r="K392">
        <v>0.65</v>
      </c>
    </row>
    <row r="393" spans="9:11" x14ac:dyDescent="0.25">
      <c r="I393">
        <v>5504.9486739770582</v>
      </c>
      <c r="J393">
        <v>320012.69593564048</v>
      </c>
      <c r="K393">
        <v>0.65</v>
      </c>
    </row>
    <row r="394" spans="9:11" x14ac:dyDescent="0.25">
      <c r="I394">
        <v>5424.4638943290875</v>
      </c>
      <c r="J394">
        <v>322306.4639775175</v>
      </c>
      <c r="K394">
        <v>0.65</v>
      </c>
    </row>
    <row r="395" spans="9:11" x14ac:dyDescent="0.25">
      <c r="I395">
        <v>5239.1610171137536</v>
      </c>
      <c r="J395">
        <v>324168.3514995575</v>
      </c>
      <c r="K395">
        <v>0.65</v>
      </c>
    </row>
    <row r="396" spans="9:11" x14ac:dyDescent="0.25">
      <c r="I396">
        <v>5053.955304299523</v>
      </c>
      <c r="J396">
        <v>325818.22618401551</v>
      </c>
      <c r="K396">
        <v>0.65</v>
      </c>
    </row>
    <row r="397" spans="9:11" x14ac:dyDescent="0.25">
      <c r="I397">
        <v>4965.0752720580995</v>
      </c>
      <c r="J397">
        <v>328024.65651782451</v>
      </c>
      <c r="K397">
        <v>0.65</v>
      </c>
    </row>
    <row r="398" spans="9:11" x14ac:dyDescent="0.25">
      <c r="I398">
        <v>4789.5997117089137</v>
      </c>
      <c r="J398">
        <v>329551.29028363101</v>
      </c>
      <c r="K398">
        <v>0.65</v>
      </c>
    </row>
    <row r="399" spans="9:11" x14ac:dyDescent="0.25">
      <c r="I399">
        <v>4604.2333240962398</v>
      </c>
      <c r="J399">
        <v>330774.56506659504</v>
      </c>
      <c r="K399">
        <v>0.65</v>
      </c>
    </row>
    <row r="400" spans="9:11" x14ac:dyDescent="0.25">
      <c r="I400">
        <v>4524.8896768236027</v>
      </c>
      <c r="J400">
        <v>333061.31547487504</v>
      </c>
      <c r="K400">
        <v>0.65</v>
      </c>
    </row>
    <row r="401" spans="9:11" x14ac:dyDescent="0.25">
      <c r="I401">
        <v>4347.5018964875162</v>
      </c>
      <c r="J401">
        <v>334663.54779254069</v>
      </c>
      <c r="K401">
        <v>0.65113040255336441</v>
      </c>
    </row>
    <row r="402" spans="9:11" x14ac:dyDescent="0.25">
      <c r="I402">
        <v>4223.7137771760354</v>
      </c>
      <c r="J402">
        <v>339610.0763979085</v>
      </c>
      <c r="K402">
        <v>0.65932281970568896</v>
      </c>
    </row>
    <row r="403" spans="9:11" x14ac:dyDescent="0.25">
      <c r="I403">
        <v>4220.3238963740005</v>
      </c>
      <c r="J403">
        <v>344731.23770797491</v>
      </c>
      <c r="K403">
        <v>0.66751484958227791</v>
      </c>
    </row>
    <row r="404" spans="9:11" x14ac:dyDescent="0.25">
      <c r="I404">
        <v>4110.931050407502</v>
      </c>
      <c r="J404">
        <v>348181.59281928197</v>
      </c>
      <c r="K404">
        <v>0.675707055542353</v>
      </c>
    </row>
    <row r="405" spans="9:11" x14ac:dyDescent="0.25">
      <c r="I405">
        <v>4109.7205249129502</v>
      </c>
      <c r="J405">
        <v>353413.4773242675</v>
      </c>
      <c r="K405">
        <v>0.68389910400741649</v>
      </c>
    </row>
    <row r="406" spans="9:11" x14ac:dyDescent="0.25">
      <c r="I406">
        <v>3996.5902762041765</v>
      </c>
      <c r="J406">
        <v>356659.53893854294</v>
      </c>
      <c r="K406">
        <v>0.69209127101596157</v>
      </c>
    </row>
    <row r="407" spans="9:11" x14ac:dyDescent="0.25">
      <c r="I407">
        <v>4010.4922445481243</v>
      </c>
      <c r="J407">
        <v>361041.00084050704</v>
      </c>
      <c r="K407">
        <v>0.7002840411457194</v>
      </c>
    </row>
    <row r="408" spans="9:11" x14ac:dyDescent="0.25">
      <c r="I408">
        <v>3918.1392353479187</v>
      </c>
      <c r="J408">
        <v>362895.63158146309</v>
      </c>
      <c r="K408">
        <v>0.7084751996186881</v>
      </c>
    </row>
    <row r="409" spans="9:11" x14ac:dyDescent="0.25">
      <c r="I409">
        <v>3940.515770353511</v>
      </c>
      <c r="J409">
        <v>367033.55496680446</v>
      </c>
      <c r="K409">
        <v>0.71666839676277239</v>
      </c>
    </row>
    <row r="410" spans="9:11" x14ac:dyDescent="0.25">
      <c r="I410">
        <v>3961.1243620238793</v>
      </c>
      <c r="J410">
        <v>371153.4839963048</v>
      </c>
      <c r="K410">
        <v>0.72486072461172524</v>
      </c>
    </row>
    <row r="411" spans="9:11" x14ac:dyDescent="0.25">
      <c r="I411">
        <v>3863.2855153892469</v>
      </c>
      <c r="J411">
        <v>372687.06646526663</v>
      </c>
      <c r="K411">
        <v>0.73305203766668747</v>
      </c>
    </row>
    <row r="412" spans="9:11" x14ac:dyDescent="0.25">
      <c r="I412">
        <v>3884.7744205439785</v>
      </c>
      <c r="J412">
        <v>376720.8542770184</v>
      </c>
      <c r="K412">
        <v>0.74124497924560595</v>
      </c>
    </row>
    <row r="413" spans="9:11" x14ac:dyDescent="0.25">
      <c r="I413">
        <v>3783.3713583679009</v>
      </c>
      <c r="J413">
        <v>377801.68632319459</v>
      </c>
      <c r="K413">
        <v>0.74943726500043295</v>
      </c>
    </row>
    <row r="414" spans="9:11" x14ac:dyDescent="0.25">
      <c r="I414">
        <v>3805.2659117964185</v>
      </c>
      <c r="J414">
        <v>381753.37036016776</v>
      </c>
      <c r="K414">
        <v>0.75762965165588425</v>
      </c>
    </row>
    <row r="415" spans="9:11" x14ac:dyDescent="0.25">
      <c r="I415">
        <v>3827.4064915972845</v>
      </c>
      <c r="J415">
        <v>385687.2627750542</v>
      </c>
      <c r="K415">
        <v>0.76582170074153932</v>
      </c>
    </row>
    <row r="416" spans="9:11" x14ac:dyDescent="0.25">
      <c r="I416">
        <v>3722.0832071948134</v>
      </c>
      <c r="J416">
        <v>386309.49669064768</v>
      </c>
      <c r="K416">
        <v>0.77401399395084103</v>
      </c>
    </row>
    <row r="417" spans="9:11" x14ac:dyDescent="0.25">
      <c r="I417">
        <v>3741.6683330727988</v>
      </c>
      <c r="J417">
        <v>390182.11951683945</v>
      </c>
      <c r="K417">
        <v>0.7822057712192636</v>
      </c>
    </row>
    <row r="418" spans="9:11" x14ac:dyDescent="0.25">
      <c r="I418">
        <v>3761.8365545812458</v>
      </c>
      <c r="J418">
        <v>394016.12603870721</v>
      </c>
      <c r="K418">
        <v>0.79039833407305171</v>
      </c>
    </row>
    <row r="419" spans="9:11" x14ac:dyDescent="0.25">
      <c r="I419">
        <v>3653.5469924527943</v>
      </c>
      <c r="J419">
        <v>394206.9437890292</v>
      </c>
      <c r="K419">
        <v>0.79858822295245591</v>
      </c>
    </row>
    <row r="420" spans="9:11" x14ac:dyDescent="0.25">
      <c r="I420">
        <v>3671.958726663157</v>
      </c>
      <c r="J420">
        <v>397916.84123948368</v>
      </c>
      <c r="K420">
        <v>0.80678256258581049</v>
      </c>
    </row>
    <row r="421" spans="9:11" x14ac:dyDescent="0.25">
      <c r="I421">
        <v>3693.7196680925549</v>
      </c>
      <c r="J421">
        <v>401638.61611699185</v>
      </c>
      <c r="K421">
        <v>0.81497510889241376</v>
      </c>
    </row>
    <row r="422" spans="9:11" x14ac:dyDescent="0.25">
      <c r="I422">
        <v>3580.2668034283834</v>
      </c>
      <c r="J422">
        <v>401294.651535924</v>
      </c>
      <c r="K422">
        <v>0.823167394163971</v>
      </c>
    </row>
    <row r="423" spans="9:11" x14ac:dyDescent="0.25">
      <c r="I423">
        <v>3600.3376216837628</v>
      </c>
      <c r="J423">
        <v>404962.64406801062</v>
      </c>
      <c r="K423">
        <v>0.8313594461781868</v>
      </c>
    </row>
    <row r="424" spans="9:11" x14ac:dyDescent="0.25">
      <c r="I424">
        <v>3620.1018009856552</v>
      </c>
      <c r="J424">
        <v>408624.2192569563</v>
      </c>
      <c r="K424">
        <v>0.83955149817876484</v>
      </c>
    </row>
    <row r="425" spans="9:11" x14ac:dyDescent="0.25">
      <c r="I425">
        <v>3637.5487794311439</v>
      </c>
      <c r="J425">
        <v>412213.33071020868</v>
      </c>
      <c r="K425">
        <v>0.84774396255105111</v>
      </c>
    </row>
    <row r="426" spans="9:11" x14ac:dyDescent="0.25">
      <c r="I426">
        <v>3518.5729866806696</v>
      </c>
      <c r="J426">
        <v>411440.62788620178</v>
      </c>
      <c r="K426">
        <v>0.85593580373236566</v>
      </c>
    </row>
    <row r="427" spans="9:11" x14ac:dyDescent="0.25">
      <c r="I427">
        <v>3535.6388024193507</v>
      </c>
      <c r="J427">
        <v>415025.67713850894</v>
      </c>
      <c r="K427">
        <v>0.8641278547234349</v>
      </c>
    </row>
    <row r="428" spans="9:11" x14ac:dyDescent="0.25">
      <c r="I428">
        <v>3552.8310338837337</v>
      </c>
      <c r="J428">
        <v>418618.49661471008</v>
      </c>
      <c r="K428">
        <v>0.87231990673215309</v>
      </c>
    </row>
    <row r="429" spans="9:11" x14ac:dyDescent="0.25">
      <c r="I429">
        <v>3556.8519037950173</v>
      </c>
      <c r="J429">
        <v>421791.57269395748</v>
      </c>
      <c r="K429">
        <v>0.88050849404826603</v>
      </c>
    </row>
    <row r="430" spans="9:11" x14ac:dyDescent="0.25">
      <c r="I430">
        <v>3440.3295320957441</v>
      </c>
      <c r="J430">
        <v>420818.69674718147</v>
      </c>
      <c r="K430">
        <v>0.88870417909949606</v>
      </c>
    </row>
    <row r="431" spans="9:11" x14ac:dyDescent="0.25">
      <c r="I431">
        <v>3457.6332760474011</v>
      </c>
      <c r="J431">
        <v>424335.48457688669</v>
      </c>
      <c r="K431">
        <v>0.89689671207155863</v>
      </c>
    </row>
    <row r="432" spans="9:11" x14ac:dyDescent="0.25">
      <c r="I432">
        <v>3455.3485514500612</v>
      </c>
      <c r="J432">
        <v>425442.89418774302</v>
      </c>
      <c r="K432">
        <v>0.9</v>
      </c>
    </row>
    <row r="433" spans="9:11" x14ac:dyDescent="0.25">
      <c r="I433">
        <v>3441.100319357683</v>
      </c>
      <c r="J433">
        <v>425082.091028544</v>
      </c>
      <c r="K433">
        <v>0.9</v>
      </c>
    </row>
    <row r="434" spans="9:11" x14ac:dyDescent="0.25">
      <c r="I434">
        <v>3279.5651731797602</v>
      </c>
      <c r="J434">
        <v>419389.69774882501</v>
      </c>
      <c r="K434">
        <v>0.9</v>
      </c>
    </row>
    <row r="435" spans="9:11" x14ac:dyDescent="0.25">
      <c r="I435">
        <v>3267.7989087656219</v>
      </c>
      <c r="J435">
        <v>419029.17860095203</v>
      </c>
      <c r="K435">
        <v>0.9</v>
      </c>
    </row>
    <row r="436" spans="9:11" x14ac:dyDescent="0.25">
      <c r="I436">
        <v>3256.0326458855729</v>
      </c>
      <c r="J436">
        <v>418668.65952752705</v>
      </c>
      <c r="K436">
        <v>0.9</v>
      </c>
    </row>
    <row r="437" spans="9:11" x14ac:dyDescent="0.25">
      <c r="I437">
        <v>3243.8125871029497</v>
      </c>
      <c r="J437">
        <v>418290.24969509401</v>
      </c>
      <c r="K437">
        <v>0.9</v>
      </c>
    </row>
    <row r="438" spans="9:11" x14ac:dyDescent="0.25">
      <c r="I438">
        <v>3232.0463284283437</v>
      </c>
      <c r="J438">
        <v>417929.73087623401</v>
      </c>
      <c r="K438">
        <v>0.9</v>
      </c>
    </row>
    <row r="439" spans="9:11" x14ac:dyDescent="0.25">
      <c r="I439">
        <v>3075.0771687327469</v>
      </c>
      <c r="J439">
        <v>412050.30648544797</v>
      </c>
      <c r="K439">
        <v>0.9</v>
      </c>
    </row>
    <row r="440" spans="9:11" x14ac:dyDescent="0.25">
      <c r="I440">
        <v>3061.1075115338863</v>
      </c>
      <c r="J440">
        <v>411605.00696375099</v>
      </c>
      <c r="K440">
        <v>0.9</v>
      </c>
    </row>
    <row r="441" spans="9:11" x14ac:dyDescent="0.25">
      <c r="I441">
        <v>3049.3412618910838</v>
      </c>
      <c r="J441">
        <v>411244.48878576298</v>
      </c>
      <c r="K441">
        <v>0.9</v>
      </c>
    </row>
    <row r="442" spans="9:11" x14ac:dyDescent="0.25">
      <c r="I442">
        <v>3037.5750115552037</v>
      </c>
      <c r="J442">
        <v>410883.97045886097</v>
      </c>
      <c r="K442">
        <v>0.9</v>
      </c>
    </row>
    <row r="443" spans="9:11" x14ac:dyDescent="0.25">
      <c r="I443">
        <v>3025.8087676144478</v>
      </c>
      <c r="J443">
        <v>410523.45267090597</v>
      </c>
      <c r="K443">
        <v>0.9</v>
      </c>
    </row>
    <row r="444" spans="9:11" x14ac:dyDescent="0.25">
      <c r="I444">
        <v>2854.4047883044082</v>
      </c>
      <c r="J444">
        <v>403884.86772161699</v>
      </c>
      <c r="K444">
        <v>0.9</v>
      </c>
    </row>
    <row r="445" spans="9:11" x14ac:dyDescent="0.25">
      <c r="I445">
        <v>2842.6385510818664</v>
      </c>
      <c r="J445">
        <v>403524.35033044498</v>
      </c>
      <c r="K445">
        <v>0.9</v>
      </c>
    </row>
    <row r="446" spans="9:11" x14ac:dyDescent="0.25">
      <c r="I446">
        <v>2829.8792455669413</v>
      </c>
      <c r="J446">
        <v>403104.32302220998</v>
      </c>
      <c r="K446">
        <v>0.9</v>
      </c>
    </row>
    <row r="447" spans="9:11" x14ac:dyDescent="0.25">
      <c r="I447">
        <v>2816.5978256302396</v>
      </c>
      <c r="J447">
        <v>402651.36034053302</v>
      </c>
      <c r="K447">
        <v>0.9</v>
      </c>
    </row>
    <row r="448" spans="9:11" x14ac:dyDescent="0.25">
      <c r="I448">
        <v>2803.8981455388421</v>
      </c>
      <c r="J448">
        <v>402203.40085244318</v>
      </c>
      <c r="K448">
        <v>0.9</v>
      </c>
    </row>
    <row r="449" spans="9:11" x14ac:dyDescent="0.25">
      <c r="I449">
        <v>2790.2094693618565</v>
      </c>
      <c r="J449">
        <v>401641.48552763701</v>
      </c>
      <c r="K449">
        <v>0.9</v>
      </c>
    </row>
    <row r="450" spans="9:11" x14ac:dyDescent="0.25">
      <c r="I450">
        <v>2634.4602681641063</v>
      </c>
      <c r="J450">
        <v>395137.93618917</v>
      </c>
      <c r="K450">
        <v>0.9</v>
      </c>
    </row>
    <row r="451" spans="9:11" x14ac:dyDescent="0.25">
      <c r="I451">
        <v>2623.2910964766079</v>
      </c>
      <c r="J451">
        <v>394707.80320647301</v>
      </c>
      <c r="K451">
        <v>0.9</v>
      </c>
    </row>
    <row r="452" spans="9:11" x14ac:dyDescent="0.25">
      <c r="I452">
        <v>2612.121890205688</v>
      </c>
      <c r="J452">
        <v>394277.66776526399</v>
      </c>
      <c r="K452">
        <v>0.9</v>
      </c>
    </row>
    <row r="453" spans="9:11" x14ac:dyDescent="0.25">
      <c r="I453">
        <v>2600.8132159698348</v>
      </c>
      <c r="J453">
        <v>393835.582955538</v>
      </c>
      <c r="K453">
        <v>0.9</v>
      </c>
    </row>
    <row r="454" spans="9:11" x14ac:dyDescent="0.25">
      <c r="I454">
        <v>2591.4452872683764</v>
      </c>
      <c r="J454">
        <v>393425.67407909402</v>
      </c>
      <c r="K454">
        <v>0.9</v>
      </c>
    </row>
    <row r="455" spans="9:11" x14ac:dyDescent="0.25">
      <c r="I455">
        <v>2582.2746077682991</v>
      </c>
      <c r="J455">
        <v>393023.74985064904</v>
      </c>
      <c r="K455">
        <v>0.9</v>
      </c>
    </row>
    <row r="456" spans="9:11" x14ac:dyDescent="0.25">
      <c r="I456">
        <v>2573.5431814705921</v>
      </c>
      <c r="J456">
        <v>392650.39270698599</v>
      </c>
      <c r="K456">
        <v>0.9</v>
      </c>
    </row>
    <row r="457" spans="9:11" x14ac:dyDescent="0.25">
      <c r="I457">
        <v>2421.1309707334876</v>
      </c>
      <c r="J457">
        <v>385935.43026566698</v>
      </c>
      <c r="K457">
        <v>0.9</v>
      </c>
    </row>
    <row r="458" spans="9:11" x14ac:dyDescent="0.25">
      <c r="I458">
        <v>2406.8642574577552</v>
      </c>
      <c r="J458">
        <v>385308.09692262002</v>
      </c>
      <c r="K458">
        <v>0.9</v>
      </c>
    </row>
    <row r="459" spans="9:11" x14ac:dyDescent="0.25">
      <c r="I459">
        <v>2397.6936023890989</v>
      </c>
      <c r="J459">
        <v>384906.174282783</v>
      </c>
      <c r="K459">
        <v>0.9</v>
      </c>
    </row>
    <row r="460" spans="9:11" x14ac:dyDescent="0.25">
      <c r="I460">
        <v>2388.5229726623352</v>
      </c>
      <c r="J460">
        <v>384504.25329096301</v>
      </c>
      <c r="K460">
        <v>0.9</v>
      </c>
    </row>
    <row r="461" spans="9:11" x14ac:dyDescent="0.25">
      <c r="I461">
        <v>2379.3523310752298</v>
      </c>
      <c r="J461">
        <v>384102.331527762</v>
      </c>
      <c r="K461">
        <v>0.9</v>
      </c>
    </row>
    <row r="462" spans="9:11" x14ac:dyDescent="0.25">
      <c r="I462">
        <v>2370.1816678011828</v>
      </c>
      <c r="J462">
        <v>383700.40835412598</v>
      </c>
      <c r="K462">
        <v>0.9</v>
      </c>
    </row>
    <row r="463" spans="9:11" x14ac:dyDescent="0.25">
      <c r="I463">
        <v>2361.0111161922091</v>
      </c>
      <c r="J463">
        <v>383298.49244236498</v>
      </c>
      <c r="K463">
        <v>0.9</v>
      </c>
    </row>
    <row r="464" spans="9:11" x14ac:dyDescent="0.25">
      <c r="I464">
        <v>2345.7236599909306</v>
      </c>
      <c r="J464">
        <v>382635.89785612852</v>
      </c>
      <c r="K464">
        <v>0.9</v>
      </c>
    </row>
    <row r="465" spans="9:11" x14ac:dyDescent="0.25">
      <c r="I465">
        <v>2207.1907986119404</v>
      </c>
      <c r="J465">
        <v>376265.33448266803</v>
      </c>
      <c r="K465">
        <v>0.9</v>
      </c>
    </row>
    <row r="466" spans="9:11" x14ac:dyDescent="0.25">
      <c r="I466">
        <v>2185.5959380351578</v>
      </c>
      <c r="J466">
        <v>375287.01723478799</v>
      </c>
      <c r="K466">
        <v>0.9</v>
      </c>
    </row>
    <row r="467" spans="9:11" x14ac:dyDescent="0.25">
      <c r="I467">
        <v>2176.4253178917834</v>
      </c>
      <c r="J467">
        <v>374885.096865759</v>
      </c>
      <c r="K467">
        <v>0.9</v>
      </c>
    </row>
    <row r="468" spans="9:11" x14ac:dyDescent="0.25">
      <c r="I468">
        <v>2167.2546559784414</v>
      </c>
      <c r="J468">
        <v>374483.17378022399</v>
      </c>
      <c r="K468">
        <v>0.9</v>
      </c>
    </row>
    <row r="469" spans="9:11" x14ac:dyDescent="0.25">
      <c r="I469">
        <v>2158.0840433997655</v>
      </c>
      <c r="J469">
        <v>374081.25390301802</v>
      </c>
      <c r="K469">
        <v>0.9</v>
      </c>
    </row>
    <row r="470" spans="9:11" x14ac:dyDescent="0.25">
      <c r="I470">
        <v>2148.9134768845051</v>
      </c>
      <c r="J470">
        <v>373679.33702139003</v>
      </c>
      <c r="K470">
        <v>0.9</v>
      </c>
    </row>
    <row r="471" spans="9:11" x14ac:dyDescent="0.25">
      <c r="I471">
        <v>2139.7107296963932</v>
      </c>
      <c r="J471">
        <v>373282.81506000902</v>
      </c>
      <c r="K471">
        <v>0.9</v>
      </c>
    </row>
    <row r="472" spans="9:11" x14ac:dyDescent="0.25">
      <c r="I472">
        <v>2129.6186510819653</v>
      </c>
      <c r="J472">
        <v>372829.43926910701</v>
      </c>
      <c r="K472">
        <v>0.9</v>
      </c>
    </row>
    <row r="473" spans="9:11" x14ac:dyDescent="0.25">
      <c r="I473">
        <v>2120.4480635979085</v>
      </c>
      <c r="J473">
        <v>372427.52102359198</v>
      </c>
      <c r="K473">
        <v>0.9</v>
      </c>
    </row>
    <row r="474" spans="9:11" x14ac:dyDescent="0.25">
      <c r="I474">
        <v>2111.5891117567098</v>
      </c>
      <c r="J474">
        <v>372045.86999604682</v>
      </c>
      <c r="K474">
        <v>0.9</v>
      </c>
    </row>
    <row r="475" spans="9:11" x14ac:dyDescent="0.25">
      <c r="I475">
        <v>1956.6263279668804</v>
      </c>
      <c r="J475">
        <v>364639.74107634899</v>
      </c>
      <c r="K475">
        <v>0.9</v>
      </c>
    </row>
    <row r="476" spans="9:11" x14ac:dyDescent="0.25">
      <c r="I476">
        <v>1947.4557466870551</v>
      </c>
      <c r="J476">
        <v>364237.82323409704</v>
      </c>
      <c r="K476">
        <v>0.9</v>
      </c>
    </row>
    <row r="477" spans="9:11" x14ac:dyDescent="0.25">
      <c r="I477">
        <v>1938.8807913983292</v>
      </c>
      <c r="J477">
        <v>363844.29086825403</v>
      </c>
      <c r="K477">
        <v>0.9</v>
      </c>
    </row>
    <row r="478" spans="9:11" x14ac:dyDescent="0.25">
      <c r="I478">
        <v>1929.8649357343518</v>
      </c>
      <c r="J478">
        <v>363411.18324096297</v>
      </c>
      <c r="K478">
        <v>0.9</v>
      </c>
    </row>
    <row r="479" spans="9:11" x14ac:dyDescent="0.25">
      <c r="I479">
        <v>1922.3230547849705</v>
      </c>
      <c r="J479">
        <v>363049.67104758002</v>
      </c>
      <c r="K479">
        <v>0.9</v>
      </c>
    </row>
    <row r="480" spans="9:11" x14ac:dyDescent="0.25">
      <c r="I480">
        <v>1715.9152299889129</v>
      </c>
      <c r="J480">
        <v>352821.24964044901</v>
      </c>
      <c r="K480">
        <v>0.9</v>
      </c>
    </row>
    <row r="481" spans="9:11" x14ac:dyDescent="0.25">
      <c r="I481">
        <v>1668.5056666277003</v>
      </c>
      <c r="J481">
        <v>350312.54610214796</v>
      </c>
      <c r="K481">
        <v>0.9</v>
      </c>
    </row>
    <row r="482" spans="9:11" x14ac:dyDescent="0.25">
      <c r="I482">
        <v>1473.2156129090301</v>
      </c>
      <c r="J482">
        <v>340112.34597007802</v>
      </c>
      <c r="K482">
        <v>0.9</v>
      </c>
    </row>
    <row r="483" spans="9:11" x14ac:dyDescent="0.25">
      <c r="I483">
        <v>1425.7552980248281</v>
      </c>
      <c r="J483">
        <v>337600.87243510498</v>
      </c>
      <c r="K483">
        <v>0.9</v>
      </c>
    </row>
    <row r="484" spans="9:11" x14ac:dyDescent="0.25">
      <c r="I484">
        <v>1234.5558460155833</v>
      </c>
      <c r="J484">
        <v>327327.06976557296</v>
      </c>
      <c r="K484">
        <v>0.9</v>
      </c>
    </row>
    <row r="485" spans="9:11" x14ac:dyDescent="0.25">
      <c r="I485">
        <v>1183.0729821462569</v>
      </c>
      <c r="J485">
        <v>324597.213144081</v>
      </c>
      <c r="K485">
        <v>0.9</v>
      </c>
    </row>
    <row r="486" spans="9:11" x14ac:dyDescent="0.25">
      <c r="I486">
        <v>1139.81925393494</v>
      </c>
      <c r="J486">
        <v>322245.14459599799</v>
      </c>
      <c r="K486">
        <v>0.9</v>
      </c>
    </row>
    <row r="487" spans="9:11" x14ac:dyDescent="0.25">
      <c r="I487">
        <v>953.53943116348387</v>
      </c>
      <c r="J487">
        <v>311803.19175532501</v>
      </c>
      <c r="K487">
        <v>0.9</v>
      </c>
    </row>
    <row r="488" spans="9:11" x14ac:dyDescent="0.25">
      <c r="I488">
        <v>914.99662128325667</v>
      </c>
      <c r="J488">
        <v>309630.79499007598</v>
      </c>
      <c r="K488">
        <v>0.9</v>
      </c>
    </row>
    <row r="489" spans="9:11" x14ac:dyDescent="0.25">
      <c r="I489">
        <v>883.11354857879553</v>
      </c>
      <c r="J489">
        <v>307720.06908783299</v>
      </c>
      <c r="K489">
        <v>0.9</v>
      </c>
    </row>
    <row r="490" spans="9:11" x14ac:dyDescent="0.25">
      <c r="I490">
        <v>707.55502443240323</v>
      </c>
      <c r="J490">
        <v>297474.339494268</v>
      </c>
      <c r="K490">
        <v>0.9</v>
      </c>
    </row>
    <row r="491" spans="9:11" x14ac:dyDescent="0.25">
      <c r="I491">
        <v>494.09386735369054</v>
      </c>
      <c r="J491">
        <v>284938.699259313</v>
      </c>
      <c r="K491">
        <v>0.9</v>
      </c>
    </row>
    <row r="492" spans="9:11" x14ac:dyDescent="0.25">
      <c r="I492">
        <v>463.8487142935507</v>
      </c>
      <c r="J492">
        <v>283122.56540754897</v>
      </c>
      <c r="K492">
        <v>0.9</v>
      </c>
    </row>
    <row r="493" spans="9:11" x14ac:dyDescent="0.25">
      <c r="I493">
        <v>433.60448980656719</v>
      </c>
      <c r="J493">
        <v>281306.491919811</v>
      </c>
      <c r="K493">
        <v>0.9</v>
      </c>
    </row>
    <row r="494" spans="9:11" x14ac:dyDescent="0.25">
      <c r="I494">
        <v>403.36128110335852</v>
      </c>
      <c r="J494">
        <v>279490.48445274297</v>
      </c>
      <c r="K494">
        <v>0.9</v>
      </c>
    </row>
    <row r="495" spans="9:11" x14ac:dyDescent="0.25">
      <c r="I495">
        <v>-135.28020062179294</v>
      </c>
      <c r="J495">
        <v>247163.38447553999</v>
      </c>
      <c r="K495">
        <v>0.9</v>
      </c>
    </row>
    <row r="496" spans="9:11" x14ac:dyDescent="0.25">
      <c r="I496">
        <v>-165.6483503982036</v>
      </c>
      <c r="J496">
        <v>245339.61717749399</v>
      </c>
      <c r="K496">
        <v>0.9</v>
      </c>
    </row>
    <row r="497" spans="9:11" x14ac:dyDescent="0.25">
      <c r="I497">
        <v>-196.01524807270309</v>
      </c>
      <c r="J497">
        <v>243515.93146660802</v>
      </c>
      <c r="K497">
        <v>0.9</v>
      </c>
    </row>
    <row r="498" spans="9:11" x14ac:dyDescent="0.25">
      <c r="I498">
        <v>-226.38064036702312</v>
      </c>
      <c r="J498">
        <v>241692.34340557802</v>
      </c>
      <c r="K498">
        <v>0.9</v>
      </c>
    </row>
    <row r="499" spans="9:11" x14ac:dyDescent="0.25">
      <c r="I499">
        <v>-256.74460428075844</v>
      </c>
      <c r="J499">
        <v>239868.84854924103</v>
      </c>
      <c r="K499">
        <v>0.9</v>
      </c>
    </row>
    <row r="500" spans="9:11" x14ac:dyDescent="0.25">
      <c r="I500">
        <v>-292.23182397404696</v>
      </c>
      <c r="J500">
        <v>237728.84133792602</v>
      </c>
      <c r="K500">
        <v>0.9</v>
      </c>
    </row>
    <row r="501" spans="9:11" x14ac:dyDescent="0.25">
      <c r="I501">
        <v>-819.35509948636786</v>
      </c>
      <c r="J501">
        <v>205098.62404522501</v>
      </c>
      <c r="K501">
        <v>0.9</v>
      </c>
    </row>
    <row r="502" spans="9:11" x14ac:dyDescent="0.25">
      <c r="I502">
        <v>-849.7134765625982</v>
      </c>
      <c r="J502">
        <v>203275.49231701798</v>
      </c>
      <c r="K502">
        <v>0.9</v>
      </c>
    </row>
    <row r="503" spans="9:11" x14ac:dyDescent="0.25">
      <c r="I503">
        <v>-876.99298793945707</v>
      </c>
      <c r="J503">
        <v>201609.027052155</v>
      </c>
      <c r="K503">
        <v>0.9</v>
      </c>
    </row>
    <row r="504" spans="9:11" x14ac:dyDescent="0.25">
      <c r="I504">
        <v>-902.13666349633911</v>
      </c>
      <c r="J504">
        <v>200061.314153496</v>
      </c>
      <c r="K504">
        <v>0.9</v>
      </c>
    </row>
    <row r="505" spans="9:11" x14ac:dyDescent="0.25">
      <c r="I505">
        <v>-927.27784803343059</v>
      </c>
      <c r="J505">
        <v>198513.76316486401</v>
      </c>
      <c r="K505">
        <v>0.9</v>
      </c>
    </row>
    <row r="506" spans="9:11" x14ac:dyDescent="0.25">
      <c r="I506">
        <v>-952.58298759934348</v>
      </c>
      <c r="J506">
        <v>196955.848579482</v>
      </c>
      <c r="K506">
        <v>0.9</v>
      </c>
    </row>
    <row r="507" spans="9:11" x14ac:dyDescent="0.25">
      <c r="I507">
        <v>-977.71879011568365</v>
      </c>
      <c r="J507">
        <v>195408.64780624799</v>
      </c>
      <c r="K507">
        <v>0.9</v>
      </c>
    </row>
    <row r="508" spans="9:11" x14ac:dyDescent="0.25">
      <c r="I508">
        <v>-1002.8515896951465</v>
      </c>
      <c r="J508">
        <v>193861.64242771198</v>
      </c>
      <c r="K508">
        <v>0.9</v>
      </c>
    </row>
    <row r="509" spans="9:11" x14ac:dyDescent="0.25">
      <c r="I509">
        <v>-1027.9809320486313</v>
      </c>
      <c r="J509">
        <v>192314.86146213301</v>
      </c>
      <c r="K509">
        <v>0.9</v>
      </c>
    </row>
    <row r="510" spans="9:11" x14ac:dyDescent="0.25">
      <c r="I510">
        <v>-1068.7415591123563</v>
      </c>
      <c r="J510">
        <v>189767.67367111234</v>
      </c>
      <c r="K510">
        <v>0.9</v>
      </c>
    </row>
    <row r="511" spans="9:11" x14ac:dyDescent="0.25">
      <c r="I511">
        <v>-1572.6387377756598</v>
      </c>
      <c r="J511">
        <v>157549.55619150901</v>
      </c>
      <c r="K511">
        <v>0.9</v>
      </c>
    </row>
    <row r="512" spans="9:11" x14ac:dyDescent="0.25">
      <c r="I512">
        <v>-1593.4363694966978</v>
      </c>
      <c r="J512">
        <v>156245.319254097</v>
      </c>
      <c r="K512">
        <v>0.9</v>
      </c>
    </row>
    <row r="513" spans="9:11" x14ac:dyDescent="0.25">
      <c r="I513">
        <v>-1614.229696219483</v>
      </c>
      <c r="J513">
        <v>154941.36243643801</v>
      </c>
      <c r="K513">
        <v>0.9</v>
      </c>
    </row>
    <row r="514" spans="9:11" x14ac:dyDescent="0.25">
      <c r="I514">
        <v>-1635.0183681285337</v>
      </c>
      <c r="J514">
        <v>153637.70840768702</v>
      </c>
      <c r="K514">
        <v>0.9</v>
      </c>
    </row>
    <row r="515" spans="9:11" x14ac:dyDescent="0.25">
      <c r="I515">
        <v>-1655.8020296572383</v>
      </c>
      <c r="J515">
        <v>152334.38023022699</v>
      </c>
      <c r="K515">
        <v>0.9</v>
      </c>
    </row>
    <row r="516" spans="9:11" x14ac:dyDescent="0.25">
      <c r="I516">
        <v>-1676.5804094088076</v>
      </c>
      <c r="J516">
        <v>151031.395667934</v>
      </c>
      <c r="K516">
        <v>0.9</v>
      </c>
    </row>
    <row r="517" spans="9:11" x14ac:dyDescent="0.25">
      <c r="I517">
        <v>-1697.3531411599752</v>
      </c>
      <c r="J517">
        <v>149728.77852002101</v>
      </c>
      <c r="K517">
        <v>0.9</v>
      </c>
    </row>
    <row r="518" spans="9:11" x14ac:dyDescent="0.25">
      <c r="I518">
        <v>-1718.1198393401407</v>
      </c>
      <c r="J518">
        <v>148426.55384349599</v>
      </c>
      <c r="K518">
        <v>0.9</v>
      </c>
    </row>
    <row r="519" spans="9:11" x14ac:dyDescent="0.25">
      <c r="I519">
        <v>-1738.880122343302</v>
      </c>
      <c r="J519">
        <v>147124.74647853899</v>
      </c>
      <c r="K519">
        <v>0.9</v>
      </c>
    </row>
    <row r="520" spans="9:11" x14ac:dyDescent="0.25">
      <c r="I520">
        <v>-1759.6335782524172</v>
      </c>
      <c r="J520">
        <v>145823.38321984201</v>
      </c>
      <c r="K520">
        <v>0.9</v>
      </c>
    </row>
    <row r="521" spans="9:11" x14ac:dyDescent="0.25">
      <c r="I521">
        <v>-1780.3797756682548</v>
      </c>
      <c r="J521">
        <v>144522.49213231201</v>
      </c>
      <c r="K521">
        <v>0.9</v>
      </c>
    </row>
    <row r="522" spans="9:11" x14ac:dyDescent="0.25">
      <c r="I522">
        <v>-1801.1182581176938</v>
      </c>
      <c r="J522">
        <v>143222.10290635502</v>
      </c>
      <c r="K522">
        <v>0.9</v>
      </c>
    </row>
    <row r="523" spans="9:11" x14ac:dyDescent="0.25">
      <c r="I523">
        <v>-1821.8485416064295</v>
      </c>
      <c r="J523">
        <v>141922.24701416102</v>
      </c>
      <c r="K523">
        <v>0.9</v>
      </c>
    </row>
    <row r="524" spans="9:11" x14ac:dyDescent="0.25">
      <c r="I524">
        <v>-1839.555285469196</v>
      </c>
      <c r="J524">
        <v>140813.81339142265</v>
      </c>
      <c r="K524">
        <v>0.9</v>
      </c>
    </row>
    <row r="525" spans="9:11" x14ac:dyDescent="0.25">
      <c r="I525">
        <v>-1868.7820248128637</v>
      </c>
      <c r="J525">
        <v>138952.0125570462</v>
      </c>
      <c r="K525">
        <v>0.9</v>
      </c>
    </row>
    <row r="526" spans="9:11" x14ac:dyDescent="0.25">
      <c r="I526">
        <v>-1886.339191454304</v>
      </c>
      <c r="J526">
        <v>137853.08327253451</v>
      </c>
      <c r="K526">
        <v>0.9</v>
      </c>
    </row>
    <row r="527" spans="9:11" x14ac:dyDescent="0.25">
      <c r="I527">
        <v>-2391.5844990208102</v>
      </c>
      <c r="J527">
        <v>104582.75419782</v>
      </c>
      <c r="K527">
        <v>0.9</v>
      </c>
    </row>
    <row r="528" spans="9:11" x14ac:dyDescent="0.25">
      <c r="I528">
        <v>-2411.5425443917402</v>
      </c>
      <c r="J528">
        <v>103328.704977156</v>
      </c>
      <c r="K528">
        <v>0.9</v>
      </c>
    </row>
    <row r="529" spans="9:11" x14ac:dyDescent="0.25">
      <c r="I529">
        <v>-2431.8882528281752</v>
      </c>
      <c r="J529">
        <v>102047.374148319</v>
      </c>
      <c r="K529">
        <v>0.9</v>
      </c>
    </row>
    <row r="530" spans="9:11" x14ac:dyDescent="0.25">
      <c r="I530">
        <v>-2453.3148209470005</v>
      </c>
      <c r="J530">
        <v>100692.639105435</v>
      </c>
      <c r="K530">
        <v>0.9</v>
      </c>
    </row>
    <row r="531" spans="9:11" x14ac:dyDescent="0.25">
      <c r="I531">
        <v>-2476.6280875541347</v>
      </c>
      <c r="J531">
        <v>99211.111799886028</v>
      </c>
      <c r="K531">
        <v>0.9</v>
      </c>
    </row>
    <row r="532" spans="9:11" x14ac:dyDescent="0.25">
      <c r="I532">
        <v>-2500.4808564347436</v>
      </c>
      <c r="J532">
        <v>97679.353322726995</v>
      </c>
      <c r="K532">
        <v>0.9</v>
      </c>
    </row>
    <row r="533" spans="9:11" x14ac:dyDescent="0.25">
      <c r="I533">
        <v>-2512.3397370937269</v>
      </c>
      <c r="J533">
        <v>96894.047827107046</v>
      </c>
      <c r="K533">
        <v>0.9</v>
      </c>
    </row>
    <row r="534" spans="9:11" x14ac:dyDescent="0.25">
      <c r="I534">
        <v>-2523.6678552404787</v>
      </c>
      <c r="J534">
        <v>96143.848933986053</v>
      </c>
      <c r="K534">
        <v>0.9</v>
      </c>
    </row>
    <row r="535" spans="9:11" x14ac:dyDescent="0.25">
      <c r="I535">
        <v>-2534.9800847428232</v>
      </c>
      <c r="J535">
        <v>95394.682546434036</v>
      </c>
      <c r="K535">
        <v>0.9</v>
      </c>
    </row>
    <row r="536" spans="9:11" x14ac:dyDescent="0.25">
      <c r="I536">
        <v>-2546.2757780897496</v>
      </c>
      <c r="J536">
        <v>94646.590212159004</v>
      </c>
      <c r="K536">
        <v>0.9</v>
      </c>
    </row>
    <row r="537" spans="9:11" x14ac:dyDescent="0.25">
      <c r="I537">
        <v>-2557.5537653996425</v>
      </c>
      <c r="J537">
        <v>93899.648833371</v>
      </c>
      <c r="K537">
        <v>0.9</v>
      </c>
    </row>
    <row r="538" spans="9:11" x14ac:dyDescent="0.25">
      <c r="I538">
        <v>-2568.8131974584535</v>
      </c>
      <c r="J538">
        <v>93153.913460874013</v>
      </c>
      <c r="K538">
        <v>0.9</v>
      </c>
    </row>
    <row r="539" spans="9:11" x14ac:dyDescent="0.25">
      <c r="I539">
        <v>-2580.0532431503775</v>
      </c>
      <c r="J539">
        <v>92409.437822300999</v>
      </c>
      <c r="K539">
        <v>0.9</v>
      </c>
    </row>
    <row r="540" spans="9:11" x14ac:dyDescent="0.25">
      <c r="I540">
        <v>-2591.2728588774139</v>
      </c>
      <c r="J540">
        <v>91666.289969541001</v>
      </c>
      <c r="K540">
        <v>0.9</v>
      </c>
    </row>
    <row r="541" spans="9:11" x14ac:dyDescent="0.25">
      <c r="I541">
        <v>-2602.4711151202046</v>
      </c>
      <c r="J541">
        <v>90924.530116184993</v>
      </c>
      <c r="K541">
        <v>0.9</v>
      </c>
    </row>
    <row r="542" spans="9:11" x14ac:dyDescent="0.25">
      <c r="I542">
        <v>-2613.6469985744338</v>
      </c>
      <c r="J542">
        <v>90184.224064652997</v>
      </c>
      <c r="K542">
        <v>0.9</v>
      </c>
    </row>
    <row r="543" spans="9:11" x14ac:dyDescent="0.25">
      <c r="I543">
        <v>-2624.7993359960733</v>
      </c>
      <c r="J543">
        <v>89445.448375847991</v>
      </c>
      <c r="K543">
        <v>0.9</v>
      </c>
    </row>
    <row r="544" spans="9:11" x14ac:dyDescent="0.25">
      <c r="I544">
        <v>-2635.9271375343346</v>
      </c>
      <c r="J544">
        <v>88708.267064853004</v>
      </c>
      <c r="K544">
        <v>0.9</v>
      </c>
    </row>
    <row r="545" spans="9:11" x14ac:dyDescent="0.25">
      <c r="I545">
        <v>-2647.0292209671607</v>
      </c>
      <c r="J545">
        <v>87972.757106391</v>
      </c>
      <c r="K545">
        <v>0.9</v>
      </c>
    </row>
    <row r="546" spans="9:11" x14ac:dyDescent="0.25">
      <c r="I546">
        <v>-2658.1044237662786</v>
      </c>
      <c r="J546">
        <v>87238.994040881997</v>
      </c>
      <c r="K546">
        <v>0.9</v>
      </c>
    </row>
    <row r="547" spans="9:11" x14ac:dyDescent="0.25">
      <c r="I547">
        <v>-2666.9537141883129</v>
      </c>
      <c r="J547">
        <v>86656.676247255295</v>
      </c>
      <c r="K547">
        <v>0.9</v>
      </c>
    </row>
    <row r="548" spans="9:11" x14ac:dyDescent="0.25">
      <c r="I548">
        <v>-2676.8820743829178</v>
      </c>
      <c r="J548">
        <v>86000.628802742998</v>
      </c>
      <c r="K548">
        <v>0.9</v>
      </c>
    </row>
    <row r="549" spans="9:11" x14ac:dyDescent="0.25">
      <c r="I549">
        <v>-2693.431686891457</v>
      </c>
      <c r="J549">
        <v>84895.303613490003</v>
      </c>
      <c r="K549">
        <v>0.9</v>
      </c>
    </row>
    <row r="550" spans="9:11" x14ac:dyDescent="0.25">
      <c r="I550">
        <v>-2704.3870546755256</v>
      </c>
      <c r="J550">
        <v>84169.328545637996</v>
      </c>
      <c r="K550">
        <v>0.9</v>
      </c>
    </row>
    <row r="551" spans="9:11" x14ac:dyDescent="0.25">
      <c r="I551">
        <v>-2715.3092118091336</v>
      </c>
      <c r="J551">
        <v>83445.511773068996</v>
      </c>
      <c r="K551">
        <v>0.9</v>
      </c>
    </row>
    <row r="552" spans="9:11" x14ac:dyDescent="0.25">
      <c r="I552">
        <v>-2726.1968144331736</v>
      </c>
      <c r="J552">
        <v>82723.940582733005</v>
      </c>
      <c r="K552">
        <v>0.9</v>
      </c>
    </row>
    <row r="553" spans="9:11" x14ac:dyDescent="0.25">
      <c r="I553">
        <v>-2737.0483998688833</v>
      </c>
      <c r="J553">
        <v>82004.710244237998</v>
      </c>
      <c r="K553">
        <v>0.9</v>
      </c>
    </row>
    <row r="554" spans="9:11" x14ac:dyDescent="0.25">
      <c r="I554">
        <v>-2764.8407273931116</v>
      </c>
      <c r="J554">
        <v>80162.440541486998</v>
      </c>
      <c r="K554">
        <v>0.9</v>
      </c>
    </row>
    <row r="555" spans="9:11" x14ac:dyDescent="0.25">
      <c r="I555">
        <v>-3308.6637727056709</v>
      </c>
      <c r="J555">
        <v>43188.229691045999</v>
      </c>
      <c r="K555">
        <v>0.9</v>
      </c>
    </row>
    <row r="556" spans="9:11" x14ac:dyDescent="0.25">
      <c r="I556">
        <v>-3372.9217569028237</v>
      </c>
      <c r="J556">
        <v>38829.580151526003</v>
      </c>
      <c r="K556">
        <v>0.9</v>
      </c>
    </row>
    <row r="557" spans="9:11" x14ac:dyDescent="0.25">
      <c r="I557">
        <v>-3436.486147864186</v>
      </c>
      <c r="J557">
        <v>34516.003485636007</v>
      </c>
      <c r="K557">
        <v>0.9</v>
      </c>
    </row>
    <row r="558" spans="9:11" x14ac:dyDescent="0.25">
      <c r="I558">
        <v>-3499.2788891605514</v>
      </c>
      <c r="J558">
        <v>30252.573493361997</v>
      </c>
      <c r="K558">
        <v>0.9</v>
      </c>
    </row>
    <row r="559" spans="9:11" x14ac:dyDescent="0.25">
      <c r="I559">
        <v>-3561.2224082176222</v>
      </c>
      <c r="J559">
        <v>26044.332977943002</v>
      </c>
      <c r="K559">
        <v>0.9</v>
      </c>
    </row>
    <row r="560" spans="9:11" x14ac:dyDescent="0.25">
      <c r="I560">
        <v>-3622.2417344102441</v>
      </c>
      <c r="J560">
        <v>21896.156146689002</v>
      </c>
      <c r="K560">
        <v>0.9</v>
      </c>
    </row>
    <row r="561" spans="9:11" x14ac:dyDescent="0.25">
      <c r="I561">
        <v>-3682.2667657837092</v>
      </c>
      <c r="J561">
        <v>17812.601335197</v>
      </c>
      <c r="K561">
        <v>0.9</v>
      </c>
    </row>
    <row r="562" spans="9:11" x14ac:dyDescent="0.25">
      <c r="I562">
        <v>-3736.6665991427876</v>
      </c>
      <c r="J562">
        <v>14109.713017316992</v>
      </c>
      <c r="K562">
        <v>0.9</v>
      </c>
    </row>
    <row r="563" spans="9:11" x14ac:dyDescent="0.25">
      <c r="I563">
        <v>-4272.3392548934507</v>
      </c>
      <c r="J563">
        <v>-23276.81505456716</v>
      </c>
      <c r="K563">
        <v>0.9</v>
      </c>
    </row>
    <row r="564" spans="9:11" x14ac:dyDescent="0.25">
      <c r="I564">
        <v>-4329.1040324993464</v>
      </c>
      <c r="J564">
        <v>-27148.71630791873</v>
      </c>
      <c r="K564">
        <v>0.9</v>
      </c>
    </row>
    <row r="565" spans="9:11" x14ac:dyDescent="0.25">
      <c r="I565">
        <v>-4384.6109518756512</v>
      </c>
      <c r="J565">
        <v>-30938.605424190584</v>
      </c>
      <c r="K565">
        <v>0.9</v>
      </c>
    </row>
    <row r="566" spans="9:11" x14ac:dyDescent="0.25">
      <c r="I566">
        <v>-4438.7571734567446</v>
      </c>
      <c r="J566">
        <v>-34639.473490955774</v>
      </c>
      <c r="K566">
        <v>0.9</v>
      </c>
    </row>
    <row r="567" spans="9:11" x14ac:dyDescent="0.25">
      <c r="I567">
        <v>-4491.9823370631902</v>
      </c>
      <c r="J567">
        <v>-38281.444290644758</v>
      </c>
      <c r="K567">
        <v>0.9</v>
      </c>
    </row>
    <row r="568" spans="9:11" x14ac:dyDescent="0.25">
      <c r="I568">
        <v>-4543.7664530238599</v>
      </c>
      <c r="J568">
        <v>-41828.829656997907</v>
      </c>
      <c r="K568">
        <v>0.9</v>
      </c>
    </row>
    <row r="569" spans="9:11" x14ac:dyDescent="0.25">
      <c r="I569">
        <v>-4594.6220179750853</v>
      </c>
      <c r="J569">
        <v>-45316.71051701183</v>
      </c>
      <c r="K569">
        <v>0.9</v>
      </c>
    </row>
    <row r="570" spans="9:11" x14ac:dyDescent="0.25">
      <c r="I570">
        <v>-4649.4848249927409</v>
      </c>
      <c r="J570">
        <v>-49103.683611447821</v>
      </c>
      <c r="K570">
        <v>0.9</v>
      </c>
    </row>
    <row r="571" spans="9:11" x14ac:dyDescent="0.25">
      <c r="I571">
        <v>-5159.4957899756437</v>
      </c>
      <c r="J571">
        <v>-85665.749901179908</v>
      </c>
      <c r="K571">
        <v>0.9</v>
      </c>
    </row>
    <row r="572" spans="9:11" x14ac:dyDescent="0.25">
      <c r="I572">
        <v>-5206.8937632974275</v>
      </c>
      <c r="J572">
        <v>-88928.138624930871</v>
      </c>
      <c r="K572">
        <v>0.9</v>
      </c>
    </row>
    <row r="573" spans="9:11" x14ac:dyDescent="0.25">
      <c r="I573">
        <v>-5253.5652060206521</v>
      </c>
      <c r="J573">
        <v>-92144.271111877417</v>
      </c>
      <c r="K573">
        <v>0.9</v>
      </c>
    </row>
    <row r="574" spans="9:11" x14ac:dyDescent="0.25">
      <c r="I574">
        <v>-5299.1049964991562</v>
      </c>
      <c r="J574">
        <v>-95285.943088872533</v>
      </c>
      <c r="K574">
        <v>0.9</v>
      </c>
    </row>
    <row r="575" spans="9:11" x14ac:dyDescent="0.25">
      <c r="I575">
        <v>-5343.7543460370734</v>
      </c>
      <c r="J575">
        <v>-98369.530623550294</v>
      </c>
      <c r="K575">
        <v>0.9</v>
      </c>
    </row>
    <row r="576" spans="9:11" x14ac:dyDescent="0.25">
      <c r="I576">
        <v>-5410.8039496894107</v>
      </c>
      <c r="J576">
        <v>-102806.10535856386</v>
      </c>
      <c r="K576">
        <v>0.9</v>
      </c>
    </row>
    <row r="577" spans="9:11" x14ac:dyDescent="0.25">
      <c r="I577">
        <v>-5421.4872598586944</v>
      </c>
      <c r="J577">
        <v>-103506.55509795129</v>
      </c>
      <c r="K577">
        <v>0.9</v>
      </c>
    </row>
    <row r="578" spans="9:11" x14ac:dyDescent="0.25">
      <c r="I578">
        <v>-5424.5116032095593</v>
      </c>
      <c r="J578">
        <v>-103703.19656535271</v>
      </c>
      <c r="K578">
        <v>0.9</v>
      </c>
    </row>
    <row r="579" spans="9:11" x14ac:dyDescent="0.25">
      <c r="I579">
        <v>-5427.6169144351807</v>
      </c>
      <c r="J579">
        <v>-103905.10252663195</v>
      </c>
      <c r="K579">
        <v>0.9</v>
      </c>
    </row>
    <row r="580" spans="9:11" x14ac:dyDescent="0.25">
      <c r="I580">
        <v>-5430.1218572462749</v>
      </c>
      <c r="J580">
        <v>-104067.97524499656</v>
      </c>
      <c r="K580">
        <v>0.9</v>
      </c>
    </row>
    <row r="581" spans="9:11" x14ac:dyDescent="0.25">
      <c r="I581">
        <v>-5431.8488500297435</v>
      </c>
      <c r="J581">
        <v>-104180.2691302546</v>
      </c>
      <c r="K581">
        <v>0.9</v>
      </c>
    </row>
    <row r="582" spans="9:11" x14ac:dyDescent="0.25">
      <c r="I582">
        <v>-5461.5308315474231</v>
      </c>
      <c r="J582">
        <v>-106110.00586571371</v>
      </c>
      <c r="K582">
        <v>0.9</v>
      </c>
    </row>
    <row r="583" spans="9:11" x14ac:dyDescent="0.25">
      <c r="I583">
        <v>-5504.4046577733852</v>
      </c>
      <c r="J583">
        <v>-108897.4618044926</v>
      </c>
      <c r="K583">
        <v>0.9</v>
      </c>
    </row>
    <row r="584" spans="9:11" x14ac:dyDescent="0.25">
      <c r="I584">
        <v>-5462.0084280859992</v>
      </c>
      <c r="J584">
        <v>-106141.06019131021</v>
      </c>
      <c r="K584">
        <v>0.9</v>
      </c>
    </row>
    <row r="585" spans="9:11" x14ac:dyDescent="0.25">
      <c r="I585">
        <v>-5504.4863125569773</v>
      </c>
      <c r="J585">
        <v>-108902.77147300285</v>
      </c>
      <c r="K585">
        <v>0.9</v>
      </c>
    </row>
    <row r="586" spans="9:11" x14ac:dyDescent="0.25">
      <c r="I586">
        <v>-5504.4729113510039</v>
      </c>
      <c r="J586">
        <v>-108901.90064093747</v>
      </c>
      <c r="K586">
        <v>0.9</v>
      </c>
    </row>
    <row r="587" spans="9:11" x14ac:dyDescent="0.25">
      <c r="I587">
        <v>-5504.5543528996759</v>
      </c>
      <c r="J587">
        <v>-108907.19604814386</v>
      </c>
      <c r="K587">
        <v>0.9</v>
      </c>
    </row>
    <row r="588" spans="9:11" x14ac:dyDescent="0.25">
      <c r="I588">
        <v>-5504.5656012883765</v>
      </c>
      <c r="J588">
        <v>-108907.92784881518</v>
      </c>
      <c r="K588">
        <v>0.9</v>
      </c>
    </row>
    <row r="589" spans="9:11" x14ac:dyDescent="0.25">
      <c r="I589">
        <v>-5463.8877507164207</v>
      </c>
      <c r="J589">
        <v>-106263.24938065995</v>
      </c>
      <c r="K589">
        <v>0.9</v>
      </c>
    </row>
    <row r="590" spans="9:11" x14ac:dyDescent="0.25">
      <c r="I590">
        <v>-5464.2772953909061</v>
      </c>
      <c r="J590">
        <v>-106288.57638831229</v>
      </c>
      <c r="K590">
        <v>0.9</v>
      </c>
    </row>
    <row r="591" spans="9:11" x14ac:dyDescent="0.25">
      <c r="I591">
        <v>-5505.0919083939425</v>
      </c>
      <c r="J591">
        <v>-108942.14717833218</v>
      </c>
      <c r="K591">
        <v>0.9</v>
      </c>
    </row>
    <row r="592" spans="9:11" x14ac:dyDescent="0.25">
      <c r="I592">
        <v>-5505.3324453791429</v>
      </c>
      <c r="J592">
        <v>-108957.78618517336</v>
      </c>
      <c r="K592">
        <v>0.9</v>
      </c>
    </row>
    <row r="593" spans="9:11" x14ac:dyDescent="0.25">
      <c r="I593">
        <v>-5506.1769118795437</v>
      </c>
      <c r="J593">
        <v>-109012.68973424578</v>
      </c>
      <c r="K593">
        <v>0.9</v>
      </c>
    </row>
    <row r="594" spans="9:11" x14ac:dyDescent="0.25">
      <c r="I594">
        <v>-5505.5816960570774</v>
      </c>
      <c r="J594">
        <v>-108973.99221301686</v>
      </c>
      <c r="K594">
        <v>0.9</v>
      </c>
    </row>
    <row r="595" spans="9:11" x14ac:dyDescent="0.25">
      <c r="I595">
        <v>-5507.2077121513157</v>
      </c>
      <c r="J595">
        <v>-109079.70837359391</v>
      </c>
      <c r="K595">
        <v>0.9</v>
      </c>
    </row>
    <row r="596" spans="9:11" x14ac:dyDescent="0.25">
      <c r="I596">
        <v>-5507.0563366912602</v>
      </c>
      <c r="J596">
        <v>-109069.86711104107</v>
      </c>
      <c r="K596">
        <v>0.9</v>
      </c>
    </row>
    <row r="597" spans="9:11" x14ac:dyDescent="0.25">
      <c r="I597">
        <v>-5466.9675292213815</v>
      </c>
      <c r="J597">
        <v>-106463.48867455128</v>
      </c>
      <c r="K597">
        <v>0.9</v>
      </c>
    </row>
    <row r="598" spans="9:11" x14ac:dyDescent="0.25">
      <c r="I598">
        <v>-5507.211563617102</v>
      </c>
      <c r="J598">
        <v>-109079.96013733964</v>
      </c>
      <c r="K598">
        <v>0.9</v>
      </c>
    </row>
    <row r="599" spans="9:11" x14ac:dyDescent="0.25">
      <c r="I599">
        <v>-5507.1861021695977</v>
      </c>
      <c r="J599">
        <v>-109078.30521141921</v>
      </c>
      <c r="K599">
        <v>0.9</v>
      </c>
    </row>
    <row r="600" spans="9:11" x14ac:dyDescent="0.25">
      <c r="I600">
        <v>-5507.5922208778411</v>
      </c>
      <c r="J600">
        <v>-109104.7095815926</v>
      </c>
      <c r="K600">
        <v>0.9</v>
      </c>
    </row>
    <row r="601" spans="9:11" x14ac:dyDescent="0.25">
      <c r="I601">
        <v>-5507.7853627466666</v>
      </c>
      <c r="J601">
        <v>-109117.26720986495</v>
      </c>
      <c r="K601">
        <v>0.9</v>
      </c>
    </row>
    <row r="602" spans="9:11" x14ac:dyDescent="0.25">
      <c r="I602">
        <v>-5507.686553861241</v>
      </c>
      <c r="J602">
        <v>-109110.84359307171</v>
      </c>
      <c r="K602">
        <v>0.9</v>
      </c>
    </row>
    <row r="603" spans="9:11" x14ac:dyDescent="0.25">
      <c r="I603">
        <v>-5507.5370334628751</v>
      </c>
      <c r="J603">
        <v>-109101.12304129897</v>
      </c>
      <c r="K603">
        <v>0.9</v>
      </c>
    </row>
    <row r="604" spans="9:11" x14ac:dyDescent="0.25">
      <c r="I604">
        <v>-5508.3455712233708</v>
      </c>
      <c r="J604">
        <v>-109153.6906989381</v>
      </c>
      <c r="K604">
        <v>0.9</v>
      </c>
    </row>
    <row r="605" spans="9:11" x14ac:dyDescent="0.25">
      <c r="I605">
        <v>-5511.1272865545352</v>
      </c>
      <c r="J605">
        <v>-109334.5516303723</v>
      </c>
      <c r="K605">
        <v>0.9</v>
      </c>
    </row>
    <row r="606" spans="9:11" x14ac:dyDescent="0.25">
      <c r="I606">
        <v>-5513.519888111332</v>
      </c>
      <c r="J606">
        <v>-109490.11471748078</v>
      </c>
      <c r="K606">
        <v>0.9</v>
      </c>
    </row>
    <row r="607" spans="9:11" x14ac:dyDescent="0.25">
      <c r="I607">
        <v>-5517.1572263908192</v>
      </c>
      <c r="J607">
        <v>-109726.60486694986</v>
      </c>
      <c r="K607">
        <v>0.9</v>
      </c>
    </row>
    <row r="608" spans="9:11" x14ac:dyDescent="0.25">
      <c r="I608">
        <v>-5520.0333939674347</v>
      </c>
      <c r="J608">
        <v>-109913.60778921473</v>
      </c>
      <c r="K608">
        <v>0.9</v>
      </c>
    </row>
    <row r="609" spans="9:11" x14ac:dyDescent="0.25">
      <c r="I609">
        <v>-5522.9381105234606</v>
      </c>
      <c r="J609">
        <v>-110102.46721225037</v>
      </c>
      <c r="K609">
        <v>0.9</v>
      </c>
    </row>
    <row r="610" spans="9:11" x14ac:dyDescent="0.25">
      <c r="I610">
        <v>-5525.3426931716913</v>
      </c>
      <c r="J610">
        <v>-110258.81069817</v>
      </c>
      <c r="K610">
        <v>0.9</v>
      </c>
    </row>
    <row r="611" spans="9:11" x14ac:dyDescent="0.25">
      <c r="I611">
        <v>-5528.4169312471586</v>
      </c>
      <c r="J611">
        <v>-110458.69233436542</v>
      </c>
      <c r="K611">
        <v>0.9</v>
      </c>
    </row>
    <row r="612" spans="9:11" x14ac:dyDescent="0.25">
      <c r="I612">
        <v>-5531.5725603544697</v>
      </c>
      <c r="J612">
        <v>-110663.86604187779</v>
      </c>
      <c r="K612">
        <v>0.9</v>
      </c>
    </row>
    <row r="613" spans="9:11" x14ac:dyDescent="0.25">
      <c r="I613">
        <v>-5534.5949392413613</v>
      </c>
      <c r="J613">
        <v>-110860.37682249463</v>
      </c>
      <c r="K613">
        <v>0.9</v>
      </c>
    </row>
    <row r="614" spans="9:11" x14ac:dyDescent="0.25">
      <c r="I614">
        <v>-5542.6113938814287</v>
      </c>
      <c r="J614">
        <v>-111381.60104469092</v>
      </c>
      <c r="K614">
        <v>0.9</v>
      </c>
    </row>
    <row r="615" spans="9:11" x14ac:dyDescent="0.25">
      <c r="I615">
        <v>-5551.6803065200138</v>
      </c>
      <c r="J615">
        <v>-111971.2543119867</v>
      </c>
      <c r="K615">
        <v>0.9</v>
      </c>
    </row>
    <row r="616" spans="9:11" x14ac:dyDescent="0.25">
      <c r="I616">
        <v>-5565.9302616693985</v>
      </c>
      <c r="J616">
        <v>-112897.78536831681</v>
      </c>
      <c r="K616">
        <v>0.9</v>
      </c>
    </row>
    <row r="617" spans="9:11" x14ac:dyDescent="0.25">
      <c r="I617">
        <v>-5569.6054513667768</v>
      </c>
      <c r="J617">
        <v>-113136.74320194927</v>
      </c>
      <c r="K617">
        <v>0.9</v>
      </c>
    </row>
    <row r="618" spans="9:11" x14ac:dyDescent="0.25">
      <c r="I618">
        <v>-5572.103879168958</v>
      </c>
      <c r="J618">
        <v>-113299.19382954412</v>
      </c>
      <c r="K618">
        <v>0.9</v>
      </c>
    </row>
    <row r="619" spans="9:11" x14ac:dyDescent="0.25">
      <c r="I619">
        <v>-5576.3329270599161</v>
      </c>
      <c r="J619">
        <v>-113574.16401249888</v>
      </c>
      <c r="K619">
        <v>0.9</v>
      </c>
    </row>
    <row r="620" spans="9:11" x14ac:dyDescent="0.25">
      <c r="I620"/>
      <c r="J620"/>
      <c r="K620"/>
    </row>
    <row r="621" spans="9:11" x14ac:dyDescent="0.25">
      <c r="I621"/>
      <c r="J621"/>
      <c r="K621"/>
    </row>
    <row r="622" spans="9:11" x14ac:dyDescent="0.25">
      <c r="I622"/>
      <c r="J622"/>
      <c r="K622"/>
    </row>
    <row r="623" spans="9:11" x14ac:dyDescent="0.25">
      <c r="I623"/>
      <c r="J623"/>
      <c r="K623"/>
    </row>
    <row r="624" spans="9:11" x14ac:dyDescent="0.25">
      <c r="I624"/>
      <c r="J624"/>
      <c r="K624"/>
    </row>
    <row r="625" spans="9:11" x14ac:dyDescent="0.25">
      <c r="I625"/>
      <c r="J625"/>
      <c r="K625"/>
    </row>
    <row r="626" spans="9:11" x14ac:dyDescent="0.25">
      <c r="I626"/>
      <c r="J626"/>
      <c r="K626"/>
    </row>
    <row r="627" spans="9:11" x14ac:dyDescent="0.25">
      <c r="I627"/>
      <c r="J627"/>
      <c r="K627"/>
    </row>
    <row r="628" spans="9:11" x14ac:dyDescent="0.25">
      <c r="I628"/>
      <c r="J628"/>
      <c r="K628"/>
    </row>
    <row r="629" spans="9:11" x14ac:dyDescent="0.25">
      <c r="I629"/>
      <c r="J629"/>
      <c r="K629"/>
    </row>
    <row r="630" spans="9:11" x14ac:dyDescent="0.25">
      <c r="I630"/>
      <c r="J630"/>
      <c r="K630"/>
    </row>
    <row r="631" spans="9:11" x14ac:dyDescent="0.25">
      <c r="I631"/>
      <c r="J631"/>
      <c r="K631"/>
    </row>
    <row r="632" spans="9:11" x14ac:dyDescent="0.25">
      <c r="I632"/>
      <c r="J632"/>
      <c r="K632"/>
    </row>
    <row r="633" spans="9:11" x14ac:dyDescent="0.25">
      <c r="I633"/>
      <c r="J633"/>
      <c r="K633"/>
    </row>
    <row r="634" spans="9:11" x14ac:dyDescent="0.25">
      <c r="I634"/>
      <c r="J634"/>
      <c r="K634"/>
    </row>
    <row r="635" spans="9:11" x14ac:dyDescent="0.25">
      <c r="I635"/>
      <c r="J635"/>
      <c r="K635"/>
    </row>
    <row r="636" spans="9:11" x14ac:dyDescent="0.25">
      <c r="I636"/>
      <c r="J636"/>
      <c r="K636"/>
    </row>
    <row r="637" spans="9:11" x14ac:dyDescent="0.25">
      <c r="I637"/>
      <c r="J637"/>
      <c r="K637"/>
    </row>
    <row r="638" spans="9:11" x14ac:dyDescent="0.25">
      <c r="I638"/>
      <c r="J638"/>
      <c r="K638"/>
    </row>
    <row r="639" spans="9:11" x14ac:dyDescent="0.25">
      <c r="I639"/>
      <c r="J639"/>
      <c r="K639"/>
    </row>
  </sheetData>
  <mergeCells count="10">
    <mergeCell ref="L1:O8"/>
    <mergeCell ref="A31:B32"/>
    <mergeCell ref="C31:C32"/>
    <mergeCell ref="D31:D32"/>
    <mergeCell ref="E32:G36"/>
    <mergeCell ref="K1:K2"/>
    <mergeCell ref="A1:F2"/>
    <mergeCell ref="G1:G2"/>
    <mergeCell ref="I1:I2"/>
    <mergeCell ref="J1:J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AF001-D87C-4C71-90A5-3E802F9661A1}">
  <sheetPr codeName="Sheet2"/>
  <dimension ref="G6"/>
  <sheetViews>
    <sheetView zoomScale="160" zoomScaleNormal="160" workbookViewId="0">
      <selection activeCell="D28" sqref="D28"/>
    </sheetView>
  </sheetViews>
  <sheetFormatPr defaultRowHeight="15" x14ac:dyDescent="0.25"/>
  <sheetData>
    <row r="6" spans="7:7" x14ac:dyDescent="0.25">
      <c r="G6" t="s">
        <v>94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31AC1-26AB-44B7-9DE8-C1E15DE1206E}">
  <sheetPr codeName="Sheet3"/>
  <dimension ref="A1:E6"/>
  <sheetViews>
    <sheetView zoomScale="175" zoomScaleNormal="175" workbookViewId="0">
      <selection sqref="A1:E6"/>
    </sheetView>
  </sheetViews>
  <sheetFormatPr defaultColWidth="9.140625" defaultRowHeight="14.25" x14ac:dyDescent="0.25"/>
  <cols>
    <col min="1" max="1" width="21.5703125" style="23" customWidth="1"/>
    <col min="2" max="3" width="14.28515625" style="23" customWidth="1"/>
    <col min="4" max="4" width="13.42578125" style="23" customWidth="1"/>
    <col min="5" max="5" width="12.5703125" style="23" customWidth="1"/>
    <col min="6" max="16384" width="9.140625" style="23"/>
  </cols>
  <sheetData>
    <row r="1" spans="1:5" ht="28.5" customHeight="1" thickBot="1" x14ac:dyDescent="0.3">
      <c r="A1" s="123" t="s">
        <v>30</v>
      </c>
      <c r="B1" s="124"/>
      <c r="C1" s="124"/>
      <c r="D1" s="124"/>
      <c r="E1" s="125"/>
    </row>
    <row r="2" spans="1:5" ht="37.5" customHeight="1" thickBot="1" x14ac:dyDescent="0.3">
      <c r="A2" s="31" t="s">
        <v>26</v>
      </c>
      <c r="B2" s="32" t="s">
        <v>4</v>
      </c>
      <c r="C2" s="32" t="s">
        <v>25</v>
      </c>
      <c r="D2" s="32" t="s">
        <v>24</v>
      </c>
      <c r="E2" s="33" t="s">
        <v>27</v>
      </c>
    </row>
    <row r="3" spans="1:5" ht="48.75" customHeight="1" x14ac:dyDescent="0.25">
      <c r="A3" s="26" t="s">
        <v>28</v>
      </c>
      <c r="B3" s="23">
        <v>420</v>
      </c>
      <c r="C3" s="23">
        <v>500</v>
      </c>
      <c r="D3" s="23">
        <v>220</v>
      </c>
      <c r="E3" s="29"/>
    </row>
    <row r="4" spans="1:5" ht="31.5" customHeight="1" x14ac:dyDescent="0.25">
      <c r="A4" s="25" t="s">
        <v>29</v>
      </c>
      <c r="B4" s="23">
        <v>200000</v>
      </c>
      <c r="C4" s="23">
        <v>200000</v>
      </c>
      <c r="D4" s="23">
        <v>200000</v>
      </c>
      <c r="E4" s="29"/>
    </row>
    <row r="5" spans="1:5" ht="28.5" x14ac:dyDescent="0.25">
      <c r="A5" s="26" t="s">
        <v>43</v>
      </c>
      <c r="B5" s="24">
        <f>B3/B4</f>
        <v>2.0999999999999999E-3</v>
      </c>
      <c r="C5" s="24">
        <f>C3/C4</f>
        <v>2.5000000000000001E-3</v>
      </c>
      <c r="D5" s="24">
        <f>D3/D4</f>
        <v>1.1000000000000001E-3</v>
      </c>
      <c r="E5" s="29"/>
    </row>
    <row r="6" spans="1:5" ht="29.25" thickBot="1" x14ac:dyDescent="0.3">
      <c r="A6" s="27" t="s">
        <v>44</v>
      </c>
      <c r="B6" s="28">
        <v>0.12</v>
      </c>
      <c r="C6" s="28">
        <v>0.12</v>
      </c>
      <c r="D6" s="28">
        <v>0.12</v>
      </c>
      <c r="E6" s="30"/>
    </row>
  </sheetData>
  <mergeCells count="1">
    <mergeCell ref="A1:E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8F6BD-75CF-49FA-BE9D-FDDC775A75B0}">
  <sheetPr codeName="Sheet4"/>
  <dimension ref="A1:E11"/>
  <sheetViews>
    <sheetView zoomScale="115" zoomScaleNormal="115" workbookViewId="0">
      <selection activeCell="H19" sqref="H19"/>
    </sheetView>
  </sheetViews>
  <sheetFormatPr defaultColWidth="9.140625" defaultRowHeight="14.25" x14ac:dyDescent="0.25"/>
  <cols>
    <col min="1" max="1" width="21.5703125" style="23" customWidth="1"/>
    <col min="2" max="3" width="14.28515625" style="23" customWidth="1"/>
    <col min="4" max="4" width="13.42578125" style="23" customWidth="1"/>
    <col min="5" max="5" width="12.5703125" style="23" customWidth="1"/>
    <col min="6" max="16384" width="9.140625" style="23"/>
  </cols>
  <sheetData>
    <row r="1" spans="1:5" ht="28.5" customHeight="1" thickBot="1" x14ac:dyDescent="0.3">
      <c r="A1" s="126" t="s">
        <v>39</v>
      </c>
      <c r="B1" s="127"/>
      <c r="C1" s="127"/>
      <c r="D1" s="127"/>
      <c r="E1" s="128"/>
    </row>
    <row r="2" spans="1:5" ht="37.5" customHeight="1" thickTop="1" thickBot="1" x14ac:dyDescent="0.3">
      <c r="A2" s="38" t="s">
        <v>26</v>
      </c>
      <c r="B2" s="35" t="s">
        <v>31</v>
      </c>
      <c r="C2" s="35" t="s">
        <v>32</v>
      </c>
      <c r="D2" s="35" t="s">
        <v>33</v>
      </c>
      <c r="E2" s="39" t="s">
        <v>27</v>
      </c>
    </row>
    <row r="3" spans="1:5" ht="37.5" customHeight="1" thickTop="1" x14ac:dyDescent="0.25">
      <c r="A3" s="40" t="s">
        <v>41</v>
      </c>
      <c r="B3" s="23">
        <v>200000</v>
      </c>
      <c r="C3" s="23">
        <v>200000</v>
      </c>
      <c r="D3" s="23">
        <v>200000</v>
      </c>
      <c r="E3" s="41"/>
    </row>
    <row r="4" spans="1:5" ht="48.75" customHeight="1" x14ac:dyDescent="0.25">
      <c r="A4" s="42" t="s">
        <v>34</v>
      </c>
      <c r="B4" s="23">
        <v>952</v>
      </c>
      <c r="C4" s="23">
        <v>1505</v>
      </c>
      <c r="D4" s="23">
        <v>1665</v>
      </c>
      <c r="E4" s="43"/>
    </row>
    <row r="5" spans="1:5" ht="31.5" customHeight="1" x14ac:dyDescent="0.25">
      <c r="A5" s="42" t="s">
        <v>35</v>
      </c>
      <c r="B5" s="23">
        <v>1050</v>
      </c>
      <c r="C5" s="23">
        <v>1650</v>
      </c>
      <c r="D5" s="23">
        <v>1860</v>
      </c>
      <c r="E5" s="43"/>
    </row>
    <row r="6" spans="1:5" ht="31.5" customHeight="1" x14ac:dyDescent="0.25">
      <c r="A6" s="44" t="s">
        <v>45</v>
      </c>
      <c r="B6" s="36">
        <v>4.1000000000000002E-2</v>
      </c>
      <c r="C6" s="36">
        <v>8.6999999999999994E-2</v>
      </c>
      <c r="D6" s="36">
        <v>6.9000000000000006E-2</v>
      </c>
      <c r="E6" s="45"/>
    </row>
    <row r="7" spans="1:5" ht="31.5" customHeight="1" x14ac:dyDescent="0.25">
      <c r="A7" s="42" t="s">
        <v>36</v>
      </c>
      <c r="B7" s="23">
        <v>7.1</v>
      </c>
      <c r="C7" s="23">
        <v>6.06</v>
      </c>
      <c r="D7" s="23">
        <v>7.3440000000000003</v>
      </c>
      <c r="E7" s="43"/>
    </row>
    <row r="8" spans="1:5" x14ac:dyDescent="0.25">
      <c r="A8" s="42" t="s">
        <v>37</v>
      </c>
      <c r="B8" s="34">
        <v>1.0041</v>
      </c>
      <c r="C8" s="34">
        <v>1.0325</v>
      </c>
      <c r="D8" s="34">
        <v>1.0618000000000001</v>
      </c>
      <c r="E8" s="43"/>
    </row>
    <row r="9" spans="1:5" ht="30.75" customHeight="1" thickBot="1" x14ac:dyDescent="0.3">
      <c r="A9" s="46" t="s">
        <v>38</v>
      </c>
      <c r="B9" s="47">
        <v>1.7500000000000002E-2</v>
      </c>
      <c r="C9" s="47">
        <v>6.2500000000000003E-3</v>
      </c>
      <c r="D9" s="47">
        <v>1.174E-2</v>
      </c>
      <c r="E9" s="48"/>
    </row>
    <row r="11" spans="1:5" ht="15" x14ac:dyDescent="0.25">
      <c r="A11"/>
    </row>
  </sheetData>
  <mergeCells count="1">
    <mergeCell ref="A1:E1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47D3F-C365-45E5-A802-07D48861D211}">
  <sheetPr codeName="Sheet5"/>
  <dimension ref="A1:G57"/>
  <sheetViews>
    <sheetView zoomScaleNormal="100" workbookViewId="0">
      <selection activeCell="C14" sqref="C14"/>
    </sheetView>
  </sheetViews>
  <sheetFormatPr defaultRowHeight="15" x14ac:dyDescent="0.25"/>
  <cols>
    <col min="1" max="1" width="19.28515625" customWidth="1"/>
    <col min="3" max="3" width="17.7109375" customWidth="1"/>
    <col min="6" max="6" width="9.7109375" customWidth="1"/>
  </cols>
  <sheetData>
    <row r="1" spans="1:7" ht="30" customHeight="1" x14ac:dyDescent="0.25">
      <c r="A1" s="23" t="s">
        <v>47</v>
      </c>
      <c r="B1" s="23" t="s">
        <v>59</v>
      </c>
      <c r="C1" s="1" t="s">
        <v>48</v>
      </c>
      <c r="D1" s="23" t="s">
        <v>58</v>
      </c>
      <c r="E1" s="1" t="s">
        <v>49</v>
      </c>
      <c r="F1" s="61" t="s">
        <v>12</v>
      </c>
      <c r="G1" s="1">
        <v>4</v>
      </c>
    </row>
    <row r="2" spans="1:7" x14ac:dyDescent="0.25">
      <c r="A2" s="62"/>
      <c r="B2" s="62"/>
      <c r="C2" s="62"/>
      <c r="D2" s="62"/>
      <c r="E2" s="63"/>
      <c r="F2" s="64"/>
      <c r="G2" s="64"/>
    </row>
    <row r="3" spans="1:7" x14ac:dyDescent="0.25">
      <c r="A3" s="60" t="s">
        <v>46</v>
      </c>
      <c r="B3" s="55"/>
      <c r="C3" s="58" t="s">
        <v>13</v>
      </c>
      <c r="D3" s="55"/>
      <c r="E3" s="81" t="s">
        <v>14</v>
      </c>
      <c r="F3" s="3"/>
      <c r="G3" s="3"/>
    </row>
    <row r="4" spans="1:7" x14ac:dyDescent="0.25">
      <c r="A4" s="66">
        <v>1</v>
      </c>
      <c r="B4" s="51"/>
      <c r="C4" s="79">
        <v>0</v>
      </c>
      <c r="D4" s="80"/>
      <c r="E4" s="79">
        <v>0</v>
      </c>
      <c r="F4" s="52"/>
      <c r="G4" s="3"/>
    </row>
    <row r="5" spans="1:7" x14ac:dyDescent="0.25">
      <c r="A5" s="67">
        <v>2</v>
      </c>
      <c r="B5" s="51"/>
      <c r="C5" s="79">
        <v>0</v>
      </c>
      <c r="D5" s="80"/>
      <c r="E5" s="79">
        <v>0</v>
      </c>
      <c r="F5" s="52"/>
      <c r="G5" s="3"/>
    </row>
    <row r="6" spans="1:7" x14ac:dyDescent="0.25">
      <c r="A6" s="67">
        <v>3</v>
      </c>
      <c r="B6" s="51"/>
      <c r="C6" s="79">
        <v>0</v>
      </c>
      <c r="D6" s="80"/>
      <c r="E6" s="79">
        <v>0</v>
      </c>
      <c r="F6" s="52"/>
      <c r="G6" s="3"/>
    </row>
    <row r="7" spans="1:7" x14ac:dyDescent="0.25">
      <c r="A7" s="68">
        <f>A6+1</f>
        <v>4</v>
      </c>
      <c r="B7" s="51"/>
      <c r="C7" s="79">
        <v>0</v>
      </c>
      <c r="D7" s="80"/>
      <c r="E7" s="79">
        <v>0</v>
      </c>
      <c r="F7" s="52"/>
      <c r="G7" s="3"/>
    </row>
    <row r="8" spans="1:7" x14ac:dyDescent="0.25">
      <c r="A8" s="3"/>
      <c r="B8" s="3"/>
      <c r="C8" s="55"/>
      <c r="D8" s="3"/>
      <c r="E8" s="55"/>
      <c r="F8" s="3"/>
    </row>
    <row r="10" spans="1:7" ht="30" customHeight="1" x14ac:dyDescent="0.25">
      <c r="A10" s="23" t="s">
        <v>47</v>
      </c>
      <c r="B10" s="23" t="s">
        <v>59</v>
      </c>
      <c r="C10" s="1" t="s">
        <v>48</v>
      </c>
      <c r="D10" s="23" t="s">
        <v>58</v>
      </c>
      <c r="E10" s="1" t="s">
        <v>50</v>
      </c>
      <c r="F10" s="65" t="s">
        <v>12</v>
      </c>
      <c r="G10" s="65"/>
    </row>
    <row r="11" spans="1:7" x14ac:dyDescent="0.25">
      <c r="A11" s="3"/>
      <c r="B11" s="3"/>
      <c r="C11" s="82"/>
      <c r="D11" s="3"/>
      <c r="E11" s="55"/>
      <c r="F11" s="55"/>
      <c r="G11" s="3"/>
    </row>
    <row r="12" spans="1:7" ht="15.75" thickBot="1" x14ac:dyDescent="0.3">
      <c r="A12" s="83" t="s">
        <v>56</v>
      </c>
      <c r="B12" s="84" t="s">
        <v>13</v>
      </c>
      <c r="C12" s="79">
        <v>0</v>
      </c>
      <c r="D12" s="78" t="s">
        <v>14</v>
      </c>
      <c r="E12" s="53">
        <v>0</v>
      </c>
      <c r="F12" s="3"/>
      <c r="G12" s="3"/>
    </row>
    <row r="13" spans="1:7" ht="15.75" thickBot="1" x14ac:dyDescent="0.3">
      <c r="A13" s="3" t="s">
        <v>52</v>
      </c>
      <c r="B13" s="51"/>
      <c r="C13" s="79">
        <v>0</v>
      </c>
      <c r="E13" s="85"/>
      <c r="F13" s="52"/>
      <c r="G13" s="3"/>
    </row>
    <row r="14" spans="1:7" x14ac:dyDescent="0.25">
      <c r="A14" s="3" t="s">
        <v>53</v>
      </c>
      <c r="B14" s="51"/>
      <c r="C14" s="79">
        <v>0</v>
      </c>
      <c r="D14" s="52"/>
      <c r="E14" s="55"/>
      <c r="F14" s="3"/>
      <c r="G14" s="3"/>
    </row>
    <row r="15" spans="1:7" x14ac:dyDescent="0.25">
      <c r="A15" s="55"/>
      <c r="B15" s="55"/>
      <c r="C15" s="55"/>
      <c r="D15" s="3"/>
      <c r="E15" s="3"/>
      <c r="F15" s="3"/>
      <c r="G15" s="59"/>
    </row>
    <row r="17" spans="1:7" x14ac:dyDescent="0.25">
      <c r="A17" s="56" t="s">
        <v>47</v>
      </c>
      <c r="B17" s="57" t="s">
        <v>48</v>
      </c>
      <c r="C17" s="57" t="s">
        <v>82</v>
      </c>
      <c r="D17" s="3"/>
      <c r="E17" s="55"/>
      <c r="F17" s="93" t="s">
        <v>12</v>
      </c>
      <c r="G17" s="3"/>
    </row>
    <row r="18" spans="1:7" x14ac:dyDescent="0.25">
      <c r="A18" s="3"/>
      <c r="B18" s="3"/>
      <c r="C18" s="3"/>
      <c r="D18" s="3"/>
      <c r="E18" s="55"/>
      <c r="F18" s="55"/>
      <c r="G18" s="3"/>
    </row>
    <row r="19" spans="1:7" x14ac:dyDescent="0.25">
      <c r="A19" s="5" t="s">
        <v>51</v>
      </c>
      <c r="B19" s="5" t="s">
        <v>13</v>
      </c>
      <c r="C19" s="53">
        <v>0</v>
      </c>
      <c r="D19" s="5" t="s">
        <v>14</v>
      </c>
      <c r="E19" s="53">
        <v>0</v>
      </c>
      <c r="F19" s="3"/>
      <c r="G19" s="3"/>
    </row>
    <row r="20" spans="1:7" x14ac:dyDescent="0.25">
      <c r="A20" s="5" t="s">
        <v>52</v>
      </c>
      <c r="B20" s="3"/>
      <c r="C20" s="53">
        <v>0</v>
      </c>
      <c r="F20" s="3"/>
      <c r="G20" s="3"/>
    </row>
    <row r="21" spans="1:7" x14ac:dyDescent="0.25">
      <c r="A21" s="5" t="s">
        <v>53</v>
      </c>
      <c r="B21" s="3"/>
      <c r="C21" s="54">
        <v>0</v>
      </c>
      <c r="D21" s="3"/>
      <c r="E21" s="3"/>
      <c r="F21" s="3"/>
      <c r="G21" s="3"/>
    </row>
    <row r="22" spans="1:7" x14ac:dyDescent="0.25">
      <c r="A22" s="58" t="s">
        <v>54</v>
      </c>
      <c r="C22" s="54">
        <v>0</v>
      </c>
      <c r="D22" s="129" t="s">
        <v>57</v>
      </c>
      <c r="E22" s="130"/>
      <c r="F22" s="130"/>
      <c r="G22" s="131"/>
    </row>
    <row r="23" spans="1:7" x14ac:dyDescent="0.25">
      <c r="A23" s="58" t="s">
        <v>55</v>
      </c>
      <c r="C23" s="54">
        <v>0</v>
      </c>
      <c r="D23" s="132"/>
      <c r="E23" s="133"/>
      <c r="F23" s="133"/>
      <c r="G23" s="134"/>
    </row>
    <row r="26" spans="1:7" x14ac:dyDescent="0.25">
      <c r="A26" s="135" t="s">
        <v>20</v>
      </c>
      <c r="B26" s="136"/>
      <c r="C26" s="136"/>
      <c r="D26" s="136"/>
      <c r="E26" s="137"/>
      <c r="F26" s="13"/>
      <c r="G26" s="13"/>
    </row>
    <row r="27" spans="1:7" x14ac:dyDescent="0.25">
      <c r="A27" s="13"/>
      <c r="B27" s="13"/>
      <c r="C27" s="13"/>
      <c r="D27" s="13"/>
      <c r="E27" s="13"/>
      <c r="F27" s="13"/>
      <c r="G27" s="13"/>
    </row>
    <row r="28" spans="1:7" x14ac:dyDescent="0.25">
      <c r="A28" s="99" t="s">
        <v>61</v>
      </c>
      <c r="B28" s="101"/>
      <c r="C28" s="15" t="s">
        <v>81</v>
      </c>
      <c r="D28" s="13"/>
      <c r="E28" s="13"/>
      <c r="F28" s="13"/>
      <c r="G28" s="13"/>
    </row>
    <row r="29" spans="1:7" x14ac:dyDescent="0.25">
      <c r="A29" s="13"/>
      <c r="B29" s="13"/>
      <c r="C29" s="13"/>
      <c r="D29" s="13"/>
      <c r="E29" s="13"/>
      <c r="F29" s="13"/>
      <c r="G29" s="13"/>
    </row>
    <row r="30" spans="1:7" x14ac:dyDescent="0.25">
      <c r="A30" s="99" t="s">
        <v>21</v>
      </c>
      <c r="B30" s="101"/>
      <c r="C30" s="15">
        <v>2</v>
      </c>
      <c r="D30" s="13" t="s">
        <v>22</v>
      </c>
      <c r="E30" s="13"/>
      <c r="F30" s="13"/>
      <c r="G30" s="13"/>
    </row>
    <row r="31" spans="1:7" x14ac:dyDescent="0.25">
      <c r="A31" s="13"/>
      <c r="B31" s="13"/>
      <c r="C31" s="18"/>
      <c r="D31" s="13"/>
      <c r="E31" s="13"/>
      <c r="F31" s="13"/>
      <c r="G31" s="13"/>
    </row>
    <row r="32" spans="1:7" x14ac:dyDescent="0.25">
      <c r="A32" s="99" t="s">
        <v>23</v>
      </c>
      <c r="B32" s="101"/>
      <c r="C32" s="15">
        <v>2</v>
      </c>
      <c r="D32" s="13" t="s">
        <v>22</v>
      </c>
      <c r="E32" s="13"/>
      <c r="F32" s="13"/>
      <c r="G32" s="13"/>
    </row>
    <row r="34" spans="1:7" x14ac:dyDescent="0.25">
      <c r="A34" s="135" t="s">
        <v>63</v>
      </c>
      <c r="B34" s="136"/>
      <c r="C34" s="136"/>
      <c r="D34" s="136"/>
      <c r="E34" s="137"/>
      <c r="F34" s="13"/>
      <c r="G34" s="13"/>
    </row>
    <row r="35" spans="1:7" x14ac:dyDescent="0.25">
      <c r="A35" s="13"/>
      <c r="B35" s="13"/>
      <c r="C35" s="13"/>
      <c r="D35" s="13"/>
      <c r="E35" s="13"/>
      <c r="F35" s="13"/>
      <c r="G35" s="13"/>
    </row>
    <row r="36" spans="1:7" x14ac:dyDescent="0.25">
      <c r="A36" s="99" t="s">
        <v>58</v>
      </c>
      <c r="B36" s="101"/>
      <c r="C36" s="15" t="s">
        <v>65</v>
      </c>
      <c r="D36" s="16"/>
      <c r="E36" s="16"/>
      <c r="F36" s="16"/>
      <c r="G36" s="16"/>
    </row>
    <row r="37" spans="1:7" x14ac:dyDescent="0.25">
      <c r="A37" s="16"/>
      <c r="B37" s="16"/>
      <c r="C37" s="16"/>
      <c r="D37" s="16"/>
      <c r="E37" s="16"/>
      <c r="F37" s="16"/>
      <c r="G37" s="16"/>
    </row>
    <row r="38" spans="1:7" x14ac:dyDescent="0.25">
      <c r="A38" s="99" t="s">
        <v>66</v>
      </c>
      <c r="B38" s="100"/>
      <c r="C38" s="70">
        <v>2</v>
      </c>
      <c r="D38" s="16"/>
      <c r="E38" s="16"/>
      <c r="F38" s="16"/>
      <c r="G38" s="16"/>
    </row>
    <row r="39" spans="1:7" x14ac:dyDescent="0.25">
      <c r="A39" s="3"/>
      <c r="B39" s="3"/>
      <c r="C39" s="3"/>
      <c r="D39" s="3"/>
      <c r="E39" s="3"/>
      <c r="F39" s="3"/>
      <c r="G39" s="3"/>
    </row>
    <row r="40" spans="1:7" x14ac:dyDescent="0.25">
      <c r="A40" s="60" t="s">
        <v>67</v>
      </c>
      <c r="B40" s="3"/>
      <c r="C40" s="71" t="s">
        <v>68</v>
      </c>
      <c r="D40" s="3"/>
      <c r="E40" s="3"/>
      <c r="F40" s="3"/>
      <c r="G40" s="3"/>
    </row>
    <row r="41" spans="1:7" x14ac:dyDescent="0.25">
      <c r="A41" s="66">
        <v>1</v>
      </c>
      <c r="B41" s="3"/>
      <c r="C41" s="19">
        <v>0</v>
      </c>
      <c r="D41" s="3"/>
      <c r="E41" s="3"/>
      <c r="F41" s="3"/>
      <c r="G41" s="3"/>
    </row>
    <row r="42" spans="1:7" x14ac:dyDescent="0.25">
      <c r="A42" s="67">
        <v>2</v>
      </c>
      <c r="B42" s="3"/>
      <c r="C42" s="19">
        <v>0</v>
      </c>
      <c r="D42" s="3"/>
      <c r="E42" s="3"/>
      <c r="F42" s="3"/>
      <c r="G42" s="3"/>
    </row>
    <row r="45" spans="1:7" x14ac:dyDescent="0.25">
      <c r="A45" s="135" t="s">
        <v>63</v>
      </c>
      <c r="B45" s="136"/>
      <c r="C45" s="136"/>
      <c r="D45" s="136"/>
      <c r="E45" s="137"/>
      <c r="F45" s="13"/>
      <c r="G45" s="13"/>
    </row>
    <row r="46" spans="1:7" x14ac:dyDescent="0.25">
      <c r="A46" s="13"/>
      <c r="B46" s="13"/>
      <c r="C46" s="13"/>
      <c r="D46" s="13"/>
      <c r="E46" s="13"/>
      <c r="F46" s="13"/>
      <c r="G46" s="13"/>
    </row>
    <row r="47" spans="1:7" x14ac:dyDescent="0.25">
      <c r="A47" s="99" t="s">
        <v>58</v>
      </c>
      <c r="B47" s="101"/>
      <c r="C47" s="15" t="s">
        <v>69</v>
      </c>
      <c r="D47" s="140" t="s">
        <v>75</v>
      </c>
      <c r="E47" s="141"/>
      <c r="F47" s="138" t="s">
        <v>76</v>
      </c>
      <c r="G47" s="139"/>
    </row>
    <row r="48" spans="1:7" x14ac:dyDescent="0.25">
      <c r="A48" s="16"/>
      <c r="B48" s="16"/>
      <c r="C48" s="16"/>
      <c r="D48" s="16"/>
      <c r="E48" s="16"/>
      <c r="F48" s="16"/>
      <c r="G48" s="16"/>
    </row>
    <row r="49" spans="1:7" x14ac:dyDescent="0.25">
      <c r="A49" s="99" t="s">
        <v>70</v>
      </c>
      <c r="B49" s="100"/>
      <c r="C49" s="70">
        <v>2</v>
      </c>
      <c r="D49" s="140" t="s">
        <v>78</v>
      </c>
      <c r="E49" s="141"/>
      <c r="F49" s="138" t="s">
        <v>77</v>
      </c>
      <c r="G49" s="139"/>
    </row>
    <row r="50" spans="1:7" x14ac:dyDescent="0.25">
      <c r="A50" s="3"/>
      <c r="B50" s="3"/>
      <c r="C50" s="3"/>
      <c r="D50" s="3"/>
      <c r="E50" s="3"/>
      <c r="F50" s="3"/>
      <c r="G50" s="3"/>
    </row>
    <row r="51" spans="1:7" x14ac:dyDescent="0.25">
      <c r="A51" s="60" t="s">
        <v>71</v>
      </c>
      <c r="B51" s="3"/>
      <c r="C51" s="71" t="s">
        <v>74</v>
      </c>
      <c r="D51" s="3"/>
      <c r="E51" s="71" t="s">
        <v>79</v>
      </c>
      <c r="F51" s="3"/>
      <c r="G51" s="71" t="s">
        <v>80</v>
      </c>
    </row>
    <row r="52" spans="1:7" x14ac:dyDescent="0.25">
      <c r="A52" s="72" t="s">
        <v>72</v>
      </c>
      <c r="B52" s="3"/>
      <c r="C52" s="69">
        <v>0</v>
      </c>
      <c r="D52" s="73"/>
      <c r="E52" s="69">
        <v>0</v>
      </c>
      <c r="F52" s="73"/>
      <c r="G52" s="69">
        <v>0</v>
      </c>
    </row>
    <row r="53" spans="1:7" x14ac:dyDescent="0.25">
      <c r="A53" s="72" t="s">
        <v>73</v>
      </c>
      <c r="B53" s="3"/>
      <c r="C53" s="69">
        <v>0</v>
      </c>
      <c r="D53" s="73"/>
      <c r="E53" s="69">
        <v>0</v>
      </c>
      <c r="F53" s="73"/>
      <c r="G53" s="69">
        <v>0</v>
      </c>
    </row>
    <row r="57" spans="1:7" x14ac:dyDescent="0.25">
      <c r="A57" s="21">
        <v>1</v>
      </c>
      <c r="B57" s="13"/>
      <c r="C57" s="20">
        <v>0</v>
      </c>
      <c r="D57" s="13"/>
      <c r="E57" s="20">
        <v>0</v>
      </c>
      <c r="F57" s="13"/>
      <c r="G57" s="2">
        <v>12</v>
      </c>
    </row>
  </sheetData>
  <mergeCells count="15">
    <mergeCell ref="D22:G23"/>
    <mergeCell ref="A34:E34"/>
    <mergeCell ref="A36:B36"/>
    <mergeCell ref="A38:B38"/>
    <mergeCell ref="F49:G49"/>
    <mergeCell ref="F47:G47"/>
    <mergeCell ref="A26:E26"/>
    <mergeCell ref="A28:B28"/>
    <mergeCell ref="A30:B30"/>
    <mergeCell ref="A32:B32"/>
    <mergeCell ref="A45:E45"/>
    <mergeCell ref="A47:B47"/>
    <mergeCell ref="A49:B49"/>
    <mergeCell ref="D47:E47"/>
    <mergeCell ref="D49:E49"/>
  </mergeCells>
  <dataValidations count="13">
    <dataValidation type="whole" allowBlank="1" showInputMessage="1" showErrorMessage="1" errorTitle="Error" error="El número de nodos debe estar comprendido entre 1 y 500" sqref="A41:A42 A4:A7 G10" xr:uid="{32D64FBA-B40B-413A-8B29-90B6044FEBCD}">
      <formula1>1</formula1>
      <formula2>500</formula2>
    </dataValidation>
    <dataValidation type="list" allowBlank="1" showInputMessage="1" showErrorMessage="1" sqref="C1 B17 C10" xr:uid="{82BD09D8-0305-4931-AB32-B55F81757ABA}">
      <formula1>"Positivo, Negativo"</formula1>
    </dataValidation>
    <dataValidation type="list" allowBlank="1" showInputMessage="1" showErrorMessage="1" sqref="E1 E10" xr:uid="{DC5F1A77-3B5A-4942-A5AD-9CF2F9DEEB24}">
      <formula1>"Poligonal, Circular, Trapecio Circular"</formula1>
    </dataValidation>
    <dataValidation type="list" allowBlank="1" showInputMessage="1" showErrorMessage="1" sqref="C36 C47" xr:uid="{06AB9E5C-0F14-418E-8FB3-8DC472C453C4}">
      <formula1>"2D,3D, Verificación"</formula1>
    </dataValidation>
    <dataValidation type="decimal" allowBlank="1" showInputMessage="1" showErrorMessage="1" errorTitle="ERROR" error="El ángulo de inclinación del plano de carga debe estar comprendido entre -90º y 90º" sqref="C38 C41:C42 C49 C52:C53 E52:E53 G52:G53" xr:uid="{CDCFC1C5-255F-4C5B-980E-827D7879AF74}">
      <formula1>-90</formula1>
      <formula2>90</formula2>
    </dataValidation>
    <dataValidation allowBlank="1" showInputMessage="1" showErrorMessage="1" errorTitle="Error" error="El número de nodos debe estar comprendido entre 1 y 500" sqref="A52" xr:uid="{709CA49A-7201-4765-BDBC-57ED9688C0D6}"/>
    <dataValidation type="list" allowBlank="1" showInputMessage="1" showErrorMessage="1" errorTitle="ERROR" error="El ángulo de inclinación del plano de carga debe estar comprendido entre -90º y 90º" sqref="F47" xr:uid="{7DFA8BE4-EA97-408C-B663-7691597E09A8}">
      <formula1>"Tracción, Compresión"</formula1>
    </dataValidation>
    <dataValidation type="list" allowBlank="1" showInputMessage="1" showErrorMessage="1" errorTitle="ERROR" error="El ángulo de inclinación del plano de carga debe estar comprendido entre -90º y 90º" sqref="F49" xr:uid="{98FB552D-1589-4723-B392-450D6F9F9BC5}">
      <formula1>"Anithorario, Horario"</formula1>
    </dataValidation>
    <dataValidation type="list" allowBlank="1" showInputMessage="1" showErrorMessage="1" sqref="C28" xr:uid="{7E078A67-C239-4373-AAEC-E464F6B012F6}">
      <formula1>"Extra Fina, Fina, Media, Gruesa, Muy Gruesa, Avanzada (Ingreso Manual)"</formula1>
    </dataValidation>
    <dataValidation type="list" allowBlank="1" showInputMessage="1" showErrorMessage="1" sqref="C17" xr:uid="{4946371A-90E5-451E-B9A0-F4BE28F4FC03}">
      <formula1>"Poligonal, Circular, Región Circular"</formula1>
    </dataValidation>
    <dataValidation type="whole" allowBlank="1" showInputMessage="1" showErrorMessage="1" errorTitle="Error" error="El número de barras debe estar comprendido entre 1 y 500" sqref="A57" xr:uid="{FC49E37A-5E7A-4020-A21F-6878B7EBA197}">
      <formula1>1</formula1>
      <formula2>500</formula2>
    </dataValidation>
    <dataValidation type="whole" allowBlank="1" showInputMessage="1" showErrorMessage="1" errorTitle="Error" error="El número de nodos debe estar comprendido entre 3 y 500" sqref="G1" xr:uid="{292CEF3F-18CD-41C4-91C9-F76F5248B6ED}">
      <formula1>3</formula1>
      <formula2>500</formula2>
    </dataValidation>
    <dataValidation type="decimal" operator="greaterThanOrEqual" allowBlank="1" showInputMessage="1" showErrorMessage="1" errorTitle="Error en ingreso de radio." error="Los radios deben ser valores positivos." sqref="C13:C14" xr:uid="{6DF11B6B-7D9B-44C5-8B0E-E3C11D02DC2E}">
      <formula1>0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Ingreso de Datos</vt:lpstr>
      <vt:lpstr>BACKUP Ingreso de Datos</vt:lpstr>
      <vt:lpstr>Diagrama de Interacción 2D</vt:lpstr>
      <vt:lpstr>Resultados</vt:lpstr>
      <vt:lpstr>Armaduras Pasivas</vt:lpstr>
      <vt:lpstr>Armaduras Activas</vt:lpstr>
      <vt:lpstr>AUX</vt:lpstr>
      <vt:lpstr>'Diagrama de Interacción 2D'!Print_Area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Facundo L. Pfeffer</dc:creator>
  <cp:lastModifiedBy>Facundo L. Pfeffer</cp:lastModifiedBy>
  <dcterms:created xsi:type="dcterms:W3CDTF">2023-04-14T12:25:15Z</dcterms:created>
  <dcterms:modified xsi:type="dcterms:W3CDTF">2023-12-24T23:16:19Z</dcterms:modified>
</cp:coreProperties>
</file>