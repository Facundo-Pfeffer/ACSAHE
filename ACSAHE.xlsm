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H:\Other computers\My Computer (1)\PC Facundo L Pfeffer - Drive Backup\Ingeniería Civil\03 - Investigaciones\01 - Automatización de Diagramas de Interacción\01 - Archivos\ACSAHE\"/>
    </mc:Choice>
  </mc:AlternateContent>
  <xr:revisionPtr revIDLastSave="0" documentId="13_ncr:1_{9948E691-8E6A-474B-9FC3-257A341470EB}" xr6:coauthVersionLast="47" xr6:coauthVersionMax="47" xr10:uidLastSave="{00000000-0000-0000-0000-000000000000}"/>
  <bookViews>
    <workbookView xWindow="-120" yWindow="-120" windowWidth="38640" windowHeight="21240" activeTab="3" xr2:uid="{6C1792F0-6D7B-40E4-BF39-E06A9BBFB0A4}"/>
  </bookViews>
  <sheets>
    <sheet name="Instrucciones" sheetId="12" r:id="rId1"/>
    <sheet name="Ingreso de Datos" sheetId="1" r:id="rId2"/>
    <sheet name="Diagrama de Interacción 2D" sheetId="7" r:id="rId3"/>
    <sheet name="Armaduras Pasivas" sheetId="3" r:id="rId4"/>
    <sheet name="Armaduras Activas" sheetId="4" r:id="rId5"/>
    <sheet name="BACKUP Ingreso de Datos" sheetId="11" r:id="rId6"/>
    <sheet name="AUX" sheetId="5" r:id="rId7"/>
  </sheets>
  <functionGroups builtInGroupCount="19"/>
  <definedNames>
    <definedName name="INTERACCIÓN" localSheetId="2">'Diagrama de Interacción 2D'!#REF!</definedName>
    <definedName name="_xlnm.Print_Area" localSheetId="2">'Diagrama de Interacción 2D'!$A$1:$G$50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2" i="1" l="1"/>
  <c r="A36" i="1"/>
  <c r="G1" i="7"/>
  <c r="A22" i="11" l="1"/>
  <c r="A7" i="5" l="1"/>
  <c r="B5" i="3"/>
  <c r="D5" i="3"/>
  <c r="C5" i="3"/>
</calcChain>
</file>

<file path=xl/sharedStrings.xml><?xml version="1.0" encoding="utf-8"?>
<sst xmlns="http://schemas.openxmlformats.org/spreadsheetml/2006/main" count="243" uniqueCount="139">
  <si>
    <t>Calidad/Tipo</t>
  </si>
  <si>
    <t>Hormigón Calidad  H -</t>
  </si>
  <si>
    <t>Acero Pasivo Tipo</t>
  </si>
  <si>
    <t>ADN 420</t>
  </si>
  <si>
    <t>Acero Pretensado Tipo</t>
  </si>
  <si>
    <t>Def. efectiva</t>
  </si>
  <si>
    <t>Estribos</t>
  </si>
  <si>
    <t>GEOMETRÍA DE LA SECCIÓN DE HORMIGÓN</t>
  </si>
  <si>
    <t>Cantidad de contornos convexos</t>
  </si>
  <si>
    <t>Cantidad de Nodos</t>
  </si>
  <si>
    <t>X [cm]</t>
  </si>
  <si>
    <t>Y [cm]</t>
  </si>
  <si>
    <t>ARMADURAS PASIVAS (H°- Armado)</t>
  </si>
  <si>
    <t>Cantidad de barras</t>
  </si>
  <si>
    <t>Barra nº</t>
  </si>
  <si>
    <t>ARMADURAS ACTIVAS (H°- Pretensado)</t>
  </si>
  <si>
    <t>Área [cm²]</t>
  </si>
  <si>
    <t>DISCRETIZACIÓN DE LA SECCIÓN</t>
  </si>
  <si>
    <t>ΔX =</t>
  </si>
  <si>
    <t>cm</t>
  </si>
  <si>
    <t>ΔY =</t>
  </si>
  <si>
    <t>AL 220</t>
  </si>
  <si>
    <t>ADN 500</t>
  </si>
  <si>
    <t>Propiedades</t>
  </si>
  <si>
    <t>Provisto por Usuario</t>
  </si>
  <si>
    <t>fy: Tensión de Fluencia [MPa]</t>
  </si>
  <si>
    <t>E [Mpa]</t>
  </si>
  <si>
    <t>ARMADURAS PASIVAS</t>
  </si>
  <si>
    <t>BARRAS
1050</t>
  </si>
  <si>
    <t>TRENZAS
C1650</t>
  </si>
  <si>
    <t>TRENZAS
C1900</t>
  </si>
  <si>
    <t>fpy: Tensión de Fluencia [MPa]</t>
  </si>
  <si>
    <t>fpu: Tensión de Rotura [MPa]</t>
  </si>
  <si>
    <t>N</t>
  </si>
  <si>
    <t>K</t>
  </si>
  <si>
    <t>Q</t>
  </si>
  <si>
    <t>ARMADURAS ACTIVAS</t>
  </si>
  <si>
    <t>Trenzas C1900</t>
  </si>
  <si>
    <t>Eps [Mpa]</t>
  </si>
  <si>
    <t>(Recomendado ≈ 5‰)</t>
  </si>
  <si>
    <t>εy: Alargamiento
 de fluencia</t>
  </si>
  <si>
    <t>εu: Alargamiento
de rotura</t>
  </si>
  <si>
    <t>εpu: Alargamiento
de rotura</t>
  </si>
  <si>
    <t>Nodo Nº</t>
  </si>
  <si>
    <t>Contorno</t>
  </si>
  <si>
    <t>Positivo</t>
  </si>
  <si>
    <t>Poligonal</t>
  </si>
  <si>
    <t>Circular</t>
  </si>
  <si>
    <t>Nodo Centroº</t>
  </si>
  <si>
    <t>Radio Interno [cm]</t>
  </si>
  <si>
    <t>Radio Externo [cm]</t>
  </si>
  <si>
    <t>Ángulo Inicial [°]</t>
  </si>
  <si>
    <t>Ángulo Final [°]</t>
  </si>
  <si>
    <t>Nodo Centro</t>
  </si>
  <si>
    <t>Los ángulos se definen con respecto al eje x en sentido antihorario</t>
  </si>
  <si>
    <t>Tipo</t>
  </si>
  <si>
    <t>Signo</t>
  </si>
  <si>
    <t>Contorno 1</t>
  </si>
  <si>
    <t>Nivel de Discretización</t>
  </si>
  <si>
    <t>2D</t>
  </si>
  <si>
    <t>RESULTADO</t>
  </si>
  <si>
    <t>Ángulo plano de carga λ =</t>
  </si>
  <si>
    <t>3D</t>
  </si>
  <si>
    <t>Número de planos</t>
  </si>
  <si>
    <t>Plano Nº</t>
  </si>
  <si>
    <t>Ángulo  λ [°]</t>
  </si>
  <si>
    <t>Verificación</t>
  </si>
  <si>
    <t>Número de estados</t>
  </si>
  <si>
    <t>Estado</t>
  </si>
  <si>
    <t>1.2D+1.6L</t>
  </si>
  <si>
    <t>1.4D</t>
  </si>
  <si>
    <t>P [kN]</t>
  </si>
  <si>
    <t>P positivo</t>
  </si>
  <si>
    <t>Tracción</t>
  </si>
  <si>
    <t>Anithorario</t>
  </si>
  <si>
    <t>M positivo</t>
  </si>
  <si>
    <t>M [kNm]</t>
  </si>
  <si>
    <t>P [kNm]</t>
  </si>
  <si>
    <t>Avanzada (Ingreso Manual)</t>
  </si>
  <si>
    <t>Región Circular</t>
  </si>
  <si>
    <t>RESULTADOS</t>
  </si>
  <si>
    <t>Diagrama de interacción  con inclinación del plano de carga λ =</t>
  </si>
  <si>
    <t>ΦPn    [KN]</t>
  </si>
  <si>
    <t>ΦMnλ [KNm]</t>
  </si>
  <si>
    <t>Verificar puntos</t>
  </si>
  <si>
    <t>Pu          [KN]</t>
  </si>
  <si>
    <t>Muλ   [KNm]</t>
  </si>
  <si>
    <t>Φ</t>
  </si>
  <si>
    <t>del tipo "Circular", la discretización del radio</t>
  </si>
  <si>
    <t>Nota: En el caso de ingresar elemento</t>
  </si>
  <si>
    <t xml:space="preserve">se tomará como el menor de los valores de </t>
  </si>
  <si>
    <t>ΔX y ΔY</t>
  </si>
  <si>
    <t>Diámetro [mm]</t>
  </si>
  <si>
    <t>ΔX [cm] =</t>
  </si>
  <si>
    <t>ΔY [cm] =</t>
  </si>
  <si>
    <t>Δθ [°] =</t>
  </si>
  <si>
    <t>ΦMnλ es el momento compuesto en dirección perpendicular al plano de carga λ.
Se obtiene de la siguiente manera: ΦMnλ = √(ΦMnx²+ΦMny²).
Se considera positivo cuando:
- ΦMnx es positivo.
-  Si ΦMnx es 0, se considera positivo si ΦMny es positivo.</t>
  </si>
  <si>
    <t>ESCUELA DE INGENIERÍA CIVIL</t>
  </si>
  <si>
    <t>INTRODUCCIÓN</t>
  </si>
  <si>
    <t>→</t>
  </si>
  <si>
    <t>INGRESO DE DATOS</t>
  </si>
  <si>
    <t xml:space="preserve">       Las coordenadas ya sean de los nodos de los contornos como de las armaduras deben estar referidas a un mismo sistema de referencia, el cual puede tener origen en un punto arbitrario.</t>
  </si>
  <si>
    <t xml:space="preserve">       Para realizar los procesos iterativos el programa discretiza la sección de hormigón en elementos rectangulares de dimensiones ΔX y ΔY, las cuales deben ser elegidas por el usuario. Como recomendación dichas dimensiones deben ser aproximadamente la máxima dimensión de la sección dividido 60. Complementariamente se recomienda que los valores de ΔX y ΔY sean elegidos de  modo tal que las dimensiones de la sección sean múltiplos de dichos valores.</t>
  </si>
  <si>
    <r>
      <t xml:space="preserve">       Finalmente se debe ingresar el ángulo </t>
    </r>
    <r>
      <rPr>
        <sz val="11"/>
        <color theme="1"/>
        <rFont val="Calibri"/>
        <family val="2"/>
      </rPr>
      <t>λ</t>
    </r>
    <r>
      <rPr>
        <sz val="11"/>
        <color theme="1"/>
        <rFont val="Arial"/>
        <family val="2"/>
      </rPr>
      <t xml:space="preserve"> de inclinación del plano de carga, para el cual se desea obtener el diagrama de interacción de resistencia. El ángulo de inclinación del plano de carga se toma respecto del eje Y, por lo tanto  λ = arctan(My/Mx) = arctan(ex/ey). </t>
    </r>
  </si>
  <si>
    <r>
      <t xml:space="preserve">       Una vez dados todos los datos se recomienda verificar que no existan números de contornos, nodos o barras repetidos, así como también que el número de nodos de cada de contorno coincida con los datos ingresados. Por último se debe verificar en la pestaña "</t>
    </r>
    <r>
      <rPr>
        <i/>
        <sz val="11"/>
        <color theme="1"/>
        <rFont val="Arial"/>
        <family val="2"/>
      </rPr>
      <t>Datos</t>
    </r>
    <r>
      <rPr>
        <sz val="11"/>
        <color theme="1"/>
        <rFont val="Arial"/>
        <family val="2"/>
      </rPr>
      <t>" que no existan filas vacías intermedias, ni celdas con error o el mensaje "####".</t>
    </r>
  </si>
  <si>
    <t xml:space="preserve">       Luego, con la pestaña "Datos" activa, el usuario debe proceder a la opción "Guardar Como" y guardar, en el mismo directorio que se encuentra el ejecutable "DISGHA.exe", un archivo con el nombre "DATOS" y tipo de archivo "Texto con Formato(Delimitado por espacios)". Una vez guardado el archivo "DATOS.prn", se debe ingresar nuevamente a la opción "Guardar Como" y guardar el libro de Excel con un nombre de archivo distinto a  "Datos" o "DISGHA" y con tipo de archivo "Libro de Excel habilitado para macros".</t>
  </si>
  <si>
    <t>EJECUCIÓN DEL PROGRAMA</t>
  </si>
  <si>
    <r>
      <t xml:space="preserve">       Se debe ingresar en el directorio en el cual se guardó el archivo "</t>
    </r>
    <r>
      <rPr>
        <i/>
        <sz val="11"/>
        <color theme="1"/>
        <rFont val="Arial"/>
        <family val="2"/>
      </rPr>
      <t xml:space="preserve">DATOS.prn" y </t>
    </r>
    <r>
      <rPr>
        <sz val="11"/>
        <color theme="1"/>
        <rFont val="Arial"/>
        <family val="2"/>
      </rPr>
      <t>el archivo ejecutable "DISGHA.exe". Al ejecutar este último, se abrirá una ventana la cual no se debe cerrar en ningún momento. El procesamiento puede demorar varios minutos.</t>
    </r>
  </si>
  <si>
    <r>
      <t xml:space="preserve">       Una vez finalizado el proceso la ventana se cerrará y en el directorio se muestran 2 archivos nuevos "</t>
    </r>
    <r>
      <rPr>
        <i/>
        <sz val="11"/>
        <color theme="1"/>
        <rFont val="Arial"/>
        <family val="2"/>
      </rPr>
      <t>RESULTADOS.prn</t>
    </r>
    <r>
      <rPr>
        <sz val="11"/>
        <color theme="1"/>
        <rFont val="Arial"/>
        <family val="2"/>
      </rPr>
      <t>" e "</t>
    </r>
    <r>
      <rPr>
        <i/>
        <sz val="11"/>
        <color theme="1"/>
        <rFont val="Arial"/>
        <family val="2"/>
      </rPr>
      <t>INTERACCIÓN.prn</t>
    </r>
    <r>
      <rPr>
        <sz val="11"/>
        <color theme="1"/>
        <rFont val="Arial"/>
        <family val="2"/>
      </rPr>
      <t>". Para verificar los datos ingresados el usuario puede leer el archivo "RESULTADOS.prn" mediante el programa Bloc de Notas.</t>
    </r>
  </si>
  <si>
    <r>
      <t xml:space="preserve">      Finalizada la ejecución del programa, se debe ingresar en el menú "DATOS" de Excel, y luego en el menú de obtención de datos externos "Desde texto" examinar el directorio donde se ejecutó el programa, e importar los datos del archivo "INTERACCIÓN.PRN" con la opción de "ANCHO FIJO". Para graficar el diagrama de interacción de resistencia se deben colocar los datos en las columnas i y j de la hoja "</t>
    </r>
    <r>
      <rPr>
        <i/>
        <sz val="11"/>
        <color theme="1"/>
        <rFont val="Arial"/>
        <family val="2"/>
      </rPr>
      <t>Diagrama de Interacción</t>
    </r>
    <r>
      <rPr>
        <sz val="11"/>
        <color theme="1"/>
        <rFont val="Arial"/>
        <family val="2"/>
      </rPr>
      <t>".</t>
    </r>
  </si>
  <si>
    <t xml:space="preserve">       El diagrama obtenido se encuentra en términos de solicitaciones de diseño, y las unidades son KN y KNm. El momento graficado es el momento compuesto  ΦMnλ  en dirección perpendicular al plano de carga λ, siendo ΦMnλ = √(ΦMnx²+ΦMny²) y se considera positivo cuando ΦMnx es positivo.</t>
  </si>
  <si>
    <r>
      <t xml:space="preserve">      Para verificar diversos estados de solicitación requerida, se debe ingresar en las celdas sombreadas en gris los valores de esfuerzo axial Pu[KN] y Mu</t>
    </r>
    <r>
      <rPr>
        <sz val="11"/>
        <color theme="1"/>
        <rFont val="Calibri"/>
        <family val="2"/>
      </rPr>
      <t>λ</t>
    </r>
    <r>
      <rPr>
        <sz val="11"/>
        <color theme="1"/>
        <rFont val="Arial"/>
        <family val="2"/>
      </rPr>
      <t>[KNm]. Los estados de solicitación que se encuentren dentro del diagrama de interacción verifican el estado límite de resistencia, y aquellos puntos fuera del diagrama son estados de solicitación que no verifican dicho estado límite.</t>
    </r>
  </si>
  <si>
    <t>Universidad Nacional de Rosario</t>
  </si>
  <si>
    <t>Facultad de Ciencias Exactas, Ingeniería y Agrimensura</t>
  </si>
  <si>
    <t>DEPARTAMENTO DE ESTRUCTURAS</t>
  </si>
  <si>
    <t>C17 Estructuras de Hormigón I</t>
  </si>
  <si>
    <r>
      <rPr>
        <i/>
        <sz val="14"/>
        <color theme="1"/>
        <rFont val="Times New Roman"/>
        <family val="1"/>
      </rPr>
      <t>AUTOMATIZACIÓN DEL CÁLCULO DE LA RESISTENCIA DE SECCIONES ARBITRARIAS DE HORMIGÓN ESTRUCTURAL</t>
    </r>
    <r>
      <rPr>
        <sz val="16"/>
        <color theme="1"/>
        <rFont val="Times New Roman"/>
        <family val="1"/>
      </rPr>
      <t xml:space="preserve"> </t>
    </r>
  </si>
  <si>
    <t>ACSAHE</t>
  </si>
  <si>
    <t>AÑO 2023</t>
  </si>
  <si>
    <t xml:space="preserve">      ACSAHE es un programa de cálculo numérico que permite al usuario construir el diagrama de interacción de resistencia de diseño Momento Flector - Esfuerzo Nomal para secciones de hormigón armado o pretensado, de forma y armadura arbitraria. 
El cálculo puede ser realizado para cualquier plano de carga, siendo su principal aplicación la de verificar estados últimos de resistencai frente a flexión oblicua compuesta.</t>
  </si>
  <si>
    <t xml:space="preserve">      Las hipótesis simplifcativos utilizado para los calculos, las ecuaciones constitutivas de los materiales, así como también los factores de reducción de resistencia utilizados en el programa son los correspondientes al reglamento CIRSOC 201-2005.</t>
  </si>
  <si>
    <r>
      <rPr>
        <b/>
        <sz val="11"/>
        <color theme="1"/>
        <rFont val="Times New Roman"/>
        <family val="1"/>
      </rPr>
      <t>Dirección de la adscripción</t>
    </r>
    <r>
      <rPr>
        <sz val="11"/>
        <color theme="1"/>
        <rFont val="Times New Roman"/>
        <family val="1"/>
      </rPr>
      <t>: Dr. Ing. Oscar Möller</t>
    </r>
  </si>
  <si>
    <r>
      <rPr>
        <b/>
        <sz val="11"/>
        <color theme="1"/>
        <rFont val="Times New Roman"/>
        <family val="1"/>
      </rPr>
      <t>Adscripto</t>
    </r>
    <r>
      <rPr>
        <sz val="11"/>
        <color theme="1"/>
        <rFont val="Times New Roman"/>
        <family val="1"/>
      </rPr>
      <t>: Facundo Leguizamón Pfeffer.</t>
    </r>
  </si>
  <si>
    <r>
      <t xml:space="preserve">       El ingreso de datos del programa se realiza a través de un archivo de formato fijo, cuya construcción se realiza mediante esta planilla Excel. Al finalizar la lectura de este instructivo se encontrará una hoja de </t>
    </r>
    <r>
      <rPr>
        <i/>
        <sz val="11"/>
        <color theme="1"/>
        <rFont val="Times New Roman"/>
        <family val="1"/>
      </rPr>
      <t xml:space="preserve">Ingreso de Datos </t>
    </r>
    <r>
      <rPr>
        <sz val="11"/>
        <color theme="1"/>
        <rFont val="Times New Roman"/>
        <family val="1"/>
      </rPr>
      <t xml:space="preserve">en la cual se deberá completar todas aquellas celdas que </t>
    </r>
  </si>
  <si>
    <t xml:space="preserve">se encuentren </t>
  </si>
  <si>
    <t>sombreadas en gris.</t>
  </si>
  <si>
    <t>2. GEOMETRÍA DE LA SECCIÓN DE HORMIGÓN</t>
  </si>
  <si>
    <t>Armaduras Transversales con</t>
  </si>
  <si>
    <t>CARACTERÍSTICAS DE LOS MATERIALES</t>
  </si>
  <si>
    <t>Media</t>
  </si>
  <si>
    <t>1. CARACTERÍSTICAS DE LOS MATERIALES</t>
  </si>
  <si>
    <t xml:space="preserve">       En primer lugar se deberán ingresar las características de los materiales y el tipo de armadura transversal, es decir si posee estribos o zunchos en espiral. El programa incluye por defecto los tipos más comues de acero pasivo y pretensado como opciones para el programa. Si el usuario desea utilizar un material distinto a los anteriores, puede hacerlo eligiendo la opción "Provisto por Usuario" y detallando los valores característicos a utilizar en sus relaciones constitutivas en las hojas "Armaduras Pasivas" o "Armaduras Activas". Para más detalles referirse al informe.</t>
  </si>
  <si>
    <t xml:space="preserve">       Luego se introduce la geometría de la sección de hormigón, para lo cual se deberá dividir la sección en contornos convexos. Un contorno es convexo cuando el segmento que une dos puntos cualesquiera dentro del contorno, permanece en su totalidad dentro del contorno. Una forma fácil de verificar esta condicón es cuidando que todos los ángulos internos del contorno sean menores a 180º. De esta manera tanto las concavidades como los orificios que pueda tener la sección se obtienen ingresando contornos de área negativa.</t>
  </si>
  <si>
    <t xml:space="preserve">       A continuación, se  muestra cómo descomponer una sección con concavidades y orificios en una serie de contornos convexos.</t>
  </si>
  <si>
    <t xml:space="preserve">       Cada uno de los contornos deberá ser ingresado a través de las coordenadas de sus nodos, expresadas en centímetros en cualquier órden en particular.</t>
  </si>
  <si>
    <t xml:space="preserve">       Luego se debe proceder con los datos de las armaduras, para lo cual se debe ingresar la cantidad de barras, y para cada una de ellas, el número de la barra, las coordenadas X e Y , y el diámetro comercial en milímetros para armaduras pasivas o el área efectiva en centímetros cuadrados para armaduras activas.</t>
  </si>
  <si>
    <t>Contorno 2</t>
  </si>
  <si>
    <t xml:space="preserve">se tomará en funciòn de los valores de </t>
  </si>
  <si>
    <t>Contorno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</si>
</sst>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 &quot;‰&quot;"/>
    <numFmt numFmtId="165" formatCode="0.0"/>
    <numFmt numFmtId="166" formatCode="0.000"/>
    <numFmt numFmtId="167" formatCode="00\º.0"/>
  </numFmts>
  <fonts count="29" x14ac:knownFonts="1">
    <font>
      <sz val="11"/>
      <color theme="1"/>
      <name val="Calibri"/>
      <family val="2"/>
      <scheme val="minor"/>
    </font>
    <font>
      <sz val="11"/>
      <color theme="1"/>
      <name val="Calibri"/>
      <family val="2"/>
      <scheme val="minor"/>
    </font>
    <font>
      <b/>
      <u/>
      <sz val="11"/>
      <color theme="1"/>
      <name val="Arial"/>
      <family val="2"/>
    </font>
    <font>
      <b/>
      <i/>
      <sz val="11"/>
      <color rgb="FFFF0000"/>
      <name val="Arial"/>
      <family val="2"/>
    </font>
    <font>
      <sz val="11"/>
      <color theme="1"/>
      <name val="Arial"/>
      <family val="2"/>
    </font>
    <font>
      <u/>
      <sz val="11"/>
      <color theme="1"/>
      <name val="Arial"/>
      <family val="2"/>
    </font>
    <font>
      <sz val="10"/>
      <color theme="1"/>
      <name val="Arial"/>
      <family val="2"/>
    </font>
    <font>
      <b/>
      <sz val="11"/>
      <color theme="1"/>
      <name val="Arial"/>
      <family val="2"/>
    </font>
    <font>
      <sz val="11"/>
      <color theme="0"/>
      <name val="Arial"/>
      <family val="2"/>
    </font>
    <font>
      <sz val="11"/>
      <color rgb="FF000000"/>
      <name val="Calibri"/>
      <family val="2"/>
    </font>
    <font>
      <sz val="14"/>
      <color theme="1"/>
      <name val="Arial"/>
      <family val="2"/>
    </font>
    <font>
      <i/>
      <sz val="11"/>
      <color theme="1"/>
      <name val="Arial"/>
      <family val="2"/>
    </font>
    <font>
      <i/>
      <sz val="10"/>
      <color theme="1"/>
      <name val="Arial"/>
      <family val="2"/>
    </font>
    <font>
      <sz val="11"/>
      <color theme="0"/>
      <name val="Calibri"/>
      <family val="2"/>
      <scheme val="minor"/>
    </font>
    <font>
      <sz val="11"/>
      <color rgb="FF000000"/>
      <name val="Arial"/>
      <family val="2"/>
    </font>
    <font>
      <sz val="10"/>
      <color theme="1"/>
      <name val="Times New Roman"/>
      <family val="1"/>
    </font>
    <font>
      <b/>
      <sz val="11"/>
      <color rgb="FF000000"/>
      <name val="Calibri"/>
      <family val="2"/>
    </font>
    <font>
      <b/>
      <sz val="22"/>
      <color theme="1"/>
      <name val="Arial Black"/>
      <family val="2"/>
    </font>
    <font>
      <b/>
      <sz val="11"/>
      <color theme="1"/>
      <name val="Calibri"/>
      <family val="2"/>
    </font>
    <font>
      <sz val="11"/>
      <color theme="1"/>
      <name val="Calibri"/>
      <family val="2"/>
    </font>
    <font>
      <b/>
      <sz val="11"/>
      <color theme="1"/>
      <name val="Times New Roman"/>
      <family val="1"/>
    </font>
    <font>
      <sz val="11"/>
      <color theme="1"/>
      <name val="Times New Roman"/>
      <family val="1"/>
    </font>
    <font>
      <sz val="14"/>
      <color theme="1"/>
      <name val="Times New Roman"/>
      <family val="1"/>
    </font>
    <font>
      <b/>
      <sz val="14"/>
      <color theme="1"/>
      <name val="Times New Roman"/>
      <family val="1"/>
    </font>
    <font>
      <b/>
      <sz val="18"/>
      <color theme="1"/>
      <name val="Times New Roman"/>
      <family val="1"/>
    </font>
    <font>
      <b/>
      <sz val="16"/>
      <color theme="1"/>
      <name val="Times New Roman"/>
      <family val="1"/>
    </font>
    <font>
      <sz val="16"/>
      <color theme="1"/>
      <name val="Times New Roman"/>
      <family val="1"/>
    </font>
    <font>
      <i/>
      <sz val="14"/>
      <color theme="1"/>
      <name val="Times New Roman"/>
      <family val="1"/>
    </font>
    <font>
      <i/>
      <sz val="11"/>
      <color theme="1"/>
      <name val="Times New Roman"/>
      <family val="1"/>
    </font>
  </fonts>
  <fills count="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s>
  <borders count="50">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right/>
      <top/>
      <bottom style="dashed">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ck">
        <color indexed="64"/>
      </top>
      <bottom style="thick">
        <color indexed="64"/>
      </bottom>
      <diagonal/>
    </border>
    <border>
      <left/>
      <right style="medium">
        <color indexed="64"/>
      </right>
      <top style="thick">
        <color indexed="64"/>
      </top>
      <bottom style="thick">
        <color indexed="64"/>
      </bottom>
      <diagonal/>
    </border>
    <border>
      <left style="medium">
        <color indexed="64"/>
      </left>
      <right/>
      <top/>
      <bottom/>
      <diagonal/>
    </border>
    <border>
      <left/>
      <right style="medium">
        <color indexed="64"/>
      </right>
      <top/>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theme="0"/>
      </top>
      <bottom style="thin">
        <color theme="0"/>
      </bottom>
      <diagonal/>
    </border>
    <border>
      <left style="thin">
        <color theme="0"/>
      </left>
      <right style="thin">
        <color theme="0"/>
      </right>
      <top style="thin">
        <color theme="0" tint="-0.34998626667073579"/>
      </top>
      <bottom style="thin">
        <color theme="0"/>
      </bottom>
      <diagonal/>
    </border>
    <border>
      <left style="thin">
        <color theme="0"/>
      </left>
      <right/>
      <top style="thin">
        <color theme="0" tint="-0.34998626667073579"/>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medium">
        <color theme="0"/>
      </left>
      <right style="medium">
        <color theme="0"/>
      </right>
      <top style="medium">
        <color theme="0"/>
      </top>
      <bottom style="medium">
        <color theme="0"/>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indexed="64"/>
      </left>
      <right/>
      <top/>
      <bottom/>
      <diagonal/>
    </border>
    <border>
      <left/>
      <right/>
      <top/>
      <bottom style="double">
        <color indexed="64"/>
      </bottom>
      <diagonal/>
    </border>
    <border>
      <left/>
      <right/>
      <top style="double">
        <color indexed="64"/>
      </top>
      <bottom/>
      <diagonal/>
    </border>
  </borders>
  <cellStyleXfs count="2">
    <xf numFmtId="0" fontId="0" fillId="0" borderId="0"/>
    <xf numFmtId="9" fontId="1" fillId="0" borderId="0" applyFont="0" applyFill="0" applyBorder="0" applyAlignment="0" applyProtection="0"/>
  </cellStyleXfs>
  <cellXfs count="192">
    <xf numFmtId="0" fontId="0" fillId="0" borderId="0" xfId="0"/>
    <xf numFmtId="0" fontId="4" fillId="2" borderId="0" xfId="0" applyFont="1" applyFill="1" applyAlignment="1">
      <alignment horizontal="center" vertical="center"/>
    </xf>
    <xf numFmtId="0" fontId="4" fillId="2" borderId="0" xfId="0" applyFont="1" applyFill="1" applyAlignment="1">
      <alignment horizontal="center"/>
    </xf>
    <xf numFmtId="0" fontId="4" fillId="0" borderId="1" xfId="0" applyFont="1" applyBorder="1" applyAlignment="1">
      <alignment vertical="center"/>
    </xf>
    <xf numFmtId="0" fontId="2" fillId="0" borderId="1" xfId="0" applyFont="1" applyBorder="1" applyAlignment="1">
      <alignment horizontal="left" vertical="center"/>
    </xf>
    <xf numFmtId="0" fontId="4" fillId="0" borderId="1" xfId="0" applyFont="1" applyBorder="1" applyAlignment="1">
      <alignment horizontal="center" vertical="center"/>
    </xf>
    <xf numFmtId="0" fontId="3" fillId="0" borderId="1" xfId="0" applyFont="1" applyBorder="1" applyAlignment="1">
      <alignment horizontal="center" vertical="center"/>
    </xf>
    <xf numFmtId="0" fontId="4" fillId="0" borderId="1" xfId="0" applyFont="1" applyBorder="1" applyAlignment="1">
      <alignment horizontal="center" vertical="center" wrapText="1"/>
    </xf>
    <xf numFmtId="0" fontId="5" fillId="0" borderId="1" xfId="0" applyFont="1" applyBorder="1" applyAlignment="1">
      <alignment vertical="center"/>
    </xf>
    <xf numFmtId="0" fontId="6" fillId="0" borderId="1" xfId="0" applyFont="1" applyBorder="1" applyAlignment="1">
      <alignment vertical="center" wrapText="1"/>
    </xf>
    <xf numFmtId="0" fontId="4" fillId="0" borderId="1" xfId="0" applyFont="1" applyBorder="1" applyAlignment="1">
      <alignment vertical="center" wrapText="1"/>
    </xf>
    <xf numFmtId="0" fontId="4" fillId="2" borderId="1" xfId="0" applyFont="1" applyFill="1" applyBorder="1" applyAlignment="1">
      <alignment horizontal="center" vertical="center"/>
    </xf>
    <xf numFmtId="164" fontId="4" fillId="2" borderId="1" xfId="1" applyNumberFormat="1" applyFont="1" applyFill="1" applyBorder="1" applyAlignment="1">
      <alignment horizontal="center" vertical="center"/>
    </xf>
    <xf numFmtId="0" fontId="4" fillId="0" borderId="1" xfId="0" applyFont="1" applyBorder="1"/>
    <xf numFmtId="0" fontId="4" fillId="0" borderId="1" xfId="0" applyFont="1" applyBorder="1" applyAlignment="1">
      <alignment horizontal="center"/>
    </xf>
    <xf numFmtId="165" fontId="4" fillId="2" borderId="1" xfId="0" applyNumberFormat="1" applyFont="1" applyFill="1" applyBorder="1" applyAlignment="1">
      <alignment horizontal="center"/>
    </xf>
    <xf numFmtId="0" fontId="0" fillId="0" borderId="1" xfId="0" applyBorder="1"/>
    <xf numFmtId="0" fontId="0" fillId="2" borderId="1" xfId="0" applyFill="1" applyBorder="1" applyAlignment="1">
      <alignment horizontal="center"/>
    </xf>
    <xf numFmtId="165" fontId="4" fillId="0" borderId="1" xfId="0" applyNumberFormat="1" applyFont="1" applyBorder="1"/>
    <xf numFmtId="167" fontId="4" fillId="2" borderId="1" xfId="0" applyNumberFormat="1" applyFont="1" applyFill="1" applyBorder="1" applyAlignment="1">
      <alignment horizontal="center"/>
    </xf>
    <xf numFmtId="166" fontId="4" fillId="2" borderId="4" xfId="0" applyNumberFormat="1" applyFont="1" applyFill="1" applyBorder="1" applyAlignment="1">
      <alignment horizontal="center"/>
    </xf>
    <xf numFmtId="0" fontId="0" fillId="2" borderId="4" xfId="0" applyFill="1" applyBorder="1" applyAlignment="1">
      <alignment horizontal="center"/>
    </xf>
    <xf numFmtId="10" fontId="4" fillId="3" borderId="1" xfId="1" applyNumberFormat="1" applyFont="1" applyFill="1" applyBorder="1" applyAlignment="1">
      <alignment horizontal="center" vertical="center"/>
    </xf>
    <xf numFmtId="0" fontId="4" fillId="3" borderId="0" xfId="0" applyFont="1" applyFill="1" applyAlignment="1">
      <alignment horizontal="center" vertical="center"/>
    </xf>
    <xf numFmtId="10" fontId="4" fillId="3" borderId="0" xfId="1"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7" xfId="0" applyFont="1" applyFill="1" applyBorder="1" applyAlignment="1">
      <alignment horizontal="center" vertical="center" wrapText="1"/>
    </xf>
    <xf numFmtId="0" fontId="4" fillId="3" borderId="9" xfId="0" applyFont="1" applyFill="1" applyBorder="1" applyAlignment="1">
      <alignment horizontal="center" vertical="center" wrapText="1"/>
    </xf>
    <xf numFmtId="9" fontId="4" fillId="3" borderId="10" xfId="1" applyFont="1" applyFill="1" applyBorder="1" applyAlignment="1">
      <alignment horizontal="center" vertical="center"/>
    </xf>
    <xf numFmtId="0" fontId="4" fillId="2" borderId="8" xfId="0" applyFont="1" applyFill="1" applyBorder="1" applyAlignment="1">
      <alignment horizontal="center" vertical="center"/>
    </xf>
    <xf numFmtId="9" fontId="4" fillId="2" borderId="11" xfId="1" applyFont="1" applyFill="1" applyBorder="1" applyAlignment="1">
      <alignment horizontal="center" vertical="center"/>
    </xf>
    <xf numFmtId="0" fontId="4" fillId="3" borderId="15" xfId="0" applyFont="1" applyFill="1" applyBorder="1" applyAlignment="1">
      <alignment horizontal="center" vertical="center"/>
    </xf>
    <xf numFmtId="0" fontId="4" fillId="3" borderId="16" xfId="0" applyFont="1" applyFill="1" applyBorder="1" applyAlignment="1">
      <alignment horizontal="center" vertical="center"/>
    </xf>
    <xf numFmtId="0" fontId="4" fillId="2" borderId="17" xfId="0" applyFont="1" applyFill="1" applyBorder="1" applyAlignment="1">
      <alignment horizontal="center" vertical="center" wrapText="1"/>
    </xf>
    <xf numFmtId="166" fontId="4" fillId="3" borderId="0" xfId="1" applyNumberFormat="1" applyFont="1" applyFill="1" applyBorder="1" applyAlignment="1">
      <alignment horizontal="center" vertical="center"/>
    </xf>
    <xf numFmtId="0" fontId="4" fillId="3" borderId="18" xfId="0" applyFont="1" applyFill="1" applyBorder="1" applyAlignment="1">
      <alignment horizontal="center" vertical="center" wrapText="1"/>
    </xf>
    <xf numFmtId="10" fontId="4" fillId="3" borderId="19" xfId="1" applyNumberFormat="1" applyFont="1" applyFill="1" applyBorder="1" applyAlignment="1">
      <alignment horizontal="center" vertical="center"/>
    </xf>
    <xf numFmtId="0" fontId="4" fillId="2" borderId="1" xfId="0" applyFont="1" applyFill="1" applyBorder="1" applyAlignment="1">
      <alignment horizontal="center"/>
    </xf>
    <xf numFmtId="0" fontId="4" fillId="3" borderId="23" xfId="0" applyFont="1" applyFill="1" applyBorder="1" applyAlignment="1">
      <alignment horizontal="center" vertical="center"/>
    </xf>
    <xf numFmtId="0" fontId="4" fillId="2" borderId="24" xfId="0" applyFont="1" applyFill="1" applyBorder="1" applyAlignment="1">
      <alignment horizontal="center" vertical="center" wrapText="1"/>
    </xf>
    <xf numFmtId="0" fontId="4" fillId="3" borderId="25" xfId="0" applyFont="1" applyFill="1" applyBorder="1" applyAlignment="1">
      <alignment horizontal="center" vertical="center"/>
    </xf>
    <xf numFmtId="0" fontId="4" fillId="2" borderId="26" xfId="0" applyFont="1" applyFill="1" applyBorder="1" applyAlignment="1">
      <alignment horizontal="center" vertical="center" wrapText="1"/>
    </xf>
    <xf numFmtId="0" fontId="4" fillId="3" borderId="25" xfId="0" applyFont="1" applyFill="1" applyBorder="1" applyAlignment="1">
      <alignment horizontal="center" vertical="center" wrapText="1"/>
    </xf>
    <xf numFmtId="0" fontId="4" fillId="2" borderId="26" xfId="0" applyFont="1" applyFill="1" applyBorder="1" applyAlignment="1">
      <alignment horizontal="center" vertical="center"/>
    </xf>
    <xf numFmtId="0" fontId="4" fillId="3" borderId="27" xfId="0" applyFont="1" applyFill="1" applyBorder="1" applyAlignment="1">
      <alignment horizontal="center" vertical="center" wrapText="1"/>
    </xf>
    <xf numFmtId="10" fontId="4" fillId="2" borderId="28" xfId="0" applyNumberFormat="1" applyFont="1" applyFill="1" applyBorder="1" applyAlignment="1">
      <alignment horizontal="center" vertical="center"/>
    </xf>
    <xf numFmtId="0" fontId="4" fillId="3" borderId="29" xfId="0" applyFont="1" applyFill="1" applyBorder="1" applyAlignment="1">
      <alignment horizontal="center" vertical="center"/>
    </xf>
    <xf numFmtId="0" fontId="4" fillId="3" borderId="30" xfId="0" applyFont="1" applyFill="1" applyBorder="1" applyAlignment="1">
      <alignment horizontal="center" vertical="center"/>
    </xf>
    <xf numFmtId="9" fontId="4" fillId="2" borderId="31" xfId="1" applyFont="1" applyFill="1" applyBorder="1" applyAlignment="1">
      <alignment horizontal="center" vertical="center"/>
    </xf>
    <xf numFmtId="0" fontId="4" fillId="0" borderId="5" xfId="0" applyFont="1" applyBorder="1" applyAlignment="1">
      <alignment horizontal="center"/>
    </xf>
    <xf numFmtId="0" fontId="4" fillId="0" borderId="6" xfId="0" applyFont="1" applyBorder="1" applyAlignment="1">
      <alignment horizontal="center"/>
    </xf>
    <xf numFmtId="0" fontId="4" fillId="0" borderId="5" xfId="0" applyFont="1" applyBorder="1" applyAlignment="1">
      <alignment vertical="center"/>
    </xf>
    <xf numFmtId="0" fontId="4" fillId="0" borderId="6" xfId="0" applyFont="1" applyBorder="1" applyAlignment="1">
      <alignment vertical="center"/>
    </xf>
    <xf numFmtId="165" fontId="4" fillId="2" borderId="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0" borderId="2" xfId="0" applyFont="1" applyBorder="1" applyAlignment="1">
      <alignment vertical="center"/>
    </xf>
    <xf numFmtId="0" fontId="4" fillId="0" borderId="33" xfId="0" applyFont="1" applyBorder="1" applyAlignment="1">
      <alignment horizontal="center" vertical="center"/>
    </xf>
    <xf numFmtId="0" fontId="4" fillId="2" borderId="34" xfId="0" applyFont="1" applyFill="1" applyBorder="1" applyAlignment="1">
      <alignment horizontal="center" vertical="center"/>
    </xf>
    <xf numFmtId="0" fontId="4" fillId="0" borderId="4" xfId="0" applyFont="1" applyBorder="1" applyAlignment="1">
      <alignment horizontal="center" vertical="center"/>
    </xf>
    <xf numFmtId="0" fontId="4" fillId="0" borderId="0" xfId="0" applyFont="1" applyAlignment="1">
      <alignment vertical="center"/>
    </xf>
    <xf numFmtId="0" fontId="4" fillId="0" borderId="2" xfId="0" applyFont="1" applyBorder="1" applyAlignment="1">
      <alignment horizontal="center" vertical="center"/>
    </xf>
    <xf numFmtId="0" fontId="4" fillId="3" borderId="0" xfId="0" applyFont="1" applyFill="1" applyAlignment="1">
      <alignment horizontal="center" vertical="center" wrapText="1"/>
    </xf>
    <xf numFmtId="0" fontId="4" fillId="3" borderId="0" xfId="0" applyFont="1" applyFill="1" applyAlignment="1">
      <alignment vertical="center"/>
    </xf>
    <xf numFmtId="0" fontId="4" fillId="3" borderId="40" xfId="0" applyFont="1" applyFill="1" applyBorder="1" applyAlignment="1">
      <alignment vertical="center"/>
    </xf>
    <xf numFmtId="0" fontId="4" fillId="3" borderId="2" xfId="0" applyFont="1" applyFill="1" applyBorder="1" applyAlignment="1">
      <alignment vertical="center"/>
    </xf>
    <xf numFmtId="0" fontId="8" fillId="3" borderId="0" xfId="0" applyFont="1" applyFill="1" applyAlignment="1">
      <alignment horizontal="center" vertical="center" wrapText="1"/>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2" fontId="4" fillId="2" borderId="1" xfId="0" applyNumberFormat="1" applyFont="1" applyFill="1" applyBorder="1" applyAlignment="1">
      <alignment horizontal="center"/>
    </xf>
    <xf numFmtId="1" fontId="4" fillId="2" borderId="1" xfId="0" applyNumberFormat="1" applyFont="1" applyFill="1" applyBorder="1" applyAlignment="1">
      <alignment horizontal="center"/>
    </xf>
    <xf numFmtId="0" fontId="0" fillId="0" borderId="0" xfId="0" applyAlignment="1">
      <alignment horizontal="center" vertical="center"/>
    </xf>
    <xf numFmtId="0" fontId="4" fillId="2" borderId="3" xfId="0" applyFont="1" applyFill="1" applyBorder="1" applyAlignment="1">
      <alignment horizontal="center" vertical="center"/>
    </xf>
    <xf numFmtId="2" fontId="4" fillId="0" borderId="1" xfId="0" applyNumberFormat="1" applyFont="1" applyBorder="1" applyAlignment="1">
      <alignment vertical="center"/>
    </xf>
    <xf numFmtId="0" fontId="3" fillId="0" borderId="1" xfId="0" applyFont="1" applyBorder="1" applyAlignment="1">
      <alignment vertical="center"/>
    </xf>
    <xf numFmtId="0" fontId="0" fillId="2" borderId="1" xfId="0" applyFill="1" applyBorder="1"/>
    <xf numFmtId="0" fontId="2" fillId="0" borderId="5" xfId="0" applyFont="1" applyBorder="1"/>
    <xf numFmtId="0" fontId="2" fillId="0" borderId="32" xfId="0" applyFont="1" applyBorder="1"/>
    <xf numFmtId="0" fontId="4" fillId="0" borderId="6" xfId="0" applyFont="1" applyBorder="1" applyAlignment="1">
      <alignment horizontal="center" vertical="center"/>
    </xf>
    <xf numFmtId="165" fontId="4" fillId="2" borderId="0" xfId="0" applyNumberFormat="1" applyFont="1" applyFill="1" applyAlignment="1">
      <alignment horizontal="center" vertical="center"/>
    </xf>
    <xf numFmtId="0" fontId="4" fillId="0" borderId="32"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0" fontId="4" fillId="0" borderId="3" xfId="0" applyFont="1" applyBorder="1" applyAlignment="1">
      <alignment horizontal="left" vertical="center"/>
    </xf>
    <xf numFmtId="0" fontId="4" fillId="0" borderId="35" xfId="0" applyFont="1" applyBorder="1" applyAlignment="1">
      <alignment horizontal="center" vertical="center"/>
    </xf>
    <xf numFmtId="0" fontId="0" fillId="0" borderId="41" xfId="0" applyBorder="1"/>
    <xf numFmtId="166" fontId="0" fillId="2" borderId="45" xfId="0" applyNumberFormat="1" applyFill="1" applyBorder="1" applyProtection="1">
      <protection locked="0"/>
    </xf>
    <xf numFmtId="0" fontId="0" fillId="0" borderId="0" xfId="0" applyProtection="1">
      <protection locked="0"/>
    </xf>
    <xf numFmtId="0" fontId="0" fillId="0" borderId="44" xfId="0" applyBorder="1" applyProtection="1">
      <protection locked="0"/>
    </xf>
    <xf numFmtId="165" fontId="4" fillId="3" borderId="6" xfId="0" applyNumberFormat="1" applyFont="1" applyFill="1" applyBorder="1"/>
    <xf numFmtId="0" fontId="2" fillId="0" borderId="1" xfId="0" applyFont="1" applyBorder="1"/>
    <xf numFmtId="0" fontId="2" fillId="0" borderId="6" xfId="0" applyFont="1" applyBorder="1"/>
    <xf numFmtId="0" fontId="2" fillId="0" borderId="1" xfId="0" applyFont="1" applyBorder="1" applyAlignment="1">
      <alignment vertical="center"/>
    </xf>
    <xf numFmtId="0" fontId="8" fillId="0" borderId="2" xfId="0" applyFont="1" applyBorder="1" applyAlignment="1">
      <alignment vertical="center"/>
    </xf>
    <xf numFmtId="0" fontId="14" fillId="0" borderId="46" xfId="0" applyFont="1" applyBorder="1" applyAlignment="1">
      <alignment horizontal="center"/>
    </xf>
    <xf numFmtId="0" fontId="12" fillId="0" borderId="0" xfId="0" applyFont="1" applyAlignment="1">
      <alignment vertical="top" wrapText="1"/>
    </xf>
    <xf numFmtId="0" fontId="15" fillId="0" borderId="0" xfId="0" applyFont="1"/>
    <xf numFmtId="0" fontId="4" fillId="0" borderId="0" xfId="0" applyFont="1" applyAlignment="1">
      <alignment horizontal="left" wrapText="1"/>
    </xf>
    <xf numFmtId="0" fontId="4" fillId="0" borderId="0" xfId="0" applyFont="1" applyAlignment="1">
      <alignment wrapText="1"/>
    </xf>
    <xf numFmtId="0" fontId="4" fillId="0" borderId="0" xfId="0" applyFont="1"/>
    <xf numFmtId="0" fontId="4" fillId="2" borderId="0" xfId="0" applyFont="1" applyFill="1"/>
    <xf numFmtId="0" fontId="7" fillId="0" borderId="0" xfId="0" applyFont="1" applyAlignment="1">
      <alignment horizontal="center" wrapText="1"/>
    </xf>
    <xf numFmtId="0" fontId="0" fillId="2" borderId="0" xfId="0" applyFill="1"/>
    <xf numFmtId="0" fontId="18" fillId="0" borderId="0" xfId="0" applyFont="1" applyAlignment="1">
      <alignment horizontal="left"/>
    </xf>
    <xf numFmtId="0" fontId="21" fillId="0" borderId="0" xfId="0" applyFont="1" applyAlignment="1">
      <alignment horizontal="left" wrapText="1"/>
    </xf>
    <xf numFmtId="0" fontId="21" fillId="0" borderId="0" xfId="0" applyFont="1" applyAlignment="1">
      <alignment wrapText="1"/>
    </xf>
    <xf numFmtId="0" fontId="21" fillId="0" borderId="0" xfId="0" applyFont="1" applyAlignment="1">
      <alignment vertical="center" wrapText="1"/>
    </xf>
    <xf numFmtId="0" fontId="7" fillId="0" borderId="0" xfId="0" applyFont="1" applyAlignment="1">
      <alignment wrapText="1"/>
    </xf>
    <xf numFmtId="0" fontId="26" fillId="0" borderId="0" xfId="0" applyFont="1" applyAlignment="1">
      <alignment wrapText="1"/>
    </xf>
    <xf numFmtId="0" fontId="25" fillId="0" borderId="0" xfId="0" applyFont="1" applyAlignment="1">
      <alignment horizontal="center" wrapText="1"/>
    </xf>
    <xf numFmtId="0" fontId="21" fillId="0" borderId="0" xfId="0" applyFont="1" applyAlignment="1">
      <alignment horizontal="center" wrapText="1"/>
    </xf>
    <xf numFmtId="0" fontId="21" fillId="0" borderId="0" xfId="0" applyFont="1" applyAlignment="1">
      <alignment horizontal="justify" vertical="top"/>
    </xf>
    <xf numFmtId="0" fontId="21" fillId="0" borderId="0" xfId="0" applyFont="1" applyAlignment="1"/>
    <xf numFmtId="0" fontId="4" fillId="0" borderId="1" xfId="0" applyFont="1" applyFill="1" applyBorder="1"/>
    <xf numFmtId="0" fontId="0" fillId="0" borderId="1" xfId="0" applyFill="1" applyBorder="1"/>
    <xf numFmtId="0" fontId="2" fillId="0" borderId="1" xfId="0" applyFont="1" applyFill="1" applyBorder="1"/>
    <xf numFmtId="2" fontId="21" fillId="0" borderId="0" xfId="0" applyNumberFormat="1" applyFont="1" applyAlignment="1">
      <alignment vertical="top"/>
    </xf>
    <xf numFmtId="0" fontId="4" fillId="0" borderId="0" xfId="0" applyFont="1" applyAlignment="1"/>
    <xf numFmtId="0" fontId="4" fillId="0" borderId="6" xfId="0" applyFont="1" applyBorder="1" applyAlignment="1">
      <alignment horizontal="center" vertical="center"/>
    </xf>
    <xf numFmtId="0" fontId="14" fillId="0" borderId="1" xfId="0" applyFont="1" applyBorder="1"/>
    <xf numFmtId="0" fontId="14" fillId="0" borderId="2" xfId="0" applyFont="1" applyBorder="1" applyAlignment="1">
      <alignment vertical="center"/>
    </xf>
    <xf numFmtId="0" fontId="22" fillId="0" borderId="0" xfId="0" applyFont="1" applyAlignment="1">
      <alignment horizontal="center" wrapText="1"/>
    </xf>
    <xf numFmtId="0" fontId="23" fillId="0" borderId="0" xfId="0" applyFont="1" applyAlignment="1">
      <alignment horizontal="center" wrapText="1"/>
    </xf>
    <xf numFmtId="0" fontId="22" fillId="0" borderId="0" xfId="0" applyFont="1" applyAlignment="1">
      <alignment horizontal="center" vertical="center" wrapText="1"/>
    </xf>
    <xf numFmtId="0" fontId="20" fillId="0" borderId="0" xfId="0" applyFont="1" applyAlignment="1">
      <alignment horizontal="center" vertical="center" wrapText="1"/>
    </xf>
    <xf numFmtId="0" fontId="24" fillId="0" borderId="0" xfId="0" applyFont="1" applyAlignment="1">
      <alignment horizontal="center" vertical="center" wrapText="1"/>
    </xf>
    <xf numFmtId="0" fontId="17" fillId="0" borderId="0" xfId="0" applyFont="1" applyAlignment="1">
      <alignment horizontal="center" vertical="center" wrapText="1"/>
    </xf>
    <xf numFmtId="0" fontId="21" fillId="0" borderId="0" xfId="0" applyFont="1" applyAlignment="1">
      <alignment horizontal="center" wrapText="1"/>
    </xf>
    <xf numFmtId="0" fontId="20" fillId="0" borderId="0" xfId="0" applyFont="1" applyAlignment="1">
      <alignment horizontal="center" wrapText="1"/>
    </xf>
    <xf numFmtId="0" fontId="20" fillId="0" borderId="0" xfId="0" applyFont="1" applyBorder="1" applyAlignment="1">
      <alignment horizontal="left" vertical="center"/>
    </xf>
    <xf numFmtId="0" fontId="20" fillId="0" borderId="48" xfId="0" applyFont="1" applyBorder="1" applyAlignment="1">
      <alignment horizontal="left" vertical="center"/>
    </xf>
    <xf numFmtId="0" fontId="21" fillId="0" borderId="49" xfId="0" applyFont="1" applyBorder="1" applyAlignment="1">
      <alignment horizontal="left" vertical="center" wrapText="1"/>
    </xf>
    <xf numFmtId="0" fontId="21" fillId="0" borderId="0" xfId="0" applyFont="1" applyBorder="1" applyAlignment="1">
      <alignment horizontal="left" vertical="center" wrapText="1"/>
    </xf>
    <xf numFmtId="0" fontId="21" fillId="0" borderId="0" xfId="0" applyFont="1" applyAlignment="1">
      <alignment horizontal="justify" vertical="top"/>
    </xf>
    <xf numFmtId="0" fontId="21" fillId="0" borderId="0" xfId="0" applyFont="1" applyAlignment="1">
      <alignment horizontal="justify"/>
    </xf>
    <xf numFmtId="0" fontId="23" fillId="0" borderId="0" xfId="0" applyFont="1" applyBorder="1" applyAlignment="1">
      <alignment horizontal="center" vertical="center"/>
    </xf>
    <xf numFmtId="0" fontId="23" fillId="0" borderId="48" xfId="0" applyFont="1" applyBorder="1" applyAlignment="1">
      <alignment horizontal="center" vertical="center"/>
    </xf>
    <xf numFmtId="0" fontId="21" fillId="0" borderId="0" xfId="0" applyFont="1" applyAlignment="1">
      <alignment horizontal="left" vertical="center" wrapText="1"/>
    </xf>
    <xf numFmtId="0" fontId="21" fillId="2" borderId="0" xfId="0" applyFont="1" applyFill="1" applyAlignment="1">
      <alignment horizontal="center"/>
    </xf>
    <xf numFmtId="0" fontId="2" fillId="0" borderId="0" xfId="0" applyFont="1" applyBorder="1" applyAlignment="1">
      <alignment horizontal="left"/>
    </xf>
    <xf numFmtId="2" fontId="21" fillId="0" borderId="0" xfId="0" applyNumberFormat="1" applyFont="1" applyAlignment="1">
      <alignment horizontal="left" vertical="top" wrapText="1"/>
    </xf>
    <xf numFmtId="0" fontId="21" fillId="0" borderId="0" xfId="0" applyFont="1" applyAlignment="1">
      <alignment horizontal="left" vertical="top" wrapText="1"/>
    </xf>
    <xf numFmtId="0" fontId="4" fillId="0" borderId="0" xfId="0" applyFont="1" applyAlignment="1">
      <alignment horizontal="justify" vertical="top"/>
    </xf>
    <xf numFmtId="0" fontId="25" fillId="0" borderId="0" xfId="0" applyFont="1" applyAlignment="1">
      <alignment horizontal="center" wrapText="1"/>
    </xf>
    <xf numFmtId="0" fontId="7" fillId="0" borderId="0" xfId="0" applyFont="1" applyAlignment="1">
      <alignment horizontal="center" wrapText="1"/>
    </xf>
    <xf numFmtId="0" fontId="26" fillId="0" borderId="0" xfId="0" applyFont="1" applyAlignment="1">
      <alignment horizontal="center" wrapText="1"/>
    </xf>
    <xf numFmtId="0" fontId="7" fillId="0" borderId="0" xfId="0" applyFont="1" applyAlignment="1">
      <alignment horizontal="left"/>
    </xf>
    <xf numFmtId="0" fontId="4" fillId="0" borderId="0" xfId="0" applyFont="1" applyAlignment="1">
      <alignment horizontal="justify"/>
    </xf>
    <xf numFmtId="49" fontId="4" fillId="0" borderId="0" xfId="0" applyNumberFormat="1" applyFont="1" applyAlignment="1">
      <alignment horizontal="justify" vertical="top"/>
    </xf>
    <xf numFmtId="0" fontId="4" fillId="0" borderId="5" xfId="0" applyFont="1" applyBorder="1" applyAlignment="1">
      <alignment horizontal="center"/>
    </xf>
    <xf numFmtId="0" fontId="4" fillId="0" borderId="32" xfId="0" applyFont="1" applyBorder="1" applyAlignment="1">
      <alignment horizontal="center"/>
    </xf>
    <xf numFmtId="0" fontId="4" fillId="0" borderId="6" xfId="0" applyFont="1" applyBorder="1" applyAlignment="1">
      <alignment horizontal="center"/>
    </xf>
    <xf numFmtId="0" fontId="4" fillId="0" borderId="1" xfId="0" applyFont="1" applyBorder="1" applyAlignment="1">
      <alignment horizontal="center" vertical="center"/>
    </xf>
    <xf numFmtId="0" fontId="4" fillId="0" borderId="5" xfId="0" applyFont="1" applyBorder="1" applyAlignment="1">
      <alignment horizontal="center" vertical="center"/>
    </xf>
    <xf numFmtId="0" fontId="4" fillId="0" borderId="32" xfId="0" applyFont="1" applyBorder="1" applyAlignment="1">
      <alignment horizontal="center" vertical="center"/>
    </xf>
    <xf numFmtId="0" fontId="4" fillId="0" borderId="6" xfId="0" applyFont="1" applyBorder="1" applyAlignment="1">
      <alignment horizontal="center" vertical="center"/>
    </xf>
    <xf numFmtId="0" fontId="4" fillId="0" borderId="1" xfId="0" applyFont="1" applyBorder="1" applyAlignment="1">
      <alignment horizontal="center"/>
    </xf>
    <xf numFmtId="0" fontId="0" fillId="0" borderId="5" xfId="0" applyBorder="1" applyAlignment="1">
      <alignment horizontal="center"/>
    </xf>
    <xf numFmtId="0" fontId="0" fillId="0" borderId="32" xfId="0" applyBorder="1" applyAlignment="1">
      <alignment horizontal="center"/>
    </xf>
    <xf numFmtId="0" fontId="0" fillId="0" borderId="6" xfId="0" applyBorder="1" applyAlignment="1">
      <alignment horizontal="center"/>
    </xf>
    <xf numFmtId="0" fontId="13" fillId="3" borderId="38" xfId="0" applyFont="1" applyFill="1" applyBorder="1" applyAlignment="1">
      <alignment horizontal="center"/>
    </xf>
    <xf numFmtId="0" fontId="13" fillId="3" borderId="39" xfId="0" applyFont="1" applyFill="1" applyBorder="1" applyAlignment="1">
      <alignment horizontal="center"/>
    </xf>
    <xf numFmtId="0" fontId="13" fillId="3" borderId="40" xfId="0" applyFont="1" applyFill="1" applyBorder="1" applyAlignment="1">
      <alignment horizontal="center"/>
    </xf>
    <xf numFmtId="165" fontId="4" fillId="2" borderId="32" xfId="0" applyNumberFormat="1" applyFont="1" applyFill="1" applyBorder="1" applyAlignment="1">
      <alignment horizontal="center"/>
    </xf>
    <xf numFmtId="0" fontId="12" fillId="0" borderId="47" xfId="0" applyFont="1" applyBorder="1" applyAlignment="1">
      <alignment horizontal="left" vertical="top" wrapText="1"/>
    </xf>
    <xf numFmtId="0" fontId="12" fillId="0" borderId="0" xfId="0" applyFont="1" applyBorder="1" applyAlignment="1">
      <alignment horizontal="left" vertical="top" wrapText="1"/>
    </xf>
    <xf numFmtId="0" fontId="11" fillId="0" borderId="0" xfId="0" applyFont="1" applyAlignment="1">
      <alignment horizontal="justify" vertical="center" wrapText="1"/>
    </xf>
    <xf numFmtId="0" fontId="2" fillId="0" borderId="0" xfId="0" applyFont="1" applyAlignment="1">
      <alignment horizontal="center" vertical="center"/>
    </xf>
    <xf numFmtId="0" fontId="4" fillId="0" borderId="0" xfId="0" applyFont="1" applyAlignment="1">
      <alignment horizontal="center" vertical="center" wrapText="1"/>
    </xf>
    <xf numFmtId="0" fontId="7" fillId="0" borderId="42" xfId="0" applyFont="1" applyBorder="1" applyAlignment="1">
      <alignment horizontal="center" vertical="center"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167" fontId="10" fillId="4" borderId="0" xfId="0" applyNumberFormat="1" applyFont="1" applyFill="1" applyAlignment="1">
      <alignment horizontal="center" vertical="center"/>
    </xf>
    <xf numFmtId="0" fontId="7" fillId="3" borderId="12" xfId="0" applyFont="1" applyFill="1" applyBorder="1" applyAlignment="1">
      <alignment horizontal="center" vertical="center"/>
    </xf>
    <xf numFmtId="0" fontId="7" fillId="3" borderId="13" xfId="0" applyFont="1" applyFill="1" applyBorder="1" applyAlignment="1">
      <alignment horizontal="center" vertical="center"/>
    </xf>
    <xf numFmtId="0" fontId="7" fillId="3" borderId="14" xfId="0" applyFont="1" applyFill="1" applyBorder="1" applyAlignment="1">
      <alignment horizontal="center" vertical="center"/>
    </xf>
    <xf numFmtId="0" fontId="7" fillId="3" borderId="20" xfId="0" applyFont="1" applyFill="1" applyBorder="1" applyAlignment="1">
      <alignment horizontal="center" vertical="center"/>
    </xf>
    <xf numFmtId="0" fontId="7" fillId="3" borderId="21" xfId="0" applyFont="1" applyFill="1" applyBorder="1" applyAlignment="1">
      <alignment horizontal="center" vertical="center"/>
    </xf>
    <xf numFmtId="0" fontId="7" fillId="3" borderId="22" xfId="0" applyFont="1" applyFill="1" applyBorder="1" applyAlignment="1">
      <alignment horizontal="center" vertical="center"/>
    </xf>
    <xf numFmtId="0" fontId="4" fillId="0" borderId="35" xfId="0" applyFont="1" applyBorder="1" applyAlignment="1">
      <alignment horizontal="center" vertical="center" wrapText="1"/>
    </xf>
    <xf numFmtId="0" fontId="4" fillId="0" borderId="36" xfId="0" applyFont="1" applyBorder="1" applyAlignment="1">
      <alignment horizontal="center" vertical="center" wrapText="1"/>
    </xf>
    <xf numFmtId="0" fontId="4" fillId="0" borderId="37" xfId="0" applyFont="1" applyBorder="1" applyAlignment="1">
      <alignment horizontal="center" vertical="center" wrapText="1"/>
    </xf>
    <xf numFmtId="0" fontId="4" fillId="0" borderId="38" xfId="0" applyFont="1" applyBorder="1" applyAlignment="1">
      <alignment horizontal="center" vertical="center" wrapText="1"/>
    </xf>
    <xf numFmtId="0" fontId="4" fillId="0" borderId="39" xfId="0" applyFont="1" applyBorder="1" applyAlignment="1">
      <alignment horizontal="center" vertical="center" wrapText="1"/>
    </xf>
    <xf numFmtId="0" fontId="4" fillId="0" borderId="40" xfId="0" applyFont="1" applyBorder="1" applyAlignment="1">
      <alignment horizontal="center" vertical="center" wrapText="1"/>
    </xf>
    <xf numFmtId="0" fontId="2" fillId="0" borderId="5" xfId="0" applyFont="1" applyBorder="1" applyAlignment="1">
      <alignment horizontal="left"/>
    </xf>
    <xf numFmtId="0" fontId="2" fillId="0" borderId="32" xfId="0" applyFont="1" applyBorder="1" applyAlignment="1">
      <alignment horizontal="left"/>
    </xf>
    <xf numFmtId="0" fontId="2" fillId="0" borderId="6" xfId="0" applyFont="1" applyBorder="1" applyAlignment="1">
      <alignment horizontal="left"/>
    </xf>
    <xf numFmtId="167" fontId="4" fillId="2" borderId="5" xfId="0" applyNumberFormat="1" applyFont="1" applyFill="1" applyBorder="1" applyAlignment="1">
      <alignment horizontal="center"/>
    </xf>
    <xf numFmtId="167" fontId="4" fillId="2" borderId="6" xfId="0" applyNumberFormat="1" applyFont="1" applyFill="1" applyBorder="1" applyAlignment="1">
      <alignment horizontal="center"/>
    </xf>
    <xf numFmtId="0" fontId="0" fillId="0" borderId="5" xfId="0" applyBorder="1" applyAlignment="1">
      <alignment horizontal="center" vertical="center"/>
    </xf>
    <xf numFmtId="0" fontId="0" fillId="0" borderId="6" xfId="0" applyBorder="1" applyAlignment="1">
      <alignment horizontal="center" vertic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550966528254"/>
          <c:y val="3.7603523793783483E-2"/>
          <c:w val="0.79705358194678089"/>
          <c:h val="0.90998029854690754"/>
        </c:manualLayout>
      </c:layout>
      <c:scatterChart>
        <c:scatterStyle val="lineMarker"/>
        <c:varyColors val="0"/>
        <c:ser>
          <c:idx val="0"/>
          <c:order val="0"/>
          <c:spPr>
            <a:ln w="28575">
              <a:noFill/>
            </a:ln>
          </c:spPr>
          <c:xVal>
            <c:numRef>
              <c:f>'Diagrama de Interacción 2D'!$J$3:$J$1048576</c:f>
              <c:numCache>
                <c:formatCode>General</c:formatCode>
                <c:ptCount val="1048574"/>
                <c:pt idx="0">
                  <c:v>0</c:v>
                </c:pt>
                <c:pt idx="1">
                  <c:v>0</c:v>
                </c:pt>
                <c:pt idx="2">
                  <c:v>0</c:v>
                </c:pt>
                <c:pt idx="3">
                  <c:v>0</c:v>
                </c:pt>
                <c:pt idx="4">
                  <c:v>0</c:v>
                </c:pt>
                <c:pt idx="5">
                  <c:v>0</c:v>
                </c:pt>
                <c:pt idx="6">
                  <c:v>0</c:v>
                </c:pt>
                <c:pt idx="7">
                  <c:v>0</c:v>
                </c:pt>
                <c:pt idx="8">
                  <c:v>0</c:v>
                </c:pt>
                <c:pt idx="9">
                  <c:v>0</c:v>
                </c:pt>
                <c:pt idx="10">
                  <c:v>0</c:v>
                </c:pt>
                <c:pt idx="11">
                  <c:v>-0.26608606823500003</c:v>
                </c:pt>
                <c:pt idx="12">
                  <c:v>-0.5609381978200001</c:v>
                </c:pt>
                <c:pt idx="13">
                  <c:v>-0.85579032746999995</c:v>
                </c:pt>
                <c:pt idx="14">
                  <c:v>-1.15064245712</c:v>
                </c:pt>
                <c:pt idx="15">
                  <c:v>-1.4958351942299999</c:v>
                </c:pt>
                <c:pt idx="16">
                  <c:v>-1.8602053056599999</c:v>
                </c:pt>
                <c:pt idx="17">
                  <c:v>-2.2245754170900001</c:v>
                </c:pt>
                <c:pt idx="18">
                  <c:v>-2.58894552852</c:v>
                </c:pt>
                <c:pt idx="19">
                  <c:v>-2.95331563995</c:v>
                </c:pt>
                <c:pt idx="20">
                  <c:v>-3.31768575138</c:v>
                </c:pt>
                <c:pt idx="21">
                  <c:v>-3.6820558628100004</c:v>
                </c:pt>
                <c:pt idx="22">
                  <c:v>-4.0464259742399999</c:v>
                </c:pt>
                <c:pt idx="23">
                  <c:v>-4.4107960856700004</c:v>
                </c:pt>
                <c:pt idx="24">
                  <c:v>-4.7751661970350003</c:v>
                </c:pt>
                <c:pt idx="25">
                  <c:v>-5.1131674188399998</c:v>
                </c:pt>
                <c:pt idx="26">
                  <c:v>-5.1347419648849995</c:v>
                </c:pt>
                <c:pt idx="27">
                  <c:v>-5.1563165109950004</c:v>
                </c:pt>
                <c:pt idx="28">
                  <c:v>-5.1778910570400001</c:v>
                </c:pt>
                <c:pt idx="29">
                  <c:v>-5.1994656031499993</c:v>
                </c:pt>
                <c:pt idx="30">
                  <c:v>-5.2210401491950007</c:v>
                </c:pt>
                <c:pt idx="31">
                  <c:v>-5.2426146952399995</c:v>
                </c:pt>
                <c:pt idx="32">
                  <c:v>-5.2641892413499995</c:v>
                </c:pt>
                <c:pt idx="33">
                  <c:v>-7.4919269818249994</c:v>
                </c:pt>
                <c:pt idx="34">
                  <c:v>-7.5135015279350004</c:v>
                </c:pt>
                <c:pt idx="35">
                  <c:v>-7.53507607398</c:v>
                </c:pt>
                <c:pt idx="36">
                  <c:v>-7.5566506200900001</c:v>
                </c:pt>
                <c:pt idx="37">
                  <c:v>-7.5782251661350006</c:v>
                </c:pt>
                <c:pt idx="38">
                  <c:v>-7.5997997121799994</c:v>
                </c:pt>
                <c:pt idx="39">
                  <c:v>-7.6213742582900004</c:v>
                </c:pt>
                <c:pt idx="40">
                  <c:v>-7.642948804335</c:v>
                </c:pt>
                <c:pt idx="41">
                  <c:v>-7.6645233504450001</c:v>
                </c:pt>
                <c:pt idx="42">
                  <c:v>-7.6860978964900006</c:v>
                </c:pt>
                <c:pt idx="43">
                  <c:v>-7.7076724425349994</c:v>
                </c:pt>
                <c:pt idx="44">
                  <c:v>-7.7292469886449995</c:v>
                </c:pt>
                <c:pt idx="45">
                  <c:v>-7.75082153469</c:v>
                </c:pt>
                <c:pt idx="46">
                  <c:v>-7.7723960808000001</c:v>
                </c:pt>
                <c:pt idx="47">
                  <c:v>-7.7939706268450006</c:v>
                </c:pt>
                <c:pt idx="48">
                  <c:v>-7.8155451728900003</c:v>
                </c:pt>
                <c:pt idx="49">
                  <c:v>-7.8371197190000013</c:v>
                </c:pt>
                <c:pt idx="50">
                  <c:v>-9.8730171817549994</c:v>
                </c:pt>
                <c:pt idx="51">
                  <c:v>-9.8945917278</c:v>
                </c:pt>
                <c:pt idx="52">
                  <c:v>-9.9161662738450005</c:v>
                </c:pt>
                <c:pt idx="53">
                  <c:v>-9.9377408199550015</c:v>
                </c:pt>
                <c:pt idx="54">
                  <c:v>-9.9593153660000002</c:v>
                </c:pt>
                <c:pt idx="55">
                  <c:v>-9.9808899121100012</c:v>
                </c:pt>
                <c:pt idx="56">
                  <c:v>-10.002464458155</c:v>
                </c:pt>
                <c:pt idx="57">
                  <c:v>-10.0240390042</c:v>
                </c:pt>
                <c:pt idx="58">
                  <c:v>-10.045613550310001</c:v>
                </c:pt>
                <c:pt idx="59">
                  <c:v>-10.067188096355</c:v>
                </c:pt>
                <c:pt idx="60">
                  <c:v>-10.088762642465001</c:v>
                </c:pt>
                <c:pt idx="61">
                  <c:v>-10.11033718851</c:v>
                </c:pt>
                <c:pt idx="62">
                  <c:v>-10.131911734555</c:v>
                </c:pt>
                <c:pt idx="63">
                  <c:v>-10.153486280665</c:v>
                </c:pt>
                <c:pt idx="64">
                  <c:v>-10.17506082671</c:v>
                </c:pt>
                <c:pt idx="65">
                  <c:v>-10.196635372820001</c:v>
                </c:pt>
                <c:pt idx="66">
                  <c:v>-10.218209918865002</c:v>
                </c:pt>
                <c:pt idx="67">
                  <c:v>-10.23978446491</c:v>
                </c:pt>
                <c:pt idx="68">
                  <c:v>-10.261359011020001</c:v>
                </c:pt>
                <c:pt idx="69">
                  <c:v>-12.105416195990001</c:v>
                </c:pt>
                <c:pt idx="70">
                  <c:v>-12.126990742035</c:v>
                </c:pt>
                <c:pt idx="71">
                  <c:v>-12.148565288079999</c:v>
                </c:pt>
                <c:pt idx="72">
                  <c:v>-12.17013983419</c:v>
                </c:pt>
                <c:pt idx="73">
                  <c:v>-12.191714380235</c:v>
                </c:pt>
                <c:pt idx="74">
                  <c:v>-12.213288926345001</c:v>
                </c:pt>
                <c:pt idx="75">
                  <c:v>-12.23486347239</c:v>
                </c:pt>
                <c:pt idx="76">
                  <c:v>-12.256438018434999</c:v>
                </c:pt>
                <c:pt idx="77">
                  <c:v>-12.278012564545</c:v>
                </c:pt>
                <c:pt idx="78">
                  <c:v>-12.29958711059</c:v>
                </c:pt>
                <c:pt idx="79">
                  <c:v>-12.321161656700001</c:v>
                </c:pt>
                <c:pt idx="80">
                  <c:v>-12.342736202745</c:v>
                </c:pt>
                <c:pt idx="81">
                  <c:v>-12.364310748789999</c:v>
                </c:pt>
                <c:pt idx="82">
                  <c:v>-12.3858852949</c:v>
                </c:pt>
                <c:pt idx="83">
                  <c:v>-12.407459840945</c:v>
                </c:pt>
                <c:pt idx="84">
                  <c:v>-12.429034387055001</c:v>
                </c:pt>
                <c:pt idx="85">
                  <c:v>-12.4506089331</c:v>
                </c:pt>
                <c:pt idx="86">
                  <c:v>-12.472183479210001</c:v>
                </c:pt>
                <c:pt idx="87">
                  <c:v>-12.493758025255001</c:v>
                </c:pt>
                <c:pt idx="88">
                  <c:v>-12.5153325713</c:v>
                </c:pt>
                <c:pt idx="89">
                  <c:v>-12.536907117410001</c:v>
                </c:pt>
                <c:pt idx="90">
                  <c:v>-14.189124024595001</c:v>
                </c:pt>
                <c:pt idx="91">
                  <c:v>-14.21069857064</c:v>
                </c:pt>
                <c:pt idx="92">
                  <c:v>-14.232273116685001</c:v>
                </c:pt>
                <c:pt idx="93">
                  <c:v>-14.253847662795001</c:v>
                </c:pt>
                <c:pt idx="94">
                  <c:v>-14.27542220884</c:v>
                </c:pt>
                <c:pt idx="95">
                  <c:v>-14.296996754950001</c:v>
                </c:pt>
                <c:pt idx="96">
                  <c:v>-14.318571300995002</c:v>
                </c:pt>
                <c:pt idx="97">
                  <c:v>-14.340145847039999</c:v>
                </c:pt>
                <c:pt idx="98">
                  <c:v>-14.36172039315</c:v>
                </c:pt>
                <c:pt idx="99">
                  <c:v>-14.383294939195</c:v>
                </c:pt>
                <c:pt idx="100">
                  <c:v>-14.404869485305001</c:v>
                </c:pt>
                <c:pt idx="101">
                  <c:v>-16.167289759660001</c:v>
                </c:pt>
                <c:pt idx="102">
                  <c:v>-16.490907950725003</c:v>
                </c:pt>
                <c:pt idx="103">
                  <c:v>-18.06148794736</c:v>
                </c:pt>
                <c:pt idx="104">
                  <c:v>-18.385106138424998</c:v>
                </c:pt>
                <c:pt idx="105">
                  <c:v>-19.763845857275001</c:v>
                </c:pt>
                <c:pt idx="106">
                  <c:v>-20.087464048339999</c:v>
                </c:pt>
                <c:pt idx="107">
                  <c:v>-21.274363489405001</c:v>
                </c:pt>
                <c:pt idx="108">
                  <c:v>-21.597981680470003</c:v>
                </c:pt>
                <c:pt idx="109">
                  <c:v>-21.921599871535001</c:v>
                </c:pt>
                <c:pt idx="110">
                  <c:v>-22.916659034815002</c:v>
                </c:pt>
                <c:pt idx="111">
                  <c:v>-23.240277225880003</c:v>
                </c:pt>
                <c:pt idx="112">
                  <c:v>-24.043496111440003</c:v>
                </c:pt>
                <c:pt idx="113">
                  <c:v>-24.367114302505001</c:v>
                </c:pt>
                <c:pt idx="114">
                  <c:v>-24.690732493570003</c:v>
                </c:pt>
                <c:pt idx="115">
                  <c:v>-25.014350684635001</c:v>
                </c:pt>
                <c:pt idx="116">
                  <c:v>-25.625729292345</c:v>
                </c:pt>
                <c:pt idx="117">
                  <c:v>-25.949347483410001</c:v>
                </c:pt>
                <c:pt idx="118">
                  <c:v>-26.272965674475</c:v>
                </c:pt>
                <c:pt idx="119">
                  <c:v>-26.692504004400003</c:v>
                </c:pt>
                <c:pt idx="120">
                  <c:v>-27.016122195465002</c:v>
                </c:pt>
                <c:pt idx="121">
                  <c:v>-27.339740386530003</c:v>
                </c:pt>
                <c:pt idx="122">
                  <c:v>-27.663358577595005</c:v>
                </c:pt>
                <c:pt idx="123">
                  <c:v>-27.986976768659996</c:v>
                </c:pt>
                <c:pt idx="124">
                  <c:v>-28.214674820865003</c:v>
                </c:pt>
                <c:pt idx="125">
                  <c:v>-28.538293011930005</c:v>
                </c:pt>
                <c:pt idx="126">
                  <c:v>-28.861911202994996</c:v>
                </c:pt>
                <c:pt idx="127">
                  <c:v>-29.486494998179378</c:v>
                </c:pt>
                <c:pt idx="128">
                  <c:v>-29.915519508754919</c:v>
                </c:pt>
                <c:pt idx="129">
                  <c:v>-29.982506049446968</c:v>
                </c:pt>
                <c:pt idx="130">
                  <c:v>-30.344166086432278</c:v>
                </c:pt>
                <c:pt idx="131">
                  <c:v>-30.706483541699377</c:v>
                </c:pt>
                <c:pt idx="132">
                  <c:v>-31.069458415315431</c:v>
                </c:pt>
                <c:pt idx="133">
                  <c:v>-31.433090707280435</c:v>
                </c:pt>
                <c:pt idx="134">
                  <c:v>-31.797380417594383</c:v>
                </c:pt>
                <c:pt idx="135">
                  <c:v>-32.162327546328896</c:v>
                </c:pt>
                <c:pt idx="136">
                  <c:v>-31.994062201046763</c:v>
                </c:pt>
                <c:pt idx="137">
                  <c:v>-32.354843779431832</c:v>
                </c:pt>
                <c:pt idx="138">
                  <c:v>-32.716282776165833</c:v>
                </c:pt>
                <c:pt idx="139">
                  <c:v>-33.078379191248786</c:v>
                </c:pt>
                <c:pt idx="140">
                  <c:v>-33.441133024680681</c:v>
                </c:pt>
                <c:pt idx="141">
                  <c:v>-33.804544276537605</c:v>
                </c:pt>
                <c:pt idx="142">
                  <c:v>-34.168612946668155</c:v>
                </c:pt>
                <c:pt idx="143">
                  <c:v>-34.533339035147648</c:v>
                </c:pt>
                <c:pt idx="144">
                  <c:v>-34.089924358611199</c:v>
                </c:pt>
                <c:pt idx="145">
                  <c:v>-34.448292742021358</c:v>
                </c:pt>
                <c:pt idx="146">
                  <c:v>-34.807318543780468</c:v>
                </c:pt>
                <c:pt idx="147">
                  <c:v>-35.167001763969061</c:v>
                </c:pt>
                <c:pt idx="148">
                  <c:v>-35.527342402426818</c:v>
                </c:pt>
                <c:pt idx="149">
                  <c:v>-35.888340459233525</c:v>
                </c:pt>
                <c:pt idx="150">
                  <c:v>-36.249995934389169</c:v>
                </c:pt>
                <c:pt idx="151">
                  <c:v>-36.603070897559114</c:v>
                </c:pt>
                <c:pt idx="152">
                  <c:v>-36.875864657739172</c:v>
                </c:pt>
                <c:pt idx="153">
                  <c:v>-37.138324790251829</c:v>
                </c:pt>
                <c:pt idx="154">
                  <c:v>-36.223221032199824</c:v>
                </c:pt>
                <c:pt idx="155">
                  <c:v>-36.435029806194542</c:v>
                </c:pt>
                <c:pt idx="156">
                  <c:v>-36.645085464591091</c:v>
                </c:pt>
                <c:pt idx="157">
                  <c:v>-36.853388007477399</c:v>
                </c:pt>
                <c:pt idx="158">
                  <c:v>-37.059937434678297</c:v>
                </c:pt>
                <c:pt idx="159">
                  <c:v>-37.264733746281024</c:v>
                </c:pt>
                <c:pt idx="160">
                  <c:v>-37.392510214799998</c:v>
                </c:pt>
                <c:pt idx="161">
                  <c:v>-37.286297064899998</c:v>
                </c:pt>
                <c:pt idx="162">
                  <c:v>-37.180083914999997</c:v>
                </c:pt>
                <c:pt idx="163">
                  <c:v>-37.073870765099997</c:v>
                </c:pt>
                <c:pt idx="164">
                  <c:v>-36.967657615290001</c:v>
                </c:pt>
                <c:pt idx="165">
                  <c:v>-36.861444465390001</c:v>
                </c:pt>
                <c:pt idx="166">
                  <c:v>-36.755231315490001</c:v>
                </c:pt>
                <c:pt idx="167">
                  <c:v>-36.64901816559</c:v>
                </c:pt>
                <c:pt idx="168">
                  <c:v>-35.081867515680003</c:v>
                </c:pt>
                <c:pt idx="169">
                  <c:v>-34.975654365780002</c:v>
                </c:pt>
                <c:pt idx="170">
                  <c:v>-34.869441215880002</c:v>
                </c:pt>
                <c:pt idx="171">
                  <c:v>-34.763228066069999</c:v>
                </c:pt>
                <c:pt idx="172">
                  <c:v>-34.657014916169999</c:v>
                </c:pt>
                <c:pt idx="173">
                  <c:v>-34.550801766269998</c:v>
                </c:pt>
                <c:pt idx="174">
                  <c:v>-34.444588616369998</c:v>
                </c:pt>
                <c:pt idx="175">
                  <c:v>-34.338375466469998</c:v>
                </c:pt>
                <c:pt idx="176">
                  <c:v>-34.232162316570005</c:v>
                </c:pt>
                <c:pt idx="177">
                  <c:v>-34.125949166670004</c:v>
                </c:pt>
                <c:pt idx="178">
                  <c:v>-34.019736016769997</c:v>
                </c:pt>
                <c:pt idx="179">
                  <c:v>-33.913522866959994</c:v>
                </c:pt>
                <c:pt idx="180">
                  <c:v>-33.807309717060001</c:v>
                </c:pt>
                <c:pt idx="181">
                  <c:v>-33.70109656716</c:v>
                </c:pt>
                <c:pt idx="182">
                  <c:v>-33.59488341726</c:v>
                </c:pt>
                <c:pt idx="183">
                  <c:v>-33.48867026736</c:v>
                </c:pt>
                <c:pt idx="184">
                  <c:v>-33.38245711746</c:v>
                </c:pt>
                <c:pt idx="185">
                  <c:v>-33.276243967560006</c:v>
                </c:pt>
                <c:pt idx="186">
                  <c:v>-33.170030817659999</c:v>
                </c:pt>
                <c:pt idx="187">
                  <c:v>-33.063817667849996</c:v>
                </c:pt>
                <c:pt idx="188">
                  <c:v>-31.231042017929997</c:v>
                </c:pt>
                <c:pt idx="189">
                  <c:v>-31.124828868030001</c:v>
                </c:pt>
                <c:pt idx="190">
                  <c:v>-31.01861571813</c:v>
                </c:pt>
                <c:pt idx="191">
                  <c:v>-30.912402568230004</c:v>
                </c:pt>
                <c:pt idx="192">
                  <c:v>-30.80618941833</c:v>
                </c:pt>
                <c:pt idx="193">
                  <c:v>-30.69997626852</c:v>
                </c:pt>
                <c:pt idx="194">
                  <c:v>-30.59376311862</c:v>
                </c:pt>
                <c:pt idx="195">
                  <c:v>-30.48754996872</c:v>
                </c:pt>
                <c:pt idx="196">
                  <c:v>-30.381336818819999</c:v>
                </c:pt>
                <c:pt idx="197">
                  <c:v>-30.275123668919999</c:v>
                </c:pt>
                <c:pt idx="198">
                  <c:v>-30.168910519020002</c:v>
                </c:pt>
                <c:pt idx="199">
                  <c:v>-30.062697369120002</c:v>
                </c:pt>
                <c:pt idx="200">
                  <c:v>-29.956484219309999</c:v>
                </c:pt>
                <c:pt idx="201">
                  <c:v>-29.120940773460003</c:v>
                </c:pt>
                <c:pt idx="202">
                  <c:v>-28.721756351789999</c:v>
                </c:pt>
                <c:pt idx="203">
                  <c:v>-26.337907861560002</c:v>
                </c:pt>
                <c:pt idx="204">
                  <c:v>-25.94624687136</c:v>
                </c:pt>
                <c:pt idx="205">
                  <c:v>-25.554585881160001</c:v>
                </c:pt>
                <c:pt idx="206">
                  <c:v>-25.162924890960003</c:v>
                </c:pt>
                <c:pt idx="207">
                  <c:v>-24.771263900760001</c:v>
                </c:pt>
                <c:pt idx="208">
                  <c:v>-24.379602910559996</c:v>
                </c:pt>
                <c:pt idx="209">
                  <c:v>-21.730129420320004</c:v>
                </c:pt>
                <c:pt idx="210">
                  <c:v>-21.338468430120002</c:v>
                </c:pt>
                <c:pt idx="211">
                  <c:v>-20.946807439919997</c:v>
                </c:pt>
                <c:pt idx="212">
                  <c:v>-20.555146449719999</c:v>
                </c:pt>
                <c:pt idx="213">
                  <c:v>-20.163485459429999</c:v>
                </c:pt>
                <c:pt idx="214">
                  <c:v>-19.771824469230001</c:v>
                </c:pt>
                <c:pt idx="215">
                  <c:v>-19.380163479029999</c:v>
                </c:pt>
                <c:pt idx="216">
                  <c:v>-18.988502488830001</c:v>
                </c:pt>
                <c:pt idx="217">
                  <c:v>-18.596841498630003</c:v>
                </c:pt>
                <c:pt idx="218">
                  <c:v>-18.205180508430001</c:v>
                </c:pt>
                <c:pt idx="219">
                  <c:v>-17.813519518229999</c:v>
                </c:pt>
                <c:pt idx="220">
                  <c:v>-17.42185852794</c:v>
                </c:pt>
                <c:pt idx="221">
                  <c:v>-14.506760037779999</c:v>
                </c:pt>
                <c:pt idx="222">
                  <c:v>-14.115099047579999</c:v>
                </c:pt>
                <c:pt idx="223">
                  <c:v>-13.723438057380001</c:v>
                </c:pt>
                <c:pt idx="224">
                  <c:v>-13.33177706709</c:v>
                </c:pt>
                <c:pt idx="225">
                  <c:v>-12.940116076890002</c:v>
                </c:pt>
                <c:pt idx="226">
                  <c:v>-12.548455086690002</c:v>
                </c:pt>
                <c:pt idx="227">
                  <c:v>-12.15679409649</c:v>
                </c:pt>
                <c:pt idx="228">
                  <c:v>-11.76513310629</c:v>
                </c:pt>
                <c:pt idx="229">
                  <c:v>-11.373472116090001</c:v>
                </c:pt>
                <c:pt idx="230">
                  <c:v>-10.981811125889999</c:v>
                </c:pt>
                <c:pt idx="231">
                  <c:v>-10.590150135600002</c:v>
                </c:pt>
                <c:pt idx="232">
                  <c:v>-10.1984891454</c:v>
                </c:pt>
                <c:pt idx="233">
                  <c:v>-9.8068281552000016</c:v>
                </c:pt>
                <c:pt idx="234">
                  <c:v>-9.4151671650000015</c:v>
                </c:pt>
                <c:pt idx="235">
                  <c:v>-9.0235061747999996</c:v>
                </c:pt>
                <c:pt idx="236">
                  <c:v>-8.6318451846000013</c:v>
                </c:pt>
                <c:pt idx="237">
                  <c:v>-8.2401841943100003</c:v>
                </c:pt>
                <c:pt idx="238">
                  <c:v>-7.8485232041100002</c:v>
                </c:pt>
                <c:pt idx="239">
                  <c:v>-7.45686221391</c:v>
                </c:pt>
                <c:pt idx="240">
                  <c:v>-7.0652012237099999</c:v>
                </c:pt>
                <c:pt idx="241">
                  <c:v>-6.6735402335099998</c:v>
                </c:pt>
                <c:pt idx="242">
                  <c:v>-6.2818792433099997</c:v>
                </c:pt>
                <c:pt idx="243">
                  <c:v>-5.8902182531100005</c:v>
                </c:pt>
                <c:pt idx="244">
                  <c:v>-5.8437500000400009</c:v>
                </c:pt>
                <c:pt idx="245">
                  <c:v>-5.8437500000400009</c:v>
                </c:pt>
                <c:pt idx="246">
                  <c:v>-5.8437500000400009</c:v>
                </c:pt>
                <c:pt idx="247">
                  <c:v>-5.8437500000400009</c:v>
                </c:pt>
                <c:pt idx="248">
                  <c:v>-5.8437500000400009</c:v>
                </c:pt>
                <c:pt idx="249">
                  <c:v>-5.8437500000400009</c:v>
                </c:pt>
                <c:pt idx="250">
                  <c:v>-5.8437500000400009</c:v>
                </c:pt>
                <c:pt idx="251">
                  <c:v>-5.8437500000400009</c:v>
                </c:pt>
                <c:pt idx="252">
                  <c:v>-5.8437500000400009</c:v>
                </c:pt>
                <c:pt idx="253">
                  <c:v>-5.8437500000400009</c:v>
                </c:pt>
                <c:pt idx="254">
                  <c:v>-5.8437500000400009</c:v>
                </c:pt>
                <c:pt idx="255">
                  <c:v>-5.8437500000400009</c:v>
                </c:pt>
                <c:pt idx="256">
                  <c:v>-5.8437500000400009</c:v>
                </c:pt>
                <c:pt idx="257">
                  <c:v>-5.8437500000400009</c:v>
                </c:pt>
                <c:pt idx="258">
                  <c:v>-5.8437500000400009</c:v>
                </c:pt>
                <c:pt idx="259">
                  <c:v>-3.05468749998</c:v>
                </c:pt>
                <c:pt idx="260">
                  <c:v>-3.05468749998</c:v>
                </c:pt>
                <c:pt idx="261">
                  <c:v>-3.05468749998</c:v>
                </c:pt>
                <c:pt idx="262">
                  <c:v>-3.05468749998</c:v>
                </c:pt>
                <c:pt idx="263">
                  <c:v>-3.05468749998</c:v>
                </c:pt>
                <c:pt idx="264">
                  <c:v>-3.05468749998</c:v>
                </c:pt>
                <c:pt idx="265">
                  <c:v>-3.05468749998</c:v>
                </c:pt>
                <c:pt idx="266">
                  <c:v>-3.05468749998</c:v>
                </c:pt>
                <c:pt idx="267">
                  <c:v>-3.05468749998</c:v>
                </c:pt>
                <c:pt idx="268">
                  <c:v>-3.05468749998</c:v>
                </c:pt>
                <c:pt idx="269">
                  <c:v>-3.05468749998</c:v>
                </c:pt>
                <c:pt idx="270">
                  <c:v>-3.05468749998</c:v>
                </c:pt>
                <c:pt idx="271">
                  <c:v>-3.05468749998</c:v>
                </c:pt>
                <c:pt idx="272">
                  <c:v>-3.05468749998</c:v>
                </c:pt>
                <c:pt idx="273">
                  <c:v>-3.05468749998</c:v>
                </c:pt>
                <c:pt idx="274">
                  <c:v>-3.05468749998</c:v>
                </c:pt>
                <c:pt idx="275">
                  <c:v>-3.05468749998</c:v>
                </c:pt>
                <c:pt idx="276">
                  <c:v>-3.05468749998</c:v>
                </c:pt>
                <c:pt idx="277">
                  <c:v>-3.05468749998</c:v>
                </c:pt>
                <c:pt idx="278">
                  <c:v>-3.05468749998</c:v>
                </c:pt>
                <c:pt idx="279">
                  <c:v>-3.05468749998</c:v>
                </c:pt>
                <c:pt idx="280">
                  <c:v>-3.05468749998</c:v>
                </c:pt>
                <c:pt idx="281">
                  <c:v>-3.05468749998</c:v>
                </c:pt>
                <c:pt idx="282">
                  <c:v>-3.05468749998</c:v>
                </c:pt>
                <c:pt idx="283">
                  <c:v>-3.05468749998</c:v>
                </c:pt>
                <c:pt idx="284">
                  <c:v>-3.05468749998</c:v>
                </c:pt>
                <c:pt idx="285">
                  <c:v>-3.05468749998</c:v>
                </c:pt>
                <c:pt idx="286">
                  <c:v>-3.05468749998</c:v>
                </c:pt>
                <c:pt idx="287">
                  <c:v>-3.05468749998</c:v>
                </c:pt>
                <c:pt idx="288">
                  <c:v>-3.05468749998</c:v>
                </c:pt>
                <c:pt idx="289">
                  <c:v>-3.05468749998</c:v>
                </c:pt>
                <c:pt idx="290">
                  <c:v>-3.05468749998</c:v>
                </c:pt>
                <c:pt idx="291">
                  <c:v>-3.05468749998</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0.26608606823500003</c:v>
                </c:pt>
                <c:pt idx="362">
                  <c:v>0.5609381978200001</c:v>
                </c:pt>
                <c:pt idx="363">
                  <c:v>0.85579032746999995</c:v>
                </c:pt>
                <c:pt idx="364">
                  <c:v>1.15064245712</c:v>
                </c:pt>
                <c:pt idx="365">
                  <c:v>1.4958351942299999</c:v>
                </c:pt>
                <c:pt idx="366">
                  <c:v>1.8602053056599999</c:v>
                </c:pt>
                <c:pt idx="367">
                  <c:v>2.2245754170900001</c:v>
                </c:pt>
                <c:pt idx="368">
                  <c:v>2.58894552852</c:v>
                </c:pt>
                <c:pt idx="369">
                  <c:v>2.95331563995</c:v>
                </c:pt>
                <c:pt idx="370">
                  <c:v>3.31768575138</c:v>
                </c:pt>
                <c:pt idx="371">
                  <c:v>3.6820558628100004</c:v>
                </c:pt>
                <c:pt idx="372">
                  <c:v>4.0464259742399999</c:v>
                </c:pt>
                <c:pt idx="373">
                  <c:v>4.4107960856700004</c:v>
                </c:pt>
                <c:pt idx="374">
                  <c:v>4.7751661970350003</c:v>
                </c:pt>
                <c:pt idx="375">
                  <c:v>5.1131674188399998</c:v>
                </c:pt>
                <c:pt idx="376">
                  <c:v>5.1347419648849995</c:v>
                </c:pt>
                <c:pt idx="377">
                  <c:v>5.1563165109950004</c:v>
                </c:pt>
                <c:pt idx="378">
                  <c:v>5.1778910570400001</c:v>
                </c:pt>
                <c:pt idx="379">
                  <c:v>5.1994656031499993</c:v>
                </c:pt>
                <c:pt idx="380">
                  <c:v>5.2210401491950007</c:v>
                </c:pt>
                <c:pt idx="381">
                  <c:v>5.2426146952399995</c:v>
                </c:pt>
                <c:pt idx="382">
                  <c:v>5.2641892413499995</c:v>
                </c:pt>
                <c:pt idx="383">
                  <c:v>7.4919269818249994</c:v>
                </c:pt>
                <c:pt idx="384">
                  <c:v>7.5135015279350004</c:v>
                </c:pt>
                <c:pt idx="385">
                  <c:v>7.53507607398</c:v>
                </c:pt>
                <c:pt idx="386">
                  <c:v>7.5566506200900001</c:v>
                </c:pt>
                <c:pt idx="387">
                  <c:v>7.5782251661350006</c:v>
                </c:pt>
                <c:pt idx="388">
                  <c:v>7.5997997121799994</c:v>
                </c:pt>
                <c:pt idx="389">
                  <c:v>7.6213742582900004</c:v>
                </c:pt>
                <c:pt idx="390">
                  <c:v>7.642948804335</c:v>
                </c:pt>
                <c:pt idx="391">
                  <c:v>7.6645233504450001</c:v>
                </c:pt>
                <c:pt idx="392">
                  <c:v>7.6860978964900006</c:v>
                </c:pt>
                <c:pt idx="393">
                  <c:v>7.7076724425349994</c:v>
                </c:pt>
                <c:pt idx="394">
                  <c:v>7.7292469886449995</c:v>
                </c:pt>
                <c:pt idx="395">
                  <c:v>7.75082153469</c:v>
                </c:pt>
                <c:pt idx="396">
                  <c:v>7.7723960808000001</c:v>
                </c:pt>
                <c:pt idx="397">
                  <c:v>7.7939706268450006</c:v>
                </c:pt>
                <c:pt idx="398">
                  <c:v>7.8155451728900003</c:v>
                </c:pt>
                <c:pt idx="399">
                  <c:v>7.8371197190000013</c:v>
                </c:pt>
                <c:pt idx="400">
                  <c:v>9.8730171817549994</c:v>
                </c:pt>
                <c:pt idx="401">
                  <c:v>9.8945917278</c:v>
                </c:pt>
                <c:pt idx="402">
                  <c:v>9.9161662738450005</c:v>
                </c:pt>
                <c:pt idx="403">
                  <c:v>9.9377408199550015</c:v>
                </c:pt>
                <c:pt idx="404">
                  <c:v>9.9593153660000002</c:v>
                </c:pt>
                <c:pt idx="405">
                  <c:v>9.9808899121100012</c:v>
                </c:pt>
                <c:pt idx="406">
                  <c:v>10.002464458155</c:v>
                </c:pt>
                <c:pt idx="407">
                  <c:v>10.0240390042</c:v>
                </c:pt>
                <c:pt idx="408">
                  <c:v>10.045613550310001</c:v>
                </c:pt>
                <c:pt idx="409">
                  <c:v>10.067188096355</c:v>
                </c:pt>
                <c:pt idx="410">
                  <c:v>10.088762642465001</c:v>
                </c:pt>
                <c:pt idx="411">
                  <c:v>10.11033718851</c:v>
                </c:pt>
                <c:pt idx="412">
                  <c:v>10.131911734555</c:v>
                </c:pt>
                <c:pt idx="413">
                  <c:v>10.153486280665</c:v>
                </c:pt>
                <c:pt idx="414">
                  <c:v>10.17506082671</c:v>
                </c:pt>
                <c:pt idx="415">
                  <c:v>10.196635372820001</c:v>
                </c:pt>
                <c:pt idx="416">
                  <c:v>10.218209918865002</c:v>
                </c:pt>
                <c:pt idx="417">
                  <c:v>10.23978446491</c:v>
                </c:pt>
                <c:pt idx="418">
                  <c:v>10.261359011020001</c:v>
                </c:pt>
                <c:pt idx="419">
                  <c:v>12.105416195990001</c:v>
                </c:pt>
                <c:pt idx="420">
                  <c:v>12.126990742035</c:v>
                </c:pt>
                <c:pt idx="421">
                  <c:v>12.148565288079999</c:v>
                </c:pt>
                <c:pt idx="422">
                  <c:v>12.17013983419</c:v>
                </c:pt>
                <c:pt idx="423">
                  <c:v>12.191714380235</c:v>
                </c:pt>
                <c:pt idx="424">
                  <c:v>12.213288926345001</c:v>
                </c:pt>
                <c:pt idx="425">
                  <c:v>12.23486347239</c:v>
                </c:pt>
                <c:pt idx="426">
                  <c:v>12.256438018434999</c:v>
                </c:pt>
                <c:pt idx="427">
                  <c:v>12.278012564545</c:v>
                </c:pt>
                <c:pt idx="428">
                  <c:v>12.29958711059</c:v>
                </c:pt>
                <c:pt idx="429">
                  <c:v>12.321161656700001</c:v>
                </c:pt>
                <c:pt idx="430">
                  <c:v>12.342736202745</c:v>
                </c:pt>
                <c:pt idx="431">
                  <c:v>12.364310748789999</c:v>
                </c:pt>
                <c:pt idx="432">
                  <c:v>12.3858852949</c:v>
                </c:pt>
                <c:pt idx="433">
                  <c:v>12.407459840945</c:v>
                </c:pt>
                <c:pt idx="434">
                  <c:v>12.429034387055001</c:v>
                </c:pt>
                <c:pt idx="435">
                  <c:v>12.4506089331</c:v>
                </c:pt>
                <c:pt idx="436">
                  <c:v>12.472183479145</c:v>
                </c:pt>
                <c:pt idx="437">
                  <c:v>12.493758025255001</c:v>
                </c:pt>
                <c:pt idx="438">
                  <c:v>12.5153325713</c:v>
                </c:pt>
                <c:pt idx="439">
                  <c:v>12.536907117410001</c:v>
                </c:pt>
                <c:pt idx="440">
                  <c:v>14.189124024595001</c:v>
                </c:pt>
                <c:pt idx="441">
                  <c:v>14.21069857064</c:v>
                </c:pt>
                <c:pt idx="442">
                  <c:v>14.232273116685001</c:v>
                </c:pt>
                <c:pt idx="443">
                  <c:v>14.253847662795001</c:v>
                </c:pt>
                <c:pt idx="444">
                  <c:v>14.27542220884</c:v>
                </c:pt>
                <c:pt idx="445">
                  <c:v>14.296996754950001</c:v>
                </c:pt>
                <c:pt idx="446">
                  <c:v>14.318571300995002</c:v>
                </c:pt>
                <c:pt idx="447">
                  <c:v>14.340145847039999</c:v>
                </c:pt>
                <c:pt idx="448">
                  <c:v>14.36172039315</c:v>
                </c:pt>
                <c:pt idx="449">
                  <c:v>14.383294939195</c:v>
                </c:pt>
                <c:pt idx="450">
                  <c:v>14.404869485305001</c:v>
                </c:pt>
                <c:pt idx="451">
                  <c:v>16.167289759660001</c:v>
                </c:pt>
                <c:pt idx="452">
                  <c:v>16.490907950725003</c:v>
                </c:pt>
                <c:pt idx="453">
                  <c:v>18.06148794736</c:v>
                </c:pt>
                <c:pt idx="454">
                  <c:v>18.385106138424998</c:v>
                </c:pt>
                <c:pt idx="455">
                  <c:v>19.763845857275001</c:v>
                </c:pt>
                <c:pt idx="456">
                  <c:v>20.087464048339999</c:v>
                </c:pt>
                <c:pt idx="457">
                  <c:v>21.274363489405001</c:v>
                </c:pt>
                <c:pt idx="458">
                  <c:v>21.597981680470003</c:v>
                </c:pt>
                <c:pt idx="459">
                  <c:v>21.921599871535001</c:v>
                </c:pt>
                <c:pt idx="460">
                  <c:v>22.916659034815002</c:v>
                </c:pt>
                <c:pt idx="461">
                  <c:v>23.240277225880003</c:v>
                </c:pt>
                <c:pt idx="462">
                  <c:v>24.043496111440003</c:v>
                </c:pt>
                <c:pt idx="463">
                  <c:v>24.367114302505001</c:v>
                </c:pt>
                <c:pt idx="464">
                  <c:v>24.690732493570003</c:v>
                </c:pt>
                <c:pt idx="465">
                  <c:v>25.014350684635001</c:v>
                </c:pt>
                <c:pt idx="466">
                  <c:v>25.625729292345</c:v>
                </c:pt>
                <c:pt idx="467">
                  <c:v>25.949347483410001</c:v>
                </c:pt>
                <c:pt idx="468">
                  <c:v>26.272965674475</c:v>
                </c:pt>
                <c:pt idx="469">
                  <c:v>26.692504004400003</c:v>
                </c:pt>
                <c:pt idx="470">
                  <c:v>27.016122195465002</c:v>
                </c:pt>
                <c:pt idx="471">
                  <c:v>27.339740386530003</c:v>
                </c:pt>
                <c:pt idx="472">
                  <c:v>27.663358577595005</c:v>
                </c:pt>
                <c:pt idx="473">
                  <c:v>27.986976768659996</c:v>
                </c:pt>
                <c:pt idx="474">
                  <c:v>28.214674820865003</c:v>
                </c:pt>
                <c:pt idx="475">
                  <c:v>28.538293011930005</c:v>
                </c:pt>
                <c:pt idx="476">
                  <c:v>28.861911202994996</c:v>
                </c:pt>
                <c:pt idx="477">
                  <c:v>29.486494998179122</c:v>
                </c:pt>
                <c:pt idx="478">
                  <c:v>29.915519508754659</c:v>
                </c:pt>
                <c:pt idx="479">
                  <c:v>29.982506049446705</c:v>
                </c:pt>
                <c:pt idx="480">
                  <c:v>30.344166086432011</c:v>
                </c:pt>
                <c:pt idx="481">
                  <c:v>30.7064835416991</c:v>
                </c:pt>
                <c:pt idx="482">
                  <c:v>31.069458415315157</c:v>
                </c:pt>
                <c:pt idx="483">
                  <c:v>31.433090707280147</c:v>
                </c:pt>
                <c:pt idx="484">
                  <c:v>31.797380417594095</c:v>
                </c:pt>
                <c:pt idx="485">
                  <c:v>32.162327546328605</c:v>
                </c:pt>
                <c:pt idx="486">
                  <c:v>31.994062201046482</c:v>
                </c:pt>
                <c:pt idx="487">
                  <c:v>32.354843779431533</c:v>
                </c:pt>
                <c:pt idx="488">
                  <c:v>32.716282776165528</c:v>
                </c:pt>
                <c:pt idx="489">
                  <c:v>33.078379191248487</c:v>
                </c:pt>
                <c:pt idx="490">
                  <c:v>33.441133024680383</c:v>
                </c:pt>
                <c:pt idx="491">
                  <c:v>33.804544276537293</c:v>
                </c:pt>
                <c:pt idx="492">
                  <c:v>34.168612946667835</c:v>
                </c:pt>
                <c:pt idx="493">
                  <c:v>34.533339035147328</c:v>
                </c:pt>
                <c:pt idx="494">
                  <c:v>34.089924358610872</c:v>
                </c:pt>
                <c:pt idx="495">
                  <c:v>34.448292742021039</c:v>
                </c:pt>
                <c:pt idx="496">
                  <c:v>34.807318543780148</c:v>
                </c:pt>
                <c:pt idx="497">
                  <c:v>35.167001763968727</c:v>
                </c:pt>
                <c:pt idx="498">
                  <c:v>35.527342402426477</c:v>
                </c:pt>
                <c:pt idx="499">
                  <c:v>35.88834045923317</c:v>
                </c:pt>
                <c:pt idx="500">
                  <c:v>36.249995934388814</c:v>
                </c:pt>
                <c:pt idx="501">
                  <c:v>36.603070897558766</c:v>
                </c:pt>
                <c:pt idx="502">
                  <c:v>36.875864657738816</c:v>
                </c:pt>
                <c:pt idx="503">
                  <c:v>37.138324790251467</c:v>
                </c:pt>
                <c:pt idx="504">
                  <c:v>36.223221032199476</c:v>
                </c:pt>
                <c:pt idx="505">
                  <c:v>36.435029806194194</c:v>
                </c:pt>
                <c:pt idx="506">
                  <c:v>36.645085464590728</c:v>
                </c:pt>
                <c:pt idx="507">
                  <c:v>36.853388007477037</c:v>
                </c:pt>
                <c:pt idx="508">
                  <c:v>37.059937434677941</c:v>
                </c:pt>
                <c:pt idx="509">
                  <c:v>37.264733746280662</c:v>
                </c:pt>
                <c:pt idx="510">
                  <c:v>37.392510214799998</c:v>
                </c:pt>
                <c:pt idx="511">
                  <c:v>37.286297064899998</c:v>
                </c:pt>
                <c:pt idx="512">
                  <c:v>37.180083914999997</c:v>
                </c:pt>
                <c:pt idx="513">
                  <c:v>37.073870765099997</c:v>
                </c:pt>
                <c:pt idx="514">
                  <c:v>36.967657615290001</c:v>
                </c:pt>
                <c:pt idx="515">
                  <c:v>36.861444465390001</c:v>
                </c:pt>
                <c:pt idx="516">
                  <c:v>36.755231315490001</c:v>
                </c:pt>
                <c:pt idx="517">
                  <c:v>36.64901816559</c:v>
                </c:pt>
                <c:pt idx="518">
                  <c:v>35.081867515680003</c:v>
                </c:pt>
                <c:pt idx="519">
                  <c:v>34.975654365780002</c:v>
                </c:pt>
                <c:pt idx="520">
                  <c:v>34.869441215880002</c:v>
                </c:pt>
                <c:pt idx="521">
                  <c:v>34.763228066069999</c:v>
                </c:pt>
                <c:pt idx="522">
                  <c:v>34.657014916169999</c:v>
                </c:pt>
                <c:pt idx="523">
                  <c:v>34.550801766269998</c:v>
                </c:pt>
                <c:pt idx="524">
                  <c:v>34.444588616369998</c:v>
                </c:pt>
                <c:pt idx="525">
                  <c:v>34.338375466469998</c:v>
                </c:pt>
                <c:pt idx="526">
                  <c:v>34.232162316570005</c:v>
                </c:pt>
                <c:pt idx="527">
                  <c:v>34.125949166670004</c:v>
                </c:pt>
                <c:pt idx="528">
                  <c:v>34.019736016769997</c:v>
                </c:pt>
                <c:pt idx="529">
                  <c:v>33.913522866959994</c:v>
                </c:pt>
                <c:pt idx="530">
                  <c:v>33.807309717060001</c:v>
                </c:pt>
                <c:pt idx="531">
                  <c:v>33.70109656716</c:v>
                </c:pt>
                <c:pt idx="532">
                  <c:v>33.59488341726</c:v>
                </c:pt>
                <c:pt idx="533">
                  <c:v>33.48867026736</c:v>
                </c:pt>
                <c:pt idx="534">
                  <c:v>33.38245711746</c:v>
                </c:pt>
                <c:pt idx="535">
                  <c:v>33.276243967560006</c:v>
                </c:pt>
                <c:pt idx="536">
                  <c:v>33.170030817750003</c:v>
                </c:pt>
                <c:pt idx="537">
                  <c:v>33.063817667849996</c:v>
                </c:pt>
                <c:pt idx="538">
                  <c:v>31.231042017929997</c:v>
                </c:pt>
                <c:pt idx="539">
                  <c:v>31.124828868030001</c:v>
                </c:pt>
                <c:pt idx="540">
                  <c:v>31.01861571813</c:v>
                </c:pt>
                <c:pt idx="541">
                  <c:v>30.912402568230004</c:v>
                </c:pt>
                <c:pt idx="542">
                  <c:v>30.806189418420004</c:v>
                </c:pt>
                <c:pt idx="543">
                  <c:v>30.69997626852</c:v>
                </c:pt>
                <c:pt idx="544">
                  <c:v>30.59376311862</c:v>
                </c:pt>
                <c:pt idx="545">
                  <c:v>30.48754996872</c:v>
                </c:pt>
                <c:pt idx="546">
                  <c:v>30.381336818819999</c:v>
                </c:pt>
                <c:pt idx="547">
                  <c:v>30.275123668919999</c:v>
                </c:pt>
                <c:pt idx="548">
                  <c:v>30.168910519020002</c:v>
                </c:pt>
                <c:pt idx="549">
                  <c:v>30.062697369120002</c:v>
                </c:pt>
                <c:pt idx="550">
                  <c:v>29.956484219309999</c:v>
                </c:pt>
                <c:pt idx="551">
                  <c:v>29.120940773460003</c:v>
                </c:pt>
                <c:pt idx="552">
                  <c:v>28.721756351789999</c:v>
                </c:pt>
                <c:pt idx="553">
                  <c:v>26.337907861560002</c:v>
                </c:pt>
                <c:pt idx="554">
                  <c:v>25.94624687136</c:v>
                </c:pt>
                <c:pt idx="555">
                  <c:v>25.554585881160001</c:v>
                </c:pt>
                <c:pt idx="556">
                  <c:v>25.162924890960003</c:v>
                </c:pt>
                <c:pt idx="557">
                  <c:v>24.771263900760001</c:v>
                </c:pt>
                <c:pt idx="558">
                  <c:v>24.379602910559996</c:v>
                </c:pt>
                <c:pt idx="559">
                  <c:v>21.730129420320004</c:v>
                </c:pt>
                <c:pt idx="560">
                  <c:v>21.338468430120002</c:v>
                </c:pt>
                <c:pt idx="561">
                  <c:v>20.946807439919997</c:v>
                </c:pt>
                <c:pt idx="562">
                  <c:v>20.555146449719999</c:v>
                </c:pt>
                <c:pt idx="563">
                  <c:v>20.163485459429999</c:v>
                </c:pt>
                <c:pt idx="564">
                  <c:v>19.771824469230001</c:v>
                </c:pt>
                <c:pt idx="565">
                  <c:v>19.380163479029999</c:v>
                </c:pt>
                <c:pt idx="566">
                  <c:v>18.988502488830001</c:v>
                </c:pt>
                <c:pt idx="567">
                  <c:v>18.596841498630003</c:v>
                </c:pt>
                <c:pt idx="568">
                  <c:v>18.205180508430001</c:v>
                </c:pt>
                <c:pt idx="569">
                  <c:v>17.813519518229999</c:v>
                </c:pt>
                <c:pt idx="570">
                  <c:v>17.42185852794</c:v>
                </c:pt>
                <c:pt idx="571">
                  <c:v>14.506760037779999</c:v>
                </c:pt>
                <c:pt idx="572">
                  <c:v>14.115099047579999</c:v>
                </c:pt>
                <c:pt idx="573">
                  <c:v>13.723438057380001</c:v>
                </c:pt>
                <c:pt idx="574">
                  <c:v>13.33177706709</c:v>
                </c:pt>
                <c:pt idx="575">
                  <c:v>12.940116076890002</c:v>
                </c:pt>
                <c:pt idx="576">
                  <c:v>12.548455086690002</c:v>
                </c:pt>
                <c:pt idx="577">
                  <c:v>12.15679409649</c:v>
                </c:pt>
                <c:pt idx="578">
                  <c:v>11.76513310629</c:v>
                </c:pt>
                <c:pt idx="579">
                  <c:v>11.373472116090001</c:v>
                </c:pt>
                <c:pt idx="580">
                  <c:v>10.981811125889999</c:v>
                </c:pt>
                <c:pt idx="581">
                  <c:v>10.590150135600002</c:v>
                </c:pt>
                <c:pt idx="582">
                  <c:v>10.1984891454</c:v>
                </c:pt>
                <c:pt idx="583">
                  <c:v>9.8068281552000016</c:v>
                </c:pt>
                <c:pt idx="584">
                  <c:v>9.4151671650000015</c:v>
                </c:pt>
                <c:pt idx="585">
                  <c:v>9.0235061747999996</c:v>
                </c:pt>
                <c:pt idx="586">
                  <c:v>8.6318451846000013</c:v>
                </c:pt>
                <c:pt idx="587">
                  <c:v>8.2401841943999994</c:v>
                </c:pt>
                <c:pt idx="588">
                  <c:v>7.8485232041100002</c:v>
                </c:pt>
                <c:pt idx="589">
                  <c:v>7.45686221391</c:v>
                </c:pt>
                <c:pt idx="590">
                  <c:v>7.0652012237099999</c:v>
                </c:pt>
                <c:pt idx="591">
                  <c:v>6.6735402335099998</c:v>
                </c:pt>
                <c:pt idx="592">
                  <c:v>6.2818792433099997</c:v>
                </c:pt>
                <c:pt idx="593">
                  <c:v>5.8902182531100005</c:v>
                </c:pt>
                <c:pt idx="594">
                  <c:v>5.8437500000400009</c:v>
                </c:pt>
                <c:pt idx="595">
                  <c:v>5.8437500000400009</c:v>
                </c:pt>
                <c:pt idx="596">
                  <c:v>5.8437500000400009</c:v>
                </c:pt>
                <c:pt idx="597">
                  <c:v>5.8437500000400009</c:v>
                </c:pt>
                <c:pt idx="598">
                  <c:v>5.8437500000400009</c:v>
                </c:pt>
                <c:pt idx="599">
                  <c:v>5.8437500000400009</c:v>
                </c:pt>
                <c:pt idx="600">
                  <c:v>5.8437500000400009</c:v>
                </c:pt>
                <c:pt idx="601">
                  <c:v>5.8437500000400009</c:v>
                </c:pt>
                <c:pt idx="602">
                  <c:v>5.8437500000400009</c:v>
                </c:pt>
                <c:pt idx="603">
                  <c:v>5.8437500000400009</c:v>
                </c:pt>
                <c:pt idx="604">
                  <c:v>5.8437500000400009</c:v>
                </c:pt>
                <c:pt idx="605">
                  <c:v>5.8437500000400009</c:v>
                </c:pt>
                <c:pt idx="606">
                  <c:v>5.8437500000400009</c:v>
                </c:pt>
                <c:pt idx="607">
                  <c:v>5.8437500000400009</c:v>
                </c:pt>
                <c:pt idx="608">
                  <c:v>5.8437500000400009</c:v>
                </c:pt>
                <c:pt idx="609">
                  <c:v>3.05468749998</c:v>
                </c:pt>
                <c:pt idx="610">
                  <c:v>3.05468749998</c:v>
                </c:pt>
                <c:pt idx="611">
                  <c:v>3.05468749998</c:v>
                </c:pt>
                <c:pt idx="612">
                  <c:v>3.05468749998</c:v>
                </c:pt>
                <c:pt idx="613">
                  <c:v>3.05468749998</c:v>
                </c:pt>
                <c:pt idx="614">
                  <c:v>3.05468749998</c:v>
                </c:pt>
                <c:pt idx="615">
                  <c:v>3.05468749998</c:v>
                </c:pt>
                <c:pt idx="616">
                  <c:v>3.05468749998</c:v>
                </c:pt>
                <c:pt idx="617">
                  <c:v>3.05468749998</c:v>
                </c:pt>
                <c:pt idx="618">
                  <c:v>3.05468749998</c:v>
                </c:pt>
                <c:pt idx="619">
                  <c:v>3.05468749998</c:v>
                </c:pt>
                <c:pt idx="620">
                  <c:v>3.05468749998</c:v>
                </c:pt>
                <c:pt idx="621">
                  <c:v>3.05468749998</c:v>
                </c:pt>
                <c:pt idx="622">
                  <c:v>3.05468749998</c:v>
                </c:pt>
                <c:pt idx="623">
                  <c:v>3.05468749998</c:v>
                </c:pt>
                <c:pt idx="624">
                  <c:v>3.05468749998</c:v>
                </c:pt>
                <c:pt idx="625">
                  <c:v>3.05468749998</c:v>
                </c:pt>
                <c:pt idx="626">
                  <c:v>3.05468749998</c:v>
                </c:pt>
                <c:pt idx="627">
                  <c:v>3.05468749998</c:v>
                </c:pt>
                <c:pt idx="628">
                  <c:v>3.05468749998</c:v>
                </c:pt>
                <c:pt idx="629">
                  <c:v>3.05468749998</c:v>
                </c:pt>
                <c:pt idx="630">
                  <c:v>3.05468749998</c:v>
                </c:pt>
                <c:pt idx="631">
                  <c:v>3.05468749998</c:v>
                </c:pt>
                <c:pt idx="632">
                  <c:v>3.05468749998</c:v>
                </c:pt>
                <c:pt idx="633">
                  <c:v>3.05468749998</c:v>
                </c:pt>
                <c:pt idx="634">
                  <c:v>3.05468749998</c:v>
                </c:pt>
                <c:pt idx="635">
                  <c:v>3.05468749998</c:v>
                </c:pt>
                <c:pt idx="636">
                  <c:v>3.05468749998</c:v>
                </c:pt>
                <c:pt idx="637">
                  <c:v>3.05468749998</c:v>
                </c:pt>
                <c:pt idx="638">
                  <c:v>3.05468749998</c:v>
                </c:pt>
                <c:pt idx="639">
                  <c:v>3.05468749998</c:v>
                </c:pt>
                <c:pt idx="640">
                  <c:v>3.05468749998</c:v>
                </c:pt>
                <c:pt idx="641">
                  <c:v>3.05468749998</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xVal>
          <c:yVal>
            <c:numRef>
              <c:f>'Diagrama de Interacción 2D'!$I$3:$I$1048576</c:f>
              <c:numCache>
                <c:formatCode>General</c:formatCode>
                <c:ptCount val="1048574"/>
                <c:pt idx="0">
                  <c:v>923.00687119377005</c:v>
                </c:pt>
                <c:pt idx="1">
                  <c:v>923.00687119377005</c:v>
                </c:pt>
                <c:pt idx="2">
                  <c:v>923.00687119377005</c:v>
                </c:pt>
                <c:pt idx="3">
                  <c:v>923.00687119377005</c:v>
                </c:pt>
                <c:pt idx="4">
                  <c:v>923.00687119377005</c:v>
                </c:pt>
                <c:pt idx="5">
                  <c:v>923.00687119377005</c:v>
                </c:pt>
                <c:pt idx="6">
                  <c:v>923.00687119377005</c:v>
                </c:pt>
                <c:pt idx="7">
                  <c:v>923.00687119377005</c:v>
                </c:pt>
                <c:pt idx="8">
                  <c:v>923.00687119377005</c:v>
                </c:pt>
                <c:pt idx="9">
                  <c:v>923.00687119377005</c:v>
                </c:pt>
                <c:pt idx="10">
                  <c:v>923.00687119377005</c:v>
                </c:pt>
                <c:pt idx="11">
                  <c:v>919.45905695097258</c:v>
                </c:pt>
                <c:pt idx="12">
                  <c:v>915.5276952224674</c:v>
                </c:pt>
                <c:pt idx="13">
                  <c:v>911.59633349396211</c:v>
                </c:pt>
                <c:pt idx="14">
                  <c:v>907.6649717654567</c:v>
                </c:pt>
                <c:pt idx="15">
                  <c:v>901.719985736985</c:v>
                </c:pt>
                <c:pt idx="16">
                  <c:v>895.00790473709799</c:v>
                </c:pt>
                <c:pt idx="17">
                  <c:v>888.29582373721087</c:v>
                </c:pt>
                <c:pt idx="18">
                  <c:v>881.58374273732386</c:v>
                </c:pt>
                <c:pt idx="19">
                  <c:v>874.87166173743674</c:v>
                </c:pt>
                <c:pt idx="20">
                  <c:v>868.1595807375495</c:v>
                </c:pt>
                <c:pt idx="21">
                  <c:v>861.44749973766238</c:v>
                </c:pt>
                <c:pt idx="22">
                  <c:v>854.73541873777538</c:v>
                </c:pt>
                <c:pt idx="23">
                  <c:v>848.02333773788837</c:v>
                </c:pt>
                <c:pt idx="24">
                  <c:v>841.31125673800125</c:v>
                </c:pt>
                <c:pt idx="25">
                  <c:v>833.54442015241693</c:v>
                </c:pt>
                <c:pt idx="26">
                  <c:v>832.98827629814036</c:v>
                </c:pt>
                <c:pt idx="27">
                  <c:v>832.43213244386413</c:v>
                </c:pt>
                <c:pt idx="28">
                  <c:v>831.87598858958756</c:v>
                </c:pt>
                <c:pt idx="29">
                  <c:v>831.31984473531122</c:v>
                </c:pt>
                <c:pt idx="30">
                  <c:v>830.76370088103511</c:v>
                </c:pt>
                <c:pt idx="31">
                  <c:v>830.20755702675865</c:v>
                </c:pt>
                <c:pt idx="32">
                  <c:v>829.65141317248208</c:v>
                </c:pt>
                <c:pt idx="33">
                  <c:v>806.07443598487225</c:v>
                </c:pt>
                <c:pt idx="34">
                  <c:v>805.51829213059591</c:v>
                </c:pt>
                <c:pt idx="35">
                  <c:v>804.96214827631945</c:v>
                </c:pt>
                <c:pt idx="36">
                  <c:v>804.40600442204322</c:v>
                </c:pt>
                <c:pt idx="37">
                  <c:v>803.84986056776677</c:v>
                </c:pt>
                <c:pt idx="38">
                  <c:v>803.29371671349043</c:v>
                </c:pt>
                <c:pt idx="39">
                  <c:v>802.73757285921408</c:v>
                </c:pt>
                <c:pt idx="40">
                  <c:v>802.18142900493763</c:v>
                </c:pt>
                <c:pt idx="41">
                  <c:v>801.62528515066151</c:v>
                </c:pt>
                <c:pt idx="42">
                  <c:v>801.06914129638494</c:v>
                </c:pt>
                <c:pt idx="43">
                  <c:v>800.51299744210871</c:v>
                </c:pt>
                <c:pt idx="44">
                  <c:v>799.95685358783237</c:v>
                </c:pt>
                <c:pt idx="45">
                  <c:v>799.4007097335558</c:v>
                </c:pt>
                <c:pt idx="46">
                  <c:v>798.84456587927957</c:v>
                </c:pt>
                <c:pt idx="47">
                  <c:v>798.28842202500323</c:v>
                </c:pt>
                <c:pt idx="48">
                  <c:v>797.732278170727</c:v>
                </c:pt>
                <c:pt idx="49">
                  <c:v>797.17613431645054</c:v>
                </c:pt>
                <c:pt idx="50">
                  <c:v>773.59915712884072</c:v>
                </c:pt>
                <c:pt idx="51">
                  <c:v>773.04301327456437</c:v>
                </c:pt>
                <c:pt idx="52">
                  <c:v>772.4868694202878</c:v>
                </c:pt>
                <c:pt idx="53">
                  <c:v>771.93072556601157</c:v>
                </c:pt>
                <c:pt idx="54">
                  <c:v>771.37458171173523</c:v>
                </c:pt>
                <c:pt idx="55">
                  <c:v>770.81843785745866</c:v>
                </c:pt>
                <c:pt idx="56">
                  <c:v>770.26229400318255</c:v>
                </c:pt>
                <c:pt idx="57">
                  <c:v>769.70615014890609</c:v>
                </c:pt>
                <c:pt idx="58">
                  <c:v>769.15000629462975</c:v>
                </c:pt>
                <c:pt idx="59">
                  <c:v>768.5938624403534</c:v>
                </c:pt>
                <c:pt idx="60">
                  <c:v>768.03771858607706</c:v>
                </c:pt>
                <c:pt idx="61">
                  <c:v>767.48157473180072</c:v>
                </c:pt>
                <c:pt idx="62">
                  <c:v>766.92543087752426</c:v>
                </c:pt>
                <c:pt idx="63">
                  <c:v>766.36928702324792</c:v>
                </c:pt>
                <c:pt idx="64">
                  <c:v>765.81314316897158</c:v>
                </c:pt>
                <c:pt idx="65">
                  <c:v>765.25699931469512</c:v>
                </c:pt>
                <c:pt idx="66">
                  <c:v>764.70085546041889</c:v>
                </c:pt>
                <c:pt idx="67">
                  <c:v>764.14471160614244</c:v>
                </c:pt>
                <c:pt idx="68">
                  <c:v>763.58856775186609</c:v>
                </c:pt>
                <c:pt idx="69">
                  <c:v>740.01159056425627</c:v>
                </c:pt>
                <c:pt idx="70">
                  <c:v>739.45544670997992</c:v>
                </c:pt>
                <c:pt idx="71">
                  <c:v>738.89930285570358</c:v>
                </c:pt>
                <c:pt idx="72">
                  <c:v>738.34315900142713</c:v>
                </c:pt>
                <c:pt idx="73">
                  <c:v>737.7870151471509</c:v>
                </c:pt>
                <c:pt idx="74">
                  <c:v>737.23087129287444</c:v>
                </c:pt>
                <c:pt idx="75">
                  <c:v>736.67472743859821</c:v>
                </c:pt>
                <c:pt idx="76">
                  <c:v>736.11858358432175</c:v>
                </c:pt>
                <c:pt idx="77">
                  <c:v>735.5624397300453</c:v>
                </c:pt>
                <c:pt idx="78">
                  <c:v>735.00629587576907</c:v>
                </c:pt>
                <c:pt idx="79">
                  <c:v>734.45015202149261</c:v>
                </c:pt>
                <c:pt idx="80">
                  <c:v>733.89400816721627</c:v>
                </c:pt>
                <c:pt idx="81">
                  <c:v>733.33786431293993</c:v>
                </c:pt>
                <c:pt idx="82">
                  <c:v>732.78172045866347</c:v>
                </c:pt>
                <c:pt idx="83">
                  <c:v>732.22557660438736</c:v>
                </c:pt>
                <c:pt idx="84">
                  <c:v>731.66943275011079</c:v>
                </c:pt>
                <c:pt idx="85">
                  <c:v>731.11328889583456</c:v>
                </c:pt>
                <c:pt idx="86">
                  <c:v>730.55714504155821</c:v>
                </c:pt>
                <c:pt idx="87">
                  <c:v>730.00100118728164</c:v>
                </c:pt>
                <c:pt idx="88">
                  <c:v>729.44485733300553</c:v>
                </c:pt>
                <c:pt idx="89">
                  <c:v>728.88871347872907</c:v>
                </c:pt>
                <c:pt idx="90">
                  <c:v>705.31173629111913</c:v>
                </c:pt>
                <c:pt idx="91">
                  <c:v>704.75559243684279</c:v>
                </c:pt>
                <c:pt idx="92">
                  <c:v>704.19944858256656</c:v>
                </c:pt>
                <c:pt idx="93">
                  <c:v>703.64330472829022</c:v>
                </c:pt>
                <c:pt idx="94">
                  <c:v>703.08716087401365</c:v>
                </c:pt>
                <c:pt idx="95">
                  <c:v>702.53101701973742</c:v>
                </c:pt>
                <c:pt idx="96">
                  <c:v>701.97487316546108</c:v>
                </c:pt>
                <c:pt idx="97">
                  <c:v>701.41872931118473</c:v>
                </c:pt>
                <c:pt idx="98">
                  <c:v>700.86258545690839</c:v>
                </c:pt>
                <c:pt idx="99">
                  <c:v>700.30644160263193</c:v>
                </c:pt>
                <c:pt idx="100">
                  <c:v>699.75029774835559</c:v>
                </c:pt>
                <c:pt idx="101">
                  <c:v>668.38730660087663</c:v>
                </c:pt>
                <c:pt idx="102">
                  <c:v>660.04514878673115</c:v>
                </c:pt>
                <c:pt idx="103">
                  <c:v>628.6821576392523</c:v>
                </c:pt>
                <c:pt idx="104">
                  <c:v>620.33999982510682</c:v>
                </c:pt>
                <c:pt idx="105">
                  <c:v>588.97700867762785</c:v>
                </c:pt>
                <c:pt idx="106">
                  <c:v>580.63485086348248</c:v>
                </c:pt>
                <c:pt idx="107">
                  <c:v>549.27185971600352</c:v>
                </c:pt>
                <c:pt idx="108">
                  <c:v>540.92970190185815</c:v>
                </c:pt>
                <c:pt idx="109">
                  <c:v>532.58754408771267</c:v>
                </c:pt>
                <c:pt idx="110">
                  <c:v>501.22455294023376</c:v>
                </c:pt>
                <c:pt idx="111">
                  <c:v>492.88239512608834</c:v>
                </c:pt>
                <c:pt idx="112">
                  <c:v>461.51940397860926</c:v>
                </c:pt>
                <c:pt idx="113">
                  <c:v>453.17724616446384</c:v>
                </c:pt>
                <c:pt idx="114">
                  <c:v>444.83508835031853</c:v>
                </c:pt>
                <c:pt idx="115">
                  <c:v>436.49293053617305</c:v>
                </c:pt>
                <c:pt idx="116">
                  <c:v>405.1299393886942</c:v>
                </c:pt>
                <c:pt idx="117">
                  <c:v>396.78778157454883</c:v>
                </c:pt>
                <c:pt idx="118">
                  <c:v>388.44562376040341</c:v>
                </c:pt>
                <c:pt idx="119">
                  <c:v>357.0826326129245</c:v>
                </c:pt>
                <c:pt idx="120">
                  <c:v>348.74047479877908</c:v>
                </c:pt>
                <c:pt idx="121">
                  <c:v>340.39831698463365</c:v>
                </c:pt>
                <c:pt idx="122">
                  <c:v>332.05615917048817</c:v>
                </c:pt>
                <c:pt idx="123">
                  <c:v>323.71400135634281</c:v>
                </c:pt>
                <c:pt idx="124">
                  <c:v>292.3510102088639</c:v>
                </c:pt>
                <c:pt idx="125">
                  <c:v>284.00885239471853</c:v>
                </c:pt>
                <c:pt idx="126">
                  <c:v>275.66669458057311</c:v>
                </c:pt>
                <c:pt idx="127">
                  <c:v>270.08122792037381</c:v>
                </c:pt>
                <c:pt idx="128">
                  <c:v>267.74751446485743</c:v>
                </c:pt>
                <c:pt idx="129">
                  <c:v>242.40053309814073</c:v>
                </c:pt>
                <c:pt idx="130">
                  <c:v>240.47403381642349</c:v>
                </c:pt>
                <c:pt idx="131">
                  <c:v>238.4467303878215</c:v>
                </c:pt>
                <c:pt idx="132">
                  <c:v>236.31862281233478</c:v>
                </c:pt>
                <c:pt idx="133">
                  <c:v>234.08971108996332</c:v>
                </c:pt>
                <c:pt idx="134">
                  <c:v>231.75999522070714</c:v>
                </c:pt>
                <c:pt idx="135">
                  <c:v>229.32947520456622</c:v>
                </c:pt>
                <c:pt idx="136">
                  <c:v>201.17239621062228</c:v>
                </c:pt>
                <c:pt idx="137">
                  <c:v>198.27720932583262</c:v>
                </c:pt>
                <c:pt idx="138">
                  <c:v>195.28121829415821</c:v>
                </c:pt>
                <c:pt idx="139">
                  <c:v>192.18442311559897</c:v>
                </c:pt>
                <c:pt idx="140">
                  <c:v>188.98682379015503</c:v>
                </c:pt>
                <c:pt idx="141">
                  <c:v>185.68842031782631</c:v>
                </c:pt>
                <c:pt idx="142">
                  <c:v>182.28921269861283</c:v>
                </c:pt>
                <c:pt idx="143">
                  <c:v>178.78920093251466</c:v>
                </c:pt>
                <c:pt idx="144">
                  <c:v>147.45816158957973</c:v>
                </c:pt>
                <c:pt idx="145">
                  <c:v>143.4934829548329</c:v>
                </c:pt>
                <c:pt idx="146">
                  <c:v>139.42800017320107</c:v>
                </c:pt>
                <c:pt idx="147">
                  <c:v>135.26171324468473</c:v>
                </c:pt>
                <c:pt idx="148">
                  <c:v>130.99462216928345</c:v>
                </c:pt>
                <c:pt idx="149">
                  <c:v>126.62672694699755</c:v>
                </c:pt>
                <c:pt idx="150">
                  <c:v>122.15802757782673</c:v>
                </c:pt>
                <c:pt idx="151">
                  <c:v>117.95804127783263</c:v>
                </c:pt>
                <c:pt idx="152">
                  <c:v>116.8947956820916</c:v>
                </c:pt>
                <c:pt idx="153">
                  <c:v>115.6689325800377</c:v>
                </c:pt>
                <c:pt idx="154">
                  <c:v>83.536977209892498</c:v>
                </c:pt>
                <c:pt idx="155">
                  <c:v>81.454561764667062</c:v>
                </c:pt>
                <c:pt idx="156">
                  <c:v>79.3239356404967</c:v>
                </c:pt>
                <c:pt idx="157">
                  <c:v>77.145098837381653</c:v>
                </c:pt>
                <c:pt idx="158">
                  <c:v>74.918051355321722</c:v>
                </c:pt>
                <c:pt idx="159">
                  <c:v>72.642793194316866</c:v>
                </c:pt>
                <c:pt idx="160">
                  <c:v>70.178064160806699</c:v>
                </c:pt>
                <c:pt idx="161">
                  <c:v>67.257202538877777</c:v>
                </c:pt>
                <c:pt idx="162">
                  <c:v>64.3363409169487</c:v>
                </c:pt>
                <c:pt idx="163">
                  <c:v>61.415479295019566</c:v>
                </c:pt>
                <c:pt idx="164">
                  <c:v>58.494617673090637</c:v>
                </c:pt>
                <c:pt idx="165">
                  <c:v>55.573756051161716</c:v>
                </c:pt>
                <c:pt idx="166">
                  <c:v>52.652894429232845</c:v>
                </c:pt>
                <c:pt idx="167">
                  <c:v>49.732032807303817</c:v>
                </c:pt>
                <c:pt idx="168">
                  <c:v>14.936171185374414</c:v>
                </c:pt>
                <c:pt idx="169">
                  <c:v>12.015309563445337</c:v>
                </c:pt>
                <c:pt idx="170">
                  <c:v>9.0944479415164636</c:v>
                </c:pt>
                <c:pt idx="171">
                  <c:v>6.1735863195874883</c:v>
                </c:pt>
                <c:pt idx="172">
                  <c:v>3.2527246976585134</c:v>
                </c:pt>
                <c:pt idx="173">
                  <c:v>0.33186307572933343</c:v>
                </c:pt>
                <c:pt idx="174">
                  <c:v>-2.5889985461996416</c:v>
                </c:pt>
                <c:pt idx="175">
                  <c:v>-5.5098601681284123</c:v>
                </c:pt>
                <c:pt idx="176">
                  <c:v>-8.430721790057337</c:v>
                </c:pt>
                <c:pt idx="177">
                  <c:v>-11.351583411986388</c:v>
                </c:pt>
                <c:pt idx="178">
                  <c:v>-14.272445033915261</c:v>
                </c:pt>
                <c:pt idx="179">
                  <c:v>-17.193306655844417</c:v>
                </c:pt>
                <c:pt idx="180">
                  <c:v>-20.114168277773494</c:v>
                </c:pt>
                <c:pt idx="181">
                  <c:v>-23.035029899702419</c:v>
                </c:pt>
                <c:pt idx="182">
                  <c:v>-25.955891521631496</c:v>
                </c:pt>
                <c:pt idx="183">
                  <c:v>-28.87675314356029</c:v>
                </c:pt>
                <c:pt idx="184">
                  <c:v>-31.797614765489495</c:v>
                </c:pt>
                <c:pt idx="185">
                  <c:v>-34.71847638741842</c:v>
                </c:pt>
                <c:pt idx="186">
                  <c:v>-37.63933800934732</c:v>
                </c:pt>
                <c:pt idx="187">
                  <c:v>-40.560199631276269</c:v>
                </c:pt>
                <c:pt idx="188">
                  <c:v>-75.356061253205624</c:v>
                </c:pt>
                <c:pt idx="189">
                  <c:v>-78.276922875134545</c:v>
                </c:pt>
                <c:pt idx="190">
                  <c:v>-81.197784497063623</c:v>
                </c:pt>
                <c:pt idx="191">
                  <c:v>-84.118646118992856</c:v>
                </c:pt>
                <c:pt idx="192">
                  <c:v>-87.039507740921934</c:v>
                </c:pt>
                <c:pt idx="193">
                  <c:v>-89.960369362850656</c:v>
                </c:pt>
                <c:pt idx="194">
                  <c:v>-92.88123098477962</c:v>
                </c:pt>
                <c:pt idx="195">
                  <c:v>-95.802092606708598</c:v>
                </c:pt>
                <c:pt idx="196">
                  <c:v>-98.722954228637633</c:v>
                </c:pt>
                <c:pt idx="197">
                  <c:v>-101.6438158505664</c:v>
                </c:pt>
                <c:pt idx="198">
                  <c:v>-104.56467747249563</c:v>
                </c:pt>
                <c:pt idx="199">
                  <c:v>-107.4855390944244</c:v>
                </c:pt>
                <c:pt idx="200">
                  <c:v>-110.40640071635332</c:v>
                </c:pt>
                <c:pt idx="201">
                  <c:v>-133.38384547552849</c:v>
                </c:pt>
                <c:pt idx="202">
                  <c:v>-138.90692926971533</c:v>
                </c:pt>
                <c:pt idx="203">
                  <c:v>-176.00407580589172</c:v>
                </c:pt>
                <c:pt idx="204">
                  <c:v>-181.2262223420681</c:v>
                </c:pt>
                <c:pt idx="205">
                  <c:v>-186.44836887824451</c:v>
                </c:pt>
                <c:pt idx="206">
                  <c:v>-191.67051541442072</c:v>
                </c:pt>
                <c:pt idx="207">
                  <c:v>-196.89266195059713</c:v>
                </c:pt>
                <c:pt idx="208">
                  <c:v>-202.11480848677351</c:v>
                </c:pt>
                <c:pt idx="209">
                  <c:v>-239.21195502294992</c:v>
                </c:pt>
                <c:pt idx="210">
                  <c:v>-244.4341015591263</c:v>
                </c:pt>
                <c:pt idx="211">
                  <c:v>-249.65624809530269</c:v>
                </c:pt>
                <c:pt idx="212">
                  <c:v>-254.87839463147907</c:v>
                </c:pt>
                <c:pt idx="213">
                  <c:v>-260.10054116765531</c:v>
                </c:pt>
                <c:pt idx="214">
                  <c:v>-265.322687703832</c:v>
                </c:pt>
                <c:pt idx="215">
                  <c:v>-270.54483424000824</c:v>
                </c:pt>
                <c:pt idx="216">
                  <c:v>-275.76698077618465</c:v>
                </c:pt>
                <c:pt idx="217">
                  <c:v>-280.98912731236084</c:v>
                </c:pt>
                <c:pt idx="218">
                  <c:v>-286.21127384853725</c:v>
                </c:pt>
                <c:pt idx="219">
                  <c:v>-291.43342038471349</c:v>
                </c:pt>
                <c:pt idx="220">
                  <c:v>-296.65556692089018</c:v>
                </c:pt>
                <c:pt idx="221">
                  <c:v>-333.75271345706642</c:v>
                </c:pt>
                <c:pt idx="222">
                  <c:v>-338.97485999324272</c:v>
                </c:pt>
                <c:pt idx="223">
                  <c:v>-344.19700652941918</c:v>
                </c:pt>
                <c:pt idx="224">
                  <c:v>-349.41915306559548</c:v>
                </c:pt>
                <c:pt idx="225">
                  <c:v>-354.64129960177189</c:v>
                </c:pt>
                <c:pt idx="226">
                  <c:v>-359.86344613794807</c:v>
                </c:pt>
                <c:pt idx="227">
                  <c:v>-365.08559267412465</c:v>
                </c:pt>
                <c:pt idx="228">
                  <c:v>-370.30773921030107</c:v>
                </c:pt>
                <c:pt idx="229">
                  <c:v>-375.52988574647725</c:v>
                </c:pt>
                <c:pt idx="230">
                  <c:v>-380.75203228265383</c:v>
                </c:pt>
                <c:pt idx="231">
                  <c:v>-385.97417881883001</c:v>
                </c:pt>
                <c:pt idx="232">
                  <c:v>-391.19632535500631</c:v>
                </c:pt>
                <c:pt idx="233">
                  <c:v>-396.41847189118278</c:v>
                </c:pt>
                <c:pt idx="234">
                  <c:v>-401.64061842735919</c:v>
                </c:pt>
                <c:pt idx="235">
                  <c:v>-406.86276496353537</c:v>
                </c:pt>
                <c:pt idx="236">
                  <c:v>-412.08491149971172</c:v>
                </c:pt>
                <c:pt idx="237">
                  <c:v>-417.30705803588853</c:v>
                </c:pt>
                <c:pt idx="238">
                  <c:v>-422.5292045720646</c:v>
                </c:pt>
                <c:pt idx="239">
                  <c:v>-427.75135110824112</c:v>
                </c:pt>
                <c:pt idx="240">
                  <c:v>-432.97349764441748</c:v>
                </c:pt>
                <c:pt idx="241">
                  <c:v>-438.195644180594</c:v>
                </c:pt>
                <c:pt idx="242">
                  <c:v>-443.41779071677036</c:v>
                </c:pt>
                <c:pt idx="243">
                  <c:v>-448.63993725294654</c:v>
                </c:pt>
                <c:pt idx="244">
                  <c:v>-449.25951396059855</c:v>
                </c:pt>
                <c:pt idx="245">
                  <c:v>-449.25951396059855</c:v>
                </c:pt>
                <c:pt idx="246">
                  <c:v>-449.25951396059855</c:v>
                </c:pt>
                <c:pt idx="247">
                  <c:v>-449.25951396059855</c:v>
                </c:pt>
                <c:pt idx="248">
                  <c:v>-449.25951396059855</c:v>
                </c:pt>
                <c:pt idx="249">
                  <c:v>-449.25951396059855</c:v>
                </c:pt>
                <c:pt idx="250">
                  <c:v>-449.25951396059855</c:v>
                </c:pt>
                <c:pt idx="251">
                  <c:v>-449.25951396059855</c:v>
                </c:pt>
                <c:pt idx="252">
                  <c:v>-449.25951396059855</c:v>
                </c:pt>
                <c:pt idx="253">
                  <c:v>-449.25951396059855</c:v>
                </c:pt>
                <c:pt idx="254">
                  <c:v>-449.25951396059855</c:v>
                </c:pt>
                <c:pt idx="255">
                  <c:v>-449.25951396059855</c:v>
                </c:pt>
                <c:pt idx="256">
                  <c:v>-449.25951396059855</c:v>
                </c:pt>
                <c:pt idx="257">
                  <c:v>-449.25951396059855</c:v>
                </c:pt>
                <c:pt idx="258">
                  <c:v>-449.25951396059855</c:v>
                </c:pt>
                <c:pt idx="259">
                  <c:v>-481.1345139605985</c:v>
                </c:pt>
                <c:pt idx="260">
                  <c:v>-481.1345139605985</c:v>
                </c:pt>
                <c:pt idx="261">
                  <c:v>-481.1345139605985</c:v>
                </c:pt>
                <c:pt idx="262">
                  <c:v>-481.1345139605985</c:v>
                </c:pt>
                <c:pt idx="263">
                  <c:v>-481.1345139605985</c:v>
                </c:pt>
                <c:pt idx="264">
                  <c:v>-481.1345139605985</c:v>
                </c:pt>
                <c:pt idx="265">
                  <c:v>-481.1345139605985</c:v>
                </c:pt>
                <c:pt idx="266">
                  <c:v>-481.1345139605985</c:v>
                </c:pt>
                <c:pt idx="267">
                  <c:v>-481.1345139605985</c:v>
                </c:pt>
                <c:pt idx="268">
                  <c:v>-481.1345139605985</c:v>
                </c:pt>
                <c:pt idx="269">
                  <c:v>-481.1345139605985</c:v>
                </c:pt>
                <c:pt idx="270">
                  <c:v>-481.1345139605985</c:v>
                </c:pt>
                <c:pt idx="271">
                  <c:v>-481.1345139605985</c:v>
                </c:pt>
                <c:pt idx="272">
                  <c:v>-481.1345139605985</c:v>
                </c:pt>
                <c:pt idx="273">
                  <c:v>-481.1345139605985</c:v>
                </c:pt>
                <c:pt idx="274">
                  <c:v>-481.1345139605985</c:v>
                </c:pt>
                <c:pt idx="275">
                  <c:v>-481.1345139605985</c:v>
                </c:pt>
                <c:pt idx="276">
                  <c:v>-481.1345139605985</c:v>
                </c:pt>
                <c:pt idx="277">
                  <c:v>-481.1345139605985</c:v>
                </c:pt>
                <c:pt idx="278">
                  <c:v>-481.1345139605985</c:v>
                </c:pt>
                <c:pt idx="279">
                  <c:v>-481.1345139605985</c:v>
                </c:pt>
                <c:pt idx="280">
                  <c:v>-481.1345139605985</c:v>
                </c:pt>
                <c:pt idx="281">
                  <c:v>-481.1345139605985</c:v>
                </c:pt>
                <c:pt idx="282">
                  <c:v>-481.1345139605985</c:v>
                </c:pt>
                <c:pt idx="283">
                  <c:v>-481.1345139605985</c:v>
                </c:pt>
                <c:pt idx="284">
                  <c:v>-481.1345139605985</c:v>
                </c:pt>
                <c:pt idx="285">
                  <c:v>-481.1345139605985</c:v>
                </c:pt>
                <c:pt idx="286">
                  <c:v>-481.1345139605985</c:v>
                </c:pt>
                <c:pt idx="287">
                  <c:v>-481.1345139605985</c:v>
                </c:pt>
                <c:pt idx="288">
                  <c:v>-481.1345139605985</c:v>
                </c:pt>
                <c:pt idx="289">
                  <c:v>-481.1345139605985</c:v>
                </c:pt>
                <c:pt idx="290">
                  <c:v>-481.1345139605985</c:v>
                </c:pt>
                <c:pt idx="291">
                  <c:v>-481.1345139605985</c:v>
                </c:pt>
                <c:pt idx="292">
                  <c:v>-513.00951396059895</c:v>
                </c:pt>
                <c:pt idx="293">
                  <c:v>-513.00951396059895</c:v>
                </c:pt>
                <c:pt idx="294">
                  <c:v>-513.00951396059895</c:v>
                </c:pt>
                <c:pt idx="295">
                  <c:v>-513.00951396059895</c:v>
                </c:pt>
                <c:pt idx="296">
                  <c:v>-513.00951396059895</c:v>
                </c:pt>
                <c:pt idx="297">
                  <c:v>-513.00951396059895</c:v>
                </c:pt>
                <c:pt idx="298">
                  <c:v>-513.00951396059895</c:v>
                </c:pt>
                <c:pt idx="299">
                  <c:v>-513.00951396059895</c:v>
                </c:pt>
                <c:pt idx="300">
                  <c:v>-513.00951396059895</c:v>
                </c:pt>
                <c:pt idx="301">
                  <c:v>-513.00951396059895</c:v>
                </c:pt>
                <c:pt idx="302">
                  <c:v>-513.00951396059895</c:v>
                </c:pt>
                <c:pt idx="303">
                  <c:v>-513.00951396059895</c:v>
                </c:pt>
                <c:pt idx="304">
                  <c:v>-513.00951396059895</c:v>
                </c:pt>
                <c:pt idx="305">
                  <c:v>-513.00951396059895</c:v>
                </c:pt>
                <c:pt idx="306">
                  <c:v>-513.00951396059895</c:v>
                </c:pt>
                <c:pt idx="307">
                  <c:v>-513.00951396059895</c:v>
                </c:pt>
                <c:pt idx="308">
                  <c:v>-513.00951396059895</c:v>
                </c:pt>
                <c:pt idx="309">
                  <c:v>-513.00951396059895</c:v>
                </c:pt>
                <c:pt idx="310">
                  <c:v>-513.00951396059895</c:v>
                </c:pt>
                <c:pt idx="311">
                  <c:v>-513.00951396059895</c:v>
                </c:pt>
                <c:pt idx="312">
                  <c:v>-513.00951396059895</c:v>
                </c:pt>
                <c:pt idx="313">
                  <c:v>-513.00951396059895</c:v>
                </c:pt>
                <c:pt idx="314">
                  <c:v>-513.00951396059895</c:v>
                </c:pt>
                <c:pt idx="315">
                  <c:v>-513.00951396059895</c:v>
                </c:pt>
                <c:pt idx="316">
                  <c:v>-513.00951396059895</c:v>
                </c:pt>
                <c:pt idx="317">
                  <c:v>-513.00951396059895</c:v>
                </c:pt>
                <c:pt idx="318">
                  <c:v>-513.00951396059895</c:v>
                </c:pt>
                <c:pt idx="319">
                  <c:v>-513.00951396059895</c:v>
                </c:pt>
                <c:pt idx="320">
                  <c:v>-513.00951396059895</c:v>
                </c:pt>
                <c:pt idx="321">
                  <c:v>-513.00951396059895</c:v>
                </c:pt>
                <c:pt idx="322">
                  <c:v>-513.00951396059895</c:v>
                </c:pt>
                <c:pt idx="323">
                  <c:v>-513.00951396059895</c:v>
                </c:pt>
                <c:pt idx="324">
                  <c:v>-513.00951396059895</c:v>
                </c:pt>
                <c:pt idx="325">
                  <c:v>-513.00951396059895</c:v>
                </c:pt>
                <c:pt idx="326">
                  <c:v>-513.00951396059895</c:v>
                </c:pt>
                <c:pt idx="327">
                  <c:v>-513.00951396059895</c:v>
                </c:pt>
                <c:pt idx="328">
                  <c:v>-513.00951396059895</c:v>
                </c:pt>
                <c:pt idx="329">
                  <c:v>-513.00951396059895</c:v>
                </c:pt>
                <c:pt idx="330">
                  <c:v>-513.00951396059895</c:v>
                </c:pt>
                <c:pt idx="331">
                  <c:v>-513.00951396059895</c:v>
                </c:pt>
                <c:pt idx="332">
                  <c:v>-513.00951396059895</c:v>
                </c:pt>
                <c:pt idx="333">
                  <c:v>-513.00951396059895</c:v>
                </c:pt>
                <c:pt idx="334">
                  <c:v>-513.00951396059895</c:v>
                </c:pt>
                <c:pt idx="335">
                  <c:v>-513.00951396059895</c:v>
                </c:pt>
                <c:pt idx="336">
                  <c:v>-513.00951396059895</c:v>
                </c:pt>
                <c:pt idx="337">
                  <c:v>-513.00951396059895</c:v>
                </c:pt>
                <c:pt idx="338">
                  <c:v>-513.00951396059895</c:v>
                </c:pt>
                <c:pt idx="339">
                  <c:v>-513.00951396059895</c:v>
                </c:pt>
                <c:pt idx="340">
                  <c:v>-513.00951396059895</c:v>
                </c:pt>
                <c:pt idx="341">
                  <c:v>-513.00951396059895</c:v>
                </c:pt>
                <c:pt idx="342">
                  <c:v>-513.00951396059895</c:v>
                </c:pt>
                <c:pt idx="343">
                  <c:v>-513.00951396059895</c:v>
                </c:pt>
                <c:pt idx="344">
                  <c:v>-513.00951396059895</c:v>
                </c:pt>
                <c:pt idx="345">
                  <c:v>-513.00951396059895</c:v>
                </c:pt>
                <c:pt idx="346">
                  <c:v>-513.00951396059895</c:v>
                </c:pt>
                <c:pt idx="347">
                  <c:v>-513.00951396059895</c:v>
                </c:pt>
                <c:pt idx="348">
                  <c:v>-513.00951396059895</c:v>
                </c:pt>
                <c:pt idx="349">
                  <c:v>-513.00951396059895</c:v>
                </c:pt>
                <c:pt idx="350">
                  <c:v>923.00687119377005</c:v>
                </c:pt>
                <c:pt idx="351">
                  <c:v>923.00687119377005</c:v>
                </c:pt>
                <c:pt idx="352">
                  <c:v>923.00687119377005</c:v>
                </c:pt>
                <c:pt idx="353">
                  <c:v>923.00687119377005</c:v>
                </c:pt>
                <c:pt idx="354">
                  <c:v>923.00687119377005</c:v>
                </c:pt>
                <c:pt idx="355">
                  <c:v>923.00687119377005</c:v>
                </c:pt>
                <c:pt idx="356">
                  <c:v>923.00687119377005</c:v>
                </c:pt>
                <c:pt idx="357">
                  <c:v>923.00687119377005</c:v>
                </c:pt>
                <c:pt idx="358">
                  <c:v>923.00687119377005</c:v>
                </c:pt>
                <c:pt idx="359">
                  <c:v>923.00687119377005</c:v>
                </c:pt>
                <c:pt idx="360">
                  <c:v>923.00687119377005</c:v>
                </c:pt>
                <c:pt idx="361">
                  <c:v>919.45905695097304</c:v>
                </c:pt>
                <c:pt idx="362">
                  <c:v>915.52769522246786</c:v>
                </c:pt>
                <c:pt idx="363">
                  <c:v>911.59633349396267</c:v>
                </c:pt>
                <c:pt idx="364">
                  <c:v>907.66497176545727</c:v>
                </c:pt>
                <c:pt idx="365">
                  <c:v>901.71998573698647</c:v>
                </c:pt>
                <c:pt idx="366">
                  <c:v>895.00790473709958</c:v>
                </c:pt>
                <c:pt idx="367">
                  <c:v>888.29582373721257</c:v>
                </c:pt>
                <c:pt idx="368">
                  <c:v>881.58374273732557</c:v>
                </c:pt>
                <c:pt idx="369">
                  <c:v>874.87166173743879</c:v>
                </c:pt>
                <c:pt idx="370">
                  <c:v>868.15958073755166</c:v>
                </c:pt>
                <c:pt idx="371">
                  <c:v>861.44749973766466</c:v>
                </c:pt>
                <c:pt idx="372">
                  <c:v>854.73541873777765</c:v>
                </c:pt>
                <c:pt idx="373">
                  <c:v>848.02333773789064</c:v>
                </c:pt>
                <c:pt idx="374">
                  <c:v>841.31125673800364</c:v>
                </c:pt>
                <c:pt idx="375">
                  <c:v>833.54442015242057</c:v>
                </c:pt>
                <c:pt idx="376">
                  <c:v>832.98827629814446</c:v>
                </c:pt>
                <c:pt idx="377">
                  <c:v>832.43213244386811</c:v>
                </c:pt>
                <c:pt idx="378">
                  <c:v>831.87598858959154</c:v>
                </c:pt>
                <c:pt idx="379">
                  <c:v>831.31984473531531</c:v>
                </c:pt>
                <c:pt idx="380">
                  <c:v>830.76370088103897</c:v>
                </c:pt>
                <c:pt idx="381">
                  <c:v>830.2075570267624</c:v>
                </c:pt>
                <c:pt idx="382">
                  <c:v>829.65141317248629</c:v>
                </c:pt>
                <c:pt idx="383">
                  <c:v>806.07443598487623</c:v>
                </c:pt>
                <c:pt idx="384">
                  <c:v>805.51829213059978</c:v>
                </c:pt>
                <c:pt idx="385">
                  <c:v>804.96214827632343</c:v>
                </c:pt>
                <c:pt idx="386">
                  <c:v>804.40600442204709</c:v>
                </c:pt>
                <c:pt idx="387">
                  <c:v>803.84986056777063</c:v>
                </c:pt>
                <c:pt idx="388">
                  <c:v>803.2937167134944</c:v>
                </c:pt>
                <c:pt idx="389">
                  <c:v>802.73757285921818</c:v>
                </c:pt>
                <c:pt idx="390">
                  <c:v>802.18142900494183</c:v>
                </c:pt>
                <c:pt idx="391">
                  <c:v>801.62528515066526</c:v>
                </c:pt>
                <c:pt idx="392">
                  <c:v>801.06914129638903</c:v>
                </c:pt>
                <c:pt idx="393">
                  <c:v>800.51299744211269</c:v>
                </c:pt>
                <c:pt idx="394">
                  <c:v>799.95685358783646</c:v>
                </c:pt>
                <c:pt idx="395">
                  <c:v>799.40070973356001</c:v>
                </c:pt>
                <c:pt idx="396">
                  <c:v>798.84456587928366</c:v>
                </c:pt>
                <c:pt idx="397">
                  <c:v>798.28842202500721</c:v>
                </c:pt>
                <c:pt idx="398">
                  <c:v>797.73227817073086</c:v>
                </c:pt>
                <c:pt idx="399">
                  <c:v>797.17613431645464</c:v>
                </c:pt>
                <c:pt idx="400">
                  <c:v>773.59915712884481</c:v>
                </c:pt>
                <c:pt idx="401">
                  <c:v>773.04301327456847</c:v>
                </c:pt>
                <c:pt idx="402">
                  <c:v>772.48686942029201</c:v>
                </c:pt>
                <c:pt idx="403">
                  <c:v>771.93072556601567</c:v>
                </c:pt>
                <c:pt idx="404">
                  <c:v>771.37458171173932</c:v>
                </c:pt>
                <c:pt idx="405">
                  <c:v>770.81843785746287</c:v>
                </c:pt>
                <c:pt idx="406">
                  <c:v>770.26229400318664</c:v>
                </c:pt>
                <c:pt idx="407">
                  <c:v>769.7061501489103</c:v>
                </c:pt>
                <c:pt idx="408">
                  <c:v>769.15000629463395</c:v>
                </c:pt>
                <c:pt idx="409">
                  <c:v>768.5938624403575</c:v>
                </c:pt>
                <c:pt idx="410">
                  <c:v>768.03771858608116</c:v>
                </c:pt>
                <c:pt idx="411">
                  <c:v>767.4815747318047</c:v>
                </c:pt>
                <c:pt idx="412">
                  <c:v>766.92543087752858</c:v>
                </c:pt>
                <c:pt idx="413">
                  <c:v>766.36928702325224</c:v>
                </c:pt>
                <c:pt idx="414">
                  <c:v>765.81314316897567</c:v>
                </c:pt>
                <c:pt idx="415">
                  <c:v>765.25699931469956</c:v>
                </c:pt>
                <c:pt idx="416">
                  <c:v>764.7008554604231</c:v>
                </c:pt>
                <c:pt idx="417">
                  <c:v>764.14471160614676</c:v>
                </c:pt>
                <c:pt idx="418">
                  <c:v>763.58856775187041</c:v>
                </c:pt>
                <c:pt idx="419">
                  <c:v>740.01159056426059</c:v>
                </c:pt>
                <c:pt idx="420">
                  <c:v>739.45544670998424</c:v>
                </c:pt>
                <c:pt idx="421">
                  <c:v>738.89930285570767</c:v>
                </c:pt>
                <c:pt idx="422">
                  <c:v>738.34315900143156</c:v>
                </c:pt>
                <c:pt idx="423">
                  <c:v>737.7870151471551</c:v>
                </c:pt>
                <c:pt idx="424">
                  <c:v>737.23087129287887</c:v>
                </c:pt>
                <c:pt idx="425">
                  <c:v>736.67472743860242</c:v>
                </c:pt>
                <c:pt idx="426">
                  <c:v>736.11858358432607</c:v>
                </c:pt>
                <c:pt idx="427">
                  <c:v>735.56243973004973</c:v>
                </c:pt>
                <c:pt idx="428">
                  <c:v>735.00629587577328</c:v>
                </c:pt>
                <c:pt idx="429">
                  <c:v>734.45015202149693</c:v>
                </c:pt>
                <c:pt idx="430">
                  <c:v>733.8940081672207</c:v>
                </c:pt>
                <c:pt idx="431">
                  <c:v>733.33786431294425</c:v>
                </c:pt>
                <c:pt idx="432">
                  <c:v>732.78172045866791</c:v>
                </c:pt>
                <c:pt idx="433">
                  <c:v>732.22557660439156</c:v>
                </c:pt>
                <c:pt idx="434">
                  <c:v>731.66943275011522</c:v>
                </c:pt>
                <c:pt idx="435">
                  <c:v>731.11328889583876</c:v>
                </c:pt>
                <c:pt idx="436">
                  <c:v>730.55714504156242</c:v>
                </c:pt>
                <c:pt idx="437">
                  <c:v>730.00100118728608</c:v>
                </c:pt>
                <c:pt idx="438">
                  <c:v>729.44485733300996</c:v>
                </c:pt>
                <c:pt idx="439">
                  <c:v>728.88871347873351</c:v>
                </c:pt>
                <c:pt idx="440">
                  <c:v>705.31173629112379</c:v>
                </c:pt>
                <c:pt idx="441">
                  <c:v>704.75559243684745</c:v>
                </c:pt>
                <c:pt idx="442">
                  <c:v>704.19944858257099</c:v>
                </c:pt>
                <c:pt idx="443">
                  <c:v>703.64330472829465</c:v>
                </c:pt>
                <c:pt idx="444">
                  <c:v>703.08716087401831</c:v>
                </c:pt>
                <c:pt idx="445">
                  <c:v>702.53101701974197</c:v>
                </c:pt>
                <c:pt idx="446">
                  <c:v>701.97487316546562</c:v>
                </c:pt>
                <c:pt idx="447">
                  <c:v>701.41872931118928</c:v>
                </c:pt>
                <c:pt idx="448">
                  <c:v>700.86258545691294</c:v>
                </c:pt>
                <c:pt idx="449">
                  <c:v>700.3064416026366</c:v>
                </c:pt>
                <c:pt idx="450">
                  <c:v>699.75029774836014</c:v>
                </c:pt>
                <c:pt idx="451">
                  <c:v>668.38730660088117</c:v>
                </c:pt>
                <c:pt idx="452">
                  <c:v>660.04514878673604</c:v>
                </c:pt>
                <c:pt idx="453">
                  <c:v>628.68215763925718</c:v>
                </c:pt>
                <c:pt idx="454">
                  <c:v>620.33999982511205</c:v>
                </c:pt>
                <c:pt idx="455">
                  <c:v>588.97700867763308</c:v>
                </c:pt>
                <c:pt idx="456">
                  <c:v>580.63485086348794</c:v>
                </c:pt>
                <c:pt idx="457">
                  <c:v>549.2718597160092</c:v>
                </c:pt>
                <c:pt idx="458">
                  <c:v>540.92970190186395</c:v>
                </c:pt>
                <c:pt idx="459">
                  <c:v>532.58754408771858</c:v>
                </c:pt>
                <c:pt idx="460">
                  <c:v>501.22455294024002</c:v>
                </c:pt>
                <c:pt idx="461">
                  <c:v>492.88239512609459</c:v>
                </c:pt>
                <c:pt idx="462">
                  <c:v>461.51940397861591</c:v>
                </c:pt>
                <c:pt idx="463">
                  <c:v>453.1772461644706</c:v>
                </c:pt>
                <c:pt idx="464">
                  <c:v>444.83508835032535</c:v>
                </c:pt>
                <c:pt idx="465">
                  <c:v>436.49293053618015</c:v>
                </c:pt>
                <c:pt idx="466">
                  <c:v>405.12993938870142</c:v>
                </c:pt>
                <c:pt idx="467">
                  <c:v>396.78778157455622</c:v>
                </c:pt>
                <c:pt idx="468">
                  <c:v>388.4456237604108</c:v>
                </c:pt>
                <c:pt idx="469">
                  <c:v>357.08263261293217</c:v>
                </c:pt>
                <c:pt idx="470">
                  <c:v>348.74047479878681</c:v>
                </c:pt>
                <c:pt idx="471">
                  <c:v>340.39831698464161</c:v>
                </c:pt>
                <c:pt idx="472">
                  <c:v>332.05615917049647</c:v>
                </c:pt>
                <c:pt idx="473">
                  <c:v>323.7140013563511</c:v>
                </c:pt>
                <c:pt idx="474">
                  <c:v>292.35101020887237</c:v>
                </c:pt>
                <c:pt idx="475">
                  <c:v>284.00885239472717</c:v>
                </c:pt>
                <c:pt idx="476">
                  <c:v>275.66669458058192</c:v>
                </c:pt>
                <c:pt idx="477">
                  <c:v>270.08122792038051</c:v>
                </c:pt>
                <c:pt idx="478">
                  <c:v>267.7475144648613</c:v>
                </c:pt>
                <c:pt idx="479">
                  <c:v>242.40053309814493</c:v>
                </c:pt>
                <c:pt idx="480">
                  <c:v>240.47403381642792</c:v>
                </c:pt>
                <c:pt idx="481">
                  <c:v>238.44673038782614</c:v>
                </c:pt>
                <c:pt idx="482">
                  <c:v>236.31862281233964</c:v>
                </c:pt>
                <c:pt idx="483">
                  <c:v>234.08971108996835</c:v>
                </c:pt>
                <c:pt idx="484">
                  <c:v>231.75999522071234</c:v>
                </c:pt>
                <c:pt idx="485">
                  <c:v>229.32947520457157</c:v>
                </c:pt>
                <c:pt idx="486">
                  <c:v>201.17239621062814</c:v>
                </c:pt>
                <c:pt idx="487">
                  <c:v>198.27720932583867</c:v>
                </c:pt>
                <c:pt idx="488">
                  <c:v>195.28121829416438</c:v>
                </c:pt>
                <c:pt idx="489">
                  <c:v>192.18442311560545</c:v>
                </c:pt>
                <c:pt idx="490">
                  <c:v>188.98682379016171</c:v>
                </c:pt>
                <c:pt idx="491">
                  <c:v>185.68842031783325</c:v>
                </c:pt>
                <c:pt idx="492">
                  <c:v>182.28921269861999</c:v>
                </c:pt>
                <c:pt idx="493">
                  <c:v>178.78920093252208</c:v>
                </c:pt>
                <c:pt idx="494">
                  <c:v>147.4581615895876</c:v>
                </c:pt>
                <c:pt idx="495">
                  <c:v>143.49348295484089</c:v>
                </c:pt>
                <c:pt idx="496">
                  <c:v>139.42800017320945</c:v>
                </c:pt>
                <c:pt idx="497">
                  <c:v>135.26171324469323</c:v>
                </c:pt>
                <c:pt idx="498">
                  <c:v>130.99462216929231</c:v>
                </c:pt>
                <c:pt idx="499">
                  <c:v>126.62672694700656</c:v>
                </c:pt>
                <c:pt idx="500">
                  <c:v>122.15802757783617</c:v>
                </c:pt>
                <c:pt idx="501">
                  <c:v>117.95804127783677</c:v>
                </c:pt>
                <c:pt idx="502">
                  <c:v>116.89479568209593</c:v>
                </c:pt>
                <c:pt idx="503">
                  <c:v>115.66893258004778</c:v>
                </c:pt>
                <c:pt idx="504">
                  <c:v>83.536977209902787</c:v>
                </c:pt>
                <c:pt idx="505">
                  <c:v>81.454561764677692</c:v>
                </c:pt>
                <c:pt idx="506">
                  <c:v>79.32393564050777</c:v>
                </c:pt>
                <c:pt idx="507">
                  <c:v>77.145098837392879</c:v>
                </c:pt>
                <c:pt idx="508">
                  <c:v>74.918051355333262</c:v>
                </c:pt>
                <c:pt idx="509">
                  <c:v>72.642793194328604</c:v>
                </c:pt>
                <c:pt idx="510">
                  <c:v>70.17806416081936</c:v>
                </c:pt>
                <c:pt idx="511">
                  <c:v>67.257202538890439</c:v>
                </c:pt>
                <c:pt idx="512">
                  <c:v>64.336340916961689</c:v>
                </c:pt>
                <c:pt idx="513">
                  <c:v>61.415479295032917</c:v>
                </c:pt>
                <c:pt idx="514">
                  <c:v>58.494617673103996</c:v>
                </c:pt>
                <c:pt idx="515">
                  <c:v>55.573756051175174</c:v>
                </c:pt>
                <c:pt idx="516">
                  <c:v>52.652894429246246</c:v>
                </c:pt>
                <c:pt idx="517">
                  <c:v>49.732032807317403</c:v>
                </c:pt>
                <c:pt idx="518">
                  <c:v>14.93617118538833</c:v>
                </c:pt>
                <c:pt idx="519">
                  <c:v>12.015309563459509</c:v>
                </c:pt>
                <c:pt idx="520">
                  <c:v>9.0944479415306088</c:v>
                </c:pt>
                <c:pt idx="521">
                  <c:v>6.1735863196018386</c:v>
                </c:pt>
                <c:pt idx="522">
                  <c:v>3.25272469767294</c:v>
                </c:pt>
                <c:pt idx="523">
                  <c:v>0.33186307574419516</c:v>
                </c:pt>
                <c:pt idx="524">
                  <c:v>-2.5889985461846776</c:v>
                </c:pt>
                <c:pt idx="525">
                  <c:v>-5.5098601681135762</c:v>
                </c:pt>
                <c:pt idx="526">
                  <c:v>-8.4307217900423979</c:v>
                </c:pt>
                <c:pt idx="527">
                  <c:v>-11.351583411971246</c:v>
                </c:pt>
                <c:pt idx="528">
                  <c:v>-14.272445033900041</c:v>
                </c:pt>
                <c:pt idx="529">
                  <c:v>-17.193306655828941</c:v>
                </c:pt>
                <c:pt idx="530">
                  <c:v>-20.114168277757738</c:v>
                </c:pt>
                <c:pt idx="531">
                  <c:v>-23.035029899686531</c:v>
                </c:pt>
                <c:pt idx="532">
                  <c:v>-25.955891521615353</c:v>
                </c:pt>
                <c:pt idx="533">
                  <c:v>-28.876753143544331</c:v>
                </c:pt>
                <c:pt idx="534">
                  <c:v>-31.797614765473099</c:v>
                </c:pt>
                <c:pt idx="535">
                  <c:v>-34.71847638740195</c:v>
                </c:pt>
                <c:pt idx="536">
                  <c:v>-37.639338009330793</c:v>
                </c:pt>
                <c:pt idx="537">
                  <c:v>-40.560199631259565</c:v>
                </c:pt>
                <c:pt idx="538">
                  <c:v>-75.356061253188784</c:v>
                </c:pt>
                <c:pt idx="539">
                  <c:v>-78.276922875117606</c:v>
                </c:pt>
                <c:pt idx="540">
                  <c:v>-81.197784497046385</c:v>
                </c:pt>
                <c:pt idx="541">
                  <c:v>-84.118646118975207</c:v>
                </c:pt>
                <c:pt idx="542">
                  <c:v>-87.039507740903971</c:v>
                </c:pt>
                <c:pt idx="543">
                  <c:v>-89.960369362832949</c:v>
                </c:pt>
                <c:pt idx="544">
                  <c:v>-92.881230984761771</c:v>
                </c:pt>
                <c:pt idx="545">
                  <c:v>-95.802092606690593</c:v>
                </c:pt>
                <c:pt idx="546">
                  <c:v>-98.722954228619358</c:v>
                </c:pt>
                <c:pt idx="547">
                  <c:v>-101.64381585054834</c:v>
                </c:pt>
                <c:pt idx="548">
                  <c:v>-104.56467747247721</c:v>
                </c:pt>
                <c:pt idx="549">
                  <c:v>-107.48553909440598</c:v>
                </c:pt>
                <c:pt idx="550">
                  <c:v>-110.40640071633486</c:v>
                </c:pt>
                <c:pt idx="551">
                  <c:v>-133.38384547550831</c:v>
                </c:pt>
                <c:pt idx="552">
                  <c:v>-138.90692926970476</c:v>
                </c:pt>
                <c:pt idx="553">
                  <c:v>-176.00407580588083</c:v>
                </c:pt>
                <c:pt idx="554">
                  <c:v>-181.2262223420567</c:v>
                </c:pt>
                <c:pt idx="555">
                  <c:v>-186.44836887823249</c:v>
                </c:pt>
                <c:pt idx="556">
                  <c:v>-191.67051541440836</c:v>
                </c:pt>
                <c:pt idx="557">
                  <c:v>-196.89266195058411</c:v>
                </c:pt>
                <c:pt idx="558">
                  <c:v>-202.11480848676001</c:v>
                </c:pt>
                <c:pt idx="559">
                  <c:v>-239.21195502293574</c:v>
                </c:pt>
                <c:pt idx="560">
                  <c:v>-244.43410155911153</c:v>
                </c:pt>
                <c:pt idx="561">
                  <c:v>-249.65624809528728</c:v>
                </c:pt>
                <c:pt idx="562">
                  <c:v>-254.87839463146315</c:v>
                </c:pt>
                <c:pt idx="563">
                  <c:v>-260.10054116763894</c:v>
                </c:pt>
                <c:pt idx="564">
                  <c:v>-265.32268770381484</c:v>
                </c:pt>
                <c:pt idx="565">
                  <c:v>-270.54483423999068</c:v>
                </c:pt>
                <c:pt idx="566">
                  <c:v>-275.76698077616635</c:v>
                </c:pt>
                <c:pt idx="567">
                  <c:v>-280.98912731234225</c:v>
                </c:pt>
                <c:pt idx="568">
                  <c:v>-286.21127384851809</c:v>
                </c:pt>
                <c:pt idx="569">
                  <c:v>-291.43342038469387</c:v>
                </c:pt>
                <c:pt idx="570">
                  <c:v>-296.65556692086955</c:v>
                </c:pt>
                <c:pt idx="571">
                  <c:v>-333.75271345704539</c:v>
                </c:pt>
                <c:pt idx="572">
                  <c:v>-338.97485999322129</c:v>
                </c:pt>
                <c:pt idx="573">
                  <c:v>-344.19700652939713</c:v>
                </c:pt>
                <c:pt idx="574">
                  <c:v>-349.41915306557303</c:v>
                </c:pt>
                <c:pt idx="575">
                  <c:v>-354.64129960174881</c:v>
                </c:pt>
                <c:pt idx="576">
                  <c:v>-359.86344613792465</c:v>
                </c:pt>
                <c:pt idx="577">
                  <c:v>-365.08559267410033</c:v>
                </c:pt>
                <c:pt idx="578">
                  <c:v>-370.30773921027622</c:v>
                </c:pt>
                <c:pt idx="579">
                  <c:v>-375.52988574645201</c:v>
                </c:pt>
                <c:pt idx="580">
                  <c:v>-380.75203228262768</c:v>
                </c:pt>
                <c:pt idx="581">
                  <c:v>-385.97417881880352</c:v>
                </c:pt>
                <c:pt idx="582">
                  <c:v>-391.19632535497942</c:v>
                </c:pt>
                <c:pt idx="583">
                  <c:v>-396.41847189115509</c:v>
                </c:pt>
                <c:pt idx="584">
                  <c:v>-401.64061842733099</c:v>
                </c:pt>
                <c:pt idx="585">
                  <c:v>-406.86276496350672</c:v>
                </c:pt>
                <c:pt idx="586">
                  <c:v>-412.08491149968273</c:v>
                </c:pt>
                <c:pt idx="587">
                  <c:v>-417.30705803585829</c:v>
                </c:pt>
                <c:pt idx="588">
                  <c:v>-422.52920457203425</c:v>
                </c:pt>
                <c:pt idx="589">
                  <c:v>-427.75135110821003</c:v>
                </c:pt>
                <c:pt idx="590">
                  <c:v>-432.97349764438604</c:v>
                </c:pt>
                <c:pt idx="591">
                  <c:v>-438.1956441805616</c:v>
                </c:pt>
                <c:pt idx="592">
                  <c:v>-443.41779071673756</c:v>
                </c:pt>
                <c:pt idx="593">
                  <c:v>-448.63993725291334</c:v>
                </c:pt>
                <c:pt idx="594">
                  <c:v>-449.25951396059889</c:v>
                </c:pt>
                <c:pt idx="595">
                  <c:v>-449.25951396059889</c:v>
                </c:pt>
                <c:pt idx="596">
                  <c:v>-449.25951396059889</c:v>
                </c:pt>
                <c:pt idx="597">
                  <c:v>-449.25951396059889</c:v>
                </c:pt>
                <c:pt idx="598">
                  <c:v>-449.25951396059889</c:v>
                </c:pt>
                <c:pt idx="599">
                  <c:v>-449.25951396059889</c:v>
                </c:pt>
                <c:pt idx="600">
                  <c:v>-449.25951396059889</c:v>
                </c:pt>
                <c:pt idx="601">
                  <c:v>-449.25951396059889</c:v>
                </c:pt>
                <c:pt idx="602">
                  <c:v>-449.25951396059889</c:v>
                </c:pt>
                <c:pt idx="603">
                  <c:v>-449.25951396059889</c:v>
                </c:pt>
                <c:pt idx="604">
                  <c:v>-449.25951396059889</c:v>
                </c:pt>
                <c:pt idx="605">
                  <c:v>-449.25951396059889</c:v>
                </c:pt>
                <c:pt idx="606">
                  <c:v>-449.25951396059889</c:v>
                </c:pt>
                <c:pt idx="607">
                  <c:v>-449.25951396059889</c:v>
                </c:pt>
                <c:pt idx="608">
                  <c:v>-449.25951396059889</c:v>
                </c:pt>
                <c:pt idx="609">
                  <c:v>-481.13451396059889</c:v>
                </c:pt>
                <c:pt idx="610">
                  <c:v>-481.13451396059889</c:v>
                </c:pt>
                <c:pt idx="611">
                  <c:v>-481.13451396059889</c:v>
                </c:pt>
                <c:pt idx="612">
                  <c:v>-481.13451396059889</c:v>
                </c:pt>
                <c:pt idx="613">
                  <c:v>-481.13451396059889</c:v>
                </c:pt>
                <c:pt idx="614">
                  <c:v>-481.13451396059889</c:v>
                </c:pt>
                <c:pt idx="615">
                  <c:v>-481.13451396059889</c:v>
                </c:pt>
                <c:pt idx="616">
                  <c:v>-481.13451396059889</c:v>
                </c:pt>
                <c:pt idx="617">
                  <c:v>-481.13451396059889</c:v>
                </c:pt>
                <c:pt idx="618">
                  <c:v>-481.13451396059889</c:v>
                </c:pt>
                <c:pt idx="619">
                  <c:v>-481.13451396059889</c:v>
                </c:pt>
                <c:pt idx="620">
                  <c:v>-481.13451396059889</c:v>
                </c:pt>
                <c:pt idx="621">
                  <c:v>-481.13451396059889</c:v>
                </c:pt>
                <c:pt idx="622">
                  <c:v>-481.13451396059889</c:v>
                </c:pt>
                <c:pt idx="623">
                  <c:v>-481.13451396059889</c:v>
                </c:pt>
                <c:pt idx="624">
                  <c:v>-481.13451396059889</c:v>
                </c:pt>
                <c:pt idx="625">
                  <c:v>-481.13451396059889</c:v>
                </c:pt>
                <c:pt idx="626">
                  <c:v>-481.13451396059889</c:v>
                </c:pt>
                <c:pt idx="627">
                  <c:v>-481.13451396059889</c:v>
                </c:pt>
                <c:pt idx="628">
                  <c:v>-481.13451396059889</c:v>
                </c:pt>
                <c:pt idx="629">
                  <c:v>-481.13451396059889</c:v>
                </c:pt>
                <c:pt idx="630">
                  <c:v>-481.13451396059889</c:v>
                </c:pt>
                <c:pt idx="631">
                  <c:v>-481.13451396059889</c:v>
                </c:pt>
                <c:pt idx="632">
                  <c:v>-481.13451396059889</c:v>
                </c:pt>
                <c:pt idx="633">
                  <c:v>-481.13451396059889</c:v>
                </c:pt>
                <c:pt idx="634">
                  <c:v>-481.13451396059889</c:v>
                </c:pt>
                <c:pt idx="635">
                  <c:v>-481.13451396059889</c:v>
                </c:pt>
                <c:pt idx="636">
                  <c:v>-481.13451396059889</c:v>
                </c:pt>
                <c:pt idx="637">
                  <c:v>-481.13451396059889</c:v>
                </c:pt>
                <c:pt idx="638">
                  <c:v>-481.13451396059889</c:v>
                </c:pt>
                <c:pt idx="639">
                  <c:v>-481.13451396059889</c:v>
                </c:pt>
                <c:pt idx="640">
                  <c:v>-481.13451396059889</c:v>
                </c:pt>
                <c:pt idx="641">
                  <c:v>-481.13451396059889</c:v>
                </c:pt>
                <c:pt idx="642">
                  <c:v>-513.00951396059895</c:v>
                </c:pt>
                <c:pt idx="643">
                  <c:v>-513.00951396059895</c:v>
                </c:pt>
                <c:pt idx="644">
                  <c:v>-513.00951396059895</c:v>
                </c:pt>
                <c:pt idx="645">
                  <c:v>-513.00951396059895</c:v>
                </c:pt>
                <c:pt idx="646">
                  <c:v>-513.00951396059895</c:v>
                </c:pt>
                <c:pt idx="647">
                  <c:v>-513.00951396059895</c:v>
                </c:pt>
                <c:pt idx="648">
                  <c:v>-513.00951396059895</c:v>
                </c:pt>
                <c:pt idx="649">
                  <c:v>-513.00951396059895</c:v>
                </c:pt>
                <c:pt idx="650">
                  <c:v>-513.00951396059895</c:v>
                </c:pt>
                <c:pt idx="651">
                  <c:v>-513.00951396059895</c:v>
                </c:pt>
                <c:pt idx="652">
                  <c:v>-513.00951396059895</c:v>
                </c:pt>
                <c:pt idx="653">
                  <c:v>-513.00951396059895</c:v>
                </c:pt>
                <c:pt idx="654">
                  <c:v>-513.00951396059895</c:v>
                </c:pt>
                <c:pt idx="655">
                  <c:v>-513.00951396059895</c:v>
                </c:pt>
                <c:pt idx="656">
                  <c:v>-513.00951396059895</c:v>
                </c:pt>
                <c:pt idx="657">
                  <c:v>-513.00951396059895</c:v>
                </c:pt>
                <c:pt idx="658">
                  <c:v>-513.00951396059895</c:v>
                </c:pt>
                <c:pt idx="659">
                  <c:v>-513.00951396059895</c:v>
                </c:pt>
                <c:pt idx="660">
                  <c:v>-513.00951396059895</c:v>
                </c:pt>
                <c:pt idx="661">
                  <c:v>-513.00951396059895</c:v>
                </c:pt>
                <c:pt idx="662">
                  <c:v>-513.00951396059895</c:v>
                </c:pt>
                <c:pt idx="663">
                  <c:v>-513.00951396059895</c:v>
                </c:pt>
                <c:pt idx="664">
                  <c:v>-513.00951396059895</c:v>
                </c:pt>
                <c:pt idx="665">
                  <c:v>-513.00951396059895</c:v>
                </c:pt>
                <c:pt idx="666">
                  <c:v>-513.00951396059895</c:v>
                </c:pt>
                <c:pt idx="667">
                  <c:v>-513.00951396059895</c:v>
                </c:pt>
                <c:pt idx="668">
                  <c:v>-513.00951396059895</c:v>
                </c:pt>
                <c:pt idx="669">
                  <c:v>-513.00951396059895</c:v>
                </c:pt>
                <c:pt idx="670">
                  <c:v>-513.00951396059895</c:v>
                </c:pt>
                <c:pt idx="671">
                  <c:v>-513.00951396059895</c:v>
                </c:pt>
                <c:pt idx="672">
                  <c:v>-513.00951396059895</c:v>
                </c:pt>
                <c:pt idx="673">
                  <c:v>-513.00951396059895</c:v>
                </c:pt>
                <c:pt idx="674">
                  <c:v>-513.00951396059895</c:v>
                </c:pt>
                <c:pt idx="675">
                  <c:v>-513.00951396059895</c:v>
                </c:pt>
                <c:pt idx="676">
                  <c:v>-513.00951396059895</c:v>
                </c:pt>
                <c:pt idx="677">
                  <c:v>-513.00951396059895</c:v>
                </c:pt>
                <c:pt idx="678">
                  <c:v>-513.00951396059895</c:v>
                </c:pt>
                <c:pt idx="679">
                  <c:v>-513.00951396059895</c:v>
                </c:pt>
                <c:pt idx="680">
                  <c:v>-513.00951396059895</c:v>
                </c:pt>
                <c:pt idx="681">
                  <c:v>-513.00951396059895</c:v>
                </c:pt>
                <c:pt idx="682">
                  <c:v>-513.00951396059895</c:v>
                </c:pt>
                <c:pt idx="683">
                  <c:v>-513.00951396059895</c:v>
                </c:pt>
                <c:pt idx="684">
                  <c:v>-513.00951396059895</c:v>
                </c:pt>
                <c:pt idx="685">
                  <c:v>-513.00951396059895</c:v>
                </c:pt>
                <c:pt idx="686">
                  <c:v>-513.00951396059895</c:v>
                </c:pt>
                <c:pt idx="687">
                  <c:v>-513.00951396059895</c:v>
                </c:pt>
                <c:pt idx="688">
                  <c:v>-513.00951396059895</c:v>
                </c:pt>
                <c:pt idx="689">
                  <c:v>-513.00951396059895</c:v>
                </c:pt>
                <c:pt idx="690">
                  <c:v>-513.00951396059895</c:v>
                </c:pt>
                <c:pt idx="691">
                  <c:v>-513.00951396059895</c:v>
                </c:pt>
                <c:pt idx="692">
                  <c:v>-513.00951396059895</c:v>
                </c:pt>
                <c:pt idx="693">
                  <c:v>-513.00951396059895</c:v>
                </c:pt>
                <c:pt idx="694">
                  <c:v>-513.00951396059895</c:v>
                </c:pt>
                <c:pt idx="695">
                  <c:v>-513.00951396059895</c:v>
                </c:pt>
                <c:pt idx="696">
                  <c:v>-513.00951396059895</c:v>
                </c:pt>
                <c:pt idx="697">
                  <c:v>-513.00951396059895</c:v>
                </c:pt>
                <c:pt idx="698">
                  <c:v>-513.00951396059895</c:v>
                </c:pt>
                <c:pt idx="699">
                  <c:v>-513.00951396059895</c:v>
                </c:pt>
              </c:numCache>
            </c:numRef>
          </c:yVal>
          <c:smooth val="0"/>
          <c:extLst>
            <c:ext xmlns:c16="http://schemas.microsoft.com/office/drawing/2014/chart" uri="{C3380CC4-5D6E-409C-BE32-E72D297353CC}">
              <c16:uniqueId val="{00000000-E0C0-49A0-85E3-2D686408F4BB}"/>
            </c:ext>
          </c:extLst>
        </c:ser>
        <c:ser>
          <c:idx val="1"/>
          <c:order val="1"/>
          <c:spPr>
            <a:ln w="28575">
              <a:noFill/>
            </a:ln>
          </c:spPr>
          <c:xVal>
            <c:numRef>
              <c:f>'Diagrama de Interacción 2D'!$D$33:$D$1048576</c:f>
              <c:numCache>
                <c:formatCode>0.000</c:formatCode>
                <c:ptCount val="1048544"/>
              </c:numCache>
            </c:numRef>
          </c:xVal>
          <c:yVal>
            <c:numRef>
              <c:f>'Diagrama de Interacción 2D'!$C$33:$C$1048576</c:f>
              <c:numCache>
                <c:formatCode>0.000</c:formatCode>
                <c:ptCount val="1048544"/>
              </c:numCache>
            </c:numRef>
          </c:yVal>
          <c:smooth val="0"/>
          <c:extLst>
            <c:ext xmlns:c16="http://schemas.microsoft.com/office/drawing/2014/chart" uri="{C3380CC4-5D6E-409C-BE32-E72D297353CC}">
              <c16:uniqueId val="{00000001-E0C0-49A0-85E3-2D686408F4BB}"/>
            </c:ext>
          </c:extLst>
        </c:ser>
        <c:dLbls>
          <c:showLegendKey val="0"/>
          <c:showVal val="0"/>
          <c:showCatName val="0"/>
          <c:showSerName val="0"/>
          <c:showPercent val="0"/>
          <c:showBubbleSize val="0"/>
        </c:dLbls>
        <c:axId val="78894976"/>
        <c:axId val="78896512"/>
      </c:scatterChart>
      <c:valAx>
        <c:axId val="78894976"/>
        <c:scaling>
          <c:orientation val="minMax"/>
        </c:scaling>
        <c:delete val="0"/>
        <c:axPos val="b"/>
        <c:majorGridlines>
          <c:spPr>
            <a:ln>
              <a:prstDash val="dash"/>
            </a:ln>
          </c:spPr>
        </c:majorGridlines>
        <c:numFmt formatCode="0.0E+00" sourceLinked="0"/>
        <c:majorTickMark val="out"/>
        <c:minorTickMark val="none"/>
        <c:tickLblPos val="low"/>
        <c:spPr>
          <a:ln w="19050">
            <a:solidFill>
              <a:schemeClr val="tx1"/>
            </a:solidFill>
          </a:ln>
        </c:spPr>
        <c:crossAx val="78896512"/>
        <c:crossesAt val="0"/>
        <c:crossBetween val="midCat"/>
      </c:valAx>
      <c:valAx>
        <c:axId val="78896512"/>
        <c:scaling>
          <c:orientation val="minMax"/>
        </c:scaling>
        <c:delete val="0"/>
        <c:axPos val="l"/>
        <c:majorGridlines>
          <c:spPr>
            <a:ln>
              <a:prstDash val="dash"/>
            </a:ln>
          </c:spPr>
        </c:majorGridlines>
        <c:numFmt formatCode="0.0E+00" sourceLinked="0"/>
        <c:majorTickMark val="out"/>
        <c:minorTickMark val="none"/>
        <c:tickLblPos val="low"/>
        <c:spPr>
          <a:ln w="22225">
            <a:solidFill>
              <a:schemeClr val="tx1"/>
            </a:solidFill>
          </a:ln>
        </c:spPr>
        <c:crossAx val="78894976"/>
        <c:crossesAt val="0"/>
        <c:crossBetween val="midCat"/>
      </c:valAx>
    </c:plotArea>
    <c:plotVisOnly val="1"/>
    <c:dispBlanksAs val="gap"/>
    <c:showDLblsOverMax val="0"/>
  </c:chart>
  <c:spPr>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49680</xdr:colOff>
      <xdr:row>40</xdr:row>
      <xdr:rowOff>121023</xdr:rowOff>
    </xdr:from>
    <xdr:to>
      <xdr:col>2</xdr:col>
      <xdr:colOff>745069</xdr:colOff>
      <xdr:row>51</xdr:row>
      <xdr:rowOff>80868</xdr:rowOff>
    </xdr:to>
    <xdr:pic>
      <xdr:nvPicPr>
        <xdr:cNvPr id="2" name="3 Imagen" descr="C:\Users\Mauro\AppData\Local\Temp\x10sctmp1.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680" y="7516905"/>
          <a:ext cx="2294095" cy="19619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440996</xdr:colOff>
      <xdr:row>40</xdr:row>
      <xdr:rowOff>85726</xdr:rowOff>
    </xdr:from>
    <xdr:to>
      <xdr:col>6</xdr:col>
      <xdr:colOff>695323</xdr:colOff>
      <xdr:row>51</xdr:row>
      <xdr:rowOff>112246</xdr:rowOff>
    </xdr:to>
    <xdr:pic>
      <xdr:nvPicPr>
        <xdr:cNvPr id="3" name="4 Imagen" descr="C:\Users\Mauro\AppData\Local\Temp\x10sctmp2.png">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841296" y="7197726"/>
          <a:ext cx="2654627" cy="200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209550</xdr:colOff>
      <xdr:row>81</xdr:row>
      <xdr:rowOff>47626</xdr:rowOff>
    </xdr:from>
    <xdr:to>
      <xdr:col>6</xdr:col>
      <xdr:colOff>542925</xdr:colOff>
      <xdr:row>104</xdr:row>
      <xdr:rowOff>161924</xdr:rowOff>
    </xdr:to>
    <xdr:pic>
      <xdr:nvPicPr>
        <xdr:cNvPr id="4" name="5 Imagen" descr="C:\Users\Mauro\AppData\Local\Temp\x10sctmp3.png">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9550" y="12880976"/>
          <a:ext cx="5133975" cy="42100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76200</xdr:colOff>
          <xdr:row>187</xdr:row>
          <xdr:rowOff>47625</xdr:rowOff>
        </xdr:from>
        <xdr:to>
          <xdr:col>4</xdr:col>
          <xdr:colOff>142875</xdr:colOff>
          <xdr:row>189</xdr:row>
          <xdr:rowOff>142875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0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He leído las instrucciones</a:t>
              </a:r>
            </a:p>
          </xdr:txBody>
        </xdr:sp>
        <xdr:clientData fPrintsWithSheet="0"/>
      </xdr:twoCellAnchor>
    </mc:Choice>
    <mc:Fallback/>
  </mc:AlternateContent>
  <xdr:twoCellAnchor editAs="oneCell">
    <xdr:from>
      <xdr:col>0</xdr:col>
      <xdr:colOff>19050</xdr:colOff>
      <xdr:row>124</xdr:row>
      <xdr:rowOff>66677</xdr:rowOff>
    </xdr:from>
    <xdr:to>
      <xdr:col>6</xdr:col>
      <xdr:colOff>685450</xdr:colOff>
      <xdr:row>142</xdr:row>
      <xdr:rowOff>154801</xdr:rowOff>
    </xdr:to>
    <xdr:pic>
      <xdr:nvPicPr>
        <xdr:cNvPr id="6" name="6 Imagen" descr="C:\Users\Mauro\AppData\Local\Temp\x10sctmp.png">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9050" y="20196177"/>
          <a:ext cx="5467000" cy="32885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400050</xdr:colOff>
          <xdr:row>1</xdr:row>
          <xdr:rowOff>28575</xdr:rowOff>
        </xdr:from>
        <xdr:to>
          <xdr:col>4</xdr:col>
          <xdr:colOff>104775</xdr:colOff>
          <xdr:row>4</xdr:row>
          <xdr:rowOff>66675</xdr:rowOff>
        </xdr:to>
        <xdr:sp macro="" textlink="">
          <xdr:nvSpPr>
            <xdr:cNvPr id="17410" name="Object 2" hidden="1">
              <a:extLst>
                <a:ext uri="{63B3BB69-23CF-44E3-9099-C40C66FF867C}">
                  <a14:compatExt spid="_x0000_s17410"/>
                </a:ext>
                <a:ext uri="{FF2B5EF4-FFF2-40B4-BE49-F238E27FC236}">
                  <a16:creationId xmlns:a16="http://schemas.microsoft.com/office/drawing/2014/main" id="{00000000-0008-0000-0000-000002440000}"/>
                </a:ext>
              </a:extLst>
            </xdr:cNvPr>
            <xdr:cNvSpPr/>
          </xdr:nvSpPr>
          <xdr:spPr bwMode="auto">
            <a:xfrm>
              <a:off x="0" y="0"/>
              <a:ext cx="0" cy="0"/>
            </a:xfrm>
            <a:prstGeom prst="rect">
              <a:avLst/>
            </a:prstGeom>
            <a:noFill/>
            <a:extLst>
              <a:ext uri="{909E8E84-426E-40DD-AFC4-6F175D3DCCD1}">
                <a14:hiddenFill>
                  <a:solidFill>
                    <a:srgbClr val="00CC99"/>
                  </a:solidFill>
                </a14:hiddenFill>
              </a:ext>
            </a:extLst>
          </xdr:spPr>
        </xdr:sp>
        <xdr:clientData/>
      </xdr:twoCellAnchor>
    </mc:Choice>
    <mc:Fallback/>
  </mc:AlternateContent>
  <xdr:twoCellAnchor>
    <xdr:from>
      <xdr:col>5</xdr:col>
      <xdr:colOff>408146</xdr:colOff>
      <xdr:row>0</xdr:row>
      <xdr:rowOff>176580</xdr:rowOff>
    </xdr:from>
    <xdr:to>
      <xdr:col>6</xdr:col>
      <xdr:colOff>165246</xdr:colOff>
      <xdr:row>4</xdr:row>
      <xdr:rowOff>80596</xdr:rowOff>
    </xdr:to>
    <xdr:grpSp>
      <xdr:nvGrpSpPr>
        <xdr:cNvPr id="8" name="7 Grupo">
          <a:extLst>
            <a:ext uri="{FF2B5EF4-FFF2-40B4-BE49-F238E27FC236}">
              <a16:creationId xmlns:a16="http://schemas.microsoft.com/office/drawing/2014/main" id="{00000000-0008-0000-0000-000008000000}"/>
            </a:ext>
          </a:extLst>
        </xdr:cNvPr>
        <xdr:cNvGrpSpPr>
          <a:grpSpLocks noChangeAspect="1"/>
        </xdr:cNvGrpSpPr>
      </xdr:nvGrpSpPr>
      <xdr:grpSpPr bwMode="auto">
        <a:xfrm>
          <a:off x="4218146" y="176580"/>
          <a:ext cx="519100" cy="627916"/>
          <a:chOff x="2265" y="1712"/>
          <a:chExt cx="1230" cy="1508"/>
        </a:xfrm>
      </xdr:grpSpPr>
      <xdr:sp macro="" textlink="">
        <xdr:nvSpPr>
          <xdr:cNvPr id="9" name="Rectangle 4">
            <a:extLst>
              <a:ext uri="{FF2B5EF4-FFF2-40B4-BE49-F238E27FC236}">
                <a16:creationId xmlns:a16="http://schemas.microsoft.com/office/drawing/2014/main" id="{00000000-0008-0000-0000-000009000000}"/>
              </a:ext>
            </a:extLst>
          </xdr:cNvPr>
          <xdr:cNvSpPr>
            <a:spLocks noChangeAspect="1" noChangeArrowheads="1"/>
          </xdr:cNvSpPr>
        </xdr:nvSpPr>
        <xdr:spPr bwMode="auto">
          <a:xfrm>
            <a:off x="2265" y="2050"/>
            <a:ext cx="405" cy="1170"/>
          </a:xfrm>
          <a:prstGeom prst="rect">
            <a:avLst/>
          </a:prstGeom>
          <a:solidFill>
            <a:srgbClr val="C0C0C0"/>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0" name="Rectangle 5">
            <a:extLst>
              <a:ext uri="{FF2B5EF4-FFF2-40B4-BE49-F238E27FC236}">
                <a16:creationId xmlns:a16="http://schemas.microsoft.com/office/drawing/2014/main" id="{00000000-0008-0000-0000-00000A000000}"/>
              </a:ext>
            </a:extLst>
          </xdr:cNvPr>
          <xdr:cNvSpPr>
            <a:spLocks noChangeAspect="1" noChangeArrowheads="1"/>
          </xdr:cNvSpPr>
        </xdr:nvSpPr>
        <xdr:spPr bwMode="auto">
          <a:xfrm>
            <a:off x="2550" y="2245"/>
            <a:ext cx="930" cy="975"/>
          </a:xfrm>
          <a:prstGeom prst="rect">
            <a:avLst/>
          </a:prstGeom>
          <a:solidFill>
            <a:srgbClr val="333333"/>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1" name="Rectangle 6">
            <a:extLst>
              <a:ext uri="{FF2B5EF4-FFF2-40B4-BE49-F238E27FC236}">
                <a16:creationId xmlns:a16="http://schemas.microsoft.com/office/drawing/2014/main" id="{00000000-0008-0000-0000-00000B000000}"/>
              </a:ext>
            </a:extLst>
          </xdr:cNvPr>
          <xdr:cNvSpPr>
            <a:spLocks noChangeAspect="1" noChangeArrowheads="1"/>
          </xdr:cNvSpPr>
        </xdr:nvSpPr>
        <xdr:spPr bwMode="auto">
          <a:xfrm>
            <a:off x="2985" y="2605"/>
            <a:ext cx="495" cy="25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cxnSp macro="">
        <xdr:nvCxnSpPr>
          <xdr:cNvPr id="12" name="Line 7">
            <a:extLst>
              <a:ext uri="{FF2B5EF4-FFF2-40B4-BE49-F238E27FC236}">
                <a16:creationId xmlns:a16="http://schemas.microsoft.com/office/drawing/2014/main" id="{00000000-0008-0000-0000-00000C000000}"/>
              </a:ext>
            </a:extLst>
          </xdr:cNvPr>
          <xdr:cNvCxnSpPr/>
        </xdr:nvCxnSpPr>
        <xdr:spPr bwMode="auto">
          <a:xfrm flipV="1">
            <a:off x="2453" y="1714"/>
            <a:ext cx="0" cy="33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3" name="Line 8">
            <a:extLst>
              <a:ext uri="{FF2B5EF4-FFF2-40B4-BE49-F238E27FC236}">
                <a16:creationId xmlns:a16="http://schemas.microsoft.com/office/drawing/2014/main" id="{00000000-0008-0000-0000-00000D000000}"/>
              </a:ext>
            </a:extLst>
          </xdr:cNvPr>
          <xdr:cNvCxnSpPr/>
        </xdr:nvCxnSpPr>
        <xdr:spPr bwMode="auto">
          <a:xfrm>
            <a:off x="2453" y="1712"/>
            <a:ext cx="10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sp macro="" textlink="">
        <xdr:nvSpPr>
          <xdr:cNvPr id="14" name="Oval 9">
            <a:extLst>
              <a:ext uri="{FF2B5EF4-FFF2-40B4-BE49-F238E27FC236}">
                <a16:creationId xmlns:a16="http://schemas.microsoft.com/office/drawing/2014/main" id="{00000000-0008-0000-0000-00000E000000}"/>
              </a:ext>
            </a:extLst>
          </xdr:cNvPr>
          <xdr:cNvSpPr>
            <a:spLocks noChangeAspect="1" noChangeArrowheads="1"/>
          </xdr:cNvSpPr>
        </xdr:nvSpPr>
        <xdr:spPr bwMode="auto">
          <a:xfrm>
            <a:off x="2310" y="1751"/>
            <a:ext cx="300" cy="247"/>
          </a:xfrm>
          <a:prstGeom prst="ellipse">
            <a:avLst/>
          </a:prstGeom>
          <a:solidFill>
            <a:srgbClr val="C0C0C0"/>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es-ES"/>
          </a:p>
        </xdr:txBody>
      </xdr:sp>
      <xdr:cxnSp macro="">
        <xdr:nvCxnSpPr>
          <xdr:cNvPr id="15" name="Line 10">
            <a:extLst>
              <a:ext uri="{FF2B5EF4-FFF2-40B4-BE49-F238E27FC236}">
                <a16:creationId xmlns:a16="http://schemas.microsoft.com/office/drawing/2014/main" id="{00000000-0008-0000-0000-00000F000000}"/>
              </a:ext>
            </a:extLst>
          </xdr:cNvPr>
          <xdr:cNvCxnSpPr/>
        </xdr:nvCxnSpPr>
        <xdr:spPr bwMode="auto">
          <a:xfrm>
            <a:off x="2820" y="2051"/>
            <a:ext cx="0" cy="20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6" name="Line 11">
            <a:extLst>
              <a:ext uri="{FF2B5EF4-FFF2-40B4-BE49-F238E27FC236}">
                <a16:creationId xmlns:a16="http://schemas.microsoft.com/office/drawing/2014/main" id="{00000000-0008-0000-0000-000010000000}"/>
              </a:ext>
            </a:extLst>
          </xdr:cNvPr>
          <xdr:cNvCxnSpPr/>
        </xdr:nvCxnSpPr>
        <xdr:spPr bwMode="auto">
          <a:xfrm>
            <a:off x="2820" y="2043"/>
            <a:ext cx="6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7" name="Line 12">
            <a:extLst>
              <a:ext uri="{FF2B5EF4-FFF2-40B4-BE49-F238E27FC236}">
                <a16:creationId xmlns:a16="http://schemas.microsoft.com/office/drawing/2014/main" id="{00000000-0008-0000-0000-000011000000}"/>
              </a:ext>
            </a:extLst>
          </xdr:cNvPr>
          <xdr:cNvCxnSpPr/>
        </xdr:nvCxnSpPr>
        <xdr:spPr bwMode="auto">
          <a:xfrm>
            <a:off x="3495" y="1713"/>
            <a:ext cx="0" cy="33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grpSp>
    <xdr:clientData/>
  </xdr:twoCellAnchor>
  <mc:AlternateContent xmlns:mc="http://schemas.openxmlformats.org/markup-compatibility/2006">
    <mc:Choice xmlns:a14="http://schemas.microsoft.com/office/drawing/2010/main" Requires="a14">
      <xdr:twoCellAnchor>
        <xdr:from>
          <xdr:col>0</xdr:col>
          <xdr:colOff>238125</xdr:colOff>
          <xdr:row>0</xdr:row>
          <xdr:rowOff>76200</xdr:rowOff>
        </xdr:from>
        <xdr:to>
          <xdr:col>1</xdr:col>
          <xdr:colOff>457200</xdr:colOff>
          <xdr:row>5</xdr:row>
          <xdr:rowOff>76200</xdr:rowOff>
        </xdr:to>
        <xdr:sp macro="" textlink="">
          <xdr:nvSpPr>
            <xdr:cNvPr id="17411" name="Object 3" hidden="1">
              <a:extLst>
                <a:ext uri="{63B3BB69-23CF-44E3-9099-C40C66FF867C}">
                  <a14:compatExt spid="_x0000_s17411"/>
                </a:ext>
                <a:ext uri="{FF2B5EF4-FFF2-40B4-BE49-F238E27FC236}">
                  <a16:creationId xmlns:a16="http://schemas.microsoft.com/office/drawing/2014/main" id="{00000000-0008-0000-0000-0000034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72</xdr:row>
          <xdr:rowOff>133350</xdr:rowOff>
        </xdr:from>
        <xdr:to>
          <xdr:col>6</xdr:col>
          <xdr:colOff>723900</xdr:colOff>
          <xdr:row>75</xdr:row>
          <xdr:rowOff>152400</xdr:rowOff>
        </xdr:to>
        <xdr:sp macro="" textlink="">
          <xdr:nvSpPr>
            <xdr:cNvPr id="2094" name="Button 46"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Generar Diagrama de Interacción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542925</xdr:colOff>
          <xdr:row>1</xdr:row>
          <xdr:rowOff>285750</xdr:rowOff>
        </xdr:from>
        <xdr:to>
          <xdr:col>6</xdr:col>
          <xdr:colOff>771525</xdr:colOff>
          <xdr:row>4</xdr:row>
          <xdr:rowOff>0</xdr:rowOff>
        </xdr:to>
        <xdr:sp macro="" textlink="">
          <xdr:nvSpPr>
            <xdr:cNvPr id="2095" name="Button 47" hidden="1">
              <a:extLst>
                <a:ext uri="{63B3BB69-23CF-44E3-9099-C40C66FF867C}">
                  <a14:compatExt spid="_x0000_s2095"/>
                </a:ext>
                <a:ext uri="{FF2B5EF4-FFF2-40B4-BE49-F238E27FC236}">
                  <a16:creationId xmlns:a16="http://schemas.microsoft.com/office/drawing/2014/main" id="{00000000-0008-0000-0100-00002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VOLVER A VALORES POR DEFECTO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9524</xdr:colOff>
      <xdr:row>2</xdr:row>
      <xdr:rowOff>23811</xdr:rowOff>
    </xdr:from>
    <xdr:to>
      <xdr:col>6</xdr:col>
      <xdr:colOff>742949</xdr:colOff>
      <xdr:row>28</xdr:row>
      <xdr:rowOff>171450</xdr:rowOff>
    </xdr:to>
    <xdr:graphicFrame macro="">
      <xdr:nvGraphicFramePr>
        <xdr:cNvPr id="2" name="3 Gráfico">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11</xdr:row>
      <xdr:rowOff>47625</xdr:rowOff>
    </xdr:from>
    <xdr:to>
      <xdr:col>0</xdr:col>
      <xdr:colOff>314325</xdr:colOff>
      <xdr:row>16</xdr:row>
      <xdr:rowOff>133350</xdr:rowOff>
    </xdr:to>
    <xdr:sp macro="" textlink="">
      <xdr:nvSpPr>
        <xdr:cNvPr id="3" name="4 CuadroTexto">
          <a:extLst>
            <a:ext uri="{FF2B5EF4-FFF2-40B4-BE49-F238E27FC236}">
              <a16:creationId xmlns:a16="http://schemas.microsoft.com/office/drawing/2014/main" id="{00000000-0008-0000-0200-000003000000}"/>
            </a:ext>
          </a:extLst>
        </xdr:cNvPr>
        <xdr:cNvSpPr txBox="1"/>
      </xdr:nvSpPr>
      <xdr:spPr>
        <a:xfrm rot="16200000">
          <a:off x="-361950" y="251460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Pn [KN]</a:t>
          </a:r>
        </a:p>
      </xdr:txBody>
    </xdr:sp>
    <xdr:clientData/>
  </xdr:twoCellAnchor>
  <xdr:twoCellAnchor>
    <xdr:from>
      <xdr:col>3</xdr:col>
      <xdr:colOff>133350</xdr:colOff>
      <xdr:row>28</xdr:row>
      <xdr:rowOff>85725</xdr:rowOff>
    </xdr:from>
    <xdr:to>
      <xdr:col>4</xdr:col>
      <xdr:colOff>409575</xdr:colOff>
      <xdr:row>30</xdr:row>
      <xdr:rowOff>19050</xdr:rowOff>
    </xdr:to>
    <xdr:sp macro="" textlink="">
      <xdr:nvSpPr>
        <xdr:cNvPr id="4" name="5 CuadroTexto">
          <a:extLst>
            <a:ext uri="{FF2B5EF4-FFF2-40B4-BE49-F238E27FC236}">
              <a16:creationId xmlns:a16="http://schemas.microsoft.com/office/drawing/2014/main" id="{00000000-0008-0000-0200-000004000000}"/>
            </a:ext>
          </a:extLst>
        </xdr:cNvPr>
        <xdr:cNvSpPr txBox="1"/>
      </xdr:nvSpPr>
      <xdr:spPr>
        <a:xfrm>
          <a:off x="2343150" y="542925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Mn</a:t>
          </a:r>
          <a:r>
            <a:rPr lang="el-GR" sz="1000" b="1">
              <a:latin typeface="Arial" pitchFamily="34" charset="0"/>
              <a:cs typeface="Arial" pitchFamily="34" charset="0"/>
            </a:rPr>
            <a:t>λ</a:t>
          </a:r>
          <a:r>
            <a:rPr lang="es-ES" sz="1000" b="1">
              <a:latin typeface="Arial" pitchFamily="34" charset="0"/>
              <a:cs typeface="Arial" pitchFamily="34" charset="0"/>
            </a:rPr>
            <a:t> [KNm]</a:t>
          </a:r>
        </a:p>
      </xdr:txBody>
    </xdr:sp>
    <xdr:clientData/>
  </xdr:twoCellAnchor>
  <xdr:twoCellAnchor editAs="oneCell">
    <xdr:from>
      <xdr:col>11</xdr:col>
      <xdr:colOff>0</xdr:colOff>
      <xdr:row>2</xdr:row>
      <xdr:rowOff>0</xdr:rowOff>
    </xdr:from>
    <xdr:to>
      <xdr:col>18</xdr:col>
      <xdr:colOff>120407</xdr:colOff>
      <xdr:row>24</xdr:row>
      <xdr:rowOff>73161</xdr:rowOff>
    </xdr:to>
    <xdr:pic>
      <xdr:nvPicPr>
        <xdr:cNvPr id="68" name="geometria">
          <a:extLst>
            <a:ext uri="{FF2B5EF4-FFF2-40B4-BE49-F238E27FC236}">
              <a16:creationId xmlns:a16="http://schemas.microsoft.com/office/drawing/2014/main" id="{00000000-0008-0000-0200-000044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948448" y="387569"/>
          <a:ext cx="5178511" cy="426416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9</xdr:row>
      <xdr:rowOff>65315</xdr:rowOff>
    </xdr:from>
    <xdr:to>
      <xdr:col>4</xdr:col>
      <xdr:colOff>827942</xdr:colOff>
      <xdr:row>28</xdr:row>
      <xdr:rowOff>110540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0" y="3780065"/>
          <a:ext cx="5062904" cy="353188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46</xdr:row>
          <xdr:rowOff>133350</xdr:rowOff>
        </xdr:from>
        <xdr:to>
          <xdr:col>6</xdr:col>
          <xdr:colOff>723900</xdr:colOff>
          <xdr:row>49</xdr:row>
          <xdr:rowOff>152400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Generar Diagrama de Interacción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542925</xdr:colOff>
          <xdr:row>1</xdr:row>
          <xdr:rowOff>285750</xdr:rowOff>
        </xdr:from>
        <xdr:to>
          <xdr:col>6</xdr:col>
          <xdr:colOff>771525</xdr:colOff>
          <xdr:row>4</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VOLVER A VALORES POR DEFECTO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png"/><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5" Type="http://schemas.openxmlformats.org/officeDocument/2006/relationships/image" Target="../media/image1.png"/><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389DD-C354-464F-B3AE-7F73174F7004}">
  <sheetPr codeName="Hoja1"/>
  <dimension ref="A1:I190"/>
  <sheetViews>
    <sheetView showGridLines="0" topLeftCell="A118" zoomScaleNormal="100" workbookViewId="0">
      <selection activeCell="A74" sqref="A74:G79"/>
    </sheetView>
  </sheetViews>
  <sheetFormatPr defaultColWidth="11.42578125" defaultRowHeight="14.25" x14ac:dyDescent="0.2"/>
  <cols>
    <col min="1" max="16384" width="11.42578125" style="100"/>
  </cols>
  <sheetData>
    <row r="1" spans="1:7" x14ac:dyDescent="0.2">
      <c r="A1" s="97"/>
      <c r="B1" s="97"/>
      <c r="C1" s="97"/>
      <c r="D1" s="98"/>
      <c r="E1" s="98"/>
      <c r="F1" s="99"/>
      <c r="G1" s="99"/>
    </row>
    <row r="2" spans="1:7" x14ac:dyDescent="0.2">
      <c r="A2" s="97"/>
      <c r="B2" s="97"/>
      <c r="C2" s="97"/>
      <c r="D2" s="98"/>
      <c r="E2" s="98"/>
      <c r="F2" s="99"/>
      <c r="G2" s="99"/>
    </row>
    <row r="3" spans="1:7" x14ac:dyDescent="0.2">
      <c r="A3" s="97"/>
      <c r="B3" s="97"/>
      <c r="C3" s="97"/>
      <c r="D3" s="98"/>
      <c r="E3" s="98"/>
      <c r="F3" s="99"/>
      <c r="G3" s="99"/>
    </row>
    <row r="4" spans="1:7" x14ac:dyDescent="0.2">
      <c r="A4" s="97"/>
      <c r="B4" s="97"/>
      <c r="C4" s="97"/>
      <c r="D4" s="98"/>
      <c r="E4" s="98"/>
      <c r="F4" s="99"/>
      <c r="G4" s="99"/>
    </row>
    <row r="5" spans="1:7" x14ac:dyDescent="0.2">
      <c r="A5" s="97"/>
      <c r="B5" s="97"/>
      <c r="C5" s="97"/>
      <c r="D5" s="98"/>
      <c r="E5" s="98"/>
      <c r="F5" s="99"/>
      <c r="G5" s="99"/>
    </row>
    <row r="6" spans="1:7" x14ac:dyDescent="0.2">
      <c r="A6" s="97"/>
      <c r="B6" s="97"/>
      <c r="C6" s="97"/>
      <c r="D6" s="98"/>
      <c r="E6" s="98"/>
      <c r="F6" s="99"/>
      <c r="G6" s="99"/>
    </row>
    <row r="7" spans="1:7" x14ac:dyDescent="0.2">
      <c r="A7" s="97"/>
      <c r="B7" s="97"/>
      <c r="C7" s="97"/>
      <c r="D7" s="98"/>
      <c r="E7" s="98"/>
      <c r="F7" s="99"/>
      <c r="G7" s="99"/>
    </row>
    <row r="8" spans="1:7" ht="18.75" x14ac:dyDescent="0.3">
      <c r="A8" s="121" t="s">
        <v>112</v>
      </c>
      <c r="B8" s="122"/>
      <c r="C8" s="122"/>
      <c r="D8" s="122"/>
      <c r="E8" s="122"/>
      <c r="F8" s="122"/>
      <c r="G8" s="122"/>
    </row>
    <row r="9" spans="1:7" ht="6.6" customHeight="1" x14ac:dyDescent="0.25">
      <c r="A9" s="104"/>
      <c r="B9" s="104"/>
      <c r="C9" s="104"/>
      <c r="D9" s="105"/>
      <c r="E9" s="105"/>
      <c r="F9" s="106"/>
      <c r="G9" s="106"/>
    </row>
    <row r="10" spans="1:7" ht="18" customHeight="1" x14ac:dyDescent="0.2">
      <c r="A10" s="123" t="s">
        <v>113</v>
      </c>
      <c r="B10" s="124"/>
      <c r="C10" s="124"/>
      <c r="D10" s="124"/>
      <c r="E10" s="124"/>
      <c r="F10" s="124"/>
      <c r="G10" s="124"/>
    </row>
    <row r="11" spans="1:7" x14ac:dyDescent="0.2">
      <c r="A11" s="97"/>
      <c r="B11" s="97"/>
      <c r="C11" s="97"/>
      <c r="D11" s="98"/>
      <c r="E11" s="98"/>
      <c r="F11" s="99"/>
      <c r="G11" s="99"/>
    </row>
    <row r="12" spans="1:7" x14ac:dyDescent="0.2">
      <c r="A12" s="97"/>
      <c r="B12" s="97"/>
      <c r="C12" s="97"/>
      <c r="D12" s="98"/>
      <c r="E12" s="98"/>
      <c r="F12" s="99"/>
      <c r="G12" s="99"/>
    </row>
    <row r="13" spans="1:7" x14ac:dyDescent="0.2">
      <c r="A13" s="97"/>
      <c r="B13" s="97"/>
      <c r="C13" s="97"/>
      <c r="D13" s="98"/>
      <c r="E13" s="98"/>
      <c r="F13" s="99"/>
      <c r="G13" s="99"/>
    </row>
    <row r="14" spans="1:7" x14ac:dyDescent="0.2">
      <c r="A14" s="125" t="s">
        <v>97</v>
      </c>
      <c r="B14" s="126"/>
      <c r="C14" s="126"/>
      <c r="D14" s="126"/>
      <c r="E14" s="126"/>
      <c r="F14" s="126"/>
      <c r="G14" s="126"/>
    </row>
    <row r="15" spans="1:7" x14ac:dyDescent="0.2">
      <c r="A15" s="126"/>
      <c r="B15" s="126"/>
      <c r="C15" s="126"/>
      <c r="D15" s="126"/>
      <c r="E15" s="126"/>
      <c r="F15" s="126"/>
      <c r="G15" s="126"/>
    </row>
    <row r="16" spans="1:7" x14ac:dyDescent="0.2">
      <c r="A16" s="126"/>
      <c r="B16" s="126"/>
      <c r="C16" s="126"/>
      <c r="D16" s="126"/>
      <c r="E16" s="126"/>
      <c r="F16" s="126"/>
      <c r="G16" s="126"/>
    </row>
    <row r="17" spans="1:7" ht="15.75" x14ac:dyDescent="0.3">
      <c r="A17" s="143" t="s">
        <v>114</v>
      </c>
      <c r="B17" s="144"/>
      <c r="C17" s="144"/>
      <c r="D17" s="144"/>
      <c r="E17" s="144"/>
      <c r="F17" s="144"/>
      <c r="G17" s="144"/>
    </row>
    <row r="18" spans="1:7" x14ac:dyDescent="0.2">
      <c r="A18" s="97"/>
      <c r="B18" s="97"/>
      <c r="C18" s="97"/>
      <c r="D18" s="98"/>
      <c r="E18" s="98"/>
      <c r="F18" s="99"/>
      <c r="G18" s="99"/>
    </row>
    <row r="19" spans="1:7" ht="20.45" customHeight="1" x14ac:dyDescent="0.3">
      <c r="A19" s="143" t="s">
        <v>115</v>
      </c>
      <c r="B19" s="143"/>
      <c r="C19" s="143"/>
      <c r="D19" s="143"/>
      <c r="E19" s="143"/>
      <c r="F19" s="143"/>
      <c r="G19" s="143"/>
    </row>
    <row r="20" spans="1:7" ht="14.1" customHeight="1" x14ac:dyDescent="0.25">
      <c r="A20" s="107"/>
      <c r="B20" s="107"/>
      <c r="C20" s="107"/>
      <c r="D20" s="107"/>
      <c r="E20" s="107"/>
      <c r="F20" s="107"/>
      <c r="G20" s="107"/>
    </row>
    <row r="21" spans="1:7" ht="14.1" customHeight="1" x14ac:dyDescent="0.2">
      <c r="A21" s="145" t="s">
        <v>116</v>
      </c>
      <c r="B21" s="145"/>
      <c r="C21" s="145"/>
      <c r="D21" s="145"/>
      <c r="E21" s="145"/>
      <c r="F21" s="145"/>
      <c r="G21" s="145"/>
    </row>
    <row r="22" spans="1:7" ht="14.1" customHeight="1" x14ac:dyDescent="0.2">
      <c r="A22" s="145"/>
      <c r="B22" s="145"/>
      <c r="C22" s="145"/>
      <c r="D22" s="145"/>
      <c r="E22" s="145"/>
      <c r="F22" s="145"/>
      <c r="G22" s="145"/>
    </row>
    <row r="23" spans="1:7" ht="14.1" customHeight="1" x14ac:dyDescent="0.2">
      <c r="A23" s="145"/>
      <c r="B23" s="145"/>
      <c r="C23" s="145"/>
      <c r="D23" s="145"/>
      <c r="E23" s="145"/>
      <c r="F23" s="145"/>
      <c r="G23" s="145"/>
    </row>
    <row r="24" spans="1:7" ht="15.6" customHeight="1" x14ac:dyDescent="0.3">
      <c r="A24" s="108"/>
      <c r="B24" s="108"/>
      <c r="C24" s="108"/>
      <c r="D24" s="108"/>
      <c r="E24" s="108"/>
      <c r="F24" s="108"/>
      <c r="G24" s="108"/>
    </row>
    <row r="25" spans="1:7" ht="15.75" x14ac:dyDescent="0.3">
      <c r="A25" s="143" t="s">
        <v>117</v>
      </c>
      <c r="B25" s="127"/>
      <c r="C25" s="127"/>
      <c r="D25" s="127"/>
      <c r="E25" s="127"/>
      <c r="F25" s="127"/>
      <c r="G25" s="127"/>
    </row>
    <row r="26" spans="1:7" ht="20.25" x14ac:dyDescent="0.3">
      <c r="A26" s="109"/>
      <c r="B26" s="110"/>
      <c r="C26" s="110"/>
      <c r="D26" s="110"/>
      <c r="E26" s="110"/>
      <c r="F26" s="110"/>
      <c r="G26" s="110"/>
    </row>
    <row r="27" spans="1:7" ht="15" x14ac:dyDescent="0.25">
      <c r="A27" s="97"/>
      <c r="B27" s="127" t="s">
        <v>122</v>
      </c>
      <c r="C27" s="127"/>
      <c r="D27" s="127"/>
      <c r="E27" s="127"/>
      <c r="F27" s="127"/>
      <c r="G27" s="99"/>
    </row>
    <row r="28" spans="1:7" x14ac:dyDescent="0.2">
      <c r="A28" s="97"/>
      <c r="B28" s="97"/>
      <c r="C28" s="97"/>
      <c r="D28" s="98"/>
      <c r="E28" s="98"/>
      <c r="F28" s="99"/>
      <c r="G28" s="99"/>
    </row>
    <row r="29" spans="1:7" ht="15" x14ac:dyDescent="0.25">
      <c r="A29" s="97"/>
      <c r="B29" s="127" t="s">
        <v>121</v>
      </c>
      <c r="C29" s="127"/>
      <c r="D29" s="127"/>
      <c r="E29" s="127"/>
      <c r="F29" s="127"/>
      <c r="G29" s="99"/>
    </row>
    <row r="30" spans="1:7" x14ac:dyDescent="0.2">
      <c r="A30" s="97"/>
      <c r="B30" s="97"/>
      <c r="C30" s="97"/>
      <c r="D30" s="98"/>
      <c r="E30" s="98"/>
      <c r="F30" s="99"/>
      <c r="G30" s="99"/>
    </row>
    <row r="31" spans="1:7" x14ac:dyDescent="0.2">
      <c r="A31" s="97"/>
      <c r="B31" s="97"/>
      <c r="C31" s="128" t="s">
        <v>118</v>
      </c>
      <c r="D31" s="128"/>
      <c r="E31" s="128"/>
      <c r="F31" s="99"/>
      <c r="G31" s="99"/>
    </row>
    <row r="32" spans="1:7" ht="15" x14ac:dyDescent="0.25">
      <c r="A32" s="97"/>
      <c r="B32" s="97"/>
      <c r="C32" s="101"/>
      <c r="D32" s="101"/>
      <c r="E32" s="101"/>
      <c r="F32" s="99"/>
      <c r="G32" s="99"/>
    </row>
    <row r="33" spans="1:9" ht="14.25" customHeight="1" x14ac:dyDescent="0.2">
      <c r="A33" s="129" t="s">
        <v>98</v>
      </c>
      <c r="B33" s="129"/>
      <c r="C33" s="129"/>
      <c r="D33" s="129"/>
      <c r="E33" s="129"/>
      <c r="F33" s="129"/>
      <c r="G33" s="129"/>
    </row>
    <row r="34" spans="1:9" ht="15" thickBot="1" x14ac:dyDescent="0.25">
      <c r="A34" s="130"/>
      <c r="B34" s="130"/>
      <c r="C34" s="130"/>
      <c r="D34" s="130"/>
      <c r="E34" s="130"/>
      <c r="F34" s="130"/>
      <c r="G34" s="130"/>
    </row>
    <row r="35" spans="1:9" ht="14.45" customHeight="1" thickTop="1" x14ac:dyDescent="0.2">
      <c r="A35" s="131" t="s">
        <v>119</v>
      </c>
      <c r="B35" s="131"/>
      <c r="C35" s="131"/>
      <c r="D35" s="131"/>
      <c r="E35" s="131"/>
      <c r="F35" s="131"/>
      <c r="G35" s="131"/>
    </row>
    <row r="36" spans="1:9" x14ac:dyDescent="0.2">
      <c r="A36" s="132"/>
      <c r="B36" s="132"/>
      <c r="C36" s="132"/>
      <c r="D36" s="132"/>
      <c r="E36" s="132"/>
      <c r="F36" s="132"/>
      <c r="G36" s="132"/>
    </row>
    <row r="37" spans="1:9" x14ac:dyDescent="0.2">
      <c r="A37" s="132"/>
      <c r="B37" s="132"/>
      <c r="C37" s="132"/>
      <c r="D37" s="132"/>
      <c r="E37" s="132"/>
      <c r="F37" s="132"/>
      <c r="G37" s="132"/>
    </row>
    <row r="38" spans="1:9" x14ac:dyDescent="0.2">
      <c r="A38" s="132"/>
      <c r="B38" s="132"/>
      <c r="C38" s="132"/>
      <c r="D38" s="132"/>
      <c r="E38" s="132"/>
      <c r="F38" s="132"/>
      <c r="G38" s="132"/>
    </row>
    <row r="39" spans="1:9" x14ac:dyDescent="0.2">
      <c r="A39" s="132"/>
      <c r="B39" s="132"/>
      <c r="C39" s="132"/>
      <c r="D39" s="132"/>
      <c r="E39" s="132"/>
      <c r="F39" s="132"/>
      <c r="G39" s="132"/>
    </row>
    <row r="40" spans="1:9" x14ac:dyDescent="0.2">
      <c r="A40" s="132"/>
      <c r="B40" s="132"/>
      <c r="C40" s="132"/>
      <c r="D40" s="132"/>
      <c r="E40" s="132"/>
      <c r="F40" s="132"/>
      <c r="G40" s="132"/>
    </row>
    <row r="41" spans="1:9" ht="15" x14ac:dyDescent="0.25">
      <c r="A41" s="99"/>
      <c r="B41" s="99"/>
      <c r="C41" s="99"/>
      <c r="D41" s="99"/>
      <c r="E41" s="99"/>
      <c r="F41" s="99"/>
      <c r="G41" s="99"/>
      <c r="I41" s="102"/>
    </row>
    <row r="42" spans="1:9" x14ac:dyDescent="0.2">
      <c r="A42" s="99"/>
      <c r="B42" s="99"/>
      <c r="C42" s="99"/>
      <c r="D42" s="99"/>
      <c r="E42" s="99"/>
      <c r="F42" s="99"/>
      <c r="G42" s="99"/>
    </row>
    <row r="43" spans="1:9" x14ac:dyDescent="0.2">
      <c r="A43" s="99"/>
      <c r="B43" s="99"/>
      <c r="C43" s="99"/>
      <c r="D43" s="99"/>
      <c r="E43" s="99"/>
      <c r="F43" s="99"/>
      <c r="G43" s="99"/>
    </row>
    <row r="44" spans="1:9" x14ac:dyDescent="0.2">
      <c r="A44" s="99"/>
      <c r="B44" s="99"/>
      <c r="C44" s="99"/>
      <c r="D44" s="99"/>
      <c r="E44" s="99"/>
      <c r="F44" s="99"/>
      <c r="G44" s="99"/>
    </row>
    <row r="45" spans="1:9" x14ac:dyDescent="0.2">
      <c r="A45" s="99"/>
      <c r="B45" s="99"/>
      <c r="C45" s="99"/>
      <c r="D45" s="99"/>
      <c r="E45" s="99"/>
      <c r="F45" s="99"/>
      <c r="G45" s="99"/>
    </row>
    <row r="46" spans="1:9" x14ac:dyDescent="0.2">
      <c r="A46" s="99"/>
      <c r="B46" s="99"/>
      <c r="C46" s="99"/>
      <c r="E46" s="99"/>
      <c r="F46" s="99"/>
      <c r="G46" s="99"/>
    </row>
    <row r="47" spans="1:9" ht="15" x14ac:dyDescent="0.25">
      <c r="A47" s="99"/>
      <c r="B47" s="99"/>
      <c r="C47" s="99"/>
      <c r="D47" s="103" t="s">
        <v>99</v>
      </c>
      <c r="E47" s="99"/>
      <c r="F47"/>
      <c r="G47" s="99"/>
    </row>
    <row r="48" spans="1:9" x14ac:dyDescent="0.2">
      <c r="A48" s="99"/>
      <c r="B48" s="99"/>
      <c r="C48" s="99"/>
      <c r="D48" s="99"/>
      <c r="E48" s="99"/>
      <c r="F48" s="99"/>
      <c r="G48" s="99"/>
    </row>
    <row r="49" spans="1:7" ht="15" x14ac:dyDescent="0.25">
      <c r="A49" s="99"/>
      <c r="B49" s="99"/>
      <c r="C49" s="99"/>
      <c r="D49"/>
      <c r="E49" s="99"/>
      <c r="F49" s="99"/>
      <c r="G49" s="99"/>
    </row>
    <row r="50" spans="1:7" ht="15" x14ac:dyDescent="0.25">
      <c r="A50" s="99"/>
      <c r="B50" s="99"/>
      <c r="C50" s="99"/>
      <c r="D50"/>
      <c r="E50"/>
      <c r="F50" s="99"/>
      <c r="G50" s="99"/>
    </row>
    <row r="51" spans="1:7" x14ac:dyDescent="0.2">
      <c r="A51" s="99"/>
      <c r="B51" s="99"/>
      <c r="C51" s="99"/>
      <c r="D51" s="99"/>
      <c r="E51" s="99"/>
      <c r="F51" s="99"/>
      <c r="G51" s="99"/>
    </row>
    <row r="52" spans="1:7" x14ac:dyDescent="0.2">
      <c r="A52" s="99"/>
      <c r="B52" s="99"/>
      <c r="C52" s="99"/>
      <c r="D52" s="99"/>
      <c r="E52" s="99"/>
      <c r="F52" s="99"/>
      <c r="G52" s="99"/>
    </row>
    <row r="53" spans="1:7" x14ac:dyDescent="0.2">
      <c r="A53" s="99"/>
      <c r="B53" s="99"/>
      <c r="C53" s="99"/>
      <c r="D53" s="99"/>
      <c r="E53" s="99"/>
      <c r="F53" s="99"/>
      <c r="G53" s="99"/>
    </row>
    <row r="54" spans="1:7" x14ac:dyDescent="0.2">
      <c r="A54" s="133" t="s">
        <v>120</v>
      </c>
      <c r="B54" s="133"/>
      <c r="C54" s="133"/>
      <c r="D54" s="133"/>
      <c r="E54" s="133"/>
      <c r="F54" s="133"/>
      <c r="G54" s="133"/>
    </row>
    <row r="55" spans="1:7" x14ac:dyDescent="0.2">
      <c r="A55" s="133"/>
      <c r="B55" s="133"/>
      <c r="C55" s="133"/>
      <c r="D55" s="133"/>
      <c r="E55" s="133"/>
      <c r="F55" s="133"/>
      <c r="G55" s="133"/>
    </row>
    <row r="56" spans="1:7" x14ac:dyDescent="0.2">
      <c r="A56" s="133"/>
      <c r="B56" s="133"/>
      <c r="C56" s="133"/>
      <c r="D56" s="133"/>
      <c r="E56" s="133"/>
      <c r="F56" s="133"/>
      <c r="G56" s="133"/>
    </row>
    <row r="57" spans="1:7" x14ac:dyDescent="0.2">
      <c r="A57" s="99"/>
      <c r="B57" s="99"/>
      <c r="C57" s="99"/>
      <c r="D57" s="99"/>
      <c r="E57" s="99"/>
      <c r="F57" s="99"/>
      <c r="G57" s="99"/>
    </row>
    <row r="58" spans="1:7" ht="14.45" customHeight="1" x14ac:dyDescent="0.2">
      <c r="A58" s="135" t="s">
        <v>100</v>
      </c>
      <c r="B58" s="135"/>
      <c r="C58" s="135"/>
      <c r="D58" s="135"/>
      <c r="E58" s="135"/>
      <c r="F58" s="135"/>
      <c r="G58" s="135"/>
    </row>
    <row r="59" spans="1:7" ht="15" thickBot="1" x14ac:dyDescent="0.25">
      <c r="A59" s="136"/>
      <c r="B59" s="136"/>
      <c r="C59" s="136"/>
      <c r="D59" s="136"/>
      <c r="E59" s="136"/>
      <c r="F59" s="136"/>
      <c r="G59" s="136"/>
    </row>
    <row r="60" spans="1:7" ht="14.45" customHeight="1" thickTop="1" x14ac:dyDescent="0.2">
      <c r="A60" s="131" t="s">
        <v>123</v>
      </c>
      <c r="B60" s="131"/>
      <c r="C60" s="131"/>
      <c r="D60" s="131"/>
      <c r="E60" s="131"/>
      <c r="F60" s="131"/>
      <c r="G60" s="131"/>
    </row>
    <row r="61" spans="1:7" x14ac:dyDescent="0.2">
      <c r="A61" s="137"/>
      <c r="B61" s="137"/>
      <c r="C61" s="137"/>
      <c r="D61" s="137"/>
      <c r="E61" s="137"/>
      <c r="F61" s="137"/>
      <c r="G61" s="137"/>
    </row>
    <row r="62" spans="1:7" x14ac:dyDescent="0.2">
      <c r="A62" s="137"/>
      <c r="B62" s="137"/>
      <c r="C62" s="137"/>
      <c r="D62" s="137"/>
      <c r="E62" s="137"/>
      <c r="F62" s="137"/>
      <c r="G62" s="137"/>
    </row>
    <row r="63" spans="1:7" ht="15" x14ac:dyDescent="0.25">
      <c r="A63" s="112" t="s">
        <v>124</v>
      </c>
      <c r="B63" s="138" t="s">
        <v>125</v>
      </c>
      <c r="C63" s="138"/>
      <c r="D63" s="112"/>
      <c r="E63" s="112"/>
      <c r="F63" s="112"/>
      <c r="G63" s="112"/>
    </row>
    <row r="64" spans="1:7" ht="14.45" customHeight="1" x14ac:dyDescent="0.2">
      <c r="A64" s="139" t="s">
        <v>130</v>
      </c>
      <c r="B64" s="139"/>
      <c r="C64" s="139"/>
      <c r="D64" s="139"/>
      <c r="E64" s="139"/>
      <c r="F64" s="139"/>
      <c r="G64" s="139"/>
    </row>
    <row r="65" spans="1:7" x14ac:dyDescent="0.2">
      <c r="A65" s="139"/>
      <c r="B65" s="139"/>
      <c r="C65" s="139"/>
      <c r="D65" s="139"/>
      <c r="E65" s="139"/>
      <c r="F65" s="139"/>
      <c r="G65" s="139"/>
    </row>
    <row r="66" spans="1:7" ht="14.1" customHeight="1" x14ac:dyDescent="0.2">
      <c r="A66" s="137" t="s">
        <v>131</v>
      </c>
      <c r="B66" s="137"/>
      <c r="C66" s="137"/>
      <c r="D66" s="137"/>
      <c r="E66" s="137"/>
      <c r="F66" s="137"/>
      <c r="G66" s="137"/>
    </row>
    <row r="67" spans="1:7" x14ac:dyDescent="0.2">
      <c r="A67" s="137"/>
      <c r="B67" s="137"/>
      <c r="C67" s="137"/>
      <c r="D67" s="137"/>
      <c r="E67" s="137"/>
      <c r="F67" s="137"/>
      <c r="G67" s="137"/>
    </row>
    <row r="68" spans="1:7" x14ac:dyDescent="0.2">
      <c r="A68" s="137"/>
      <c r="B68" s="137"/>
      <c r="C68" s="137"/>
      <c r="D68" s="137"/>
      <c r="E68" s="137"/>
      <c r="F68" s="137"/>
      <c r="G68" s="137"/>
    </row>
    <row r="69" spans="1:7" x14ac:dyDescent="0.2">
      <c r="A69" s="137"/>
      <c r="B69" s="137"/>
      <c r="C69" s="137"/>
      <c r="D69" s="137"/>
      <c r="E69" s="137"/>
      <c r="F69" s="137"/>
      <c r="G69" s="137"/>
    </row>
    <row r="70" spans="1:7" x14ac:dyDescent="0.2">
      <c r="A70" s="137"/>
      <c r="B70" s="137"/>
      <c r="C70" s="137"/>
      <c r="D70" s="137"/>
      <c r="E70" s="137"/>
      <c r="F70" s="137"/>
      <c r="G70" s="137"/>
    </row>
    <row r="71" spans="1:7" x14ac:dyDescent="0.2">
      <c r="A71" s="137"/>
      <c r="B71" s="137"/>
      <c r="C71" s="137"/>
      <c r="D71" s="137"/>
      <c r="E71" s="137"/>
      <c r="F71" s="137"/>
      <c r="G71" s="137"/>
    </row>
    <row r="72" spans="1:7" ht="14.45" customHeight="1" x14ac:dyDescent="0.2">
      <c r="A72" s="139" t="s">
        <v>126</v>
      </c>
      <c r="B72" s="139"/>
      <c r="C72" s="139"/>
      <c r="D72" s="139"/>
      <c r="E72" s="139"/>
      <c r="F72" s="139"/>
      <c r="G72" s="139"/>
    </row>
    <row r="73" spans="1:7" x14ac:dyDescent="0.2">
      <c r="A73" s="139"/>
      <c r="B73" s="139"/>
      <c r="C73" s="139"/>
      <c r="D73" s="139"/>
      <c r="E73" s="139"/>
      <c r="F73" s="139"/>
      <c r="G73" s="139"/>
    </row>
    <row r="74" spans="1:7" x14ac:dyDescent="0.2">
      <c r="A74" s="134" t="s">
        <v>132</v>
      </c>
      <c r="B74" s="134"/>
      <c r="C74" s="134"/>
      <c r="D74" s="134"/>
      <c r="E74" s="134"/>
      <c r="F74" s="134"/>
      <c r="G74" s="134"/>
    </row>
    <row r="75" spans="1:7" x14ac:dyDescent="0.2">
      <c r="A75" s="134"/>
      <c r="B75" s="134"/>
      <c r="C75" s="134"/>
      <c r="D75" s="134"/>
      <c r="E75" s="134"/>
      <c r="F75" s="134"/>
      <c r="G75" s="134"/>
    </row>
    <row r="76" spans="1:7" x14ac:dyDescent="0.2">
      <c r="A76" s="134"/>
      <c r="B76" s="134"/>
      <c r="C76" s="134"/>
      <c r="D76" s="134"/>
      <c r="E76" s="134"/>
      <c r="F76" s="134"/>
      <c r="G76" s="134"/>
    </row>
    <row r="77" spans="1:7" x14ac:dyDescent="0.2">
      <c r="A77" s="134"/>
      <c r="B77" s="134"/>
      <c r="C77" s="134"/>
      <c r="D77" s="134"/>
      <c r="E77" s="134"/>
      <c r="F77" s="134"/>
      <c r="G77" s="134"/>
    </row>
    <row r="78" spans="1:7" x14ac:dyDescent="0.2">
      <c r="A78" s="134"/>
      <c r="B78" s="134"/>
      <c r="C78" s="134"/>
      <c r="D78" s="134"/>
      <c r="E78" s="134"/>
      <c r="F78" s="134"/>
      <c r="G78" s="134"/>
    </row>
    <row r="79" spans="1:7" x14ac:dyDescent="0.2">
      <c r="A79" s="134"/>
      <c r="B79" s="134"/>
      <c r="C79" s="134"/>
      <c r="D79" s="134"/>
      <c r="E79" s="134"/>
      <c r="F79" s="134"/>
      <c r="G79" s="134"/>
    </row>
    <row r="80" spans="1:7" x14ac:dyDescent="0.2">
      <c r="A80" s="134" t="s">
        <v>133</v>
      </c>
      <c r="B80" s="134"/>
      <c r="C80" s="134"/>
      <c r="D80" s="134"/>
      <c r="E80" s="134"/>
      <c r="F80" s="134"/>
      <c r="G80" s="134"/>
    </row>
    <row r="81" spans="1:7" x14ac:dyDescent="0.2">
      <c r="A81" s="134"/>
      <c r="B81" s="134"/>
      <c r="C81" s="134"/>
      <c r="D81" s="134"/>
      <c r="E81" s="134"/>
      <c r="F81" s="134"/>
      <c r="G81" s="134"/>
    </row>
    <row r="82" spans="1:7" x14ac:dyDescent="0.2">
      <c r="A82" s="99"/>
      <c r="B82" s="99"/>
      <c r="C82" s="99"/>
      <c r="D82" s="99"/>
      <c r="E82" s="99"/>
      <c r="F82" s="99"/>
      <c r="G82" s="99"/>
    </row>
    <row r="83" spans="1:7" x14ac:dyDescent="0.2">
      <c r="A83" s="99"/>
      <c r="B83" s="99"/>
      <c r="C83" s="99"/>
      <c r="D83" s="99"/>
      <c r="E83" s="99"/>
      <c r="F83" s="99"/>
      <c r="G83" s="99"/>
    </row>
    <row r="84" spans="1:7" x14ac:dyDescent="0.2">
      <c r="A84" s="99"/>
      <c r="B84" s="99"/>
      <c r="C84" s="99"/>
      <c r="D84" s="99"/>
      <c r="E84" s="99"/>
      <c r="F84" s="99"/>
      <c r="G84" s="99"/>
    </row>
    <row r="85" spans="1:7" ht="15" x14ac:dyDescent="0.25">
      <c r="A85" s="99"/>
      <c r="B85"/>
      <c r="C85" s="99"/>
      <c r="D85" s="99"/>
      <c r="E85" s="99"/>
      <c r="F85" s="99"/>
      <c r="G85" s="99"/>
    </row>
    <row r="86" spans="1:7" x14ac:dyDescent="0.2">
      <c r="A86" s="99"/>
      <c r="B86" s="99"/>
      <c r="C86" s="99"/>
      <c r="D86" s="99"/>
      <c r="E86" s="99"/>
      <c r="F86" s="99"/>
      <c r="G86" s="99"/>
    </row>
    <row r="87" spans="1:7" x14ac:dyDescent="0.2">
      <c r="A87" s="99"/>
      <c r="B87" s="99"/>
      <c r="C87" s="99"/>
      <c r="D87" s="99"/>
      <c r="E87" s="99"/>
      <c r="F87" s="99"/>
      <c r="G87" s="99"/>
    </row>
    <row r="88" spans="1:7" x14ac:dyDescent="0.2">
      <c r="A88" s="99"/>
      <c r="B88" s="99"/>
      <c r="C88" s="99"/>
      <c r="D88" s="99"/>
      <c r="E88" s="99"/>
      <c r="F88" s="99"/>
      <c r="G88" s="99"/>
    </row>
    <row r="89" spans="1:7" x14ac:dyDescent="0.2">
      <c r="A89" s="99"/>
      <c r="B89" s="99"/>
      <c r="C89" s="99"/>
      <c r="D89" s="99"/>
      <c r="E89" s="99"/>
      <c r="F89" s="99"/>
      <c r="G89" s="99"/>
    </row>
    <row r="90" spans="1:7" x14ac:dyDescent="0.2">
      <c r="A90" s="99"/>
      <c r="B90" s="99"/>
      <c r="C90" s="99"/>
      <c r="D90" s="99"/>
      <c r="E90" s="99"/>
      <c r="F90" s="99"/>
      <c r="G90" s="99"/>
    </row>
    <row r="91" spans="1:7" x14ac:dyDescent="0.2">
      <c r="A91" s="99"/>
      <c r="B91" s="99"/>
      <c r="C91" s="99"/>
      <c r="D91" s="99"/>
      <c r="E91" s="99"/>
      <c r="F91" s="99"/>
      <c r="G91" s="99"/>
    </row>
    <row r="92" spans="1:7" x14ac:dyDescent="0.2">
      <c r="A92" s="99"/>
      <c r="B92" s="99"/>
      <c r="C92" s="99"/>
      <c r="D92" s="99"/>
      <c r="E92" s="99"/>
      <c r="F92" s="99"/>
      <c r="G92" s="99"/>
    </row>
    <row r="93" spans="1:7" x14ac:dyDescent="0.2">
      <c r="A93" s="99"/>
      <c r="B93" s="99"/>
      <c r="C93" s="99"/>
      <c r="D93" s="99"/>
      <c r="E93" s="99"/>
      <c r="F93" s="99"/>
      <c r="G93" s="99"/>
    </row>
    <row r="94" spans="1:7" x14ac:dyDescent="0.2">
      <c r="A94" s="99"/>
      <c r="B94" s="99"/>
      <c r="C94" s="99"/>
      <c r="D94" s="99"/>
      <c r="E94" s="99"/>
      <c r="F94" s="99"/>
      <c r="G94" s="99"/>
    </row>
    <row r="95" spans="1:7" x14ac:dyDescent="0.2">
      <c r="A95" s="99"/>
      <c r="B95" s="99"/>
      <c r="C95" s="99"/>
      <c r="D95" s="99"/>
      <c r="E95" s="99"/>
      <c r="F95" s="99"/>
      <c r="G95" s="99"/>
    </row>
    <row r="96" spans="1:7" x14ac:dyDescent="0.2">
      <c r="A96" s="99"/>
      <c r="B96" s="99"/>
      <c r="C96" s="99"/>
      <c r="D96" s="99"/>
      <c r="E96" s="99"/>
      <c r="F96" s="99"/>
      <c r="G96" s="99"/>
    </row>
    <row r="97" spans="1:7" x14ac:dyDescent="0.2">
      <c r="A97" s="99"/>
      <c r="B97" s="99"/>
      <c r="C97" s="99"/>
      <c r="D97" s="99"/>
      <c r="E97" s="99"/>
      <c r="F97" s="99"/>
      <c r="G97" s="99"/>
    </row>
    <row r="98" spans="1:7" x14ac:dyDescent="0.2">
      <c r="A98" s="99"/>
      <c r="B98" s="99"/>
      <c r="C98" s="99"/>
      <c r="D98" s="99"/>
      <c r="E98" s="99"/>
      <c r="F98" s="99"/>
      <c r="G98" s="99"/>
    </row>
    <row r="99" spans="1:7" x14ac:dyDescent="0.2">
      <c r="A99" s="99"/>
      <c r="B99" s="99"/>
      <c r="C99" s="99"/>
      <c r="D99" s="99"/>
      <c r="E99" s="99"/>
      <c r="F99" s="99"/>
      <c r="G99" s="99"/>
    </row>
    <row r="100" spans="1:7" x14ac:dyDescent="0.2">
      <c r="A100" s="99"/>
      <c r="B100" s="99"/>
      <c r="C100" s="99"/>
      <c r="D100" s="99"/>
      <c r="E100" s="99"/>
      <c r="F100" s="99"/>
      <c r="G100" s="99"/>
    </row>
    <row r="101" spans="1:7" x14ac:dyDescent="0.2">
      <c r="A101" s="99"/>
      <c r="B101" s="99"/>
      <c r="C101" s="99"/>
      <c r="D101" s="99"/>
      <c r="E101" s="99"/>
      <c r="F101" s="99"/>
      <c r="G101" s="99"/>
    </row>
    <row r="102" spans="1:7" x14ac:dyDescent="0.2">
      <c r="A102" s="99"/>
      <c r="B102" s="99"/>
      <c r="C102" s="99"/>
      <c r="D102" s="99"/>
      <c r="E102" s="99"/>
      <c r="F102" s="99"/>
      <c r="G102" s="99"/>
    </row>
    <row r="103" spans="1:7" x14ac:dyDescent="0.2">
      <c r="A103" s="99"/>
      <c r="B103" s="99"/>
      <c r="C103" s="99"/>
      <c r="D103" s="99"/>
      <c r="E103" s="99"/>
      <c r="F103" s="99"/>
      <c r="G103" s="99"/>
    </row>
    <row r="104" spans="1:7" x14ac:dyDescent="0.2">
      <c r="A104" s="99"/>
      <c r="B104" s="99"/>
      <c r="C104" s="99"/>
      <c r="D104" s="99"/>
      <c r="E104" s="99"/>
      <c r="F104" s="99"/>
      <c r="G104" s="99"/>
    </row>
    <row r="105" spans="1:7" x14ac:dyDescent="0.2">
      <c r="A105" s="99"/>
      <c r="B105" s="99"/>
      <c r="C105" s="99"/>
      <c r="D105" s="99"/>
      <c r="E105" s="99"/>
      <c r="F105" s="99"/>
      <c r="G105" s="99"/>
    </row>
    <row r="106" spans="1:7" x14ac:dyDescent="0.2">
      <c r="A106" s="99"/>
      <c r="B106" s="99"/>
      <c r="C106" s="99"/>
      <c r="D106" s="99"/>
      <c r="E106" s="99"/>
      <c r="F106" s="99"/>
      <c r="G106" s="99"/>
    </row>
    <row r="107" spans="1:7" ht="14.1" customHeight="1" x14ac:dyDescent="0.2">
      <c r="A107" s="140" t="s">
        <v>134</v>
      </c>
      <c r="B107" s="140"/>
      <c r="C107" s="140"/>
      <c r="D107" s="140"/>
      <c r="E107" s="140"/>
      <c r="F107" s="140"/>
      <c r="G107" s="140"/>
    </row>
    <row r="108" spans="1:7" x14ac:dyDescent="0.2">
      <c r="A108" s="140"/>
      <c r="B108" s="140"/>
      <c r="C108" s="140"/>
      <c r="D108" s="140"/>
      <c r="E108" s="140"/>
      <c r="F108" s="140"/>
      <c r="G108" s="140"/>
    </row>
    <row r="109" spans="1:7" ht="15" x14ac:dyDescent="0.2">
      <c r="A109" s="116"/>
      <c r="B109" s="116"/>
      <c r="C109" s="116"/>
      <c r="D109" s="116"/>
      <c r="E109" s="116"/>
      <c r="F109" s="116"/>
      <c r="G109" s="116"/>
    </row>
    <row r="110" spans="1:7" ht="14.1" customHeight="1" x14ac:dyDescent="0.2">
      <c r="A110" s="141" t="s">
        <v>135</v>
      </c>
      <c r="B110" s="141"/>
      <c r="C110" s="141"/>
      <c r="D110" s="141"/>
      <c r="E110" s="141"/>
      <c r="F110" s="141"/>
      <c r="G110" s="141"/>
    </row>
    <row r="111" spans="1:7" x14ac:dyDescent="0.2">
      <c r="A111" s="141"/>
      <c r="B111" s="141"/>
      <c r="C111" s="141"/>
      <c r="D111" s="141"/>
      <c r="E111" s="141"/>
      <c r="F111" s="141"/>
      <c r="G111" s="141"/>
    </row>
    <row r="112" spans="1:7" x14ac:dyDescent="0.2">
      <c r="A112" s="141"/>
      <c r="B112" s="141"/>
      <c r="C112" s="141"/>
      <c r="D112" s="141"/>
      <c r="E112" s="141"/>
      <c r="F112" s="141"/>
      <c r="G112" s="141"/>
    </row>
    <row r="113" spans="1:7" x14ac:dyDescent="0.2">
      <c r="A113" s="141"/>
      <c r="B113" s="141"/>
      <c r="C113" s="141"/>
      <c r="D113" s="141"/>
      <c r="E113" s="141"/>
      <c r="F113" s="141"/>
      <c r="G113" s="141"/>
    </row>
    <row r="114" spans="1:7" ht="15" x14ac:dyDescent="0.2">
      <c r="A114" s="111"/>
      <c r="B114" s="111"/>
      <c r="C114" s="111"/>
      <c r="D114" s="111"/>
      <c r="E114" s="111"/>
      <c r="F114" s="111"/>
      <c r="G114" s="111"/>
    </row>
    <row r="115" spans="1:7" ht="14.45" customHeight="1" x14ac:dyDescent="0.2">
      <c r="A115" s="137" t="s">
        <v>101</v>
      </c>
      <c r="B115" s="137"/>
      <c r="C115" s="137"/>
      <c r="D115" s="137"/>
      <c r="E115" s="137"/>
      <c r="F115" s="137"/>
      <c r="G115" s="137"/>
    </row>
    <row r="116" spans="1:7" ht="14.1" customHeight="1" x14ac:dyDescent="0.2">
      <c r="A116" s="137"/>
      <c r="B116" s="137"/>
      <c r="C116" s="137"/>
      <c r="D116" s="137"/>
      <c r="E116" s="137"/>
      <c r="F116" s="137"/>
      <c r="G116" s="137"/>
    </row>
    <row r="117" spans="1:7" ht="15" x14ac:dyDescent="0.2">
      <c r="A117" s="106"/>
      <c r="B117" s="106"/>
      <c r="C117" s="106"/>
      <c r="D117" s="106"/>
      <c r="E117" s="106"/>
      <c r="F117" s="106"/>
      <c r="G117" s="106"/>
    </row>
    <row r="118" spans="1:7" x14ac:dyDescent="0.2">
      <c r="A118" s="117"/>
      <c r="B118" s="117"/>
      <c r="C118" s="117"/>
      <c r="D118" s="117"/>
      <c r="E118" s="117"/>
      <c r="F118" s="117"/>
      <c r="G118" s="117"/>
    </row>
    <row r="119" spans="1:7" x14ac:dyDescent="0.2">
      <c r="A119" s="147" t="s">
        <v>102</v>
      </c>
      <c r="B119" s="147"/>
      <c r="C119" s="147"/>
      <c r="D119" s="147"/>
      <c r="E119" s="147"/>
      <c r="F119" s="147"/>
      <c r="G119" s="147"/>
    </row>
    <row r="120" spans="1:7" x14ac:dyDescent="0.2">
      <c r="A120" s="147"/>
      <c r="B120" s="147"/>
      <c r="C120" s="147"/>
      <c r="D120" s="147"/>
      <c r="E120" s="147"/>
      <c r="F120" s="147"/>
      <c r="G120" s="147"/>
    </row>
    <row r="121" spans="1:7" x14ac:dyDescent="0.2">
      <c r="A121" s="147"/>
      <c r="B121" s="147"/>
      <c r="C121" s="147"/>
      <c r="D121" s="147"/>
      <c r="E121" s="147"/>
      <c r="F121" s="147"/>
      <c r="G121" s="147"/>
    </row>
    <row r="122" spans="1:7" x14ac:dyDescent="0.2">
      <c r="A122" s="147"/>
      <c r="B122" s="147"/>
      <c r="C122" s="147"/>
      <c r="D122" s="147"/>
      <c r="E122" s="147"/>
      <c r="F122" s="147"/>
      <c r="G122" s="147"/>
    </row>
    <row r="123" spans="1:7" x14ac:dyDescent="0.2">
      <c r="A123" s="147"/>
      <c r="B123" s="147"/>
      <c r="C123" s="147"/>
      <c r="D123" s="147"/>
      <c r="E123" s="147"/>
      <c r="F123" s="147"/>
      <c r="G123" s="147"/>
    </row>
    <row r="124" spans="1:7" x14ac:dyDescent="0.2">
      <c r="A124" s="147"/>
      <c r="B124" s="147"/>
      <c r="C124" s="147"/>
      <c r="D124" s="147"/>
      <c r="E124" s="147"/>
      <c r="F124" s="147"/>
      <c r="G124" s="147"/>
    </row>
    <row r="125" spans="1:7" x14ac:dyDescent="0.2">
      <c r="A125" s="99"/>
      <c r="B125" s="99"/>
      <c r="C125" s="99"/>
      <c r="D125" s="99"/>
      <c r="E125" s="99"/>
      <c r="F125" s="99"/>
      <c r="G125" s="99"/>
    </row>
    <row r="126" spans="1:7" x14ac:dyDescent="0.2">
      <c r="A126" s="99"/>
      <c r="B126" s="99"/>
      <c r="C126" s="99"/>
      <c r="D126" s="99"/>
      <c r="E126" s="99"/>
      <c r="F126" s="99"/>
      <c r="G126" s="99"/>
    </row>
    <row r="127" spans="1:7" x14ac:dyDescent="0.2">
      <c r="A127" s="99"/>
      <c r="B127" s="99"/>
      <c r="C127" s="99"/>
      <c r="D127" s="99"/>
      <c r="E127" s="99"/>
      <c r="F127" s="99"/>
      <c r="G127" s="99"/>
    </row>
    <row r="128" spans="1:7" x14ac:dyDescent="0.2">
      <c r="A128" s="99"/>
      <c r="B128" s="99"/>
      <c r="C128" s="99"/>
      <c r="D128" s="99"/>
      <c r="E128" s="99"/>
      <c r="F128" s="99"/>
      <c r="G128" s="99"/>
    </row>
    <row r="129" spans="1:7" x14ac:dyDescent="0.2">
      <c r="A129" s="99"/>
      <c r="B129" s="99"/>
      <c r="C129" s="99"/>
      <c r="D129" s="99"/>
      <c r="E129" s="99"/>
      <c r="F129" s="99"/>
      <c r="G129" s="99"/>
    </row>
    <row r="130" spans="1:7" x14ac:dyDescent="0.2">
      <c r="A130" s="99"/>
      <c r="B130" s="99"/>
      <c r="C130" s="99"/>
      <c r="D130" s="99"/>
      <c r="E130" s="99"/>
      <c r="F130" s="99"/>
      <c r="G130" s="99"/>
    </row>
    <row r="131" spans="1:7" x14ac:dyDescent="0.2">
      <c r="A131" s="99"/>
      <c r="B131" s="99"/>
      <c r="C131" s="99"/>
      <c r="D131" s="99"/>
      <c r="E131" s="99"/>
      <c r="F131" s="99"/>
      <c r="G131" s="99"/>
    </row>
    <row r="132" spans="1:7" x14ac:dyDescent="0.2">
      <c r="A132" s="99"/>
      <c r="B132" s="99"/>
      <c r="C132" s="99"/>
      <c r="D132" s="99"/>
      <c r="E132" s="99"/>
      <c r="F132" s="99"/>
      <c r="G132" s="99"/>
    </row>
    <row r="133" spans="1:7" x14ac:dyDescent="0.2">
      <c r="A133" s="99"/>
      <c r="B133" s="99"/>
      <c r="C133" s="99"/>
      <c r="D133" s="99"/>
      <c r="E133" s="99"/>
      <c r="F133" s="99"/>
      <c r="G133" s="99"/>
    </row>
    <row r="134" spans="1:7" x14ac:dyDescent="0.2">
      <c r="A134" s="99"/>
      <c r="B134" s="99"/>
      <c r="C134" s="99"/>
      <c r="D134" s="99"/>
      <c r="E134" s="99"/>
      <c r="F134" s="99"/>
      <c r="G134" s="99"/>
    </row>
    <row r="135" spans="1:7" x14ac:dyDescent="0.2">
      <c r="A135" s="99"/>
      <c r="B135" s="99"/>
      <c r="C135" s="99"/>
      <c r="D135" s="99"/>
      <c r="E135" s="99"/>
      <c r="F135" s="99"/>
      <c r="G135" s="99"/>
    </row>
    <row r="136" spans="1:7" x14ac:dyDescent="0.2">
      <c r="A136" s="99"/>
      <c r="B136" s="99"/>
      <c r="C136" s="99"/>
      <c r="D136" s="99"/>
      <c r="E136" s="99"/>
      <c r="F136" s="99"/>
      <c r="G136" s="99"/>
    </row>
    <row r="137" spans="1:7" x14ac:dyDescent="0.2">
      <c r="A137" s="99"/>
      <c r="B137" s="99"/>
      <c r="C137" s="99"/>
      <c r="D137" s="99"/>
      <c r="E137" s="99"/>
      <c r="F137" s="99"/>
      <c r="G137" s="99"/>
    </row>
    <row r="138" spans="1:7" x14ac:dyDescent="0.2">
      <c r="A138" s="99"/>
      <c r="B138" s="99"/>
      <c r="C138" s="99"/>
      <c r="D138" s="99"/>
      <c r="E138" s="99"/>
      <c r="F138" s="99"/>
      <c r="G138" s="99"/>
    </row>
    <row r="139" spans="1:7" x14ac:dyDescent="0.2">
      <c r="A139" s="99"/>
      <c r="B139" s="99"/>
      <c r="C139" s="99"/>
      <c r="D139" s="99"/>
      <c r="E139" s="99"/>
      <c r="F139" s="99"/>
      <c r="G139" s="99"/>
    </row>
    <row r="140" spans="1:7" x14ac:dyDescent="0.2">
      <c r="A140" s="99"/>
      <c r="B140" s="99"/>
      <c r="C140" s="99"/>
      <c r="D140" s="99"/>
      <c r="E140" s="99"/>
      <c r="F140" s="99"/>
      <c r="G140" s="99"/>
    </row>
    <row r="141" spans="1:7" x14ac:dyDescent="0.2">
      <c r="A141" s="99"/>
      <c r="B141" s="99"/>
      <c r="C141" s="99"/>
      <c r="D141" s="99"/>
      <c r="E141" s="99"/>
      <c r="F141" s="99"/>
      <c r="G141" s="99"/>
    </row>
    <row r="142" spans="1:7" x14ac:dyDescent="0.2">
      <c r="A142" s="99"/>
      <c r="B142" s="99"/>
      <c r="C142" s="99"/>
      <c r="D142" s="99"/>
      <c r="E142" s="99"/>
      <c r="F142" s="99"/>
      <c r="G142" s="99"/>
    </row>
    <row r="143" spans="1:7" x14ac:dyDescent="0.2">
      <c r="A143" s="99"/>
      <c r="B143" s="99"/>
      <c r="C143" s="99"/>
      <c r="D143" s="99"/>
      <c r="E143" s="99"/>
      <c r="F143" s="99"/>
      <c r="G143" s="99"/>
    </row>
    <row r="144" spans="1:7" ht="15" customHeight="1" x14ac:dyDescent="0.2">
      <c r="A144" s="147" t="s">
        <v>103</v>
      </c>
      <c r="B144" s="147"/>
      <c r="C144" s="147"/>
      <c r="D144" s="147"/>
      <c r="E144" s="147"/>
      <c r="F144" s="147"/>
      <c r="G144" s="147"/>
    </row>
    <row r="145" spans="1:7" x14ac:dyDescent="0.2">
      <c r="A145" s="147"/>
      <c r="B145" s="147"/>
      <c r="C145" s="147"/>
      <c r="D145" s="147"/>
      <c r="E145" s="147"/>
      <c r="F145" s="147"/>
      <c r="G145" s="147"/>
    </row>
    <row r="146" spans="1:7" x14ac:dyDescent="0.2">
      <c r="A146" s="147"/>
      <c r="B146" s="147"/>
      <c r="C146" s="147"/>
      <c r="D146" s="147"/>
      <c r="E146" s="147"/>
      <c r="F146" s="147"/>
      <c r="G146" s="147"/>
    </row>
    <row r="147" spans="1:7" x14ac:dyDescent="0.2">
      <c r="A147" s="147"/>
      <c r="B147" s="147"/>
      <c r="C147" s="147"/>
      <c r="D147" s="147"/>
      <c r="E147" s="147"/>
      <c r="F147" s="147"/>
      <c r="G147" s="147"/>
    </row>
    <row r="148" spans="1:7" ht="14.25" customHeight="1" x14ac:dyDescent="0.2">
      <c r="A148" s="142" t="s">
        <v>104</v>
      </c>
      <c r="B148" s="142"/>
      <c r="C148" s="142"/>
      <c r="D148" s="142"/>
      <c r="E148" s="142"/>
      <c r="F148" s="142"/>
      <c r="G148" s="142"/>
    </row>
    <row r="149" spans="1:7" x14ac:dyDescent="0.2">
      <c r="A149" s="142"/>
      <c r="B149" s="142"/>
      <c r="C149" s="142"/>
      <c r="D149" s="142"/>
      <c r="E149" s="142"/>
      <c r="F149" s="142"/>
      <c r="G149" s="142"/>
    </row>
    <row r="150" spans="1:7" x14ac:dyDescent="0.2">
      <c r="A150" s="142"/>
      <c r="B150" s="142"/>
      <c r="C150" s="142"/>
      <c r="D150" s="142"/>
      <c r="E150" s="142"/>
      <c r="F150" s="142"/>
      <c r="G150" s="142"/>
    </row>
    <row r="151" spans="1:7" x14ac:dyDescent="0.2">
      <c r="A151" s="142"/>
      <c r="B151" s="142"/>
      <c r="C151" s="142"/>
      <c r="D151" s="142"/>
      <c r="E151" s="142"/>
      <c r="F151" s="142"/>
      <c r="G151" s="142"/>
    </row>
    <row r="152" spans="1:7" x14ac:dyDescent="0.2">
      <c r="A152" s="142"/>
      <c r="B152" s="142"/>
      <c r="C152" s="142"/>
      <c r="D152" s="142"/>
      <c r="E152" s="142"/>
      <c r="F152" s="142"/>
      <c r="G152" s="142"/>
    </row>
    <row r="153" spans="1:7" x14ac:dyDescent="0.2">
      <c r="A153" s="142" t="s">
        <v>105</v>
      </c>
      <c r="B153" s="142"/>
      <c r="C153" s="142"/>
      <c r="D153" s="142"/>
      <c r="E153" s="142"/>
      <c r="F153" s="142"/>
      <c r="G153" s="142"/>
    </row>
    <row r="154" spans="1:7" x14ac:dyDescent="0.2">
      <c r="A154" s="142"/>
      <c r="B154" s="142"/>
      <c r="C154" s="142"/>
      <c r="D154" s="142"/>
      <c r="E154" s="142"/>
      <c r="F154" s="142"/>
      <c r="G154" s="142"/>
    </row>
    <row r="155" spans="1:7" x14ac:dyDescent="0.2">
      <c r="A155" s="142"/>
      <c r="B155" s="142"/>
      <c r="C155" s="142"/>
      <c r="D155" s="142"/>
      <c r="E155" s="142"/>
      <c r="F155" s="142"/>
      <c r="G155" s="142"/>
    </row>
    <row r="156" spans="1:7" x14ac:dyDescent="0.2">
      <c r="A156" s="142"/>
      <c r="B156" s="142"/>
      <c r="C156" s="142"/>
      <c r="D156" s="142"/>
      <c r="E156" s="142"/>
      <c r="F156" s="142"/>
      <c r="G156" s="142"/>
    </row>
    <row r="157" spans="1:7" x14ac:dyDescent="0.2">
      <c r="A157" s="142"/>
      <c r="B157" s="142"/>
      <c r="C157" s="142"/>
      <c r="D157" s="142"/>
      <c r="E157" s="142"/>
      <c r="F157" s="142"/>
      <c r="G157" s="142"/>
    </row>
    <row r="158" spans="1:7" x14ac:dyDescent="0.2">
      <c r="A158" s="142"/>
      <c r="B158" s="142"/>
      <c r="C158" s="142"/>
      <c r="D158" s="142"/>
      <c r="E158" s="142"/>
      <c r="F158" s="142"/>
      <c r="G158" s="142"/>
    </row>
    <row r="159" spans="1:7" x14ac:dyDescent="0.2">
      <c r="A159" s="142"/>
      <c r="B159" s="142"/>
      <c r="C159" s="142"/>
      <c r="D159" s="142"/>
      <c r="E159" s="142"/>
      <c r="F159" s="142"/>
      <c r="G159" s="142"/>
    </row>
    <row r="160" spans="1:7" x14ac:dyDescent="0.2">
      <c r="A160" s="99"/>
      <c r="B160" s="99"/>
      <c r="C160" s="99"/>
      <c r="D160" s="99"/>
      <c r="E160" s="99"/>
      <c r="F160" s="99"/>
      <c r="G160" s="99"/>
    </row>
    <row r="161" spans="1:7" ht="15" x14ac:dyDescent="0.25">
      <c r="A161" s="146" t="s">
        <v>106</v>
      </c>
      <c r="B161" s="146"/>
      <c r="C161" s="146"/>
      <c r="D161" s="99"/>
      <c r="E161" s="99"/>
      <c r="F161" s="99"/>
      <c r="G161" s="99"/>
    </row>
    <row r="162" spans="1:7" x14ac:dyDescent="0.2">
      <c r="A162" s="142" t="s">
        <v>107</v>
      </c>
      <c r="B162" s="142"/>
      <c r="C162" s="142"/>
      <c r="D162" s="142"/>
      <c r="E162" s="142"/>
      <c r="F162" s="142"/>
      <c r="G162" s="142"/>
    </row>
    <row r="163" spans="1:7" x14ac:dyDescent="0.2">
      <c r="A163" s="142"/>
      <c r="B163" s="142"/>
      <c r="C163" s="142"/>
      <c r="D163" s="142"/>
      <c r="E163" s="142"/>
      <c r="F163" s="142"/>
      <c r="G163" s="142"/>
    </row>
    <row r="164" spans="1:7" x14ac:dyDescent="0.2">
      <c r="A164" s="142"/>
      <c r="B164" s="142"/>
      <c r="C164" s="142"/>
      <c r="D164" s="142"/>
      <c r="E164" s="142"/>
      <c r="F164" s="142"/>
      <c r="G164" s="142"/>
    </row>
    <row r="165" spans="1:7" x14ac:dyDescent="0.2">
      <c r="A165" s="142"/>
      <c r="B165" s="142"/>
      <c r="C165" s="142"/>
      <c r="D165" s="142"/>
      <c r="E165" s="142"/>
      <c r="F165" s="142"/>
      <c r="G165" s="142"/>
    </row>
    <row r="166" spans="1:7" x14ac:dyDescent="0.2">
      <c r="A166" s="147" t="s">
        <v>108</v>
      </c>
      <c r="B166" s="147"/>
      <c r="C166" s="147"/>
      <c r="D166" s="147"/>
      <c r="E166" s="147"/>
      <c r="F166" s="147"/>
      <c r="G166" s="147"/>
    </row>
    <row r="167" spans="1:7" x14ac:dyDescent="0.2">
      <c r="A167" s="147"/>
      <c r="B167" s="147"/>
      <c r="C167" s="147"/>
      <c r="D167" s="147"/>
      <c r="E167" s="147"/>
      <c r="F167" s="147"/>
      <c r="G167" s="147"/>
    </row>
    <row r="168" spans="1:7" x14ac:dyDescent="0.2">
      <c r="A168" s="147"/>
      <c r="B168" s="147"/>
      <c r="C168" s="147"/>
      <c r="D168" s="147"/>
      <c r="E168" s="147"/>
      <c r="F168" s="147"/>
      <c r="G168" s="147"/>
    </row>
    <row r="169" spans="1:7" x14ac:dyDescent="0.2">
      <c r="A169" s="147"/>
      <c r="B169" s="147"/>
      <c r="C169" s="147"/>
      <c r="D169" s="147"/>
      <c r="E169" s="147"/>
      <c r="F169" s="147"/>
      <c r="G169" s="147"/>
    </row>
    <row r="170" spans="1:7" x14ac:dyDescent="0.2">
      <c r="A170" s="99"/>
      <c r="B170" s="99"/>
      <c r="C170" s="99"/>
      <c r="D170" s="99"/>
      <c r="E170" s="99"/>
      <c r="F170" s="99"/>
      <c r="G170" s="99"/>
    </row>
    <row r="171" spans="1:7" ht="15" x14ac:dyDescent="0.25">
      <c r="A171" s="146" t="s">
        <v>80</v>
      </c>
      <c r="B171" s="146"/>
      <c r="C171" s="146"/>
      <c r="D171" s="99"/>
      <c r="E171" s="99"/>
      <c r="F171" s="99"/>
      <c r="G171" s="99"/>
    </row>
    <row r="172" spans="1:7" x14ac:dyDescent="0.2">
      <c r="A172" s="148" t="s">
        <v>109</v>
      </c>
      <c r="B172" s="148"/>
      <c r="C172" s="148"/>
      <c r="D172" s="148"/>
      <c r="E172" s="148"/>
      <c r="F172" s="148"/>
      <c r="G172" s="148"/>
    </row>
    <row r="173" spans="1:7" x14ac:dyDescent="0.2">
      <c r="A173" s="148"/>
      <c r="B173" s="148"/>
      <c r="C173" s="148"/>
      <c r="D173" s="148"/>
      <c r="E173" s="148"/>
      <c r="F173" s="148"/>
      <c r="G173" s="148"/>
    </row>
    <row r="174" spans="1:7" x14ac:dyDescent="0.2">
      <c r="A174" s="148"/>
      <c r="B174" s="148"/>
      <c r="C174" s="148"/>
      <c r="D174" s="148"/>
      <c r="E174" s="148"/>
      <c r="F174" s="148"/>
      <c r="G174" s="148"/>
    </row>
    <row r="175" spans="1:7" x14ac:dyDescent="0.2">
      <c r="A175" s="148"/>
      <c r="B175" s="148"/>
      <c r="C175" s="148"/>
      <c r="D175" s="148"/>
      <c r="E175" s="148"/>
      <c r="F175" s="148"/>
      <c r="G175" s="148"/>
    </row>
    <row r="176" spans="1:7" x14ac:dyDescent="0.2">
      <c r="A176" s="148"/>
      <c r="B176" s="148"/>
      <c r="C176" s="148"/>
      <c r="D176" s="148"/>
      <c r="E176" s="148"/>
      <c r="F176" s="148"/>
      <c r="G176" s="148"/>
    </row>
    <row r="177" spans="1:7" x14ac:dyDescent="0.2">
      <c r="A177" s="148"/>
      <c r="B177" s="148"/>
      <c r="C177" s="148"/>
      <c r="D177" s="148"/>
      <c r="E177" s="148"/>
      <c r="F177" s="148"/>
      <c r="G177" s="148"/>
    </row>
    <row r="178" spans="1:7" x14ac:dyDescent="0.2">
      <c r="A178" s="142" t="s">
        <v>110</v>
      </c>
      <c r="B178" s="142"/>
      <c r="C178" s="142"/>
      <c r="D178" s="142"/>
      <c r="E178" s="142"/>
      <c r="F178" s="142"/>
      <c r="G178" s="142"/>
    </row>
    <row r="179" spans="1:7" x14ac:dyDescent="0.2">
      <c r="A179" s="142"/>
      <c r="B179" s="142"/>
      <c r="C179" s="142"/>
      <c r="D179" s="142"/>
      <c r="E179" s="142"/>
      <c r="F179" s="142"/>
      <c r="G179" s="142"/>
    </row>
    <row r="180" spans="1:7" x14ac:dyDescent="0.2">
      <c r="A180" s="142"/>
      <c r="B180" s="142"/>
      <c r="C180" s="142"/>
      <c r="D180" s="142"/>
      <c r="E180" s="142"/>
      <c r="F180" s="142"/>
      <c r="G180" s="142"/>
    </row>
    <row r="181" spans="1:7" x14ac:dyDescent="0.2">
      <c r="A181" s="142"/>
      <c r="B181" s="142"/>
      <c r="C181" s="142"/>
      <c r="D181" s="142"/>
      <c r="E181" s="142"/>
      <c r="F181" s="142"/>
      <c r="G181" s="142"/>
    </row>
    <row r="182" spans="1:7" ht="14.25" customHeight="1" x14ac:dyDescent="0.2">
      <c r="A182" s="142" t="s">
        <v>111</v>
      </c>
      <c r="B182" s="142"/>
      <c r="C182" s="142"/>
      <c r="D182" s="142"/>
      <c r="E182" s="142"/>
      <c r="F182" s="142"/>
      <c r="G182" s="142"/>
    </row>
    <row r="183" spans="1:7" x14ac:dyDescent="0.2">
      <c r="A183" s="142"/>
      <c r="B183" s="142"/>
      <c r="C183" s="142"/>
      <c r="D183" s="142"/>
      <c r="E183" s="142"/>
      <c r="F183" s="142"/>
      <c r="G183" s="142"/>
    </row>
    <row r="184" spans="1:7" x14ac:dyDescent="0.2">
      <c r="A184" s="142"/>
      <c r="B184" s="142"/>
      <c r="C184" s="142"/>
      <c r="D184" s="142"/>
      <c r="E184" s="142"/>
      <c r="F184" s="142"/>
      <c r="G184" s="142"/>
    </row>
    <row r="185" spans="1:7" x14ac:dyDescent="0.2">
      <c r="A185" s="142"/>
      <c r="B185" s="142"/>
      <c r="C185" s="142"/>
      <c r="D185" s="142"/>
      <c r="E185" s="142"/>
      <c r="F185" s="142"/>
      <c r="G185" s="142"/>
    </row>
    <row r="186" spans="1:7" x14ac:dyDescent="0.2">
      <c r="A186" s="142"/>
      <c r="B186" s="142"/>
      <c r="C186" s="142"/>
      <c r="D186" s="142"/>
      <c r="E186" s="142"/>
      <c r="F186" s="142"/>
      <c r="G186" s="142"/>
    </row>
    <row r="187" spans="1:7" x14ac:dyDescent="0.2">
      <c r="A187" s="99"/>
      <c r="B187" s="99"/>
      <c r="C187" s="99"/>
      <c r="D187" s="99"/>
      <c r="E187" s="99"/>
      <c r="F187" s="99"/>
      <c r="G187" s="99"/>
    </row>
    <row r="188" spans="1:7" x14ac:dyDescent="0.2">
      <c r="A188" s="99"/>
      <c r="B188" s="99"/>
      <c r="C188" s="99"/>
      <c r="D188" s="99"/>
      <c r="E188" s="99"/>
      <c r="F188" s="99"/>
      <c r="G188" s="99"/>
    </row>
    <row r="189" spans="1:7" x14ac:dyDescent="0.2">
      <c r="A189" s="99"/>
      <c r="B189" s="99"/>
      <c r="C189" s="99"/>
      <c r="D189" s="99"/>
      <c r="E189" s="99"/>
      <c r="F189" s="99"/>
      <c r="G189" s="99"/>
    </row>
    <row r="190" spans="1:7" x14ac:dyDescent="0.2">
      <c r="A190" s="99"/>
      <c r="B190" s="99"/>
      <c r="C190" s="99"/>
      <c r="D190" s="99"/>
      <c r="E190" s="99"/>
      <c r="F190" s="99"/>
      <c r="G190" s="99"/>
    </row>
  </sheetData>
  <sheetProtection selectLockedCells="1" selectUnlockedCells="1"/>
  <mergeCells count="35">
    <mergeCell ref="A178:G181"/>
    <mergeCell ref="A182:G186"/>
    <mergeCell ref="A17:G17"/>
    <mergeCell ref="A19:G19"/>
    <mergeCell ref="A25:G25"/>
    <mergeCell ref="A21:G23"/>
    <mergeCell ref="A153:G159"/>
    <mergeCell ref="A161:C161"/>
    <mergeCell ref="A162:G165"/>
    <mergeCell ref="A166:G169"/>
    <mergeCell ref="A171:C171"/>
    <mergeCell ref="A172:G177"/>
    <mergeCell ref="A119:G124"/>
    <mergeCell ref="A144:G147"/>
    <mergeCell ref="A148:G152"/>
    <mergeCell ref="A64:G65"/>
    <mergeCell ref="A80:G81"/>
    <mergeCell ref="A58:G59"/>
    <mergeCell ref="A60:G62"/>
    <mergeCell ref="B63:C63"/>
    <mergeCell ref="A115:G116"/>
    <mergeCell ref="A72:G73"/>
    <mergeCell ref="A66:G71"/>
    <mergeCell ref="A107:G108"/>
    <mergeCell ref="A110:G113"/>
    <mergeCell ref="C31:E31"/>
    <mergeCell ref="A33:G34"/>
    <mergeCell ref="A35:G40"/>
    <mergeCell ref="A54:G56"/>
    <mergeCell ref="A74:G79"/>
    <mergeCell ref="A8:G8"/>
    <mergeCell ref="A10:G10"/>
    <mergeCell ref="A14:G16"/>
    <mergeCell ref="B27:F27"/>
    <mergeCell ref="B29:F29"/>
  </mergeCells>
  <printOptions horizontalCentered="1"/>
  <pageMargins left="0.70866141732283472" right="0.70866141732283472" top="0.74803149606299213" bottom="0.74803149606299213" header="0.31496062992125984" footer="0.31496062992125984"/>
  <pageSetup paperSize="9" orientation="portrait" r:id="rId1"/>
  <headerFooter>
    <oddHeader>&amp;L&amp;"Arial,Normal"
CÁTEDRA DE HORMIGÓN ARMADO&amp;C&amp;"Arial,Negrita"DIAGRAMAS DE INTERACCIÓN PARA SECCIONES GENÉRICAS DE HORMIGÓN ARMADO&amp;R
&amp;"Arial,Normal"EIC - FCEIA - UNR</oddHeader>
    <oddFooter>&amp;A</oddFooter>
  </headerFooter>
  <drawing r:id="rId2"/>
  <legacyDrawing r:id="rId3"/>
  <oleObjects>
    <mc:AlternateContent xmlns:mc="http://schemas.openxmlformats.org/markup-compatibility/2006">
      <mc:Choice Requires="x14">
        <oleObject progId="Word.Picture.8" shapeId="17410" r:id="rId4">
          <objectPr defaultSize="0" autoPict="0" r:id="rId5">
            <anchor moveWithCells="1" sizeWithCells="1">
              <from>
                <xdr:col>2</xdr:col>
                <xdr:colOff>400050</xdr:colOff>
                <xdr:row>1</xdr:row>
                <xdr:rowOff>28575</xdr:rowOff>
              </from>
              <to>
                <xdr:col>4</xdr:col>
                <xdr:colOff>104775</xdr:colOff>
                <xdr:row>4</xdr:row>
                <xdr:rowOff>66675</xdr:rowOff>
              </to>
            </anchor>
          </objectPr>
        </oleObject>
      </mc:Choice>
      <mc:Fallback>
        <oleObject progId="Word.Picture.8" shapeId="17410" r:id="rId4"/>
      </mc:Fallback>
    </mc:AlternateContent>
    <mc:AlternateContent xmlns:mc="http://schemas.openxmlformats.org/markup-compatibility/2006">
      <mc:Choice Requires="x14">
        <oleObject progId="Word.Picture.8" shapeId="17411" r:id="rId6">
          <objectPr defaultSize="0" autoPict="0" r:id="rId7">
            <anchor moveWithCells="1" sizeWithCells="1">
              <from>
                <xdr:col>0</xdr:col>
                <xdr:colOff>238125</xdr:colOff>
                <xdr:row>0</xdr:row>
                <xdr:rowOff>76200</xdr:rowOff>
              </from>
              <to>
                <xdr:col>1</xdr:col>
                <xdr:colOff>457200</xdr:colOff>
                <xdr:row>5</xdr:row>
                <xdr:rowOff>76200</xdr:rowOff>
              </to>
            </anchor>
          </objectPr>
        </oleObject>
      </mc:Choice>
      <mc:Fallback>
        <oleObject progId="Word.Picture.8" shapeId="17411" r:id="rId6"/>
      </mc:Fallback>
    </mc:AlternateContent>
  </oleObjects>
  <mc:AlternateContent xmlns:mc="http://schemas.openxmlformats.org/markup-compatibility/2006">
    <mc:Choice Requires="x14">
      <controls>
        <mc:AlternateContent xmlns:mc="http://schemas.openxmlformats.org/markup-compatibility/2006">
          <mc:Choice Requires="x14">
            <control shapeId="17409" r:id="rId8" name="Button 1">
              <controlPr defaultSize="0" print="0" autoFill="0" autoPict="0">
                <anchor moveWithCells="1" sizeWithCells="1">
                  <from>
                    <xdr:col>2</xdr:col>
                    <xdr:colOff>76200</xdr:colOff>
                    <xdr:row>187</xdr:row>
                    <xdr:rowOff>47625</xdr:rowOff>
                  </from>
                  <to>
                    <xdr:col>4</xdr:col>
                    <xdr:colOff>142875</xdr:colOff>
                    <xdr:row>189</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219CF-6ADB-42DB-892B-6E41BC7D49E6}">
  <sheetPr codeName="Sheet1">
    <tabColor rgb="FF0070C0"/>
  </sheetPr>
  <dimension ref="A1:XFC76"/>
  <sheetViews>
    <sheetView zoomScaleNormal="100" workbookViewId="0">
      <selection sqref="A1:G77"/>
    </sheetView>
  </sheetViews>
  <sheetFormatPr defaultColWidth="0" defaultRowHeight="15" x14ac:dyDescent="0.25"/>
  <cols>
    <col min="1" max="1" width="18.85546875" style="16" customWidth="1"/>
    <col min="2" max="2" width="12.5703125" style="16" customWidth="1"/>
    <col min="3" max="3" width="22.85546875" style="16" customWidth="1"/>
    <col min="4" max="4" width="15.42578125" style="16" customWidth="1"/>
    <col min="5" max="5" width="17.85546875" style="16" customWidth="1"/>
    <col min="6" max="6" width="11.42578125" style="16" customWidth="1"/>
    <col min="7" max="7" width="15.7109375" style="16" customWidth="1"/>
    <col min="8" max="8" width="100.7109375" style="75" hidden="1" customWidth="1"/>
    <col min="9" max="16379" width="9.140625" style="16" hidden="1"/>
    <col min="16380" max="16380" width="7" style="16" hidden="1" customWidth="1"/>
    <col min="16381" max="16381" width="5.28515625" style="16" hidden="1" customWidth="1"/>
    <col min="16382" max="16382" width="12.140625" style="16" hidden="1" customWidth="1"/>
    <col min="16383" max="16383" width="17.85546875" style="16" hidden="1" customWidth="1"/>
    <col min="16384" max="16384" width="10.85546875" style="16" hidden="1" customWidth="1"/>
  </cols>
  <sheetData>
    <row r="1" spans="1:7" s="75" customFormat="1" x14ac:dyDescent="0.25">
      <c r="A1" s="92" t="s">
        <v>128</v>
      </c>
      <c r="B1" s="92"/>
      <c r="C1" s="92"/>
      <c r="D1" s="74"/>
      <c r="E1" s="74"/>
      <c r="F1" s="74"/>
      <c r="G1" s="3"/>
    </row>
    <row r="2" spans="1:7" s="75" customFormat="1" ht="28.5" customHeight="1" x14ac:dyDescent="0.25">
      <c r="A2" s="4"/>
      <c r="B2" s="4"/>
      <c r="C2" s="5" t="s">
        <v>0</v>
      </c>
      <c r="D2" s="6"/>
      <c r="E2" s="7"/>
      <c r="F2" s="6"/>
      <c r="G2" s="7"/>
    </row>
    <row r="3" spans="1:7" s="75" customFormat="1" x14ac:dyDescent="0.25">
      <c r="A3" s="8"/>
      <c r="B3" s="3"/>
      <c r="C3" s="3"/>
      <c r="D3" s="9"/>
      <c r="E3" s="10"/>
      <c r="F3" s="10"/>
      <c r="G3" s="10"/>
    </row>
    <row r="4" spans="1:7" s="75" customFormat="1" x14ac:dyDescent="0.25">
      <c r="A4" s="152" t="s">
        <v>1</v>
      </c>
      <c r="B4" s="152"/>
      <c r="C4" s="11">
        <v>25</v>
      </c>
      <c r="D4" s="10"/>
      <c r="E4" s="10"/>
      <c r="F4" s="10"/>
      <c r="G4" s="10"/>
    </row>
    <row r="5" spans="1:7" s="75" customFormat="1" x14ac:dyDescent="0.25">
      <c r="A5" s="5"/>
      <c r="B5" s="5"/>
      <c r="C5" s="5"/>
      <c r="D5" s="10"/>
      <c r="E5" s="10"/>
      <c r="F5" s="10"/>
      <c r="G5" s="10"/>
    </row>
    <row r="6" spans="1:7" s="75" customFormat="1" x14ac:dyDescent="0.25">
      <c r="A6" s="152" t="s">
        <v>2</v>
      </c>
      <c r="B6" s="152"/>
      <c r="C6" s="1" t="s">
        <v>3</v>
      </c>
      <c r="D6" s="7"/>
      <c r="E6" s="16"/>
      <c r="F6" s="3"/>
      <c r="G6" s="22"/>
    </row>
    <row r="7" spans="1:7" s="75" customFormat="1" x14ac:dyDescent="0.25">
      <c r="A7" s="5"/>
      <c r="B7" s="5"/>
      <c r="C7" s="5"/>
      <c r="D7" s="5"/>
      <c r="E7" s="5"/>
      <c r="F7" s="5"/>
      <c r="G7" s="3"/>
    </row>
    <row r="8" spans="1:7" s="75" customFormat="1" x14ac:dyDescent="0.25">
      <c r="A8" s="152" t="s">
        <v>4</v>
      </c>
      <c r="B8" s="152"/>
      <c r="C8" s="11" t="s">
        <v>37</v>
      </c>
      <c r="D8" s="5" t="s">
        <v>5</v>
      </c>
      <c r="E8" s="12">
        <v>5.21</v>
      </c>
      <c r="F8" s="3" t="s">
        <v>39</v>
      </c>
      <c r="G8" s="3"/>
    </row>
    <row r="9" spans="1:7" s="75" customFormat="1" x14ac:dyDescent="0.25">
      <c r="A9" s="153"/>
      <c r="B9" s="154"/>
      <c r="C9" s="154"/>
      <c r="D9" s="154"/>
      <c r="E9" s="154"/>
      <c r="F9" s="154"/>
      <c r="G9" s="155"/>
    </row>
    <row r="10" spans="1:7" s="75" customFormat="1" x14ac:dyDescent="0.25">
      <c r="A10" s="152" t="s">
        <v>127</v>
      </c>
      <c r="B10" s="152"/>
      <c r="C10" s="11" t="s">
        <v>6</v>
      </c>
      <c r="D10" s="113"/>
      <c r="E10" s="90"/>
      <c r="F10" s="90"/>
      <c r="G10" s="13"/>
    </row>
    <row r="11" spans="1:7" s="75" customFormat="1" x14ac:dyDescent="0.25">
      <c r="A11" s="13"/>
      <c r="B11" s="13"/>
      <c r="C11" s="13"/>
      <c r="D11" s="114"/>
      <c r="E11" s="13"/>
      <c r="F11" s="13"/>
      <c r="G11" s="13"/>
    </row>
    <row r="12" spans="1:7" s="75" customFormat="1" x14ac:dyDescent="0.25">
      <c r="A12" s="90" t="s">
        <v>7</v>
      </c>
      <c r="B12" s="90"/>
      <c r="C12" s="90"/>
      <c r="D12" s="115"/>
      <c r="E12" s="90"/>
      <c r="F12" s="13"/>
      <c r="G12" s="13"/>
    </row>
    <row r="13" spans="1:7" s="75" customFormat="1" x14ac:dyDescent="0.25">
      <c r="A13" s="13"/>
      <c r="B13" s="13"/>
      <c r="C13" s="13"/>
      <c r="D13" s="13"/>
      <c r="E13" s="13"/>
      <c r="F13" s="13"/>
      <c r="G13" s="13"/>
    </row>
    <row r="14" spans="1:7" s="75" customFormat="1" x14ac:dyDescent="0.25">
      <c r="A14" s="149" t="s">
        <v>8</v>
      </c>
      <c r="B14" s="150"/>
      <c r="C14" s="151"/>
      <c r="D14" s="37">
        <v>3</v>
      </c>
      <c r="E14" s="13"/>
      <c r="F14" s="13"/>
      <c r="G14" s="13"/>
    </row>
    <row r="15" spans="1:7" s="75" customFormat="1" x14ac:dyDescent="0.25">
      <c r="A15" s="49"/>
      <c r="B15" s="13"/>
      <c r="C15" s="50"/>
      <c r="D15" s="13"/>
      <c r="E15" s="13"/>
      <c r="F15" s="13"/>
      <c r="G15" s="13"/>
    </row>
    <row r="16" spans="1:7" s="75" customFormat="1" ht="28.5" x14ac:dyDescent="0.25">
      <c r="A16" s="23" t="s">
        <v>57</v>
      </c>
      <c r="B16" s="23" t="s">
        <v>56</v>
      </c>
      <c r="C16" s="1" t="s">
        <v>45</v>
      </c>
      <c r="D16" s="23" t="s">
        <v>55</v>
      </c>
      <c r="E16" s="1" t="s">
        <v>46</v>
      </c>
      <c r="F16" s="61" t="s">
        <v>9</v>
      </c>
      <c r="G16" s="1">
        <v>4</v>
      </c>
    </row>
    <row r="17" spans="1:7" s="75" customFormat="1" x14ac:dyDescent="0.25">
      <c r="A17" s="62"/>
      <c r="B17" s="62"/>
      <c r="C17" s="62"/>
      <c r="D17" s="62"/>
      <c r="E17" s="63"/>
      <c r="F17" s="64"/>
      <c r="G17" s="64"/>
    </row>
    <row r="18" spans="1:7" s="75" customFormat="1" x14ac:dyDescent="0.25">
      <c r="A18" s="60" t="s">
        <v>43</v>
      </c>
      <c r="B18" s="55"/>
      <c r="C18" s="58" t="s">
        <v>10</v>
      </c>
      <c r="D18" s="55"/>
      <c r="E18" s="81" t="s">
        <v>11</v>
      </c>
      <c r="F18" s="3"/>
      <c r="G18" s="3"/>
    </row>
    <row r="19" spans="1:7" s="75" customFormat="1" x14ac:dyDescent="0.25">
      <c r="A19" s="66">
        <v>1</v>
      </c>
      <c r="B19" s="51"/>
      <c r="C19" s="79">
        <v>0</v>
      </c>
      <c r="D19" s="80"/>
      <c r="E19" s="79">
        <v>0</v>
      </c>
      <c r="F19" s="52"/>
      <c r="G19" s="3"/>
    </row>
    <row r="20" spans="1:7" s="75" customFormat="1" x14ac:dyDescent="0.25">
      <c r="A20" s="67">
        <v>2</v>
      </c>
      <c r="B20" s="51"/>
      <c r="C20" s="79">
        <v>0</v>
      </c>
      <c r="D20" s="80"/>
      <c r="E20" s="79">
        <v>0</v>
      </c>
      <c r="F20" s="52"/>
      <c r="G20" s="3"/>
    </row>
    <row r="21" spans="1:7" s="75" customFormat="1" x14ac:dyDescent="0.25">
      <c r="A21" s="67">
        <v>3</v>
      </c>
      <c r="B21" s="51"/>
      <c r="C21" s="79">
        <v>0</v>
      </c>
      <c r="D21" s="80"/>
      <c r="E21" s="79">
        <v>0</v>
      </c>
      <c r="F21" s="52"/>
      <c r="G21" s="3"/>
    </row>
    <row r="22" spans="1:7" x14ac:dyDescent="0.25">
      <c r="A22" s="68">
        <f>A21+1</f>
        <v>4</v>
      </c>
      <c r="B22" s="51"/>
      <c r="C22" s="79">
        <v>0</v>
      </c>
      <c r="D22" s="80"/>
      <c r="E22" s="79">
        <v>0</v>
      </c>
      <c r="F22" s="52"/>
      <c r="G22" s="3"/>
    </row>
    <row r="23" spans="1:7" x14ac:dyDescent="0.25">
      <c r="A23" s="3"/>
      <c r="B23" s="3"/>
      <c r="C23" s="55"/>
      <c r="D23" s="3"/>
      <c r="E23" s="55"/>
      <c r="F23" s="3"/>
      <c r="G23"/>
    </row>
    <row r="24" spans="1:7" ht="28.5" x14ac:dyDescent="0.25">
      <c r="A24" s="23" t="s">
        <v>136</v>
      </c>
      <c r="B24" s="23" t="s">
        <v>56</v>
      </c>
      <c r="C24" s="1" t="s">
        <v>45</v>
      </c>
      <c r="D24" s="23" t="s">
        <v>55</v>
      </c>
      <c r="E24" s="1" t="s">
        <v>47</v>
      </c>
      <c r="F24" s="65" t="s">
        <v>9</v>
      </c>
      <c r="G24" s="65"/>
    </row>
    <row r="25" spans="1:7" x14ac:dyDescent="0.25">
      <c r="A25" s="3"/>
      <c r="B25" s="3"/>
      <c r="C25" s="82"/>
      <c r="D25" s="3"/>
      <c r="E25" s="55"/>
      <c r="F25" s="55"/>
      <c r="G25" s="3"/>
    </row>
    <row r="26" spans="1:7" ht="15.75" thickBot="1" x14ac:dyDescent="0.3">
      <c r="A26" s="83" t="s">
        <v>53</v>
      </c>
      <c r="B26" s="84" t="s">
        <v>10</v>
      </c>
      <c r="C26" s="79">
        <v>0</v>
      </c>
      <c r="D26" s="118" t="s">
        <v>11</v>
      </c>
      <c r="E26" s="53">
        <v>0</v>
      </c>
      <c r="F26" s="3"/>
      <c r="G26" s="3"/>
    </row>
    <row r="27" spans="1:7" ht="15.75" thickBot="1" x14ac:dyDescent="0.3">
      <c r="A27" s="3" t="s">
        <v>49</v>
      </c>
      <c r="B27" s="51"/>
      <c r="C27" s="79">
        <v>0</v>
      </c>
      <c r="D27"/>
      <c r="E27" s="85"/>
      <c r="F27" s="52"/>
      <c r="G27" s="3"/>
    </row>
    <row r="28" spans="1:7" x14ac:dyDescent="0.25">
      <c r="A28" s="3" t="s">
        <v>50</v>
      </c>
      <c r="B28" s="51"/>
      <c r="C28" s="79">
        <v>0</v>
      </c>
      <c r="D28" s="52"/>
      <c r="E28" s="55"/>
      <c r="F28" s="3"/>
      <c r="G28" s="3"/>
    </row>
    <row r="29" spans="1:7" x14ac:dyDescent="0.25">
      <c r="A29" s="55"/>
      <c r="B29" s="55"/>
      <c r="C29" s="55"/>
      <c r="D29" s="3"/>
      <c r="E29" s="3"/>
      <c r="F29" s="3"/>
      <c r="G29" s="59"/>
    </row>
    <row r="30" spans="1:7" ht="28.5" x14ac:dyDescent="0.25">
      <c r="A30" s="23" t="s">
        <v>138</v>
      </c>
      <c r="B30" s="23" t="s">
        <v>56</v>
      </c>
      <c r="C30" s="1" t="s">
        <v>45</v>
      </c>
      <c r="D30" s="23" t="s">
        <v>55</v>
      </c>
      <c r="E30" s="1" t="s">
        <v>46</v>
      </c>
      <c r="F30" s="61" t="s">
        <v>9</v>
      </c>
      <c r="G30" s="1">
        <v>4</v>
      </c>
    </row>
    <row r="31" spans="1:7" x14ac:dyDescent="0.25">
      <c r="A31" s="62"/>
      <c r="B31" s="62"/>
      <c r="C31" s="62"/>
      <c r="D31" s="62"/>
      <c r="E31" s="63"/>
      <c r="F31" s="64"/>
      <c r="G31" s="64"/>
    </row>
    <row r="32" spans="1:7" x14ac:dyDescent="0.25">
      <c r="A32" s="60" t="s">
        <v>43</v>
      </c>
      <c r="B32" s="55"/>
      <c r="C32" s="58" t="s">
        <v>10</v>
      </c>
      <c r="D32" s="55"/>
      <c r="E32" s="81" t="s">
        <v>11</v>
      </c>
      <c r="F32" s="3"/>
      <c r="G32" s="3"/>
    </row>
    <row r="33" spans="1:7" x14ac:dyDescent="0.25">
      <c r="A33" s="66">
        <v>1</v>
      </c>
      <c r="B33" s="51"/>
      <c r="C33" s="79">
        <v>0</v>
      </c>
      <c r="D33" s="80"/>
      <c r="E33" s="79">
        <v>0</v>
      </c>
      <c r="F33" s="52"/>
      <c r="G33" s="3"/>
    </row>
    <row r="34" spans="1:7" x14ac:dyDescent="0.25">
      <c r="A34" s="67">
        <v>2</v>
      </c>
      <c r="B34" s="51"/>
      <c r="C34" s="79">
        <v>0</v>
      </c>
      <c r="D34" s="80"/>
      <c r="E34" s="79">
        <v>0</v>
      </c>
      <c r="F34" s="52"/>
      <c r="G34" s="3"/>
    </row>
    <row r="35" spans="1:7" x14ac:dyDescent="0.25">
      <c r="A35" s="67">
        <v>3</v>
      </c>
      <c r="B35" s="51"/>
      <c r="C35" s="79">
        <v>0</v>
      </c>
      <c r="D35" s="80"/>
      <c r="E35" s="79">
        <v>0</v>
      </c>
      <c r="F35" s="52"/>
      <c r="G35" s="3"/>
    </row>
    <row r="36" spans="1:7" x14ac:dyDescent="0.25">
      <c r="A36" s="68">
        <f>A35+1</f>
        <v>4</v>
      </c>
      <c r="B36" s="51"/>
      <c r="C36" s="79">
        <v>0</v>
      </c>
      <c r="D36" s="80"/>
      <c r="E36" s="79">
        <v>0</v>
      </c>
      <c r="F36" s="52"/>
      <c r="G36" s="3"/>
    </row>
    <row r="37" spans="1:7" x14ac:dyDescent="0.25">
      <c r="A37" s="3"/>
      <c r="B37" s="3"/>
      <c r="C37" s="55"/>
      <c r="D37" s="3"/>
      <c r="E37" s="55"/>
      <c r="F37" s="3"/>
      <c r="G37"/>
    </row>
    <row r="38" spans="1:7" x14ac:dyDescent="0.25">
      <c r="A38" s="76" t="s">
        <v>12</v>
      </c>
      <c r="B38" s="77"/>
      <c r="C38" s="91"/>
      <c r="D38" s="157"/>
      <c r="E38" s="158"/>
      <c r="F38" s="158"/>
      <c r="G38" s="159"/>
    </row>
    <row r="39" spans="1:7" x14ac:dyDescent="0.25">
      <c r="A39" s="13"/>
      <c r="B39" s="13"/>
      <c r="C39" s="13"/>
      <c r="D39" s="13"/>
      <c r="E39" s="13"/>
      <c r="F39" s="13"/>
      <c r="G39" s="13"/>
    </row>
    <row r="40" spans="1:7" x14ac:dyDescent="0.25">
      <c r="A40" s="149" t="s">
        <v>13</v>
      </c>
      <c r="B40" s="150"/>
      <c r="C40" s="151"/>
      <c r="D40" s="17">
        <v>12</v>
      </c>
      <c r="E40" s="13"/>
      <c r="F40" s="13"/>
      <c r="G40" s="13"/>
    </row>
    <row r="41" spans="1:7" x14ac:dyDescent="0.25">
      <c r="A41" s="13"/>
      <c r="B41" s="13"/>
      <c r="C41" s="13"/>
      <c r="D41" s="13"/>
      <c r="E41" s="13"/>
      <c r="F41" s="13"/>
      <c r="G41" s="13"/>
    </row>
    <row r="42" spans="1:7" x14ac:dyDescent="0.25">
      <c r="A42" s="14" t="s">
        <v>14</v>
      </c>
      <c r="B42" s="13"/>
      <c r="C42" s="14" t="s">
        <v>10</v>
      </c>
      <c r="D42" s="13"/>
      <c r="E42" s="14" t="s">
        <v>11</v>
      </c>
      <c r="F42" s="13"/>
      <c r="G42" s="94" t="s">
        <v>92</v>
      </c>
    </row>
    <row r="43" spans="1:7" x14ac:dyDescent="0.25">
      <c r="A43" s="21">
        <v>1</v>
      </c>
      <c r="B43" s="13"/>
      <c r="C43" s="20">
        <v>2.5</v>
      </c>
      <c r="D43" s="13"/>
      <c r="E43" s="20">
        <v>2.5</v>
      </c>
      <c r="F43" s="13"/>
      <c r="G43" s="2">
        <v>12</v>
      </c>
    </row>
    <row r="44" spans="1:7" x14ac:dyDescent="0.25">
      <c r="A44" s="21">
        <v>2</v>
      </c>
      <c r="B44" s="13"/>
      <c r="C44" s="20">
        <v>10</v>
      </c>
      <c r="D44" s="13"/>
      <c r="E44" s="20">
        <v>2.5</v>
      </c>
      <c r="F44" s="13"/>
      <c r="G44" s="2">
        <v>12</v>
      </c>
    </row>
    <row r="45" spans="1:7" x14ac:dyDescent="0.25">
      <c r="A45" s="21">
        <v>3</v>
      </c>
      <c r="B45" s="13"/>
      <c r="C45" s="20">
        <v>17.5</v>
      </c>
      <c r="D45" s="13"/>
      <c r="E45" s="20">
        <v>2.5</v>
      </c>
      <c r="F45" s="13"/>
      <c r="G45" s="2">
        <v>12</v>
      </c>
    </row>
    <row r="46" spans="1:7" x14ac:dyDescent="0.25">
      <c r="A46" s="21">
        <v>4</v>
      </c>
      <c r="B46" s="13"/>
      <c r="C46" s="20">
        <v>2.5</v>
      </c>
      <c r="D46" s="13"/>
      <c r="E46" s="20">
        <v>17.5</v>
      </c>
      <c r="F46" s="13"/>
      <c r="G46" s="2">
        <v>12</v>
      </c>
    </row>
    <row r="47" spans="1:7" x14ac:dyDescent="0.25">
      <c r="A47" s="21">
        <v>5</v>
      </c>
      <c r="B47" s="13"/>
      <c r="C47" s="20">
        <v>10</v>
      </c>
      <c r="D47" s="13"/>
      <c r="E47" s="20">
        <v>17.5</v>
      </c>
      <c r="F47" s="13"/>
      <c r="G47" s="2">
        <v>12</v>
      </c>
    </row>
    <row r="48" spans="1:7" x14ac:dyDescent="0.25">
      <c r="A48" s="21">
        <v>6</v>
      </c>
      <c r="B48" s="13"/>
      <c r="C48" s="20">
        <v>17.5</v>
      </c>
      <c r="D48" s="13"/>
      <c r="E48" s="20">
        <v>17.5</v>
      </c>
      <c r="F48" s="13"/>
      <c r="G48" s="2">
        <v>12</v>
      </c>
    </row>
    <row r="49" spans="1:7" x14ac:dyDescent="0.25">
      <c r="A49" s="21">
        <v>7</v>
      </c>
      <c r="B49" s="13"/>
      <c r="C49" s="20">
        <v>2.5</v>
      </c>
      <c r="D49" s="13"/>
      <c r="E49" s="20">
        <v>7.5</v>
      </c>
      <c r="F49" s="13"/>
      <c r="G49" s="2">
        <v>12</v>
      </c>
    </row>
    <row r="50" spans="1:7" x14ac:dyDescent="0.25">
      <c r="A50" s="21">
        <v>8</v>
      </c>
      <c r="B50" s="13"/>
      <c r="C50" s="20">
        <v>10</v>
      </c>
      <c r="D50" s="13"/>
      <c r="E50" s="20">
        <v>7.5</v>
      </c>
      <c r="F50" s="13"/>
      <c r="G50" s="2">
        <v>12</v>
      </c>
    </row>
    <row r="51" spans="1:7" x14ac:dyDescent="0.25">
      <c r="A51" s="21">
        <v>9</v>
      </c>
      <c r="B51" s="13"/>
      <c r="C51" s="20">
        <v>17.5</v>
      </c>
      <c r="D51" s="13"/>
      <c r="E51" s="20">
        <v>7.5</v>
      </c>
      <c r="F51" s="13"/>
      <c r="G51" s="2">
        <v>12</v>
      </c>
    </row>
    <row r="52" spans="1:7" x14ac:dyDescent="0.25">
      <c r="A52" s="21">
        <v>10</v>
      </c>
      <c r="B52" s="13"/>
      <c r="C52" s="20">
        <v>2.5</v>
      </c>
      <c r="D52" s="13"/>
      <c r="E52" s="20">
        <v>12.5</v>
      </c>
      <c r="F52" s="13"/>
      <c r="G52" s="2">
        <v>12</v>
      </c>
    </row>
    <row r="53" spans="1:7" x14ac:dyDescent="0.25">
      <c r="A53" s="21">
        <v>11</v>
      </c>
      <c r="B53" s="13"/>
      <c r="C53" s="20">
        <v>10</v>
      </c>
      <c r="D53" s="13"/>
      <c r="E53" s="20">
        <v>12.5</v>
      </c>
      <c r="F53" s="13"/>
      <c r="G53" s="2">
        <v>12</v>
      </c>
    </row>
    <row r="54" spans="1:7" x14ac:dyDescent="0.25">
      <c r="A54" s="21">
        <v>12</v>
      </c>
      <c r="B54" s="13"/>
      <c r="C54" s="20">
        <v>17.5</v>
      </c>
      <c r="D54" s="13"/>
      <c r="E54" s="20">
        <v>12.5</v>
      </c>
      <c r="F54" s="13"/>
      <c r="G54" s="2">
        <v>12</v>
      </c>
    </row>
    <row r="55" spans="1:7" x14ac:dyDescent="0.25">
      <c r="A55" s="160"/>
      <c r="B55" s="161"/>
      <c r="C55" s="161"/>
      <c r="D55" s="161"/>
      <c r="E55" s="161"/>
      <c r="F55" s="161"/>
      <c r="G55" s="162"/>
    </row>
    <row r="56" spans="1:7" x14ac:dyDescent="0.25">
      <c r="A56" s="76" t="s">
        <v>15</v>
      </c>
      <c r="B56" s="77"/>
      <c r="C56" s="91"/>
      <c r="E56" s="13"/>
    </row>
    <row r="57" spans="1:7" x14ac:dyDescent="0.25">
      <c r="A57" s="13"/>
      <c r="B57" s="13"/>
      <c r="C57" s="13"/>
      <c r="D57" s="13"/>
      <c r="E57" s="13"/>
      <c r="F57" s="13"/>
      <c r="G57" s="13"/>
    </row>
    <row r="58" spans="1:7" x14ac:dyDescent="0.25">
      <c r="A58" s="149" t="s">
        <v>13</v>
      </c>
      <c r="B58" s="150"/>
      <c r="C58" s="151"/>
      <c r="D58" s="17">
        <v>0</v>
      </c>
      <c r="E58" s="13"/>
      <c r="F58" s="13"/>
      <c r="G58" s="13"/>
    </row>
    <row r="59" spans="1:7" x14ac:dyDescent="0.25">
      <c r="A59" s="13"/>
      <c r="B59" s="13"/>
      <c r="C59" s="13"/>
      <c r="D59" s="13"/>
      <c r="E59" s="13"/>
      <c r="F59" s="13"/>
      <c r="G59" s="13"/>
    </row>
    <row r="60" spans="1:7" x14ac:dyDescent="0.25">
      <c r="A60" s="14" t="s">
        <v>14</v>
      </c>
      <c r="B60" s="13"/>
      <c r="C60" s="14" t="s">
        <v>10</v>
      </c>
      <c r="D60" s="13"/>
      <c r="E60" s="14" t="s">
        <v>11</v>
      </c>
      <c r="F60" s="13"/>
      <c r="G60" s="94" t="s">
        <v>16</v>
      </c>
    </row>
    <row r="61" spans="1:7" x14ac:dyDescent="0.25">
      <c r="A61" s="3"/>
      <c r="B61" s="3"/>
      <c r="C61" s="55"/>
      <c r="D61" s="3"/>
      <c r="E61" s="55"/>
      <c r="F61" s="3"/>
      <c r="G61"/>
    </row>
    <row r="62" spans="1:7" x14ac:dyDescent="0.25">
      <c r="A62" s="76" t="s">
        <v>17</v>
      </c>
      <c r="B62" s="77"/>
      <c r="C62" s="13"/>
      <c r="D62" s="13"/>
      <c r="E62" s="13"/>
      <c r="F62" s="13"/>
      <c r="G62" s="13"/>
    </row>
    <row r="63" spans="1:7" x14ac:dyDescent="0.25">
      <c r="A63" s="13"/>
      <c r="B63" s="13"/>
      <c r="C63" s="13"/>
      <c r="D63" s="13"/>
      <c r="E63" s="13"/>
      <c r="F63" s="13"/>
      <c r="G63" s="13"/>
    </row>
    <row r="64" spans="1:7" x14ac:dyDescent="0.25">
      <c r="A64" s="149" t="s">
        <v>58</v>
      </c>
      <c r="B64" s="150"/>
      <c r="C64" s="163" t="s">
        <v>78</v>
      </c>
      <c r="D64" s="163"/>
      <c r="E64" s="89"/>
      <c r="F64" s="13"/>
      <c r="G64" s="13"/>
    </row>
    <row r="65" spans="1:7" x14ac:dyDescent="0.25">
      <c r="A65" s="13"/>
      <c r="B65" s="13"/>
      <c r="C65" s="13"/>
      <c r="D65" s="13"/>
      <c r="E65" s="13"/>
      <c r="F65" s="13"/>
      <c r="G65" s="13"/>
    </row>
    <row r="66" spans="1:7" x14ac:dyDescent="0.25">
      <c r="A66" s="156" t="s">
        <v>93</v>
      </c>
      <c r="B66" s="156"/>
      <c r="C66" s="15">
        <v>2</v>
      </c>
      <c r="D66" s="13"/>
      <c r="E66" s="119" t="s">
        <v>89</v>
      </c>
      <c r="F66" s="119"/>
      <c r="G66" s="119"/>
    </row>
    <row r="67" spans="1:7" x14ac:dyDescent="0.25">
      <c r="A67" s="13"/>
      <c r="B67" s="13"/>
      <c r="C67" s="18"/>
      <c r="D67" s="13"/>
      <c r="E67" s="119" t="s">
        <v>88</v>
      </c>
      <c r="F67" s="119"/>
      <c r="G67" s="119"/>
    </row>
    <row r="68" spans="1:7" x14ac:dyDescent="0.25">
      <c r="A68" s="156" t="s">
        <v>94</v>
      </c>
      <c r="B68" s="156"/>
      <c r="C68" s="15">
        <v>2</v>
      </c>
      <c r="D68" s="13"/>
      <c r="E68" s="119" t="s">
        <v>137</v>
      </c>
      <c r="F68" s="119"/>
      <c r="G68" s="119"/>
    </row>
    <row r="69" spans="1:7" x14ac:dyDescent="0.25">
      <c r="A69" s="3"/>
      <c r="B69" s="3"/>
      <c r="C69" s="55"/>
      <c r="D69" s="3"/>
      <c r="E69" s="120" t="s">
        <v>91</v>
      </c>
      <c r="F69" s="119"/>
      <c r="G69" s="119"/>
    </row>
    <row r="70" spans="1:7" x14ac:dyDescent="0.25">
      <c r="A70" s="156" t="s">
        <v>95</v>
      </c>
      <c r="B70" s="156"/>
      <c r="C70" s="15">
        <v>2</v>
      </c>
      <c r="D70" s="13"/>
      <c r="F70" s="13"/>
      <c r="G70" s="13"/>
    </row>
    <row r="71" spans="1:7" x14ac:dyDescent="0.25">
      <c r="A71" s="3"/>
      <c r="B71" s="3"/>
      <c r="C71" s="55"/>
      <c r="D71" s="3"/>
      <c r="F71" s="3"/>
      <c r="G71"/>
    </row>
    <row r="72" spans="1:7" x14ac:dyDescent="0.25">
      <c r="A72" s="76" t="s">
        <v>80</v>
      </c>
      <c r="B72" s="13"/>
      <c r="C72" s="13"/>
      <c r="D72" s="13"/>
      <c r="E72" s="13"/>
      <c r="F72" s="13"/>
      <c r="G72" s="13"/>
    </row>
    <row r="73" spans="1:7" x14ac:dyDescent="0.25">
      <c r="B73" s="13"/>
      <c r="C73" s="13"/>
      <c r="D73" s="13"/>
      <c r="E73" s="13"/>
      <c r="F73" s="13"/>
      <c r="G73" s="13"/>
    </row>
    <row r="74" spans="1:7" x14ac:dyDescent="0.25">
      <c r="A74" s="149" t="s">
        <v>55</v>
      </c>
      <c r="B74" s="151"/>
      <c r="C74" s="15" t="s">
        <v>59</v>
      </c>
      <c r="G74" s="13"/>
    </row>
    <row r="76" spans="1:7" x14ac:dyDescent="0.25">
      <c r="A76" s="149" t="s">
        <v>61</v>
      </c>
      <c r="B76" s="151"/>
      <c r="C76" s="19">
        <v>5</v>
      </c>
    </row>
  </sheetData>
  <dataConsolidate/>
  <mergeCells count="17">
    <mergeCell ref="A68:B68"/>
    <mergeCell ref="A70:B70"/>
    <mergeCell ref="A74:B74"/>
    <mergeCell ref="A76:B76"/>
    <mergeCell ref="D38:G38"/>
    <mergeCell ref="A40:C40"/>
    <mergeCell ref="A55:G55"/>
    <mergeCell ref="A58:C58"/>
    <mergeCell ref="A64:B64"/>
    <mergeCell ref="C64:D64"/>
    <mergeCell ref="A66:B66"/>
    <mergeCell ref="A14:C14"/>
    <mergeCell ref="A4:B4"/>
    <mergeCell ref="A6:B6"/>
    <mergeCell ref="A8:B8"/>
    <mergeCell ref="A9:G9"/>
    <mergeCell ref="A10:B10"/>
  </mergeCells>
  <dataValidations count="16">
    <dataValidation type="decimal" allowBlank="1" showInputMessage="1" showErrorMessage="1" errorTitle="ERROR" error="El ángulo de inclinación del plano de carga debe estar comprendido entre -90º y 90º" sqref="C76" xr:uid="{9CFF904D-19A3-4892-AB30-FBAF28F38907}">
      <formula1>-90</formula1>
      <formula2>90</formula2>
    </dataValidation>
    <dataValidation type="list" allowBlank="1" showInputMessage="1" showErrorMessage="1" sqref="C8" xr:uid="{76659A12-2044-40ED-BDD9-2356BB6FA251}">
      <formula1>"Barras 1050, Trenzas C1650, Trenzas C1900, Provisto por Usuario"</formula1>
    </dataValidation>
    <dataValidation type="whole" allowBlank="1" showInputMessage="1" showErrorMessage="1" errorTitle="Error" error="El número de barras debe estar comprendido entre 1 y 500" sqref="A61 A43:A55" xr:uid="{C23F91B3-3144-4E96-B0F6-300CF5631F04}">
      <formula1>1</formula1>
      <formula2>500</formula2>
    </dataValidation>
    <dataValidation type="list" allowBlank="1" showInputMessage="1" sqref="C4" xr:uid="{D2478565-7F50-4FC0-A968-76ABDDB16352}">
      <formula1>"20,25,30,35,40,45,50,55, 60, Otro(Ingresar en misma Celda)"</formula1>
    </dataValidation>
    <dataValidation type="list" allowBlank="1" showInputMessage="1" showErrorMessage="1" sqref="C74" xr:uid="{3F23FBAC-9863-4D64-8331-7E9C64390075}">
      <formula1>"2D,3D, Verificación"</formula1>
    </dataValidation>
    <dataValidation type="list" allowBlank="1" showInputMessage="1" showErrorMessage="1" sqref="C10:D10" xr:uid="{CDD3AE1F-5EB2-42B9-8954-FFFBD55D7218}">
      <formula1>"Estribos, Barras Zunchadas"</formula1>
    </dataValidation>
    <dataValidation type="whole" allowBlank="1" showInputMessage="1" showErrorMessage="1" errorTitle="Error" error="El número de nodos debe estar comprendido entre 1 y 500" sqref="A33:A36 A19:A22 G24" xr:uid="{85B68FE0-5097-4381-A81C-63FDD69E9583}">
      <formula1>1</formula1>
      <formula2>500</formula2>
    </dataValidation>
    <dataValidation type="list" allowBlank="1" showInputMessage="1" showErrorMessage="1" sqref="C30 C16 C24" xr:uid="{FEC3A7C4-807F-46B0-B6A3-D73B4E2B273B}">
      <formula1>"Positivo, Negativo"</formula1>
    </dataValidation>
    <dataValidation type="whole" allowBlank="1" showInputMessage="1" showErrorMessage="1" errorTitle="Error" error="El número de nodos debe estar comprendido entre 3 y 500" sqref="G30 G16" xr:uid="{66173B37-3E42-4CA6-8DB9-471B36696DD6}">
      <formula1>3</formula1>
      <formula2>500</formula2>
    </dataValidation>
    <dataValidation type="whole" allowBlank="1" showInputMessage="1" showErrorMessage="1" errorTitle="Error" error="El número de barras debe estar comprendido entre 0 y 500" sqref="D40" xr:uid="{122219E4-39CE-475A-9199-B64060DEDCFB}">
      <formula1>0</formula1>
      <formula2>500</formula2>
    </dataValidation>
    <dataValidation type="decimal" operator="greaterThan" allowBlank="1" showInputMessage="1" showErrorMessage="1" errorTitle="Discretización" error="Los valores para ΔX, ΔY o Δθ deben ser siempre postiivos mayores a 0." sqref="C66 C68 C70" xr:uid="{0EDE2203-03F8-4F1A-ACBA-B537CFEBF93B}">
      <formula1>0</formula1>
    </dataValidation>
    <dataValidation type="whole" allowBlank="1" showInputMessage="1" showErrorMessage="1" errorTitle="Error" error="El número de barras debe estar comprendido entre 1 y 500" sqref="D58" xr:uid="{AC904DA6-ABA3-4C0C-926A-B126D688DC04}">
      <formula1>0</formula1>
      <formula2>500</formula2>
    </dataValidation>
    <dataValidation type="whole" operator="greaterThanOrEqual" allowBlank="1" showInputMessage="1" showErrorMessage="1" errorTitle="Ingreso de Contornos" error="Por lo menos debe ingresar 1 contorno." sqref="D14" xr:uid="{AC94466F-546F-40D1-B7D2-71739E75DF79}">
      <formula1>1</formula1>
    </dataValidation>
    <dataValidation type="list" allowBlank="1" showInputMessage="1" showErrorMessage="1" sqref="C64:D64" xr:uid="{4BD2C600-AD03-48B5-B325-3C7FEBA8C789}">
      <formula1>"Muy Fina, Fina, Media, Gruesa, Muy Gruesa, Avanzada (Ingreso Manual)"</formula1>
    </dataValidation>
    <dataValidation type="list" allowBlank="1" showInputMessage="1" showErrorMessage="1" sqref="E30 E16 E24" xr:uid="{3E7A3D95-387B-4D12-B3EA-F529CC984391}">
      <formula1>"Poligonal, Circular, Trapecio Circular"</formula1>
    </dataValidation>
    <dataValidation type="decimal" operator="greaterThanOrEqual" allowBlank="1" showInputMessage="1" showErrorMessage="1" errorTitle="Error en ingreso de radio." error="Los radios deben ser valores positivos." sqref="C27:C28" xr:uid="{0CFDFC72-FB8D-4AAD-A974-45FABA650543}">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94" r:id="rId4" name="Button 46">
              <controlPr defaultSize="0" print="0" autoFill="0" autoPict="0" macro="[0]!Sheet1.RunPyExe_Click">
                <anchor moveWithCells="1" sizeWithCells="1">
                  <from>
                    <xdr:col>3</xdr:col>
                    <xdr:colOff>381000</xdr:colOff>
                    <xdr:row>72</xdr:row>
                    <xdr:rowOff>133350</xdr:rowOff>
                  </from>
                  <to>
                    <xdr:col>6</xdr:col>
                    <xdr:colOff>723900</xdr:colOff>
                    <xdr:row>75</xdr:row>
                    <xdr:rowOff>152400</xdr:rowOff>
                  </to>
                </anchor>
              </controlPr>
            </control>
          </mc:Choice>
        </mc:AlternateContent>
        <mc:AlternateContent xmlns:mc="http://schemas.openxmlformats.org/markup-compatibility/2006">
          <mc:Choice Requires="x14">
            <control shapeId="2095" r:id="rId5" name="Button 47">
              <controlPr defaultSize="0" print="0" autoFill="0" autoPict="0" macro="[0]!Sheet1.CopyBackupSheet">
                <anchor moveWithCells="1" sizeWithCells="1">
                  <from>
                    <xdr:col>3</xdr:col>
                    <xdr:colOff>542925</xdr:colOff>
                    <xdr:row>1</xdr:row>
                    <xdr:rowOff>285750</xdr:rowOff>
                  </from>
                  <to>
                    <xdr:col>6</xdr:col>
                    <xdr:colOff>771525</xdr:colOff>
                    <xdr:row>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52EACF3-3FD2-4D1D-A926-60C0919500C9}">
          <x14:formula1>
            <xm:f>'Armaduras Pasivas'!$B$2:$E$2</xm:f>
          </x14:formula1>
          <xm:sqref>C6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498D8-AF7A-4267-AD9C-149E73B08CE5}">
  <sheetPr codeName="Hoja4">
    <tabColor rgb="FF0070C0"/>
  </sheetPr>
  <dimension ref="A1:S702"/>
  <sheetViews>
    <sheetView showGridLines="0" topLeftCell="A12" zoomScale="145" zoomScaleNormal="145" workbookViewId="0">
      <selection activeCell="N31" sqref="N31"/>
    </sheetView>
  </sheetViews>
  <sheetFormatPr defaultColWidth="10.85546875" defaultRowHeight="15" x14ac:dyDescent="0.25"/>
  <cols>
    <col min="3" max="4" width="10.85546875" style="87"/>
    <col min="9" max="11" width="10.85546875" style="88"/>
  </cols>
  <sheetData>
    <row r="1" spans="1:15" ht="15" customHeight="1" x14ac:dyDescent="0.25">
      <c r="A1" s="171" t="s">
        <v>81</v>
      </c>
      <c r="B1" s="171"/>
      <c r="C1" s="171"/>
      <c r="D1" s="171"/>
      <c r="E1" s="171"/>
      <c r="F1" s="171"/>
      <c r="G1" s="172">
        <f>'Ingreso de Datos'!C76</f>
        <v>5</v>
      </c>
      <c r="I1" s="169" t="s">
        <v>82</v>
      </c>
      <c r="J1" s="169" t="s">
        <v>83</v>
      </c>
      <c r="K1" s="169" t="s">
        <v>87</v>
      </c>
      <c r="L1" s="166"/>
      <c r="M1" s="166"/>
      <c r="N1" s="166"/>
      <c r="O1" s="166"/>
    </row>
    <row r="2" spans="1:15" ht="15.75" thickBot="1" x14ac:dyDescent="0.3">
      <c r="A2" s="171"/>
      <c r="B2" s="171"/>
      <c r="C2" s="171"/>
      <c r="D2" s="171"/>
      <c r="E2" s="171"/>
      <c r="F2" s="171"/>
      <c r="G2" s="172"/>
      <c r="I2" s="170"/>
      <c r="J2" s="170"/>
      <c r="K2" s="170"/>
      <c r="L2" s="166"/>
      <c r="M2" s="166"/>
      <c r="N2" s="166"/>
      <c r="O2" s="166"/>
    </row>
    <row r="3" spans="1:15" x14ac:dyDescent="0.25">
      <c r="C3"/>
      <c r="D3"/>
      <c r="I3">
        <v>923.00687119377005</v>
      </c>
      <c r="J3">
        <v>0</v>
      </c>
      <c r="K3">
        <v>0.65</v>
      </c>
      <c r="L3" s="166"/>
      <c r="M3" s="166"/>
      <c r="N3" s="166"/>
      <c r="O3" s="166"/>
    </row>
    <row r="4" spans="1:15" x14ac:dyDescent="0.25">
      <c r="C4"/>
      <c r="D4"/>
      <c r="I4">
        <v>923.00687119377005</v>
      </c>
      <c r="J4">
        <v>0</v>
      </c>
      <c r="K4">
        <v>0.65</v>
      </c>
      <c r="L4" s="166"/>
      <c r="M4" s="166"/>
      <c r="N4" s="166"/>
      <c r="O4" s="166"/>
    </row>
    <row r="5" spans="1:15" x14ac:dyDescent="0.25">
      <c r="C5"/>
      <c r="D5"/>
      <c r="I5">
        <v>923.00687119377005</v>
      </c>
      <c r="J5">
        <v>0</v>
      </c>
      <c r="K5">
        <v>0.65</v>
      </c>
      <c r="L5" s="166"/>
      <c r="M5" s="166"/>
      <c r="N5" s="166"/>
      <c r="O5" s="166"/>
    </row>
    <row r="6" spans="1:15" x14ac:dyDescent="0.25">
      <c r="C6"/>
      <c r="D6"/>
      <c r="I6">
        <v>923.00687119377005</v>
      </c>
      <c r="J6">
        <v>0</v>
      </c>
      <c r="K6">
        <v>0.65</v>
      </c>
      <c r="L6" s="166"/>
      <c r="M6" s="166"/>
      <c r="N6" s="166"/>
      <c r="O6" s="166"/>
    </row>
    <row r="7" spans="1:15" x14ac:dyDescent="0.25">
      <c r="C7"/>
      <c r="D7"/>
      <c r="I7">
        <v>923.00687119377005</v>
      </c>
      <c r="J7">
        <v>0</v>
      </c>
      <c r="K7">
        <v>0.65</v>
      </c>
      <c r="L7" s="166"/>
      <c r="M7" s="166"/>
      <c r="N7" s="166"/>
      <c r="O7" s="166"/>
    </row>
    <row r="8" spans="1:15" x14ac:dyDescent="0.25">
      <c r="C8"/>
      <c r="D8"/>
      <c r="I8">
        <v>923.00687119377005</v>
      </c>
      <c r="J8">
        <v>0</v>
      </c>
      <c r="K8">
        <v>0.65</v>
      </c>
      <c r="L8" s="166"/>
      <c r="M8" s="166"/>
      <c r="N8" s="166"/>
      <c r="O8" s="166"/>
    </row>
    <row r="9" spans="1:15" x14ac:dyDescent="0.25">
      <c r="C9"/>
      <c r="D9"/>
      <c r="I9">
        <v>923.00687119377005</v>
      </c>
      <c r="J9">
        <v>0</v>
      </c>
      <c r="K9">
        <v>0.65</v>
      </c>
    </row>
    <row r="10" spans="1:15" x14ac:dyDescent="0.25">
      <c r="C10"/>
      <c r="D10"/>
      <c r="I10">
        <v>923.00687119377005</v>
      </c>
      <c r="J10">
        <v>0</v>
      </c>
      <c r="K10">
        <v>0.65</v>
      </c>
    </row>
    <row r="11" spans="1:15" x14ac:dyDescent="0.25">
      <c r="C11"/>
      <c r="D11"/>
      <c r="I11">
        <v>923.00687119377005</v>
      </c>
      <c r="J11">
        <v>0</v>
      </c>
      <c r="K11">
        <v>0.65</v>
      </c>
    </row>
    <row r="12" spans="1:15" x14ac:dyDescent="0.25">
      <c r="C12"/>
      <c r="D12"/>
      <c r="I12">
        <v>923.00687119377005</v>
      </c>
      <c r="J12">
        <v>0</v>
      </c>
      <c r="K12">
        <v>0.65</v>
      </c>
    </row>
    <row r="13" spans="1:15" x14ac:dyDescent="0.25">
      <c r="C13"/>
      <c r="D13"/>
      <c r="I13">
        <v>923.00687119377005</v>
      </c>
      <c r="J13">
        <v>0</v>
      </c>
      <c r="K13">
        <v>0.65</v>
      </c>
    </row>
    <row r="14" spans="1:15" x14ac:dyDescent="0.25">
      <c r="C14"/>
      <c r="D14"/>
      <c r="I14">
        <v>919.45905695097258</v>
      </c>
      <c r="J14">
        <v>-0.26608606823500003</v>
      </c>
      <c r="K14">
        <v>0.65</v>
      </c>
    </row>
    <row r="15" spans="1:15" x14ac:dyDescent="0.25">
      <c r="C15"/>
      <c r="D15"/>
      <c r="I15">
        <v>915.5276952224674</v>
      </c>
      <c r="J15">
        <v>-0.5609381978200001</v>
      </c>
      <c r="K15">
        <v>0.65</v>
      </c>
    </row>
    <row r="16" spans="1:15" x14ac:dyDescent="0.25">
      <c r="C16"/>
      <c r="D16"/>
      <c r="I16">
        <v>911.59633349396211</v>
      </c>
      <c r="J16">
        <v>-0.85579032746999995</v>
      </c>
      <c r="K16">
        <v>0.65</v>
      </c>
    </row>
    <row r="17" spans="1:19" x14ac:dyDescent="0.25">
      <c r="C17"/>
      <c r="D17"/>
      <c r="I17">
        <v>907.6649717654567</v>
      </c>
      <c r="J17">
        <v>-1.15064245712</v>
      </c>
      <c r="K17">
        <v>0.65</v>
      </c>
    </row>
    <row r="18" spans="1:19" x14ac:dyDescent="0.25">
      <c r="C18"/>
      <c r="D18"/>
      <c r="I18">
        <v>901.719985736985</v>
      </c>
      <c r="J18">
        <v>-1.4958351942299999</v>
      </c>
      <c r="K18">
        <v>0.65</v>
      </c>
    </row>
    <row r="19" spans="1:19" x14ac:dyDescent="0.25">
      <c r="C19"/>
      <c r="D19"/>
      <c r="I19">
        <v>895.00790473709799</v>
      </c>
      <c r="J19">
        <v>-1.8602053056599999</v>
      </c>
      <c r="K19">
        <v>0.65</v>
      </c>
    </row>
    <row r="20" spans="1:19" x14ac:dyDescent="0.25">
      <c r="C20"/>
      <c r="D20"/>
      <c r="I20">
        <v>888.29582373721087</v>
      </c>
      <c r="J20">
        <v>-2.2245754170900001</v>
      </c>
      <c r="K20">
        <v>0.65</v>
      </c>
    </row>
    <row r="21" spans="1:19" x14ac:dyDescent="0.25">
      <c r="C21"/>
      <c r="D21"/>
      <c r="I21">
        <v>881.58374273732386</v>
      </c>
      <c r="J21">
        <v>-2.58894552852</v>
      </c>
      <c r="K21">
        <v>0.65</v>
      </c>
    </row>
    <row r="22" spans="1:19" x14ac:dyDescent="0.25">
      <c r="C22"/>
      <c r="D22"/>
      <c r="I22">
        <v>874.87166173743674</v>
      </c>
      <c r="J22">
        <v>-2.95331563995</v>
      </c>
      <c r="K22">
        <v>0.65</v>
      </c>
    </row>
    <row r="23" spans="1:19" x14ac:dyDescent="0.25">
      <c r="C23"/>
      <c r="D23"/>
      <c r="I23">
        <v>868.1595807375495</v>
      </c>
      <c r="J23">
        <v>-3.31768575138</v>
      </c>
      <c r="K23">
        <v>0.65</v>
      </c>
    </row>
    <row r="24" spans="1:19" x14ac:dyDescent="0.25">
      <c r="C24"/>
      <c r="D24"/>
      <c r="I24">
        <v>861.44749973766238</v>
      </c>
      <c r="J24">
        <v>-3.6820558628100004</v>
      </c>
      <c r="K24">
        <v>0.65</v>
      </c>
      <c r="S24" s="96">
        <v>10</v>
      </c>
    </row>
    <row r="25" spans="1:19" x14ac:dyDescent="0.25">
      <c r="C25"/>
      <c r="D25"/>
      <c r="I25">
        <v>854.73541873777538</v>
      </c>
      <c r="J25">
        <v>-4.0464259742399999</v>
      </c>
      <c r="K25">
        <v>0.65</v>
      </c>
    </row>
    <row r="26" spans="1:19" x14ac:dyDescent="0.25">
      <c r="C26"/>
      <c r="D26"/>
      <c r="I26">
        <v>848.02333773788837</v>
      </c>
      <c r="J26">
        <v>-4.4107960856700004</v>
      </c>
      <c r="K26">
        <v>0.65</v>
      </c>
    </row>
    <row r="27" spans="1:19" x14ac:dyDescent="0.25">
      <c r="C27"/>
      <c r="D27"/>
      <c r="I27">
        <v>841.31125673800125</v>
      </c>
      <c r="J27">
        <v>-4.7751661970350003</v>
      </c>
      <c r="K27">
        <v>0.65</v>
      </c>
    </row>
    <row r="28" spans="1:19" x14ac:dyDescent="0.25">
      <c r="C28"/>
      <c r="D28"/>
      <c r="I28">
        <v>833.54442015241693</v>
      </c>
      <c r="J28">
        <v>-5.1131674188399998</v>
      </c>
      <c r="K28">
        <v>0.65</v>
      </c>
    </row>
    <row r="29" spans="1:19" x14ac:dyDescent="0.25">
      <c r="C29"/>
      <c r="D29"/>
      <c r="I29">
        <v>832.98827629814036</v>
      </c>
      <c r="J29">
        <v>-5.1347419648849995</v>
      </c>
      <c r="K29">
        <v>0.65</v>
      </c>
    </row>
    <row r="30" spans="1:19" x14ac:dyDescent="0.25">
      <c r="C30"/>
      <c r="D30"/>
      <c r="I30">
        <v>832.43213244386413</v>
      </c>
      <c r="J30">
        <v>-5.1563165109950004</v>
      </c>
      <c r="K30">
        <v>0.65</v>
      </c>
    </row>
    <row r="31" spans="1:19" x14ac:dyDescent="0.25">
      <c r="A31" s="167" t="s">
        <v>84</v>
      </c>
      <c r="B31" s="167"/>
      <c r="C31" s="168" t="s">
        <v>85</v>
      </c>
      <c r="D31" s="168" t="s">
        <v>86</v>
      </c>
      <c r="I31">
        <v>831.87598858958756</v>
      </c>
      <c r="J31">
        <v>-5.1778910570400001</v>
      </c>
      <c r="K31">
        <v>0.65</v>
      </c>
    </row>
    <row r="32" spans="1:19" ht="15" customHeight="1" x14ac:dyDescent="0.25">
      <c r="A32" s="167"/>
      <c r="B32" s="167"/>
      <c r="C32" s="168"/>
      <c r="D32" s="168"/>
      <c r="F32" s="95"/>
      <c r="G32" s="95"/>
      <c r="I32">
        <v>831.31984473531122</v>
      </c>
      <c r="J32">
        <v>-5.1994656031499993</v>
      </c>
      <c r="K32">
        <v>0.65</v>
      </c>
    </row>
    <row r="33" spans="3:11" ht="13.5" customHeight="1" x14ac:dyDescent="0.25">
      <c r="C33" s="86"/>
      <c r="D33" s="86"/>
      <c r="E33" s="164" t="s">
        <v>96</v>
      </c>
      <c r="F33" s="165"/>
      <c r="G33" s="165"/>
      <c r="H33" s="95"/>
      <c r="I33">
        <v>830.76370088103511</v>
      </c>
      <c r="J33">
        <v>-5.2210401491950007</v>
      </c>
      <c r="K33">
        <v>0.65</v>
      </c>
    </row>
    <row r="34" spans="3:11" x14ac:dyDescent="0.25">
      <c r="C34" s="86"/>
      <c r="D34" s="86"/>
      <c r="E34" s="164"/>
      <c r="F34" s="165"/>
      <c r="G34" s="165"/>
      <c r="I34">
        <v>830.20755702675865</v>
      </c>
      <c r="J34">
        <v>-5.2426146952399995</v>
      </c>
      <c r="K34">
        <v>0.65</v>
      </c>
    </row>
    <row r="35" spans="3:11" x14ac:dyDescent="0.25">
      <c r="C35" s="86"/>
      <c r="D35" s="86"/>
      <c r="E35" s="164"/>
      <c r="F35" s="165"/>
      <c r="G35" s="165"/>
      <c r="I35">
        <v>829.65141317248208</v>
      </c>
      <c r="J35">
        <v>-5.2641892413499995</v>
      </c>
      <c r="K35">
        <v>0.65</v>
      </c>
    </row>
    <row r="36" spans="3:11" x14ac:dyDescent="0.25">
      <c r="C36" s="86"/>
      <c r="D36" s="86"/>
      <c r="E36" s="164"/>
      <c r="F36" s="165"/>
      <c r="G36" s="165"/>
      <c r="I36">
        <v>806.07443598487225</v>
      </c>
      <c r="J36">
        <v>-7.4919269818249994</v>
      </c>
      <c r="K36">
        <v>0.65</v>
      </c>
    </row>
    <row r="37" spans="3:11" x14ac:dyDescent="0.25">
      <c r="C37" s="86"/>
      <c r="D37" s="86"/>
      <c r="E37" s="164"/>
      <c r="F37" s="165"/>
      <c r="G37" s="165"/>
      <c r="I37">
        <v>805.51829213059591</v>
      </c>
      <c r="J37">
        <v>-7.5135015279350004</v>
      </c>
      <c r="K37">
        <v>0.65</v>
      </c>
    </row>
    <row r="38" spans="3:11" x14ac:dyDescent="0.25">
      <c r="C38" s="86"/>
      <c r="D38" s="86"/>
      <c r="E38" s="164"/>
      <c r="F38" s="165"/>
      <c r="G38" s="165"/>
      <c r="I38">
        <v>804.96214827631945</v>
      </c>
      <c r="J38">
        <v>-7.53507607398</v>
      </c>
      <c r="K38">
        <v>0.65</v>
      </c>
    </row>
    <row r="39" spans="3:11" x14ac:dyDescent="0.25">
      <c r="C39" s="86"/>
      <c r="D39" s="86"/>
      <c r="E39" s="164"/>
      <c r="F39" s="165"/>
      <c r="G39" s="165"/>
      <c r="I39">
        <v>804.40600442204322</v>
      </c>
      <c r="J39">
        <v>-7.5566506200900001</v>
      </c>
      <c r="K39">
        <v>0.65</v>
      </c>
    </row>
    <row r="40" spans="3:11" x14ac:dyDescent="0.25">
      <c r="C40" s="86"/>
      <c r="D40" s="86"/>
      <c r="E40" s="164"/>
      <c r="F40" s="165"/>
      <c r="G40" s="165"/>
      <c r="I40">
        <v>803.84986056776677</v>
      </c>
      <c r="J40">
        <v>-7.5782251661350006</v>
      </c>
      <c r="K40">
        <v>0.65</v>
      </c>
    </row>
    <row r="41" spans="3:11" x14ac:dyDescent="0.25">
      <c r="C41" s="86"/>
      <c r="D41" s="86"/>
      <c r="E41" s="164"/>
      <c r="F41" s="165"/>
      <c r="G41" s="165"/>
      <c r="I41">
        <v>803.29371671349043</v>
      </c>
      <c r="J41">
        <v>-7.5997997121799994</v>
      </c>
      <c r="K41">
        <v>0.65</v>
      </c>
    </row>
    <row r="42" spans="3:11" x14ac:dyDescent="0.25">
      <c r="C42" s="86"/>
      <c r="D42" s="86"/>
      <c r="E42" s="164"/>
      <c r="F42" s="165"/>
      <c r="G42" s="165"/>
      <c r="I42">
        <v>802.73757285921408</v>
      </c>
      <c r="J42">
        <v>-7.6213742582900004</v>
      </c>
      <c r="K42">
        <v>0.65</v>
      </c>
    </row>
    <row r="43" spans="3:11" x14ac:dyDescent="0.25">
      <c r="C43" s="86"/>
      <c r="D43" s="86"/>
      <c r="I43">
        <v>802.18142900493763</v>
      </c>
      <c r="J43">
        <v>-7.642948804335</v>
      </c>
      <c r="K43">
        <v>0.65</v>
      </c>
    </row>
    <row r="44" spans="3:11" x14ac:dyDescent="0.25">
      <c r="C44" s="86"/>
      <c r="D44" s="86"/>
      <c r="I44">
        <v>801.62528515066151</v>
      </c>
      <c r="J44">
        <v>-7.6645233504450001</v>
      </c>
      <c r="K44">
        <v>0.65</v>
      </c>
    </row>
    <row r="45" spans="3:11" x14ac:dyDescent="0.25">
      <c r="C45" s="86"/>
      <c r="D45" s="86"/>
      <c r="I45">
        <v>801.06914129638494</v>
      </c>
      <c r="J45">
        <v>-7.6860978964900006</v>
      </c>
      <c r="K45">
        <v>0.65</v>
      </c>
    </row>
    <row r="46" spans="3:11" x14ac:dyDescent="0.25">
      <c r="C46" s="86"/>
      <c r="D46" s="86"/>
      <c r="I46">
        <v>800.51299744210871</v>
      </c>
      <c r="J46">
        <v>-7.7076724425349994</v>
      </c>
      <c r="K46">
        <v>0.65</v>
      </c>
    </row>
    <row r="47" spans="3:11" x14ac:dyDescent="0.25">
      <c r="C47" s="86"/>
      <c r="D47" s="86"/>
      <c r="I47">
        <v>799.95685358783237</v>
      </c>
      <c r="J47">
        <v>-7.7292469886449995</v>
      </c>
      <c r="K47">
        <v>0.65</v>
      </c>
    </row>
    <row r="48" spans="3:11" x14ac:dyDescent="0.25">
      <c r="C48" s="86"/>
      <c r="D48" s="86"/>
      <c r="I48">
        <v>799.4007097335558</v>
      </c>
      <c r="J48">
        <v>-7.75082153469</v>
      </c>
      <c r="K48">
        <v>0.65</v>
      </c>
    </row>
    <row r="49" spans="3:11" x14ac:dyDescent="0.25">
      <c r="C49" s="86"/>
      <c r="D49" s="86"/>
      <c r="I49">
        <v>798.84456587927957</v>
      </c>
      <c r="J49">
        <v>-7.7723960808000001</v>
      </c>
      <c r="K49">
        <v>0.65</v>
      </c>
    </row>
    <row r="50" spans="3:11" x14ac:dyDescent="0.25">
      <c r="C50" s="86"/>
      <c r="D50" s="86"/>
      <c r="I50">
        <v>798.28842202500323</v>
      </c>
      <c r="J50">
        <v>-7.7939706268450006</v>
      </c>
      <c r="K50">
        <v>0.65</v>
      </c>
    </row>
    <row r="51" spans="3:11" x14ac:dyDescent="0.25">
      <c r="I51">
        <v>797.732278170727</v>
      </c>
      <c r="J51">
        <v>-7.8155451728900003</v>
      </c>
      <c r="K51">
        <v>0.65</v>
      </c>
    </row>
    <row r="52" spans="3:11" x14ac:dyDescent="0.25">
      <c r="I52">
        <v>797.17613431645054</v>
      </c>
      <c r="J52">
        <v>-7.8371197190000013</v>
      </c>
      <c r="K52">
        <v>0.65</v>
      </c>
    </row>
    <row r="53" spans="3:11" x14ac:dyDescent="0.25">
      <c r="I53">
        <v>773.59915712884072</v>
      </c>
      <c r="J53">
        <v>-9.8730171817549994</v>
      </c>
      <c r="K53">
        <v>0.65</v>
      </c>
    </row>
    <row r="54" spans="3:11" x14ac:dyDescent="0.25">
      <c r="I54">
        <v>773.04301327456437</v>
      </c>
      <c r="J54">
        <v>-9.8945917278</v>
      </c>
      <c r="K54">
        <v>0.65</v>
      </c>
    </row>
    <row r="55" spans="3:11" x14ac:dyDescent="0.25">
      <c r="I55">
        <v>772.4868694202878</v>
      </c>
      <c r="J55">
        <v>-9.9161662738450005</v>
      </c>
      <c r="K55">
        <v>0.65</v>
      </c>
    </row>
    <row r="56" spans="3:11" x14ac:dyDescent="0.25">
      <c r="I56">
        <v>771.93072556601157</v>
      </c>
      <c r="J56">
        <v>-9.9377408199550015</v>
      </c>
      <c r="K56">
        <v>0.65</v>
      </c>
    </row>
    <row r="57" spans="3:11" x14ac:dyDescent="0.25">
      <c r="I57">
        <v>771.37458171173523</v>
      </c>
      <c r="J57">
        <v>-9.9593153660000002</v>
      </c>
      <c r="K57">
        <v>0.65</v>
      </c>
    </row>
    <row r="58" spans="3:11" x14ac:dyDescent="0.25">
      <c r="I58">
        <v>770.81843785745866</v>
      </c>
      <c r="J58">
        <v>-9.9808899121100012</v>
      </c>
      <c r="K58">
        <v>0.65</v>
      </c>
    </row>
    <row r="59" spans="3:11" x14ac:dyDescent="0.25">
      <c r="I59">
        <v>770.26229400318255</v>
      </c>
      <c r="J59">
        <v>-10.002464458155</v>
      </c>
      <c r="K59">
        <v>0.65</v>
      </c>
    </row>
    <row r="60" spans="3:11" x14ac:dyDescent="0.25">
      <c r="I60">
        <v>769.70615014890609</v>
      </c>
      <c r="J60">
        <v>-10.0240390042</v>
      </c>
      <c r="K60">
        <v>0.65</v>
      </c>
    </row>
    <row r="61" spans="3:11" x14ac:dyDescent="0.25">
      <c r="I61">
        <v>769.15000629462975</v>
      </c>
      <c r="J61">
        <v>-10.045613550310001</v>
      </c>
      <c r="K61">
        <v>0.65</v>
      </c>
    </row>
    <row r="62" spans="3:11" x14ac:dyDescent="0.25">
      <c r="I62">
        <v>768.5938624403534</v>
      </c>
      <c r="J62">
        <v>-10.067188096355</v>
      </c>
      <c r="K62">
        <v>0.65</v>
      </c>
    </row>
    <row r="63" spans="3:11" x14ac:dyDescent="0.25">
      <c r="I63">
        <v>768.03771858607706</v>
      </c>
      <c r="J63">
        <v>-10.088762642465001</v>
      </c>
      <c r="K63">
        <v>0.65</v>
      </c>
    </row>
    <row r="64" spans="3:11" x14ac:dyDescent="0.25">
      <c r="I64">
        <v>767.48157473180072</v>
      </c>
      <c r="J64">
        <v>-10.11033718851</v>
      </c>
      <c r="K64">
        <v>0.65</v>
      </c>
    </row>
    <row r="65" spans="9:11" x14ac:dyDescent="0.25">
      <c r="I65">
        <v>766.92543087752426</v>
      </c>
      <c r="J65">
        <v>-10.131911734555</v>
      </c>
      <c r="K65">
        <v>0.65</v>
      </c>
    </row>
    <row r="66" spans="9:11" x14ac:dyDescent="0.25">
      <c r="I66">
        <v>766.36928702324792</v>
      </c>
      <c r="J66">
        <v>-10.153486280665</v>
      </c>
      <c r="K66">
        <v>0.65</v>
      </c>
    </row>
    <row r="67" spans="9:11" x14ac:dyDescent="0.25">
      <c r="I67">
        <v>765.81314316897158</v>
      </c>
      <c r="J67">
        <v>-10.17506082671</v>
      </c>
      <c r="K67">
        <v>0.65</v>
      </c>
    </row>
    <row r="68" spans="9:11" x14ac:dyDescent="0.25">
      <c r="I68">
        <v>765.25699931469512</v>
      </c>
      <c r="J68">
        <v>-10.196635372820001</v>
      </c>
      <c r="K68">
        <v>0.65</v>
      </c>
    </row>
    <row r="69" spans="9:11" x14ac:dyDescent="0.25">
      <c r="I69">
        <v>764.70085546041889</v>
      </c>
      <c r="J69">
        <v>-10.218209918865002</v>
      </c>
      <c r="K69">
        <v>0.65</v>
      </c>
    </row>
    <row r="70" spans="9:11" x14ac:dyDescent="0.25">
      <c r="I70">
        <v>764.14471160614244</v>
      </c>
      <c r="J70">
        <v>-10.23978446491</v>
      </c>
      <c r="K70">
        <v>0.65</v>
      </c>
    </row>
    <row r="71" spans="9:11" x14ac:dyDescent="0.25">
      <c r="I71">
        <v>763.58856775186609</v>
      </c>
      <c r="J71">
        <v>-10.261359011020001</v>
      </c>
      <c r="K71">
        <v>0.65</v>
      </c>
    </row>
    <row r="72" spans="9:11" x14ac:dyDescent="0.25">
      <c r="I72">
        <v>740.01159056425627</v>
      </c>
      <c r="J72">
        <v>-12.105416195990001</v>
      </c>
      <c r="K72">
        <v>0.65</v>
      </c>
    </row>
    <row r="73" spans="9:11" x14ac:dyDescent="0.25">
      <c r="I73">
        <v>739.45544670997992</v>
      </c>
      <c r="J73">
        <v>-12.126990742035</v>
      </c>
      <c r="K73">
        <v>0.65</v>
      </c>
    </row>
    <row r="74" spans="9:11" x14ac:dyDescent="0.25">
      <c r="I74">
        <v>738.89930285570358</v>
      </c>
      <c r="J74">
        <v>-12.148565288079999</v>
      </c>
      <c r="K74">
        <v>0.65</v>
      </c>
    </row>
    <row r="75" spans="9:11" x14ac:dyDescent="0.25">
      <c r="I75">
        <v>738.34315900142713</v>
      </c>
      <c r="J75">
        <v>-12.17013983419</v>
      </c>
      <c r="K75">
        <v>0.65</v>
      </c>
    </row>
    <row r="76" spans="9:11" x14ac:dyDescent="0.25">
      <c r="I76">
        <v>737.7870151471509</v>
      </c>
      <c r="J76">
        <v>-12.191714380235</v>
      </c>
      <c r="K76">
        <v>0.65</v>
      </c>
    </row>
    <row r="77" spans="9:11" x14ac:dyDescent="0.25">
      <c r="I77">
        <v>737.23087129287444</v>
      </c>
      <c r="J77">
        <v>-12.213288926345001</v>
      </c>
      <c r="K77">
        <v>0.65</v>
      </c>
    </row>
    <row r="78" spans="9:11" x14ac:dyDescent="0.25">
      <c r="I78">
        <v>736.67472743859821</v>
      </c>
      <c r="J78">
        <v>-12.23486347239</v>
      </c>
      <c r="K78">
        <v>0.65</v>
      </c>
    </row>
    <row r="79" spans="9:11" x14ac:dyDescent="0.25">
      <c r="I79">
        <v>736.11858358432175</v>
      </c>
      <c r="J79">
        <v>-12.256438018434999</v>
      </c>
      <c r="K79">
        <v>0.65</v>
      </c>
    </row>
    <row r="80" spans="9:11" x14ac:dyDescent="0.25">
      <c r="I80">
        <v>735.5624397300453</v>
      </c>
      <c r="J80">
        <v>-12.278012564545</v>
      </c>
      <c r="K80">
        <v>0.65</v>
      </c>
    </row>
    <row r="81" spans="9:11" x14ac:dyDescent="0.25">
      <c r="I81">
        <v>735.00629587576907</v>
      </c>
      <c r="J81">
        <v>-12.29958711059</v>
      </c>
      <c r="K81">
        <v>0.65</v>
      </c>
    </row>
    <row r="82" spans="9:11" x14ac:dyDescent="0.25">
      <c r="I82">
        <v>734.45015202149261</v>
      </c>
      <c r="J82">
        <v>-12.321161656700001</v>
      </c>
      <c r="K82">
        <v>0.65</v>
      </c>
    </row>
    <row r="83" spans="9:11" x14ac:dyDescent="0.25">
      <c r="I83">
        <v>733.89400816721627</v>
      </c>
      <c r="J83">
        <v>-12.342736202745</v>
      </c>
      <c r="K83">
        <v>0.65</v>
      </c>
    </row>
    <row r="84" spans="9:11" x14ac:dyDescent="0.25">
      <c r="I84">
        <v>733.33786431293993</v>
      </c>
      <c r="J84">
        <v>-12.364310748789999</v>
      </c>
      <c r="K84">
        <v>0.65</v>
      </c>
    </row>
    <row r="85" spans="9:11" x14ac:dyDescent="0.25">
      <c r="I85">
        <v>732.78172045866347</v>
      </c>
      <c r="J85">
        <v>-12.3858852949</v>
      </c>
      <c r="K85">
        <v>0.65</v>
      </c>
    </row>
    <row r="86" spans="9:11" x14ac:dyDescent="0.25">
      <c r="I86">
        <v>732.22557660438736</v>
      </c>
      <c r="J86">
        <v>-12.407459840945</v>
      </c>
      <c r="K86">
        <v>0.65</v>
      </c>
    </row>
    <row r="87" spans="9:11" x14ac:dyDescent="0.25">
      <c r="I87">
        <v>731.66943275011079</v>
      </c>
      <c r="J87">
        <v>-12.429034387055001</v>
      </c>
      <c r="K87">
        <v>0.65</v>
      </c>
    </row>
    <row r="88" spans="9:11" x14ac:dyDescent="0.25">
      <c r="I88">
        <v>731.11328889583456</v>
      </c>
      <c r="J88">
        <v>-12.4506089331</v>
      </c>
      <c r="K88">
        <v>0.65</v>
      </c>
    </row>
    <row r="89" spans="9:11" x14ac:dyDescent="0.25">
      <c r="I89">
        <v>730.55714504155821</v>
      </c>
      <c r="J89">
        <v>-12.472183479210001</v>
      </c>
      <c r="K89">
        <v>0.65</v>
      </c>
    </row>
    <row r="90" spans="9:11" x14ac:dyDescent="0.25">
      <c r="I90">
        <v>730.00100118728164</v>
      </c>
      <c r="J90">
        <v>-12.493758025255001</v>
      </c>
      <c r="K90">
        <v>0.65</v>
      </c>
    </row>
    <row r="91" spans="9:11" x14ac:dyDescent="0.25">
      <c r="I91">
        <v>729.44485733300553</v>
      </c>
      <c r="J91">
        <v>-12.5153325713</v>
      </c>
      <c r="K91">
        <v>0.65</v>
      </c>
    </row>
    <row r="92" spans="9:11" x14ac:dyDescent="0.25">
      <c r="I92">
        <v>728.88871347872907</v>
      </c>
      <c r="J92">
        <v>-12.536907117410001</v>
      </c>
      <c r="K92">
        <v>0.65</v>
      </c>
    </row>
    <row r="93" spans="9:11" x14ac:dyDescent="0.25">
      <c r="I93">
        <v>705.31173629111913</v>
      </c>
      <c r="J93">
        <v>-14.189124024595001</v>
      </c>
      <c r="K93">
        <v>0.65</v>
      </c>
    </row>
    <row r="94" spans="9:11" x14ac:dyDescent="0.25">
      <c r="I94">
        <v>704.75559243684279</v>
      </c>
      <c r="J94">
        <v>-14.21069857064</v>
      </c>
      <c r="K94">
        <v>0.65</v>
      </c>
    </row>
    <row r="95" spans="9:11" x14ac:dyDescent="0.25">
      <c r="I95">
        <v>704.19944858256656</v>
      </c>
      <c r="J95">
        <v>-14.232273116685001</v>
      </c>
      <c r="K95">
        <v>0.65</v>
      </c>
    </row>
    <row r="96" spans="9:11" x14ac:dyDescent="0.25">
      <c r="I96">
        <v>703.64330472829022</v>
      </c>
      <c r="J96">
        <v>-14.253847662795001</v>
      </c>
      <c r="K96">
        <v>0.65</v>
      </c>
    </row>
    <row r="97" spans="9:11" x14ac:dyDescent="0.25">
      <c r="I97">
        <v>703.08716087401365</v>
      </c>
      <c r="J97">
        <v>-14.27542220884</v>
      </c>
      <c r="K97">
        <v>0.65</v>
      </c>
    </row>
    <row r="98" spans="9:11" x14ac:dyDescent="0.25">
      <c r="I98">
        <v>702.53101701973742</v>
      </c>
      <c r="J98">
        <v>-14.296996754950001</v>
      </c>
      <c r="K98">
        <v>0.65</v>
      </c>
    </row>
    <row r="99" spans="9:11" x14ac:dyDescent="0.25">
      <c r="I99">
        <v>701.97487316546108</v>
      </c>
      <c r="J99">
        <v>-14.318571300995002</v>
      </c>
      <c r="K99">
        <v>0.65</v>
      </c>
    </row>
    <row r="100" spans="9:11" x14ac:dyDescent="0.25">
      <c r="I100">
        <v>701.41872931118473</v>
      </c>
      <c r="J100">
        <v>-14.340145847039999</v>
      </c>
      <c r="K100">
        <v>0.65</v>
      </c>
    </row>
    <row r="101" spans="9:11" x14ac:dyDescent="0.25">
      <c r="I101">
        <v>700.86258545690839</v>
      </c>
      <c r="J101">
        <v>-14.36172039315</v>
      </c>
      <c r="K101">
        <v>0.65</v>
      </c>
    </row>
    <row r="102" spans="9:11" x14ac:dyDescent="0.25">
      <c r="I102">
        <v>700.30644160263193</v>
      </c>
      <c r="J102">
        <v>-14.383294939195</v>
      </c>
      <c r="K102">
        <v>0.65</v>
      </c>
    </row>
    <row r="103" spans="9:11" x14ac:dyDescent="0.25">
      <c r="I103">
        <v>699.75029774835559</v>
      </c>
      <c r="J103">
        <v>-14.404869485305001</v>
      </c>
      <c r="K103">
        <v>0.65</v>
      </c>
    </row>
    <row r="104" spans="9:11" x14ac:dyDescent="0.25">
      <c r="I104">
        <v>668.38730660087663</v>
      </c>
      <c r="J104">
        <v>-16.167289759660001</v>
      </c>
      <c r="K104">
        <v>0.65</v>
      </c>
    </row>
    <row r="105" spans="9:11" x14ac:dyDescent="0.25">
      <c r="I105">
        <v>660.04514878673115</v>
      </c>
      <c r="J105">
        <v>-16.490907950725003</v>
      </c>
      <c r="K105">
        <v>0.65</v>
      </c>
    </row>
    <row r="106" spans="9:11" x14ac:dyDescent="0.25">
      <c r="I106">
        <v>628.6821576392523</v>
      </c>
      <c r="J106">
        <v>-18.06148794736</v>
      </c>
      <c r="K106">
        <v>0.65</v>
      </c>
    </row>
    <row r="107" spans="9:11" x14ac:dyDescent="0.25">
      <c r="I107">
        <v>620.33999982510682</v>
      </c>
      <c r="J107">
        <v>-18.385106138424998</v>
      </c>
      <c r="K107">
        <v>0.65</v>
      </c>
    </row>
    <row r="108" spans="9:11" x14ac:dyDescent="0.25">
      <c r="I108">
        <v>588.97700867762785</v>
      </c>
      <c r="J108">
        <v>-19.763845857275001</v>
      </c>
      <c r="K108">
        <v>0.65</v>
      </c>
    </row>
    <row r="109" spans="9:11" x14ac:dyDescent="0.25">
      <c r="I109">
        <v>580.63485086348248</v>
      </c>
      <c r="J109">
        <v>-20.087464048339999</v>
      </c>
      <c r="K109">
        <v>0.65</v>
      </c>
    </row>
    <row r="110" spans="9:11" x14ac:dyDescent="0.25">
      <c r="I110">
        <v>549.27185971600352</v>
      </c>
      <c r="J110">
        <v>-21.274363489405001</v>
      </c>
      <c r="K110">
        <v>0.65</v>
      </c>
    </row>
    <row r="111" spans="9:11" x14ac:dyDescent="0.25">
      <c r="I111">
        <v>540.92970190185815</v>
      </c>
      <c r="J111">
        <v>-21.597981680470003</v>
      </c>
      <c r="K111">
        <v>0.65</v>
      </c>
    </row>
    <row r="112" spans="9:11" x14ac:dyDescent="0.25">
      <c r="I112">
        <v>532.58754408771267</v>
      </c>
      <c r="J112">
        <v>-21.921599871535001</v>
      </c>
      <c r="K112">
        <v>0.65</v>
      </c>
    </row>
    <row r="113" spans="9:11" x14ac:dyDescent="0.25">
      <c r="I113">
        <v>501.22455294023376</v>
      </c>
      <c r="J113">
        <v>-22.916659034815002</v>
      </c>
      <c r="K113">
        <v>0.65</v>
      </c>
    </row>
    <row r="114" spans="9:11" x14ac:dyDescent="0.25">
      <c r="I114">
        <v>492.88239512608834</v>
      </c>
      <c r="J114">
        <v>-23.240277225880003</v>
      </c>
      <c r="K114">
        <v>0.65</v>
      </c>
    </row>
    <row r="115" spans="9:11" x14ac:dyDescent="0.25">
      <c r="I115">
        <v>461.51940397860926</v>
      </c>
      <c r="J115">
        <v>-24.043496111440003</v>
      </c>
      <c r="K115">
        <v>0.65</v>
      </c>
    </row>
    <row r="116" spans="9:11" x14ac:dyDescent="0.25">
      <c r="I116">
        <v>453.17724616446384</v>
      </c>
      <c r="J116">
        <v>-24.367114302505001</v>
      </c>
      <c r="K116">
        <v>0.65</v>
      </c>
    </row>
    <row r="117" spans="9:11" x14ac:dyDescent="0.25">
      <c r="I117">
        <v>444.83508835031853</v>
      </c>
      <c r="J117">
        <v>-24.690732493570003</v>
      </c>
      <c r="K117">
        <v>0.65</v>
      </c>
    </row>
    <row r="118" spans="9:11" x14ac:dyDescent="0.25">
      <c r="I118">
        <v>436.49293053617305</v>
      </c>
      <c r="J118">
        <v>-25.014350684635001</v>
      </c>
      <c r="K118">
        <v>0.65</v>
      </c>
    </row>
    <row r="119" spans="9:11" x14ac:dyDescent="0.25">
      <c r="I119">
        <v>405.1299393886942</v>
      </c>
      <c r="J119">
        <v>-25.625729292345</v>
      </c>
      <c r="K119">
        <v>0.65</v>
      </c>
    </row>
    <row r="120" spans="9:11" x14ac:dyDescent="0.25">
      <c r="I120">
        <v>396.78778157454883</v>
      </c>
      <c r="J120">
        <v>-25.949347483410001</v>
      </c>
      <c r="K120">
        <v>0.65</v>
      </c>
    </row>
    <row r="121" spans="9:11" x14ac:dyDescent="0.25">
      <c r="I121">
        <v>388.44562376040341</v>
      </c>
      <c r="J121">
        <v>-26.272965674475</v>
      </c>
      <c r="K121">
        <v>0.65</v>
      </c>
    </row>
    <row r="122" spans="9:11" x14ac:dyDescent="0.25">
      <c r="I122">
        <v>357.0826326129245</v>
      </c>
      <c r="J122">
        <v>-26.692504004400003</v>
      </c>
      <c r="K122">
        <v>0.65</v>
      </c>
    </row>
    <row r="123" spans="9:11" x14ac:dyDescent="0.25">
      <c r="I123">
        <v>348.74047479877908</v>
      </c>
      <c r="J123">
        <v>-27.016122195465002</v>
      </c>
      <c r="K123">
        <v>0.65</v>
      </c>
    </row>
    <row r="124" spans="9:11" x14ac:dyDescent="0.25">
      <c r="I124">
        <v>340.39831698463365</v>
      </c>
      <c r="J124">
        <v>-27.339740386530003</v>
      </c>
      <c r="K124">
        <v>0.65</v>
      </c>
    </row>
    <row r="125" spans="9:11" x14ac:dyDescent="0.25">
      <c r="I125">
        <v>332.05615917048817</v>
      </c>
      <c r="J125">
        <v>-27.663358577595005</v>
      </c>
      <c r="K125">
        <v>0.65</v>
      </c>
    </row>
    <row r="126" spans="9:11" x14ac:dyDescent="0.25">
      <c r="I126">
        <v>323.71400135634281</v>
      </c>
      <c r="J126">
        <v>-27.986976768659996</v>
      </c>
      <c r="K126">
        <v>0.65</v>
      </c>
    </row>
    <row r="127" spans="9:11" x14ac:dyDescent="0.25">
      <c r="I127">
        <v>292.3510102088639</v>
      </c>
      <c r="J127">
        <v>-28.214674820865003</v>
      </c>
      <c r="K127">
        <v>0.65</v>
      </c>
    </row>
    <row r="128" spans="9:11" x14ac:dyDescent="0.25">
      <c r="I128">
        <v>284.00885239471853</v>
      </c>
      <c r="J128">
        <v>-28.538293011930005</v>
      </c>
      <c r="K128">
        <v>0.65</v>
      </c>
    </row>
    <row r="129" spans="9:11" x14ac:dyDescent="0.25">
      <c r="I129">
        <v>275.66669458057311</v>
      </c>
      <c r="J129">
        <v>-28.861911202994996</v>
      </c>
      <c r="K129">
        <v>0.65</v>
      </c>
    </row>
    <row r="130" spans="9:11" x14ac:dyDescent="0.25">
      <c r="I130">
        <v>270.08122792037381</v>
      </c>
      <c r="J130">
        <v>-29.486494998179378</v>
      </c>
      <c r="K130">
        <v>0.65670289855072528</v>
      </c>
    </row>
    <row r="131" spans="9:11" x14ac:dyDescent="0.25">
      <c r="I131">
        <v>267.74751446485743</v>
      </c>
      <c r="J131">
        <v>-29.915519508754919</v>
      </c>
      <c r="K131">
        <v>0.66413043478260936</v>
      </c>
    </row>
    <row r="132" spans="9:11" x14ac:dyDescent="0.25">
      <c r="I132">
        <v>242.40053309814073</v>
      </c>
      <c r="J132">
        <v>-29.982506049446968</v>
      </c>
      <c r="K132">
        <v>0.67155797101449344</v>
      </c>
    </row>
    <row r="133" spans="9:11" x14ac:dyDescent="0.25">
      <c r="I133">
        <v>240.47403381642349</v>
      </c>
      <c r="J133">
        <v>-30.344166086432278</v>
      </c>
      <c r="K133">
        <v>0.67898550724637752</v>
      </c>
    </row>
    <row r="134" spans="9:11" x14ac:dyDescent="0.25">
      <c r="I134">
        <v>238.4467303878215</v>
      </c>
      <c r="J134">
        <v>-30.706483541699377</v>
      </c>
      <c r="K134">
        <v>0.6864130434782616</v>
      </c>
    </row>
    <row r="135" spans="9:11" x14ac:dyDescent="0.25">
      <c r="I135">
        <v>236.31862281233478</v>
      </c>
      <c r="J135">
        <v>-31.069458415315431</v>
      </c>
      <c r="K135">
        <v>0.69384057971014568</v>
      </c>
    </row>
    <row r="136" spans="9:11" x14ac:dyDescent="0.25">
      <c r="I136">
        <v>234.08971108996332</v>
      </c>
      <c r="J136">
        <v>-31.433090707280435</v>
      </c>
      <c r="K136">
        <v>0.70126811594202976</v>
      </c>
    </row>
    <row r="137" spans="9:11" x14ac:dyDescent="0.25">
      <c r="I137">
        <v>231.75999522070714</v>
      </c>
      <c r="J137">
        <v>-31.797380417594383</v>
      </c>
      <c r="K137">
        <v>0.70869565217391373</v>
      </c>
    </row>
    <row r="138" spans="9:11" x14ac:dyDescent="0.25">
      <c r="I138">
        <v>229.32947520456622</v>
      </c>
      <c r="J138">
        <v>-32.162327546328896</v>
      </c>
      <c r="K138">
        <v>0.71612318840579781</v>
      </c>
    </row>
    <row r="139" spans="9:11" x14ac:dyDescent="0.25">
      <c r="I139">
        <v>201.17239621062228</v>
      </c>
      <c r="J139">
        <v>-31.994062201046763</v>
      </c>
      <c r="K139">
        <v>0.72355072463768177</v>
      </c>
    </row>
    <row r="140" spans="9:11" x14ac:dyDescent="0.25">
      <c r="I140">
        <v>198.27720932583262</v>
      </c>
      <c r="J140">
        <v>-32.354843779431832</v>
      </c>
      <c r="K140">
        <v>0.73097826086956608</v>
      </c>
    </row>
    <row r="141" spans="9:11" x14ac:dyDescent="0.25">
      <c r="I141">
        <v>195.28121829415821</v>
      </c>
      <c r="J141">
        <v>-32.716282776165833</v>
      </c>
      <c r="K141">
        <v>0.73840579710145005</v>
      </c>
    </row>
    <row r="142" spans="9:11" x14ac:dyDescent="0.25">
      <c r="I142">
        <v>192.18442311559897</v>
      </c>
      <c r="J142">
        <v>-33.078379191248786</v>
      </c>
      <c r="K142">
        <v>0.74583333333333401</v>
      </c>
    </row>
    <row r="143" spans="9:11" x14ac:dyDescent="0.25">
      <c r="I143">
        <v>188.98682379015503</v>
      </c>
      <c r="J143">
        <v>-33.441133024680681</v>
      </c>
      <c r="K143">
        <v>0.75326086956521809</v>
      </c>
    </row>
    <row r="144" spans="9:11" x14ac:dyDescent="0.25">
      <c r="I144">
        <v>185.68842031782631</v>
      </c>
      <c r="J144">
        <v>-33.804544276537605</v>
      </c>
      <c r="K144">
        <v>0.76068840579710217</v>
      </c>
    </row>
    <row r="145" spans="9:11" x14ac:dyDescent="0.25">
      <c r="I145">
        <v>182.28921269861283</v>
      </c>
      <c r="J145">
        <v>-34.168612946668155</v>
      </c>
      <c r="K145">
        <v>0.76811594202898636</v>
      </c>
    </row>
    <row r="146" spans="9:11" x14ac:dyDescent="0.25">
      <c r="I146">
        <v>178.78920093251466</v>
      </c>
      <c r="J146">
        <v>-34.533339035147648</v>
      </c>
      <c r="K146">
        <v>0.77554347826087044</v>
      </c>
    </row>
    <row r="147" spans="9:11" x14ac:dyDescent="0.25">
      <c r="I147">
        <v>147.45816158957973</v>
      </c>
      <c r="J147">
        <v>-34.089924358611199</v>
      </c>
      <c r="K147">
        <v>0.78297101449275452</v>
      </c>
    </row>
    <row r="148" spans="9:11" x14ac:dyDescent="0.25">
      <c r="I148">
        <v>143.4934829548329</v>
      </c>
      <c r="J148">
        <v>-34.448292742021358</v>
      </c>
      <c r="K148">
        <v>0.79039855072463849</v>
      </c>
    </row>
    <row r="149" spans="9:11" x14ac:dyDescent="0.25">
      <c r="I149">
        <v>139.42800017320107</v>
      </c>
      <c r="J149">
        <v>-34.807318543780468</v>
      </c>
      <c r="K149">
        <v>0.79782608695652257</v>
      </c>
    </row>
    <row r="150" spans="9:11" x14ac:dyDescent="0.25">
      <c r="I150">
        <v>135.26171324468473</v>
      </c>
      <c r="J150">
        <v>-35.167001763969061</v>
      </c>
      <c r="K150">
        <v>0.80525362318840665</v>
      </c>
    </row>
    <row r="151" spans="9:11" x14ac:dyDescent="0.25">
      <c r="I151">
        <v>130.99462216928345</v>
      </c>
      <c r="J151">
        <v>-35.527342402426818</v>
      </c>
      <c r="K151">
        <v>0.81268115942029073</v>
      </c>
    </row>
    <row r="152" spans="9:11" x14ac:dyDescent="0.25">
      <c r="I152">
        <v>126.62672694699755</v>
      </c>
      <c r="J152">
        <v>-35.888340459233525</v>
      </c>
      <c r="K152">
        <v>0.82010869565217503</v>
      </c>
    </row>
    <row r="153" spans="9:11" x14ac:dyDescent="0.25">
      <c r="I153">
        <v>122.15802757782673</v>
      </c>
      <c r="J153">
        <v>-36.249995934389169</v>
      </c>
      <c r="K153">
        <v>0.82753623188405889</v>
      </c>
    </row>
    <row r="154" spans="9:11" x14ac:dyDescent="0.25">
      <c r="I154">
        <v>117.95804127783263</v>
      </c>
      <c r="J154">
        <v>-36.603070897559114</v>
      </c>
      <c r="K154">
        <v>0.83496376811594297</v>
      </c>
    </row>
    <row r="155" spans="9:11" x14ac:dyDescent="0.25">
      <c r="I155">
        <v>116.8947956820916</v>
      </c>
      <c r="J155">
        <v>-36.875864657739172</v>
      </c>
      <c r="K155">
        <v>0.84239130434782694</v>
      </c>
    </row>
    <row r="156" spans="9:11" x14ac:dyDescent="0.25">
      <c r="I156">
        <v>115.6689325800377</v>
      </c>
      <c r="J156">
        <v>-37.138324790251829</v>
      </c>
      <c r="K156">
        <v>0.84981884057971102</v>
      </c>
    </row>
    <row r="157" spans="9:11" x14ac:dyDescent="0.25">
      <c r="I157">
        <v>83.536977209892498</v>
      </c>
      <c r="J157">
        <v>-36.223221032199824</v>
      </c>
      <c r="K157">
        <v>0.85724637681159521</v>
      </c>
    </row>
    <row r="158" spans="9:11" x14ac:dyDescent="0.25">
      <c r="I158">
        <v>81.454561764667062</v>
      </c>
      <c r="J158">
        <v>-36.435029806194542</v>
      </c>
      <c r="K158">
        <v>0.86467391304347907</v>
      </c>
    </row>
    <row r="159" spans="9:11" x14ac:dyDescent="0.25">
      <c r="I159">
        <v>79.3239356404967</v>
      </c>
      <c r="J159">
        <v>-36.645085464591091</v>
      </c>
      <c r="K159">
        <v>0.87210144927536337</v>
      </c>
    </row>
    <row r="160" spans="9:11" x14ac:dyDescent="0.25">
      <c r="I160">
        <v>77.145098837381653</v>
      </c>
      <c r="J160">
        <v>-36.853388007477399</v>
      </c>
      <c r="K160">
        <v>0.87952898550724734</v>
      </c>
    </row>
    <row r="161" spans="9:11" x14ac:dyDescent="0.25">
      <c r="I161">
        <v>74.918051355321722</v>
      </c>
      <c r="J161">
        <v>-37.059937434678297</v>
      </c>
      <c r="K161">
        <v>0.88695652173913131</v>
      </c>
    </row>
    <row r="162" spans="9:11" x14ac:dyDescent="0.25">
      <c r="I162">
        <v>72.642793194316866</v>
      </c>
      <c r="J162">
        <v>-37.264733746281024</v>
      </c>
      <c r="K162">
        <v>0.89438405797101561</v>
      </c>
    </row>
    <row r="163" spans="9:11" x14ac:dyDescent="0.25">
      <c r="I163">
        <v>70.178064160806699</v>
      </c>
      <c r="J163">
        <v>-37.392510214799998</v>
      </c>
      <c r="K163">
        <v>0.9</v>
      </c>
    </row>
    <row r="164" spans="9:11" x14ac:dyDescent="0.25">
      <c r="I164">
        <v>67.257202538877777</v>
      </c>
      <c r="J164">
        <v>-37.286297064899998</v>
      </c>
      <c r="K164">
        <v>0.9</v>
      </c>
    </row>
    <row r="165" spans="9:11" x14ac:dyDescent="0.25">
      <c r="I165">
        <v>64.3363409169487</v>
      </c>
      <c r="J165">
        <v>-37.180083914999997</v>
      </c>
      <c r="K165">
        <v>0.9</v>
      </c>
    </row>
    <row r="166" spans="9:11" x14ac:dyDescent="0.25">
      <c r="I166">
        <v>61.415479295019566</v>
      </c>
      <c r="J166">
        <v>-37.073870765099997</v>
      </c>
      <c r="K166">
        <v>0.9</v>
      </c>
    </row>
    <row r="167" spans="9:11" x14ac:dyDescent="0.25">
      <c r="I167">
        <v>58.494617673090637</v>
      </c>
      <c r="J167">
        <v>-36.967657615290001</v>
      </c>
      <c r="K167">
        <v>0.9</v>
      </c>
    </row>
    <row r="168" spans="9:11" x14ac:dyDescent="0.25">
      <c r="I168">
        <v>55.573756051161716</v>
      </c>
      <c r="J168">
        <v>-36.861444465390001</v>
      </c>
      <c r="K168">
        <v>0.9</v>
      </c>
    </row>
    <row r="169" spans="9:11" x14ac:dyDescent="0.25">
      <c r="I169">
        <v>52.652894429232845</v>
      </c>
      <c r="J169">
        <v>-36.755231315490001</v>
      </c>
      <c r="K169">
        <v>0.9</v>
      </c>
    </row>
    <row r="170" spans="9:11" x14ac:dyDescent="0.25">
      <c r="I170">
        <v>49.732032807303817</v>
      </c>
      <c r="J170">
        <v>-36.64901816559</v>
      </c>
      <c r="K170">
        <v>0.9</v>
      </c>
    </row>
    <row r="171" spans="9:11" x14ac:dyDescent="0.25">
      <c r="I171">
        <v>14.936171185374414</v>
      </c>
      <c r="J171">
        <v>-35.081867515680003</v>
      </c>
      <c r="K171">
        <v>0.9</v>
      </c>
    </row>
    <row r="172" spans="9:11" x14ac:dyDescent="0.25">
      <c r="I172">
        <v>12.015309563445337</v>
      </c>
      <c r="J172">
        <v>-34.975654365780002</v>
      </c>
      <c r="K172">
        <v>0.9</v>
      </c>
    </row>
    <row r="173" spans="9:11" x14ac:dyDescent="0.25">
      <c r="I173">
        <v>9.0944479415164636</v>
      </c>
      <c r="J173">
        <v>-34.869441215880002</v>
      </c>
      <c r="K173">
        <v>0.9</v>
      </c>
    </row>
    <row r="174" spans="9:11" x14ac:dyDescent="0.25">
      <c r="I174">
        <v>6.1735863195874883</v>
      </c>
      <c r="J174">
        <v>-34.763228066069999</v>
      </c>
      <c r="K174">
        <v>0.9</v>
      </c>
    </row>
    <row r="175" spans="9:11" x14ac:dyDescent="0.25">
      <c r="I175">
        <v>3.2527246976585134</v>
      </c>
      <c r="J175">
        <v>-34.657014916169999</v>
      </c>
      <c r="K175">
        <v>0.9</v>
      </c>
    </row>
    <row r="176" spans="9:11" x14ac:dyDescent="0.25">
      <c r="I176">
        <v>0.33186307572933343</v>
      </c>
      <c r="J176">
        <v>-34.550801766269998</v>
      </c>
      <c r="K176">
        <v>0.9</v>
      </c>
    </row>
    <row r="177" spans="9:11" x14ac:dyDescent="0.25">
      <c r="I177">
        <v>-2.5889985461996416</v>
      </c>
      <c r="J177">
        <v>-34.444588616369998</v>
      </c>
      <c r="K177">
        <v>0.9</v>
      </c>
    </row>
    <row r="178" spans="9:11" x14ac:dyDescent="0.25">
      <c r="I178">
        <v>-5.5098601681284123</v>
      </c>
      <c r="J178">
        <v>-34.338375466469998</v>
      </c>
      <c r="K178">
        <v>0.9</v>
      </c>
    </row>
    <row r="179" spans="9:11" x14ac:dyDescent="0.25">
      <c r="I179">
        <v>-8.430721790057337</v>
      </c>
      <c r="J179">
        <v>-34.232162316570005</v>
      </c>
      <c r="K179">
        <v>0.9</v>
      </c>
    </row>
    <row r="180" spans="9:11" x14ac:dyDescent="0.25">
      <c r="I180">
        <v>-11.351583411986388</v>
      </c>
      <c r="J180">
        <v>-34.125949166670004</v>
      </c>
      <c r="K180">
        <v>0.9</v>
      </c>
    </row>
    <row r="181" spans="9:11" x14ac:dyDescent="0.25">
      <c r="I181">
        <v>-14.272445033915261</v>
      </c>
      <c r="J181">
        <v>-34.019736016769997</v>
      </c>
      <c r="K181">
        <v>0.9</v>
      </c>
    </row>
    <row r="182" spans="9:11" x14ac:dyDescent="0.25">
      <c r="I182">
        <v>-17.193306655844417</v>
      </c>
      <c r="J182">
        <v>-33.913522866959994</v>
      </c>
      <c r="K182">
        <v>0.9</v>
      </c>
    </row>
    <row r="183" spans="9:11" x14ac:dyDescent="0.25">
      <c r="I183">
        <v>-20.114168277773494</v>
      </c>
      <c r="J183">
        <v>-33.807309717060001</v>
      </c>
      <c r="K183">
        <v>0.9</v>
      </c>
    </row>
    <row r="184" spans="9:11" x14ac:dyDescent="0.25">
      <c r="I184">
        <v>-23.035029899702419</v>
      </c>
      <c r="J184">
        <v>-33.70109656716</v>
      </c>
      <c r="K184">
        <v>0.9</v>
      </c>
    </row>
    <row r="185" spans="9:11" x14ac:dyDescent="0.25">
      <c r="I185">
        <v>-25.955891521631496</v>
      </c>
      <c r="J185">
        <v>-33.59488341726</v>
      </c>
      <c r="K185">
        <v>0.9</v>
      </c>
    </row>
    <row r="186" spans="9:11" x14ac:dyDescent="0.25">
      <c r="I186">
        <v>-28.87675314356029</v>
      </c>
      <c r="J186">
        <v>-33.48867026736</v>
      </c>
      <c r="K186">
        <v>0.9</v>
      </c>
    </row>
    <row r="187" spans="9:11" x14ac:dyDescent="0.25">
      <c r="I187">
        <v>-31.797614765489495</v>
      </c>
      <c r="J187">
        <v>-33.38245711746</v>
      </c>
      <c r="K187">
        <v>0.9</v>
      </c>
    </row>
    <row r="188" spans="9:11" x14ac:dyDescent="0.25">
      <c r="I188">
        <v>-34.71847638741842</v>
      </c>
      <c r="J188">
        <v>-33.276243967560006</v>
      </c>
      <c r="K188">
        <v>0.9</v>
      </c>
    </row>
    <row r="189" spans="9:11" x14ac:dyDescent="0.25">
      <c r="I189">
        <v>-37.63933800934732</v>
      </c>
      <c r="J189">
        <v>-33.170030817659999</v>
      </c>
      <c r="K189">
        <v>0.9</v>
      </c>
    </row>
    <row r="190" spans="9:11" x14ac:dyDescent="0.25">
      <c r="I190">
        <v>-40.560199631276269</v>
      </c>
      <c r="J190">
        <v>-33.063817667849996</v>
      </c>
      <c r="K190">
        <v>0.9</v>
      </c>
    </row>
    <row r="191" spans="9:11" x14ac:dyDescent="0.25">
      <c r="I191">
        <v>-75.356061253205624</v>
      </c>
      <c r="J191">
        <v>-31.231042017929997</v>
      </c>
      <c r="K191">
        <v>0.9</v>
      </c>
    </row>
    <row r="192" spans="9:11" x14ac:dyDescent="0.25">
      <c r="I192">
        <v>-78.276922875134545</v>
      </c>
      <c r="J192">
        <v>-31.124828868030001</v>
      </c>
      <c r="K192">
        <v>0.9</v>
      </c>
    </row>
    <row r="193" spans="9:11" x14ac:dyDescent="0.25">
      <c r="I193">
        <v>-81.197784497063623</v>
      </c>
      <c r="J193">
        <v>-31.01861571813</v>
      </c>
      <c r="K193">
        <v>0.9</v>
      </c>
    </row>
    <row r="194" spans="9:11" x14ac:dyDescent="0.25">
      <c r="I194">
        <v>-84.118646118992856</v>
      </c>
      <c r="J194">
        <v>-30.912402568230004</v>
      </c>
      <c r="K194">
        <v>0.9</v>
      </c>
    </row>
    <row r="195" spans="9:11" x14ac:dyDescent="0.25">
      <c r="I195">
        <v>-87.039507740921934</v>
      </c>
      <c r="J195">
        <v>-30.80618941833</v>
      </c>
      <c r="K195">
        <v>0.9</v>
      </c>
    </row>
    <row r="196" spans="9:11" x14ac:dyDescent="0.25">
      <c r="I196">
        <v>-89.960369362850656</v>
      </c>
      <c r="J196">
        <v>-30.69997626852</v>
      </c>
      <c r="K196">
        <v>0.9</v>
      </c>
    </row>
    <row r="197" spans="9:11" x14ac:dyDescent="0.25">
      <c r="I197">
        <v>-92.88123098477962</v>
      </c>
      <c r="J197">
        <v>-30.59376311862</v>
      </c>
      <c r="K197">
        <v>0.9</v>
      </c>
    </row>
    <row r="198" spans="9:11" x14ac:dyDescent="0.25">
      <c r="I198">
        <v>-95.802092606708598</v>
      </c>
      <c r="J198">
        <v>-30.48754996872</v>
      </c>
      <c r="K198">
        <v>0.9</v>
      </c>
    </row>
    <row r="199" spans="9:11" x14ac:dyDescent="0.25">
      <c r="I199">
        <v>-98.722954228637633</v>
      </c>
      <c r="J199">
        <v>-30.381336818819999</v>
      </c>
      <c r="K199">
        <v>0.9</v>
      </c>
    </row>
    <row r="200" spans="9:11" x14ac:dyDescent="0.25">
      <c r="I200">
        <v>-101.6438158505664</v>
      </c>
      <c r="J200">
        <v>-30.275123668919999</v>
      </c>
      <c r="K200">
        <v>0.9</v>
      </c>
    </row>
    <row r="201" spans="9:11" x14ac:dyDescent="0.25">
      <c r="I201">
        <v>-104.56467747249563</v>
      </c>
      <c r="J201">
        <v>-30.168910519020002</v>
      </c>
      <c r="K201">
        <v>0.9</v>
      </c>
    </row>
    <row r="202" spans="9:11" x14ac:dyDescent="0.25">
      <c r="I202">
        <v>-107.4855390944244</v>
      </c>
      <c r="J202">
        <v>-30.062697369120002</v>
      </c>
      <c r="K202">
        <v>0.9</v>
      </c>
    </row>
    <row r="203" spans="9:11" x14ac:dyDescent="0.25">
      <c r="I203">
        <v>-110.40640071635332</v>
      </c>
      <c r="J203">
        <v>-29.956484219309999</v>
      </c>
      <c r="K203">
        <v>0.9</v>
      </c>
    </row>
    <row r="204" spans="9:11" x14ac:dyDescent="0.25">
      <c r="I204">
        <v>-133.38384547552849</v>
      </c>
      <c r="J204">
        <v>-29.120940773460003</v>
      </c>
      <c r="K204">
        <v>0.9</v>
      </c>
    </row>
    <row r="205" spans="9:11" x14ac:dyDescent="0.25">
      <c r="I205">
        <v>-138.90692926971533</v>
      </c>
      <c r="J205">
        <v>-28.721756351789999</v>
      </c>
      <c r="K205">
        <v>0.9</v>
      </c>
    </row>
    <row r="206" spans="9:11" x14ac:dyDescent="0.25">
      <c r="I206">
        <v>-176.00407580589172</v>
      </c>
      <c r="J206">
        <v>-26.337907861560002</v>
      </c>
      <c r="K206">
        <v>0.9</v>
      </c>
    </row>
    <row r="207" spans="9:11" x14ac:dyDescent="0.25">
      <c r="I207">
        <v>-181.2262223420681</v>
      </c>
      <c r="J207">
        <v>-25.94624687136</v>
      </c>
      <c r="K207">
        <v>0.9</v>
      </c>
    </row>
    <row r="208" spans="9:11" x14ac:dyDescent="0.25">
      <c r="I208">
        <v>-186.44836887824451</v>
      </c>
      <c r="J208">
        <v>-25.554585881160001</v>
      </c>
      <c r="K208">
        <v>0.9</v>
      </c>
    </row>
    <row r="209" spans="9:11" x14ac:dyDescent="0.25">
      <c r="I209">
        <v>-191.67051541442072</v>
      </c>
      <c r="J209">
        <v>-25.162924890960003</v>
      </c>
      <c r="K209">
        <v>0.9</v>
      </c>
    </row>
    <row r="210" spans="9:11" x14ac:dyDescent="0.25">
      <c r="I210">
        <v>-196.89266195059713</v>
      </c>
      <c r="J210">
        <v>-24.771263900760001</v>
      </c>
      <c r="K210">
        <v>0.9</v>
      </c>
    </row>
    <row r="211" spans="9:11" x14ac:dyDescent="0.25">
      <c r="I211">
        <v>-202.11480848677351</v>
      </c>
      <c r="J211">
        <v>-24.379602910559996</v>
      </c>
      <c r="K211">
        <v>0.9</v>
      </c>
    </row>
    <row r="212" spans="9:11" x14ac:dyDescent="0.25">
      <c r="I212">
        <v>-239.21195502294992</v>
      </c>
      <c r="J212">
        <v>-21.730129420320004</v>
      </c>
      <c r="K212">
        <v>0.9</v>
      </c>
    </row>
    <row r="213" spans="9:11" x14ac:dyDescent="0.25">
      <c r="I213">
        <v>-244.4341015591263</v>
      </c>
      <c r="J213">
        <v>-21.338468430120002</v>
      </c>
      <c r="K213">
        <v>0.9</v>
      </c>
    </row>
    <row r="214" spans="9:11" x14ac:dyDescent="0.25">
      <c r="I214">
        <v>-249.65624809530269</v>
      </c>
      <c r="J214">
        <v>-20.946807439919997</v>
      </c>
      <c r="K214">
        <v>0.9</v>
      </c>
    </row>
    <row r="215" spans="9:11" x14ac:dyDescent="0.25">
      <c r="I215">
        <v>-254.87839463147907</v>
      </c>
      <c r="J215">
        <v>-20.555146449719999</v>
      </c>
      <c r="K215">
        <v>0.9</v>
      </c>
    </row>
    <row r="216" spans="9:11" x14ac:dyDescent="0.25">
      <c r="I216">
        <v>-260.10054116765531</v>
      </c>
      <c r="J216">
        <v>-20.163485459429999</v>
      </c>
      <c r="K216">
        <v>0.9</v>
      </c>
    </row>
    <row r="217" spans="9:11" x14ac:dyDescent="0.25">
      <c r="I217">
        <v>-265.322687703832</v>
      </c>
      <c r="J217">
        <v>-19.771824469230001</v>
      </c>
      <c r="K217">
        <v>0.9</v>
      </c>
    </row>
    <row r="218" spans="9:11" x14ac:dyDescent="0.25">
      <c r="I218">
        <v>-270.54483424000824</v>
      </c>
      <c r="J218">
        <v>-19.380163479029999</v>
      </c>
      <c r="K218">
        <v>0.9</v>
      </c>
    </row>
    <row r="219" spans="9:11" x14ac:dyDescent="0.25">
      <c r="I219">
        <v>-275.76698077618465</v>
      </c>
      <c r="J219">
        <v>-18.988502488830001</v>
      </c>
      <c r="K219">
        <v>0.9</v>
      </c>
    </row>
    <row r="220" spans="9:11" x14ac:dyDescent="0.25">
      <c r="I220">
        <v>-280.98912731236084</v>
      </c>
      <c r="J220">
        <v>-18.596841498630003</v>
      </c>
      <c r="K220">
        <v>0.9</v>
      </c>
    </row>
    <row r="221" spans="9:11" x14ac:dyDescent="0.25">
      <c r="I221">
        <v>-286.21127384853725</v>
      </c>
      <c r="J221">
        <v>-18.205180508430001</v>
      </c>
      <c r="K221">
        <v>0.9</v>
      </c>
    </row>
    <row r="222" spans="9:11" x14ac:dyDescent="0.25">
      <c r="I222">
        <v>-291.43342038471349</v>
      </c>
      <c r="J222">
        <v>-17.813519518229999</v>
      </c>
      <c r="K222">
        <v>0.9</v>
      </c>
    </row>
    <row r="223" spans="9:11" x14ac:dyDescent="0.25">
      <c r="I223">
        <v>-296.65556692089018</v>
      </c>
      <c r="J223">
        <v>-17.42185852794</v>
      </c>
      <c r="K223">
        <v>0.9</v>
      </c>
    </row>
    <row r="224" spans="9:11" x14ac:dyDescent="0.25">
      <c r="I224">
        <v>-333.75271345706642</v>
      </c>
      <c r="J224">
        <v>-14.506760037779999</v>
      </c>
      <c r="K224">
        <v>0.9</v>
      </c>
    </row>
    <row r="225" spans="9:11" x14ac:dyDescent="0.25">
      <c r="I225">
        <v>-338.97485999324272</v>
      </c>
      <c r="J225">
        <v>-14.115099047579999</v>
      </c>
      <c r="K225">
        <v>0.9</v>
      </c>
    </row>
    <row r="226" spans="9:11" x14ac:dyDescent="0.25">
      <c r="I226">
        <v>-344.19700652941918</v>
      </c>
      <c r="J226">
        <v>-13.723438057380001</v>
      </c>
      <c r="K226">
        <v>0.9</v>
      </c>
    </row>
    <row r="227" spans="9:11" x14ac:dyDescent="0.25">
      <c r="I227">
        <v>-349.41915306559548</v>
      </c>
      <c r="J227">
        <v>-13.33177706709</v>
      </c>
      <c r="K227">
        <v>0.9</v>
      </c>
    </row>
    <row r="228" spans="9:11" x14ac:dyDescent="0.25">
      <c r="I228">
        <v>-354.64129960177189</v>
      </c>
      <c r="J228">
        <v>-12.940116076890002</v>
      </c>
      <c r="K228">
        <v>0.9</v>
      </c>
    </row>
    <row r="229" spans="9:11" x14ac:dyDescent="0.25">
      <c r="I229">
        <v>-359.86344613794807</v>
      </c>
      <c r="J229">
        <v>-12.548455086690002</v>
      </c>
      <c r="K229">
        <v>0.9</v>
      </c>
    </row>
    <row r="230" spans="9:11" x14ac:dyDescent="0.25">
      <c r="I230">
        <v>-365.08559267412465</v>
      </c>
      <c r="J230">
        <v>-12.15679409649</v>
      </c>
      <c r="K230">
        <v>0.9</v>
      </c>
    </row>
    <row r="231" spans="9:11" x14ac:dyDescent="0.25">
      <c r="I231">
        <v>-370.30773921030107</v>
      </c>
      <c r="J231">
        <v>-11.76513310629</v>
      </c>
      <c r="K231">
        <v>0.9</v>
      </c>
    </row>
    <row r="232" spans="9:11" x14ac:dyDescent="0.25">
      <c r="I232">
        <v>-375.52988574647725</v>
      </c>
      <c r="J232">
        <v>-11.373472116090001</v>
      </c>
      <c r="K232">
        <v>0.9</v>
      </c>
    </row>
    <row r="233" spans="9:11" x14ac:dyDescent="0.25">
      <c r="I233">
        <v>-380.75203228265383</v>
      </c>
      <c r="J233">
        <v>-10.981811125889999</v>
      </c>
      <c r="K233">
        <v>0.9</v>
      </c>
    </row>
    <row r="234" spans="9:11" x14ac:dyDescent="0.25">
      <c r="I234">
        <v>-385.97417881883001</v>
      </c>
      <c r="J234">
        <v>-10.590150135600002</v>
      </c>
      <c r="K234">
        <v>0.9</v>
      </c>
    </row>
    <row r="235" spans="9:11" x14ac:dyDescent="0.25">
      <c r="I235">
        <v>-391.19632535500631</v>
      </c>
      <c r="J235">
        <v>-10.1984891454</v>
      </c>
      <c r="K235">
        <v>0.9</v>
      </c>
    </row>
    <row r="236" spans="9:11" x14ac:dyDescent="0.25">
      <c r="I236">
        <v>-396.41847189118278</v>
      </c>
      <c r="J236">
        <v>-9.8068281552000016</v>
      </c>
      <c r="K236">
        <v>0.9</v>
      </c>
    </row>
    <row r="237" spans="9:11" x14ac:dyDescent="0.25">
      <c r="I237">
        <v>-401.64061842735919</v>
      </c>
      <c r="J237">
        <v>-9.4151671650000015</v>
      </c>
      <c r="K237">
        <v>0.9</v>
      </c>
    </row>
    <row r="238" spans="9:11" x14ac:dyDescent="0.25">
      <c r="I238">
        <v>-406.86276496353537</v>
      </c>
      <c r="J238">
        <v>-9.0235061747999996</v>
      </c>
      <c r="K238">
        <v>0.9</v>
      </c>
    </row>
    <row r="239" spans="9:11" x14ac:dyDescent="0.25">
      <c r="I239">
        <v>-412.08491149971172</v>
      </c>
      <c r="J239">
        <v>-8.6318451846000013</v>
      </c>
      <c r="K239">
        <v>0.9</v>
      </c>
    </row>
    <row r="240" spans="9:11" x14ac:dyDescent="0.25">
      <c r="I240">
        <v>-417.30705803588853</v>
      </c>
      <c r="J240">
        <v>-8.2401841943100003</v>
      </c>
      <c r="K240">
        <v>0.9</v>
      </c>
    </row>
    <row r="241" spans="9:11" x14ac:dyDescent="0.25">
      <c r="I241">
        <v>-422.5292045720646</v>
      </c>
      <c r="J241">
        <v>-7.8485232041100002</v>
      </c>
      <c r="K241">
        <v>0.9</v>
      </c>
    </row>
    <row r="242" spans="9:11" x14ac:dyDescent="0.25">
      <c r="I242">
        <v>-427.75135110824112</v>
      </c>
      <c r="J242">
        <v>-7.45686221391</v>
      </c>
      <c r="K242">
        <v>0.9</v>
      </c>
    </row>
    <row r="243" spans="9:11" x14ac:dyDescent="0.25">
      <c r="I243">
        <v>-432.97349764441748</v>
      </c>
      <c r="J243">
        <v>-7.0652012237099999</v>
      </c>
      <c r="K243">
        <v>0.9</v>
      </c>
    </row>
    <row r="244" spans="9:11" x14ac:dyDescent="0.25">
      <c r="I244">
        <v>-438.195644180594</v>
      </c>
      <c r="J244">
        <v>-6.6735402335099998</v>
      </c>
      <c r="K244">
        <v>0.9</v>
      </c>
    </row>
    <row r="245" spans="9:11" x14ac:dyDescent="0.25">
      <c r="I245">
        <v>-443.41779071677036</v>
      </c>
      <c r="J245">
        <v>-6.2818792433099997</v>
      </c>
      <c r="K245">
        <v>0.9</v>
      </c>
    </row>
    <row r="246" spans="9:11" x14ac:dyDescent="0.25">
      <c r="I246">
        <v>-448.63993725294654</v>
      </c>
      <c r="J246">
        <v>-5.8902182531100005</v>
      </c>
      <c r="K246">
        <v>0.9</v>
      </c>
    </row>
    <row r="247" spans="9:11" x14ac:dyDescent="0.25">
      <c r="I247">
        <v>-449.25951396059855</v>
      </c>
      <c r="J247">
        <v>-5.8437500000400009</v>
      </c>
      <c r="K247">
        <v>0.9</v>
      </c>
    </row>
    <row r="248" spans="9:11" x14ac:dyDescent="0.25">
      <c r="I248">
        <v>-449.25951396059855</v>
      </c>
      <c r="J248">
        <v>-5.8437500000400009</v>
      </c>
      <c r="K248">
        <v>0.9</v>
      </c>
    </row>
    <row r="249" spans="9:11" x14ac:dyDescent="0.25">
      <c r="I249">
        <v>-449.25951396059855</v>
      </c>
      <c r="J249">
        <v>-5.8437500000400009</v>
      </c>
      <c r="K249">
        <v>0.9</v>
      </c>
    </row>
    <row r="250" spans="9:11" x14ac:dyDescent="0.25">
      <c r="I250">
        <v>-449.25951396059855</v>
      </c>
      <c r="J250">
        <v>-5.8437500000400009</v>
      </c>
      <c r="K250">
        <v>0.9</v>
      </c>
    </row>
    <row r="251" spans="9:11" x14ac:dyDescent="0.25">
      <c r="I251">
        <v>-449.25951396059855</v>
      </c>
      <c r="J251">
        <v>-5.8437500000400009</v>
      </c>
      <c r="K251">
        <v>0.9</v>
      </c>
    </row>
    <row r="252" spans="9:11" x14ac:dyDescent="0.25">
      <c r="I252">
        <v>-449.25951396059855</v>
      </c>
      <c r="J252">
        <v>-5.8437500000400009</v>
      </c>
      <c r="K252">
        <v>0.9</v>
      </c>
    </row>
    <row r="253" spans="9:11" x14ac:dyDescent="0.25">
      <c r="I253">
        <v>-449.25951396059855</v>
      </c>
      <c r="J253">
        <v>-5.8437500000400009</v>
      </c>
      <c r="K253">
        <v>0.9</v>
      </c>
    </row>
    <row r="254" spans="9:11" x14ac:dyDescent="0.25">
      <c r="I254">
        <v>-449.25951396059855</v>
      </c>
      <c r="J254">
        <v>-5.8437500000400009</v>
      </c>
      <c r="K254">
        <v>0.9</v>
      </c>
    </row>
    <row r="255" spans="9:11" x14ac:dyDescent="0.25">
      <c r="I255">
        <v>-449.25951396059855</v>
      </c>
      <c r="J255">
        <v>-5.8437500000400009</v>
      </c>
      <c r="K255">
        <v>0.9</v>
      </c>
    </row>
    <row r="256" spans="9:11" x14ac:dyDescent="0.25">
      <c r="I256">
        <v>-449.25951396059855</v>
      </c>
      <c r="J256">
        <v>-5.8437500000400009</v>
      </c>
      <c r="K256">
        <v>0.9</v>
      </c>
    </row>
    <row r="257" spans="9:11" x14ac:dyDescent="0.25">
      <c r="I257">
        <v>-449.25951396059855</v>
      </c>
      <c r="J257">
        <v>-5.8437500000400009</v>
      </c>
      <c r="K257">
        <v>0.9</v>
      </c>
    </row>
    <row r="258" spans="9:11" x14ac:dyDescent="0.25">
      <c r="I258">
        <v>-449.25951396059855</v>
      </c>
      <c r="J258">
        <v>-5.8437500000400009</v>
      </c>
      <c r="K258">
        <v>0.9</v>
      </c>
    </row>
    <row r="259" spans="9:11" x14ac:dyDescent="0.25">
      <c r="I259">
        <v>-449.25951396059855</v>
      </c>
      <c r="J259">
        <v>-5.8437500000400009</v>
      </c>
      <c r="K259">
        <v>0.9</v>
      </c>
    </row>
    <row r="260" spans="9:11" x14ac:dyDescent="0.25">
      <c r="I260">
        <v>-449.25951396059855</v>
      </c>
      <c r="J260">
        <v>-5.8437500000400009</v>
      </c>
      <c r="K260">
        <v>0.9</v>
      </c>
    </row>
    <row r="261" spans="9:11" x14ac:dyDescent="0.25">
      <c r="I261">
        <v>-449.25951396059855</v>
      </c>
      <c r="J261">
        <v>-5.8437500000400009</v>
      </c>
      <c r="K261">
        <v>0.9</v>
      </c>
    </row>
    <row r="262" spans="9:11" x14ac:dyDescent="0.25">
      <c r="I262">
        <v>-481.1345139605985</v>
      </c>
      <c r="J262">
        <v>-3.05468749998</v>
      </c>
      <c r="K262">
        <v>0.9</v>
      </c>
    </row>
    <row r="263" spans="9:11" x14ac:dyDescent="0.25">
      <c r="I263">
        <v>-481.1345139605985</v>
      </c>
      <c r="J263">
        <v>-3.05468749998</v>
      </c>
      <c r="K263">
        <v>0.9</v>
      </c>
    </row>
    <row r="264" spans="9:11" x14ac:dyDescent="0.25">
      <c r="I264">
        <v>-481.1345139605985</v>
      </c>
      <c r="J264">
        <v>-3.05468749998</v>
      </c>
      <c r="K264">
        <v>0.9</v>
      </c>
    </row>
    <row r="265" spans="9:11" x14ac:dyDescent="0.25">
      <c r="I265">
        <v>-481.1345139605985</v>
      </c>
      <c r="J265">
        <v>-3.05468749998</v>
      </c>
      <c r="K265">
        <v>0.9</v>
      </c>
    </row>
    <row r="266" spans="9:11" x14ac:dyDescent="0.25">
      <c r="I266">
        <v>-481.1345139605985</v>
      </c>
      <c r="J266">
        <v>-3.05468749998</v>
      </c>
      <c r="K266">
        <v>0.9</v>
      </c>
    </row>
    <row r="267" spans="9:11" x14ac:dyDescent="0.25">
      <c r="I267">
        <v>-481.1345139605985</v>
      </c>
      <c r="J267">
        <v>-3.05468749998</v>
      </c>
      <c r="K267">
        <v>0.9</v>
      </c>
    </row>
    <row r="268" spans="9:11" x14ac:dyDescent="0.25">
      <c r="I268">
        <v>-481.1345139605985</v>
      </c>
      <c r="J268">
        <v>-3.05468749998</v>
      </c>
      <c r="K268">
        <v>0.9</v>
      </c>
    </row>
    <row r="269" spans="9:11" x14ac:dyDescent="0.25">
      <c r="I269">
        <v>-481.1345139605985</v>
      </c>
      <c r="J269">
        <v>-3.05468749998</v>
      </c>
      <c r="K269">
        <v>0.9</v>
      </c>
    </row>
    <row r="270" spans="9:11" x14ac:dyDescent="0.25">
      <c r="I270">
        <v>-481.1345139605985</v>
      </c>
      <c r="J270">
        <v>-3.05468749998</v>
      </c>
      <c r="K270">
        <v>0.9</v>
      </c>
    </row>
    <row r="271" spans="9:11" x14ac:dyDescent="0.25">
      <c r="I271">
        <v>-481.1345139605985</v>
      </c>
      <c r="J271">
        <v>-3.05468749998</v>
      </c>
      <c r="K271">
        <v>0.9</v>
      </c>
    </row>
    <row r="272" spans="9:11" x14ac:dyDescent="0.25">
      <c r="I272">
        <v>-481.1345139605985</v>
      </c>
      <c r="J272">
        <v>-3.05468749998</v>
      </c>
      <c r="K272">
        <v>0.9</v>
      </c>
    </row>
    <row r="273" spans="9:11" x14ac:dyDescent="0.25">
      <c r="I273">
        <v>-481.1345139605985</v>
      </c>
      <c r="J273">
        <v>-3.05468749998</v>
      </c>
      <c r="K273">
        <v>0.9</v>
      </c>
    </row>
    <row r="274" spans="9:11" x14ac:dyDescent="0.25">
      <c r="I274">
        <v>-481.1345139605985</v>
      </c>
      <c r="J274">
        <v>-3.05468749998</v>
      </c>
      <c r="K274">
        <v>0.9</v>
      </c>
    </row>
    <row r="275" spans="9:11" x14ac:dyDescent="0.25">
      <c r="I275">
        <v>-481.1345139605985</v>
      </c>
      <c r="J275">
        <v>-3.05468749998</v>
      </c>
      <c r="K275">
        <v>0.9</v>
      </c>
    </row>
    <row r="276" spans="9:11" x14ac:dyDescent="0.25">
      <c r="I276">
        <v>-481.1345139605985</v>
      </c>
      <c r="J276">
        <v>-3.05468749998</v>
      </c>
      <c r="K276">
        <v>0.9</v>
      </c>
    </row>
    <row r="277" spans="9:11" x14ac:dyDescent="0.25">
      <c r="I277">
        <v>-481.1345139605985</v>
      </c>
      <c r="J277">
        <v>-3.05468749998</v>
      </c>
      <c r="K277">
        <v>0.9</v>
      </c>
    </row>
    <row r="278" spans="9:11" x14ac:dyDescent="0.25">
      <c r="I278">
        <v>-481.1345139605985</v>
      </c>
      <c r="J278">
        <v>-3.05468749998</v>
      </c>
      <c r="K278">
        <v>0.9</v>
      </c>
    </row>
    <row r="279" spans="9:11" x14ac:dyDescent="0.25">
      <c r="I279">
        <v>-481.1345139605985</v>
      </c>
      <c r="J279">
        <v>-3.05468749998</v>
      </c>
      <c r="K279">
        <v>0.9</v>
      </c>
    </row>
    <row r="280" spans="9:11" x14ac:dyDescent="0.25">
      <c r="I280">
        <v>-481.1345139605985</v>
      </c>
      <c r="J280">
        <v>-3.05468749998</v>
      </c>
      <c r="K280">
        <v>0.9</v>
      </c>
    </row>
    <row r="281" spans="9:11" x14ac:dyDescent="0.25">
      <c r="I281">
        <v>-481.1345139605985</v>
      </c>
      <c r="J281">
        <v>-3.05468749998</v>
      </c>
      <c r="K281">
        <v>0.9</v>
      </c>
    </row>
    <row r="282" spans="9:11" x14ac:dyDescent="0.25">
      <c r="I282">
        <v>-481.1345139605985</v>
      </c>
      <c r="J282">
        <v>-3.05468749998</v>
      </c>
      <c r="K282">
        <v>0.9</v>
      </c>
    </row>
    <row r="283" spans="9:11" x14ac:dyDescent="0.25">
      <c r="I283">
        <v>-481.1345139605985</v>
      </c>
      <c r="J283">
        <v>-3.05468749998</v>
      </c>
      <c r="K283">
        <v>0.9</v>
      </c>
    </row>
    <row r="284" spans="9:11" x14ac:dyDescent="0.25">
      <c r="I284">
        <v>-481.1345139605985</v>
      </c>
      <c r="J284">
        <v>-3.05468749998</v>
      </c>
      <c r="K284">
        <v>0.9</v>
      </c>
    </row>
    <row r="285" spans="9:11" x14ac:dyDescent="0.25">
      <c r="I285">
        <v>-481.1345139605985</v>
      </c>
      <c r="J285">
        <v>-3.05468749998</v>
      </c>
      <c r="K285">
        <v>0.9</v>
      </c>
    </row>
    <row r="286" spans="9:11" x14ac:dyDescent="0.25">
      <c r="I286">
        <v>-481.1345139605985</v>
      </c>
      <c r="J286">
        <v>-3.05468749998</v>
      </c>
      <c r="K286">
        <v>0.9</v>
      </c>
    </row>
    <row r="287" spans="9:11" x14ac:dyDescent="0.25">
      <c r="I287">
        <v>-481.1345139605985</v>
      </c>
      <c r="J287">
        <v>-3.05468749998</v>
      </c>
      <c r="K287">
        <v>0.9</v>
      </c>
    </row>
    <row r="288" spans="9:11" x14ac:dyDescent="0.25">
      <c r="I288">
        <v>-481.1345139605985</v>
      </c>
      <c r="J288">
        <v>-3.05468749998</v>
      </c>
      <c r="K288">
        <v>0.9</v>
      </c>
    </row>
    <row r="289" spans="9:11" x14ac:dyDescent="0.25">
      <c r="I289">
        <v>-481.1345139605985</v>
      </c>
      <c r="J289">
        <v>-3.05468749998</v>
      </c>
      <c r="K289">
        <v>0.9</v>
      </c>
    </row>
    <row r="290" spans="9:11" x14ac:dyDescent="0.25">
      <c r="I290">
        <v>-481.1345139605985</v>
      </c>
      <c r="J290">
        <v>-3.05468749998</v>
      </c>
      <c r="K290">
        <v>0.9</v>
      </c>
    </row>
    <row r="291" spans="9:11" x14ac:dyDescent="0.25">
      <c r="I291">
        <v>-481.1345139605985</v>
      </c>
      <c r="J291">
        <v>-3.05468749998</v>
      </c>
      <c r="K291">
        <v>0.9</v>
      </c>
    </row>
    <row r="292" spans="9:11" x14ac:dyDescent="0.25">
      <c r="I292">
        <v>-481.1345139605985</v>
      </c>
      <c r="J292">
        <v>-3.05468749998</v>
      </c>
      <c r="K292">
        <v>0.9</v>
      </c>
    </row>
    <row r="293" spans="9:11" x14ac:dyDescent="0.25">
      <c r="I293">
        <v>-481.1345139605985</v>
      </c>
      <c r="J293">
        <v>-3.05468749998</v>
      </c>
      <c r="K293">
        <v>0.9</v>
      </c>
    </row>
    <row r="294" spans="9:11" x14ac:dyDescent="0.25">
      <c r="I294">
        <v>-481.1345139605985</v>
      </c>
      <c r="J294">
        <v>-3.05468749998</v>
      </c>
      <c r="K294">
        <v>0.9</v>
      </c>
    </row>
    <row r="295" spans="9:11" x14ac:dyDescent="0.25">
      <c r="I295">
        <v>-513.00951396059895</v>
      </c>
      <c r="J295">
        <v>0</v>
      </c>
      <c r="K295">
        <v>0.9</v>
      </c>
    </row>
    <row r="296" spans="9:11" x14ac:dyDescent="0.25">
      <c r="I296">
        <v>-513.00951396059895</v>
      </c>
      <c r="J296">
        <v>0</v>
      </c>
      <c r="K296">
        <v>0.9</v>
      </c>
    </row>
    <row r="297" spans="9:11" x14ac:dyDescent="0.25">
      <c r="I297">
        <v>-513.00951396059895</v>
      </c>
      <c r="J297">
        <v>0</v>
      </c>
      <c r="K297">
        <v>0.9</v>
      </c>
    </row>
    <row r="298" spans="9:11" x14ac:dyDescent="0.25">
      <c r="I298">
        <v>-513.00951396059895</v>
      </c>
      <c r="J298">
        <v>0</v>
      </c>
      <c r="K298">
        <v>0.9</v>
      </c>
    </row>
    <row r="299" spans="9:11" x14ac:dyDescent="0.25">
      <c r="I299">
        <v>-513.00951396059895</v>
      </c>
      <c r="J299">
        <v>0</v>
      </c>
      <c r="K299">
        <v>0.9</v>
      </c>
    </row>
    <row r="300" spans="9:11" x14ac:dyDescent="0.25">
      <c r="I300">
        <v>-513.00951396059895</v>
      </c>
      <c r="J300">
        <v>0</v>
      </c>
      <c r="K300">
        <v>0.9</v>
      </c>
    </row>
    <row r="301" spans="9:11" x14ac:dyDescent="0.25">
      <c r="I301">
        <v>-513.00951396059895</v>
      </c>
      <c r="J301">
        <v>0</v>
      </c>
      <c r="K301">
        <v>0.9</v>
      </c>
    </row>
    <row r="302" spans="9:11" x14ac:dyDescent="0.25">
      <c r="I302">
        <v>-513.00951396059895</v>
      </c>
      <c r="J302">
        <v>0</v>
      </c>
      <c r="K302">
        <v>0.9</v>
      </c>
    </row>
    <row r="303" spans="9:11" x14ac:dyDescent="0.25">
      <c r="I303">
        <v>-513.00951396059895</v>
      </c>
      <c r="J303">
        <v>0</v>
      </c>
      <c r="K303">
        <v>0.9</v>
      </c>
    </row>
    <row r="304" spans="9:11" x14ac:dyDescent="0.25">
      <c r="I304">
        <v>-513.00951396059895</v>
      </c>
      <c r="J304">
        <v>0</v>
      </c>
      <c r="K304">
        <v>0.9</v>
      </c>
    </row>
    <row r="305" spans="9:11" x14ac:dyDescent="0.25">
      <c r="I305">
        <v>-513.00951396059895</v>
      </c>
      <c r="J305">
        <v>0</v>
      </c>
      <c r="K305">
        <v>0.9</v>
      </c>
    </row>
    <row r="306" spans="9:11" x14ac:dyDescent="0.25">
      <c r="I306">
        <v>-513.00951396059895</v>
      </c>
      <c r="J306">
        <v>0</v>
      </c>
      <c r="K306">
        <v>0.9</v>
      </c>
    </row>
    <row r="307" spans="9:11" x14ac:dyDescent="0.25">
      <c r="I307">
        <v>-513.00951396059895</v>
      </c>
      <c r="J307">
        <v>0</v>
      </c>
      <c r="K307">
        <v>0.9</v>
      </c>
    </row>
    <row r="308" spans="9:11" x14ac:dyDescent="0.25">
      <c r="I308">
        <v>-513.00951396059895</v>
      </c>
      <c r="J308">
        <v>0</v>
      </c>
      <c r="K308">
        <v>0.9</v>
      </c>
    </row>
    <row r="309" spans="9:11" x14ac:dyDescent="0.25">
      <c r="I309">
        <v>-513.00951396059895</v>
      </c>
      <c r="J309">
        <v>0</v>
      </c>
      <c r="K309">
        <v>0.9</v>
      </c>
    </row>
    <row r="310" spans="9:11" x14ac:dyDescent="0.25">
      <c r="I310">
        <v>-513.00951396059895</v>
      </c>
      <c r="J310">
        <v>0</v>
      </c>
      <c r="K310">
        <v>0.9</v>
      </c>
    </row>
    <row r="311" spans="9:11" x14ac:dyDescent="0.25">
      <c r="I311">
        <v>-513.00951396059895</v>
      </c>
      <c r="J311">
        <v>0</v>
      </c>
      <c r="K311">
        <v>0.9</v>
      </c>
    </row>
    <row r="312" spans="9:11" x14ac:dyDescent="0.25">
      <c r="I312">
        <v>-513.00951396059895</v>
      </c>
      <c r="J312">
        <v>0</v>
      </c>
      <c r="K312">
        <v>0.9</v>
      </c>
    </row>
    <row r="313" spans="9:11" x14ac:dyDescent="0.25">
      <c r="I313">
        <v>-513.00951396059895</v>
      </c>
      <c r="J313">
        <v>0</v>
      </c>
      <c r="K313">
        <v>0.9</v>
      </c>
    </row>
    <row r="314" spans="9:11" x14ac:dyDescent="0.25">
      <c r="I314">
        <v>-513.00951396059895</v>
      </c>
      <c r="J314">
        <v>0</v>
      </c>
      <c r="K314">
        <v>0.9</v>
      </c>
    </row>
    <row r="315" spans="9:11" x14ac:dyDescent="0.25">
      <c r="I315">
        <v>-513.00951396059895</v>
      </c>
      <c r="J315">
        <v>0</v>
      </c>
      <c r="K315">
        <v>0.9</v>
      </c>
    </row>
    <row r="316" spans="9:11" x14ac:dyDescent="0.25">
      <c r="I316">
        <v>-513.00951396059895</v>
      </c>
      <c r="J316">
        <v>0</v>
      </c>
      <c r="K316">
        <v>0.9</v>
      </c>
    </row>
    <row r="317" spans="9:11" x14ac:dyDescent="0.25">
      <c r="I317">
        <v>-513.00951396059895</v>
      </c>
      <c r="J317">
        <v>0</v>
      </c>
      <c r="K317">
        <v>0.9</v>
      </c>
    </row>
    <row r="318" spans="9:11" x14ac:dyDescent="0.25">
      <c r="I318">
        <v>-513.00951396059895</v>
      </c>
      <c r="J318">
        <v>0</v>
      </c>
      <c r="K318">
        <v>0.9</v>
      </c>
    </row>
    <row r="319" spans="9:11" x14ac:dyDescent="0.25">
      <c r="I319">
        <v>-513.00951396059895</v>
      </c>
      <c r="J319">
        <v>0</v>
      </c>
      <c r="K319">
        <v>0.9</v>
      </c>
    </row>
    <row r="320" spans="9:11" x14ac:dyDescent="0.25">
      <c r="I320">
        <v>-513.00951396059895</v>
      </c>
      <c r="J320">
        <v>0</v>
      </c>
      <c r="K320">
        <v>0.9</v>
      </c>
    </row>
    <row r="321" spans="9:11" x14ac:dyDescent="0.25">
      <c r="I321">
        <v>-513.00951396059895</v>
      </c>
      <c r="J321">
        <v>0</v>
      </c>
      <c r="K321">
        <v>0.9</v>
      </c>
    </row>
    <row r="322" spans="9:11" x14ac:dyDescent="0.25">
      <c r="I322">
        <v>-513.00951396059895</v>
      </c>
      <c r="J322">
        <v>0</v>
      </c>
      <c r="K322">
        <v>0.9</v>
      </c>
    </row>
    <row r="323" spans="9:11" x14ac:dyDescent="0.25">
      <c r="I323">
        <v>-513.00951396059895</v>
      </c>
      <c r="J323">
        <v>0</v>
      </c>
      <c r="K323">
        <v>0.9</v>
      </c>
    </row>
    <row r="324" spans="9:11" x14ac:dyDescent="0.25">
      <c r="I324">
        <v>-513.00951396059895</v>
      </c>
      <c r="J324">
        <v>0</v>
      </c>
      <c r="K324">
        <v>0.9</v>
      </c>
    </row>
    <row r="325" spans="9:11" x14ac:dyDescent="0.25">
      <c r="I325">
        <v>-513.00951396059895</v>
      </c>
      <c r="J325">
        <v>0</v>
      </c>
      <c r="K325">
        <v>0.9</v>
      </c>
    </row>
    <row r="326" spans="9:11" x14ac:dyDescent="0.25">
      <c r="I326">
        <v>-513.00951396059895</v>
      </c>
      <c r="J326">
        <v>0</v>
      </c>
      <c r="K326">
        <v>0.9</v>
      </c>
    </row>
    <row r="327" spans="9:11" x14ac:dyDescent="0.25">
      <c r="I327">
        <v>-513.00951396059895</v>
      </c>
      <c r="J327">
        <v>0</v>
      </c>
      <c r="K327">
        <v>0.9</v>
      </c>
    </row>
    <row r="328" spans="9:11" x14ac:dyDescent="0.25">
      <c r="I328">
        <v>-513.00951396059895</v>
      </c>
      <c r="J328">
        <v>0</v>
      </c>
      <c r="K328">
        <v>0.9</v>
      </c>
    </row>
    <row r="329" spans="9:11" x14ac:dyDescent="0.25">
      <c r="I329">
        <v>-513.00951396059895</v>
      </c>
      <c r="J329">
        <v>0</v>
      </c>
      <c r="K329">
        <v>0.9</v>
      </c>
    </row>
    <row r="330" spans="9:11" x14ac:dyDescent="0.25">
      <c r="I330">
        <v>-513.00951396059895</v>
      </c>
      <c r="J330">
        <v>0</v>
      </c>
      <c r="K330">
        <v>0.9</v>
      </c>
    </row>
    <row r="331" spans="9:11" x14ac:dyDescent="0.25">
      <c r="I331">
        <v>-513.00951396059895</v>
      </c>
      <c r="J331">
        <v>0</v>
      </c>
      <c r="K331">
        <v>0.9</v>
      </c>
    </row>
    <row r="332" spans="9:11" x14ac:dyDescent="0.25">
      <c r="I332">
        <v>-513.00951396059895</v>
      </c>
      <c r="J332">
        <v>0</v>
      </c>
      <c r="K332">
        <v>0.9</v>
      </c>
    </row>
    <row r="333" spans="9:11" x14ac:dyDescent="0.25">
      <c r="I333">
        <v>-513.00951396059895</v>
      </c>
      <c r="J333">
        <v>0</v>
      </c>
      <c r="K333">
        <v>0.9</v>
      </c>
    </row>
    <row r="334" spans="9:11" x14ac:dyDescent="0.25">
      <c r="I334">
        <v>-513.00951396059895</v>
      </c>
      <c r="J334">
        <v>0</v>
      </c>
      <c r="K334">
        <v>0.9</v>
      </c>
    </row>
    <row r="335" spans="9:11" x14ac:dyDescent="0.25">
      <c r="I335">
        <v>-513.00951396059895</v>
      </c>
      <c r="J335">
        <v>0</v>
      </c>
      <c r="K335">
        <v>0.9</v>
      </c>
    </row>
    <row r="336" spans="9:11" x14ac:dyDescent="0.25">
      <c r="I336">
        <v>-513.00951396059895</v>
      </c>
      <c r="J336">
        <v>0</v>
      </c>
      <c r="K336">
        <v>0.9</v>
      </c>
    </row>
    <row r="337" spans="9:11" x14ac:dyDescent="0.25">
      <c r="I337">
        <v>-513.00951396059895</v>
      </c>
      <c r="J337">
        <v>0</v>
      </c>
      <c r="K337">
        <v>0.9</v>
      </c>
    </row>
    <row r="338" spans="9:11" x14ac:dyDescent="0.25">
      <c r="I338">
        <v>-513.00951396059895</v>
      </c>
      <c r="J338">
        <v>0</v>
      </c>
      <c r="K338">
        <v>0.9</v>
      </c>
    </row>
    <row r="339" spans="9:11" x14ac:dyDescent="0.25">
      <c r="I339">
        <v>-513.00951396059895</v>
      </c>
      <c r="J339">
        <v>0</v>
      </c>
      <c r="K339">
        <v>0.9</v>
      </c>
    </row>
    <row r="340" spans="9:11" x14ac:dyDescent="0.25">
      <c r="I340">
        <v>-513.00951396059895</v>
      </c>
      <c r="J340">
        <v>0</v>
      </c>
      <c r="K340">
        <v>0.9</v>
      </c>
    </row>
    <row r="341" spans="9:11" x14ac:dyDescent="0.25">
      <c r="I341">
        <v>-513.00951396059895</v>
      </c>
      <c r="J341">
        <v>0</v>
      </c>
      <c r="K341">
        <v>0.9</v>
      </c>
    </row>
    <row r="342" spans="9:11" x14ac:dyDescent="0.25">
      <c r="I342">
        <v>-513.00951396059895</v>
      </c>
      <c r="J342">
        <v>0</v>
      </c>
      <c r="K342">
        <v>0.9</v>
      </c>
    </row>
    <row r="343" spans="9:11" x14ac:dyDescent="0.25">
      <c r="I343">
        <v>-513.00951396059895</v>
      </c>
      <c r="J343">
        <v>0</v>
      </c>
      <c r="K343">
        <v>0.9</v>
      </c>
    </row>
    <row r="344" spans="9:11" x14ac:dyDescent="0.25">
      <c r="I344">
        <v>-513.00951396059895</v>
      </c>
      <c r="J344">
        <v>0</v>
      </c>
      <c r="K344">
        <v>0.9</v>
      </c>
    </row>
    <row r="345" spans="9:11" x14ac:dyDescent="0.25">
      <c r="I345">
        <v>-513.00951396059895</v>
      </c>
      <c r="J345">
        <v>0</v>
      </c>
      <c r="K345">
        <v>0.9</v>
      </c>
    </row>
    <row r="346" spans="9:11" x14ac:dyDescent="0.25">
      <c r="I346">
        <v>-513.00951396059895</v>
      </c>
      <c r="J346">
        <v>0</v>
      </c>
      <c r="K346">
        <v>0.9</v>
      </c>
    </row>
    <row r="347" spans="9:11" x14ac:dyDescent="0.25">
      <c r="I347">
        <v>-513.00951396059895</v>
      </c>
      <c r="J347">
        <v>0</v>
      </c>
      <c r="K347">
        <v>0.9</v>
      </c>
    </row>
    <row r="348" spans="9:11" x14ac:dyDescent="0.25">
      <c r="I348">
        <v>-513.00951396059895</v>
      </c>
      <c r="J348">
        <v>0</v>
      </c>
      <c r="K348">
        <v>0.9</v>
      </c>
    </row>
    <row r="349" spans="9:11" x14ac:dyDescent="0.25">
      <c r="I349">
        <v>-513.00951396059895</v>
      </c>
      <c r="J349">
        <v>0</v>
      </c>
      <c r="K349">
        <v>0.9</v>
      </c>
    </row>
    <row r="350" spans="9:11" x14ac:dyDescent="0.25">
      <c r="I350">
        <v>-513.00951396059895</v>
      </c>
      <c r="J350">
        <v>0</v>
      </c>
      <c r="K350">
        <v>0.9</v>
      </c>
    </row>
    <row r="351" spans="9:11" x14ac:dyDescent="0.25">
      <c r="I351">
        <v>-513.00951396059895</v>
      </c>
      <c r="J351">
        <v>0</v>
      </c>
      <c r="K351">
        <v>0.9</v>
      </c>
    </row>
    <row r="352" spans="9:11" x14ac:dyDescent="0.25">
      <c r="I352">
        <v>-513.00951396059895</v>
      </c>
      <c r="J352">
        <v>0</v>
      </c>
      <c r="K352">
        <v>0.9</v>
      </c>
    </row>
    <row r="353" spans="9:11" x14ac:dyDescent="0.25">
      <c r="I353">
        <v>923.00687119377005</v>
      </c>
      <c r="J353">
        <v>0</v>
      </c>
      <c r="K353">
        <v>0.65</v>
      </c>
    </row>
    <row r="354" spans="9:11" x14ac:dyDescent="0.25">
      <c r="I354">
        <v>923.00687119377005</v>
      </c>
      <c r="J354">
        <v>0</v>
      </c>
      <c r="K354">
        <v>0.65</v>
      </c>
    </row>
    <row r="355" spans="9:11" x14ac:dyDescent="0.25">
      <c r="I355">
        <v>923.00687119377005</v>
      </c>
      <c r="J355">
        <v>0</v>
      </c>
      <c r="K355">
        <v>0.65</v>
      </c>
    </row>
    <row r="356" spans="9:11" x14ac:dyDescent="0.25">
      <c r="I356">
        <v>923.00687119377005</v>
      </c>
      <c r="J356">
        <v>0</v>
      </c>
      <c r="K356">
        <v>0.65</v>
      </c>
    </row>
    <row r="357" spans="9:11" x14ac:dyDescent="0.25">
      <c r="I357">
        <v>923.00687119377005</v>
      </c>
      <c r="J357">
        <v>0</v>
      </c>
      <c r="K357">
        <v>0.65</v>
      </c>
    </row>
    <row r="358" spans="9:11" x14ac:dyDescent="0.25">
      <c r="I358">
        <v>923.00687119377005</v>
      </c>
      <c r="J358">
        <v>0</v>
      </c>
      <c r="K358">
        <v>0.65</v>
      </c>
    </row>
    <row r="359" spans="9:11" x14ac:dyDescent="0.25">
      <c r="I359">
        <v>923.00687119377005</v>
      </c>
      <c r="J359">
        <v>0</v>
      </c>
      <c r="K359">
        <v>0.65</v>
      </c>
    </row>
    <row r="360" spans="9:11" x14ac:dyDescent="0.25">
      <c r="I360">
        <v>923.00687119377005</v>
      </c>
      <c r="J360">
        <v>0</v>
      </c>
      <c r="K360">
        <v>0.65</v>
      </c>
    </row>
    <row r="361" spans="9:11" x14ac:dyDescent="0.25">
      <c r="I361">
        <v>923.00687119377005</v>
      </c>
      <c r="J361">
        <v>0</v>
      </c>
      <c r="K361">
        <v>0.65</v>
      </c>
    </row>
    <row r="362" spans="9:11" x14ac:dyDescent="0.25">
      <c r="I362">
        <v>923.00687119377005</v>
      </c>
      <c r="J362">
        <v>0</v>
      </c>
      <c r="K362">
        <v>0.65</v>
      </c>
    </row>
    <row r="363" spans="9:11" x14ac:dyDescent="0.25">
      <c r="I363">
        <v>923.00687119377005</v>
      </c>
      <c r="J363">
        <v>0</v>
      </c>
      <c r="K363">
        <v>0.65</v>
      </c>
    </row>
    <row r="364" spans="9:11" x14ac:dyDescent="0.25">
      <c r="I364">
        <v>919.45905695097304</v>
      </c>
      <c r="J364">
        <v>0.26608606823500003</v>
      </c>
      <c r="K364">
        <v>0.65</v>
      </c>
    </row>
    <row r="365" spans="9:11" x14ac:dyDescent="0.25">
      <c r="I365">
        <v>915.52769522246786</v>
      </c>
      <c r="J365">
        <v>0.5609381978200001</v>
      </c>
      <c r="K365">
        <v>0.65</v>
      </c>
    </row>
    <row r="366" spans="9:11" x14ac:dyDescent="0.25">
      <c r="I366">
        <v>911.59633349396267</v>
      </c>
      <c r="J366">
        <v>0.85579032746999995</v>
      </c>
      <c r="K366">
        <v>0.65</v>
      </c>
    </row>
    <row r="367" spans="9:11" x14ac:dyDescent="0.25">
      <c r="I367">
        <v>907.66497176545727</v>
      </c>
      <c r="J367">
        <v>1.15064245712</v>
      </c>
      <c r="K367">
        <v>0.65</v>
      </c>
    </row>
    <row r="368" spans="9:11" x14ac:dyDescent="0.25">
      <c r="I368">
        <v>901.71998573698647</v>
      </c>
      <c r="J368">
        <v>1.4958351942299999</v>
      </c>
      <c r="K368">
        <v>0.65</v>
      </c>
    </row>
    <row r="369" spans="9:11" x14ac:dyDescent="0.25">
      <c r="I369">
        <v>895.00790473709958</v>
      </c>
      <c r="J369">
        <v>1.8602053056599999</v>
      </c>
      <c r="K369">
        <v>0.65</v>
      </c>
    </row>
    <row r="370" spans="9:11" x14ac:dyDescent="0.25">
      <c r="I370">
        <v>888.29582373721257</v>
      </c>
      <c r="J370">
        <v>2.2245754170900001</v>
      </c>
      <c r="K370">
        <v>0.65</v>
      </c>
    </row>
    <row r="371" spans="9:11" x14ac:dyDescent="0.25">
      <c r="I371">
        <v>881.58374273732557</v>
      </c>
      <c r="J371">
        <v>2.58894552852</v>
      </c>
      <c r="K371">
        <v>0.65</v>
      </c>
    </row>
    <row r="372" spans="9:11" x14ac:dyDescent="0.25">
      <c r="I372">
        <v>874.87166173743879</v>
      </c>
      <c r="J372">
        <v>2.95331563995</v>
      </c>
      <c r="K372">
        <v>0.65</v>
      </c>
    </row>
    <row r="373" spans="9:11" x14ac:dyDescent="0.25">
      <c r="I373">
        <v>868.15958073755166</v>
      </c>
      <c r="J373">
        <v>3.31768575138</v>
      </c>
      <c r="K373">
        <v>0.65</v>
      </c>
    </row>
    <row r="374" spans="9:11" x14ac:dyDescent="0.25">
      <c r="I374">
        <v>861.44749973766466</v>
      </c>
      <c r="J374">
        <v>3.6820558628100004</v>
      </c>
      <c r="K374">
        <v>0.65</v>
      </c>
    </row>
    <row r="375" spans="9:11" x14ac:dyDescent="0.25">
      <c r="I375">
        <v>854.73541873777765</v>
      </c>
      <c r="J375">
        <v>4.0464259742399999</v>
      </c>
      <c r="K375">
        <v>0.65</v>
      </c>
    </row>
    <row r="376" spans="9:11" x14ac:dyDescent="0.25">
      <c r="I376">
        <v>848.02333773789064</v>
      </c>
      <c r="J376">
        <v>4.4107960856700004</v>
      </c>
      <c r="K376">
        <v>0.65</v>
      </c>
    </row>
    <row r="377" spans="9:11" x14ac:dyDescent="0.25">
      <c r="I377">
        <v>841.31125673800364</v>
      </c>
      <c r="J377">
        <v>4.7751661970350003</v>
      </c>
      <c r="K377">
        <v>0.65</v>
      </c>
    </row>
    <row r="378" spans="9:11" x14ac:dyDescent="0.25">
      <c r="I378">
        <v>833.54442015242057</v>
      </c>
      <c r="J378">
        <v>5.1131674188399998</v>
      </c>
      <c r="K378">
        <v>0.65</v>
      </c>
    </row>
    <row r="379" spans="9:11" x14ac:dyDescent="0.25">
      <c r="I379">
        <v>832.98827629814446</v>
      </c>
      <c r="J379">
        <v>5.1347419648849995</v>
      </c>
      <c r="K379">
        <v>0.65</v>
      </c>
    </row>
    <row r="380" spans="9:11" x14ac:dyDescent="0.25">
      <c r="I380">
        <v>832.43213244386811</v>
      </c>
      <c r="J380">
        <v>5.1563165109950004</v>
      </c>
      <c r="K380">
        <v>0.65</v>
      </c>
    </row>
    <row r="381" spans="9:11" x14ac:dyDescent="0.25">
      <c r="I381">
        <v>831.87598858959154</v>
      </c>
      <c r="J381">
        <v>5.1778910570400001</v>
      </c>
      <c r="K381">
        <v>0.65</v>
      </c>
    </row>
    <row r="382" spans="9:11" x14ac:dyDescent="0.25">
      <c r="I382">
        <v>831.31984473531531</v>
      </c>
      <c r="J382">
        <v>5.1994656031499993</v>
      </c>
      <c r="K382">
        <v>0.65</v>
      </c>
    </row>
    <row r="383" spans="9:11" x14ac:dyDescent="0.25">
      <c r="I383">
        <v>830.76370088103897</v>
      </c>
      <c r="J383">
        <v>5.2210401491950007</v>
      </c>
      <c r="K383">
        <v>0.65</v>
      </c>
    </row>
    <row r="384" spans="9:11" x14ac:dyDescent="0.25">
      <c r="I384">
        <v>830.2075570267624</v>
      </c>
      <c r="J384">
        <v>5.2426146952399995</v>
      </c>
      <c r="K384">
        <v>0.65</v>
      </c>
    </row>
    <row r="385" spans="9:11" x14ac:dyDescent="0.25">
      <c r="I385">
        <v>829.65141317248629</v>
      </c>
      <c r="J385">
        <v>5.2641892413499995</v>
      </c>
      <c r="K385">
        <v>0.65</v>
      </c>
    </row>
    <row r="386" spans="9:11" x14ac:dyDescent="0.25">
      <c r="I386">
        <v>806.07443598487623</v>
      </c>
      <c r="J386">
        <v>7.4919269818249994</v>
      </c>
      <c r="K386">
        <v>0.65</v>
      </c>
    </row>
    <row r="387" spans="9:11" x14ac:dyDescent="0.25">
      <c r="I387">
        <v>805.51829213059978</v>
      </c>
      <c r="J387">
        <v>7.5135015279350004</v>
      </c>
      <c r="K387">
        <v>0.65</v>
      </c>
    </row>
    <row r="388" spans="9:11" x14ac:dyDescent="0.25">
      <c r="I388">
        <v>804.96214827632343</v>
      </c>
      <c r="J388">
        <v>7.53507607398</v>
      </c>
      <c r="K388">
        <v>0.65</v>
      </c>
    </row>
    <row r="389" spans="9:11" x14ac:dyDescent="0.25">
      <c r="I389">
        <v>804.40600442204709</v>
      </c>
      <c r="J389">
        <v>7.5566506200900001</v>
      </c>
      <c r="K389">
        <v>0.65</v>
      </c>
    </row>
    <row r="390" spans="9:11" x14ac:dyDescent="0.25">
      <c r="I390">
        <v>803.84986056777063</v>
      </c>
      <c r="J390">
        <v>7.5782251661350006</v>
      </c>
      <c r="K390">
        <v>0.65</v>
      </c>
    </row>
    <row r="391" spans="9:11" x14ac:dyDescent="0.25">
      <c r="I391">
        <v>803.2937167134944</v>
      </c>
      <c r="J391">
        <v>7.5997997121799994</v>
      </c>
      <c r="K391">
        <v>0.65</v>
      </c>
    </row>
    <row r="392" spans="9:11" x14ac:dyDescent="0.25">
      <c r="I392">
        <v>802.73757285921818</v>
      </c>
      <c r="J392">
        <v>7.6213742582900004</v>
      </c>
      <c r="K392">
        <v>0.65</v>
      </c>
    </row>
    <row r="393" spans="9:11" x14ac:dyDescent="0.25">
      <c r="I393">
        <v>802.18142900494183</v>
      </c>
      <c r="J393">
        <v>7.642948804335</v>
      </c>
      <c r="K393">
        <v>0.65</v>
      </c>
    </row>
    <row r="394" spans="9:11" x14ac:dyDescent="0.25">
      <c r="I394">
        <v>801.62528515066526</v>
      </c>
      <c r="J394">
        <v>7.6645233504450001</v>
      </c>
      <c r="K394">
        <v>0.65</v>
      </c>
    </row>
    <row r="395" spans="9:11" x14ac:dyDescent="0.25">
      <c r="I395">
        <v>801.06914129638903</v>
      </c>
      <c r="J395">
        <v>7.6860978964900006</v>
      </c>
      <c r="K395">
        <v>0.65</v>
      </c>
    </row>
    <row r="396" spans="9:11" x14ac:dyDescent="0.25">
      <c r="I396">
        <v>800.51299744211269</v>
      </c>
      <c r="J396">
        <v>7.7076724425349994</v>
      </c>
      <c r="K396">
        <v>0.65</v>
      </c>
    </row>
    <row r="397" spans="9:11" x14ac:dyDescent="0.25">
      <c r="I397">
        <v>799.95685358783646</v>
      </c>
      <c r="J397">
        <v>7.7292469886449995</v>
      </c>
      <c r="K397">
        <v>0.65</v>
      </c>
    </row>
    <row r="398" spans="9:11" x14ac:dyDescent="0.25">
      <c r="I398">
        <v>799.40070973356001</v>
      </c>
      <c r="J398">
        <v>7.75082153469</v>
      </c>
      <c r="K398">
        <v>0.65</v>
      </c>
    </row>
    <row r="399" spans="9:11" x14ac:dyDescent="0.25">
      <c r="I399">
        <v>798.84456587928366</v>
      </c>
      <c r="J399">
        <v>7.7723960808000001</v>
      </c>
      <c r="K399">
        <v>0.65</v>
      </c>
    </row>
    <row r="400" spans="9:11" x14ac:dyDescent="0.25">
      <c r="I400">
        <v>798.28842202500721</v>
      </c>
      <c r="J400">
        <v>7.7939706268450006</v>
      </c>
      <c r="K400">
        <v>0.65</v>
      </c>
    </row>
    <row r="401" spans="9:11" x14ac:dyDescent="0.25">
      <c r="I401">
        <v>797.73227817073086</v>
      </c>
      <c r="J401">
        <v>7.8155451728900003</v>
      </c>
      <c r="K401">
        <v>0.65</v>
      </c>
    </row>
    <row r="402" spans="9:11" x14ac:dyDescent="0.25">
      <c r="I402">
        <v>797.17613431645464</v>
      </c>
      <c r="J402">
        <v>7.8371197190000013</v>
      </c>
      <c r="K402">
        <v>0.65</v>
      </c>
    </row>
    <row r="403" spans="9:11" x14ac:dyDescent="0.25">
      <c r="I403">
        <v>773.59915712884481</v>
      </c>
      <c r="J403">
        <v>9.8730171817549994</v>
      </c>
      <c r="K403">
        <v>0.65</v>
      </c>
    </row>
    <row r="404" spans="9:11" x14ac:dyDescent="0.25">
      <c r="I404">
        <v>773.04301327456847</v>
      </c>
      <c r="J404">
        <v>9.8945917278</v>
      </c>
      <c r="K404">
        <v>0.65</v>
      </c>
    </row>
    <row r="405" spans="9:11" x14ac:dyDescent="0.25">
      <c r="I405">
        <v>772.48686942029201</v>
      </c>
      <c r="J405">
        <v>9.9161662738450005</v>
      </c>
      <c r="K405">
        <v>0.65</v>
      </c>
    </row>
    <row r="406" spans="9:11" x14ac:dyDescent="0.25">
      <c r="I406">
        <v>771.93072556601567</v>
      </c>
      <c r="J406">
        <v>9.9377408199550015</v>
      </c>
      <c r="K406">
        <v>0.65</v>
      </c>
    </row>
    <row r="407" spans="9:11" x14ac:dyDescent="0.25">
      <c r="I407">
        <v>771.37458171173932</v>
      </c>
      <c r="J407">
        <v>9.9593153660000002</v>
      </c>
      <c r="K407">
        <v>0.65</v>
      </c>
    </row>
    <row r="408" spans="9:11" x14ac:dyDescent="0.25">
      <c r="I408">
        <v>770.81843785746287</v>
      </c>
      <c r="J408">
        <v>9.9808899121100012</v>
      </c>
      <c r="K408">
        <v>0.65</v>
      </c>
    </row>
    <row r="409" spans="9:11" x14ac:dyDescent="0.25">
      <c r="I409">
        <v>770.26229400318664</v>
      </c>
      <c r="J409">
        <v>10.002464458155</v>
      </c>
      <c r="K409">
        <v>0.65</v>
      </c>
    </row>
    <row r="410" spans="9:11" x14ac:dyDescent="0.25">
      <c r="I410">
        <v>769.7061501489103</v>
      </c>
      <c r="J410">
        <v>10.0240390042</v>
      </c>
      <c r="K410">
        <v>0.65</v>
      </c>
    </row>
    <row r="411" spans="9:11" x14ac:dyDescent="0.25">
      <c r="I411">
        <v>769.15000629463395</v>
      </c>
      <c r="J411">
        <v>10.045613550310001</v>
      </c>
      <c r="K411">
        <v>0.65</v>
      </c>
    </row>
    <row r="412" spans="9:11" x14ac:dyDescent="0.25">
      <c r="I412">
        <v>768.5938624403575</v>
      </c>
      <c r="J412">
        <v>10.067188096355</v>
      </c>
      <c r="K412">
        <v>0.65</v>
      </c>
    </row>
    <row r="413" spans="9:11" x14ac:dyDescent="0.25">
      <c r="I413">
        <v>768.03771858608116</v>
      </c>
      <c r="J413">
        <v>10.088762642465001</v>
      </c>
      <c r="K413">
        <v>0.65</v>
      </c>
    </row>
    <row r="414" spans="9:11" x14ac:dyDescent="0.25">
      <c r="I414">
        <v>767.4815747318047</v>
      </c>
      <c r="J414">
        <v>10.11033718851</v>
      </c>
      <c r="K414">
        <v>0.65</v>
      </c>
    </row>
    <row r="415" spans="9:11" x14ac:dyDescent="0.25">
      <c r="I415">
        <v>766.92543087752858</v>
      </c>
      <c r="J415">
        <v>10.131911734555</v>
      </c>
      <c r="K415">
        <v>0.65</v>
      </c>
    </row>
    <row r="416" spans="9:11" x14ac:dyDescent="0.25">
      <c r="I416">
        <v>766.36928702325224</v>
      </c>
      <c r="J416">
        <v>10.153486280665</v>
      </c>
      <c r="K416">
        <v>0.65</v>
      </c>
    </row>
    <row r="417" spans="9:11" x14ac:dyDescent="0.25">
      <c r="I417">
        <v>765.81314316897567</v>
      </c>
      <c r="J417">
        <v>10.17506082671</v>
      </c>
      <c r="K417">
        <v>0.65</v>
      </c>
    </row>
    <row r="418" spans="9:11" x14ac:dyDescent="0.25">
      <c r="I418">
        <v>765.25699931469956</v>
      </c>
      <c r="J418">
        <v>10.196635372820001</v>
      </c>
      <c r="K418">
        <v>0.65</v>
      </c>
    </row>
    <row r="419" spans="9:11" x14ac:dyDescent="0.25">
      <c r="I419">
        <v>764.7008554604231</v>
      </c>
      <c r="J419">
        <v>10.218209918865002</v>
      </c>
      <c r="K419">
        <v>0.65</v>
      </c>
    </row>
    <row r="420" spans="9:11" x14ac:dyDescent="0.25">
      <c r="I420">
        <v>764.14471160614676</v>
      </c>
      <c r="J420">
        <v>10.23978446491</v>
      </c>
      <c r="K420">
        <v>0.65</v>
      </c>
    </row>
    <row r="421" spans="9:11" x14ac:dyDescent="0.25">
      <c r="I421">
        <v>763.58856775187041</v>
      </c>
      <c r="J421">
        <v>10.261359011020001</v>
      </c>
      <c r="K421">
        <v>0.65</v>
      </c>
    </row>
    <row r="422" spans="9:11" x14ac:dyDescent="0.25">
      <c r="I422">
        <v>740.01159056426059</v>
      </c>
      <c r="J422">
        <v>12.105416195990001</v>
      </c>
      <c r="K422">
        <v>0.65</v>
      </c>
    </row>
    <row r="423" spans="9:11" x14ac:dyDescent="0.25">
      <c r="I423">
        <v>739.45544670998424</v>
      </c>
      <c r="J423">
        <v>12.126990742035</v>
      </c>
      <c r="K423">
        <v>0.65</v>
      </c>
    </row>
    <row r="424" spans="9:11" x14ac:dyDescent="0.25">
      <c r="I424">
        <v>738.89930285570767</v>
      </c>
      <c r="J424">
        <v>12.148565288079999</v>
      </c>
      <c r="K424">
        <v>0.65</v>
      </c>
    </row>
    <row r="425" spans="9:11" x14ac:dyDescent="0.25">
      <c r="I425">
        <v>738.34315900143156</v>
      </c>
      <c r="J425">
        <v>12.17013983419</v>
      </c>
      <c r="K425">
        <v>0.65</v>
      </c>
    </row>
    <row r="426" spans="9:11" x14ac:dyDescent="0.25">
      <c r="I426">
        <v>737.7870151471551</v>
      </c>
      <c r="J426">
        <v>12.191714380235</v>
      </c>
      <c r="K426">
        <v>0.65</v>
      </c>
    </row>
    <row r="427" spans="9:11" x14ac:dyDescent="0.25">
      <c r="I427">
        <v>737.23087129287887</v>
      </c>
      <c r="J427">
        <v>12.213288926345001</v>
      </c>
      <c r="K427">
        <v>0.65</v>
      </c>
    </row>
    <row r="428" spans="9:11" x14ac:dyDescent="0.25">
      <c r="I428">
        <v>736.67472743860242</v>
      </c>
      <c r="J428">
        <v>12.23486347239</v>
      </c>
      <c r="K428">
        <v>0.65</v>
      </c>
    </row>
    <row r="429" spans="9:11" x14ac:dyDescent="0.25">
      <c r="I429">
        <v>736.11858358432607</v>
      </c>
      <c r="J429">
        <v>12.256438018434999</v>
      </c>
      <c r="K429">
        <v>0.65</v>
      </c>
    </row>
    <row r="430" spans="9:11" x14ac:dyDescent="0.25">
      <c r="I430">
        <v>735.56243973004973</v>
      </c>
      <c r="J430">
        <v>12.278012564545</v>
      </c>
      <c r="K430">
        <v>0.65</v>
      </c>
    </row>
    <row r="431" spans="9:11" x14ac:dyDescent="0.25">
      <c r="I431">
        <v>735.00629587577328</v>
      </c>
      <c r="J431">
        <v>12.29958711059</v>
      </c>
      <c r="K431">
        <v>0.65</v>
      </c>
    </row>
    <row r="432" spans="9:11" x14ac:dyDescent="0.25">
      <c r="I432">
        <v>734.45015202149693</v>
      </c>
      <c r="J432">
        <v>12.321161656700001</v>
      </c>
      <c r="K432">
        <v>0.65</v>
      </c>
    </row>
    <row r="433" spans="9:11" x14ac:dyDescent="0.25">
      <c r="I433">
        <v>733.8940081672207</v>
      </c>
      <c r="J433">
        <v>12.342736202745</v>
      </c>
      <c r="K433">
        <v>0.65</v>
      </c>
    </row>
    <row r="434" spans="9:11" x14ac:dyDescent="0.25">
      <c r="I434">
        <v>733.33786431294425</v>
      </c>
      <c r="J434">
        <v>12.364310748789999</v>
      </c>
      <c r="K434">
        <v>0.65</v>
      </c>
    </row>
    <row r="435" spans="9:11" x14ac:dyDescent="0.25">
      <c r="I435">
        <v>732.78172045866791</v>
      </c>
      <c r="J435">
        <v>12.3858852949</v>
      </c>
      <c r="K435">
        <v>0.65</v>
      </c>
    </row>
    <row r="436" spans="9:11" x14ac:dyDescent="0.25">
      <c r="I436">
        <v>732.22557660439156</v>
      </c>
      <c r="J436">
        <v>12.407459840945</v>
      </c>
      <c r="K436">
        <v>0.65</v>
      </c>
    </row>
    <row r="437" spans="9:11" x14ac:dyDescent="0.25">
      <c r="I437">
        <v>731.66943275011522</v>
      </c>
      <c r="J437">
        <v>12.429034387055001</v>
      </c>
      <c r="K437">
        <v>0.65</v>
      </c>
    </row>
    <row r="438" spans="9:11" x14ac:dyDescent="0.25">
      <c r="I438">
        <v>731.11328889583876</v>
      </c>
      <c r="J438">
        <v>12.4506089331</v>
      </c>
      <c r="K438">
        <v>0.65</v>
      </c>
    </row>
    <row r="439" spans="9:11" x14ac:dyDescent="0.25">
      <c r="I439">
        <v>730.55714504156242</v>
      </c>
      <c r="J439">
        <v>12.472183479145</v>
      </c>
      <c r="K439">
        <v>0.65</v>
      </c>
    </row>
    <row r="440" spans="9:11" x14ac:dyDescent="0.25">
      <c r="I440">
        <v>730.00100118728608</v>
      </c>
      <c r="J440">
        <v>12.493758025255001</v>
      </c>
      <c r="K440">
        <v>0.65</v>
      </c>
    </row>
    <row r="441" spans="9:11" x14ac:dyDescent="0.25">
      <c r="I441">
        <v>729.44485733300996</v>
      </c>
      <c r="J441">
        <v>12.5153325713</v>
      </c>
      <c r="K441">
        <v>0.65</v>
      </c>
    </row>
    <row r="442" spans="9:11" x14ac:dyDescent="0.25">
      <c r="I442">
        <v>728.88871347873351</v>
      </c>
      <c r="J442">
        <v>12.536907117410001</v>
      </c>
      <c r="K442">
        <v>0.65</v>
      </c>
    </row>
    <row r="443" spans="9:11" x14ac:dyDescent="0.25">
      <c r="I443">
        <v>705.31173629112379</v>
      </c>
      <c r="J443">
        <v>14.189124024595001</v>
      </c>
      <c r="K443">
        <v>0.65</v>
      </c>
    </row>
    <row r="444" spans="9:11" x14ac:dyDescent="0.25">
      <c r="I444">
        <v>704.75559243684745</v>
      </c>
      <c r="J444">
        <v>14.21069857064</v>
      </c>
      <c r="K444">
        <v>0.65</v>
      </c>
    </row>
    <row r="445" spans="9:11" x14ac:dyDescent="0.25">
      <c r="I445">
        <v>704.19944858257099</v>
      </c>
      <c r="J445">
        <v>14.232273116685001</v>
      </c>
      <c r="K445">
        <v>0.65</v>
      </c>
    </row>
    <row r="446" spans="9:11" x14ac:dyDescent="0.25">
      <c r="I446">
        <v>703.64330472829465</v>
      </c>
      <c r="J446">
        <v>14.253847662795001</v>
      </c>
      <c r="K446">
        <v>0.65</v>
      </c>
    </row>
    <row r="447" spans="9:11" x14ac:dyDescent="0.25">
      <c r="I447">
        <v>703.08716087401831</v>
      </c>
      <c r="J447">
        <v>14.27542220884</v>
      </c>
      <c r="K447">
        <v>0.65</v>
      </c>
    </row>
    <row r="448" spans="9:11" x14ac:dyDescent="0.25">
      <c r="I448">
        <v>702.53101701974197</v>
      </c>
      <c r="J448">
        <v>14.296996754950001</v>
      </c>
      <c r="K448">
        <v>0.65</v>
      </c>
    </row>
    <row r="449" spans="9:11" x14ac:dyDescent="0.25">
      <c r="I449">
        <v>701.97487316546562</v>
      </c>
      <c r="J449">
        <v>14.318571300995002</v>
      </c>
      <c r="K449">
        <v>0.65</v>
      </c>
    </row>
    <row r="450" spans="9:11" x14ac:dyDescent="0.25">
      <c r="I450">
        <v>701.41872931118928</v>
      </c>
      <c r="J450">
        <v>14.340145847039999</v>
      </c>
      <c r="K450">
        <v>0.65</v>
      </c>
    </row>
    <row r="451" spans="9:11" x14ac:dyDescent="0.25">
      <c r="I451">
        <v>700.86258545691294</v>
      </c>
      <c r="J451">
        <v>14.36172039315</v>
      </c>
      <c r="K451">
        <v>0.65</v>
      </c>
    </row>
    <row r="452" spans="9:11" x14ac:dyDescent="0.25">
      <c r="I452">
        <v>700.3064416026366</v>
      </c>
      <c r="J452">
        <v>14.383294939195</v>
      </c>
      <c r="K452">
        <v>0.65</v>
      </c>
    </row>
    <row r="453" spans="9:11" x14ac:dyDescent="0.25">
      <c r="I453">
        <v>699.75029774836014</v>
      </c>
      <c r="J453">
        <v>14.404869485305001</v>
      </c>
      <c r="K453">
        <v>0.65</v>
      </c>
    </row>
    <row r="454" spans="9:11" x14ac:dyDescent="0.25">
      <c r="I454">
        <v>668.38730660088117</v>
      </c>
      <c r="J454">
        <v>16.167289759660001</v>
      </c>
      <c r="K454">
        <v>0.65</v>
      </c>
    </row>
    <row r="455" spans="9:11" x14ac:dyDescent="0.25">
      <c r="I455">
        <v>660.04514878673604</v>
      </c>
      <c r="J455">
        <v>16.490907950725003</v>
      </c>
      <c r="K455">
        <v>0.65</v>
      </c>
    </row>
    <row r="456" spans="9:11" x14ac:dyDescent="0.25">
      <c r="I456">
        <v>628.68215763925718</v>
      </c>
      <c r="J456">
        <v>18.06148794736</v>
      </c>
      <c r="K456">
        <v>0.65</v>
      </c>
    </row>
    <row r="457" spans="9:11" x14ac:dyDescent="0.25">
      <c r="I457">
        <v>620.33999982511205</v>
      </c>
      <c r="J457">
        <v>18.385106138424998</v>
      </c>
      <c r="K457">
        <v>0.65</v>
      </c>
    </row>
    <row r="458" spans="9:11" x14ac:dyDescent="0.25">
      <c r="I458">
        <v>588.97700867763308</v>
      </c>
      <c r="J458">
        <v>19.763845857275001</v>
      </c>
      <c r="K458">
        <v>0.65</v>
      </c>
    </row>
    <row r="459" spans="9:11" x14ac:dyDescent="0.25">
      <c r="I459">
        <v>580.63485086348794</v>
      </c>
      <c r="J459">
        <v>20.087464048339999</v>
      </c>
      <c r="K459">
        <v>0.65</v>
      </c>
    </row>
    <row r="460" spans="9:11" x14ac:dyDescent="0.25">
      <c r="I460">
        <v>549.2718597160092</v>
      </c>
      <c r="J460">
        <v>21.274363489405001</v>
      </c>
      <c r="K460">
        <v>0.65</v>
      </c>
    </row>
    <row r="461" spans="9:11" x14ac:dyDescent="0.25">
      <c r="I461">
        <v>540.92970190186395</v>
      </c>
      <c r="J461">
        <v>21.597981680470003</v>
      </c>
      <c r="K461">
        <v>0.65</v>
      </c>
    </row>
    <row r="462" spans="9:11" x14ac:dyDescent="0.25">
      <c r="I462">
        <v>532.58754408771858</v>
      </c>
      <c r="J462">
        <v>21.921599871535001</v>
      </c>
      <c r="K462">
        <v>0.65</v>
      </c>
    </row>
    <row r="463" spans="9:11" x14ac:dyDescent="0.25">
      <c r="I463">
        <v>501.22455294024002</v>
      </c>
      <c r="J463">
        <v>22.916659034815002</v>
      </c>
      <c r="K463">
        <v>0.65</v>
      </c>
    </row>
    <row r="464" spans="9:11" x14ac:dyDescent="0.25">
      <c r="I464">
        <v>492.88239512609459</v>
      </c>
      <c r="J464">
        <v>23.240277225880003</v>
      </c>
      <c r="K464">
        <v>0.65</v>
      </c>
    </row>
    <row r="465" spans="9:11" x14ac:dyDescent="0.25">
      <c r="I465">
        <v>461.51940397861591</v>
      </c>
      <c r="J465">
        <v>24.043496111440003</v>
      </c>
      <c r="K465">
        <v>0.65</v>
      </c>
    </row>
    <row r="466" spans="9:11" x14ac:dyDescent="0.25">
      <c r="I466">
        <v>453.1772461644706</v>
      </c>
      <c r="J466">
        <v>24.367114302505001</v>
      </c>
      <c r="K466">
        <v>0.65</v>
      </c>
    </row>
    <row r="467" spans="9:11" x14ac:dyDescent="0.25">
      <c r="I467">
        <v>444.83508835032535</v>
      </c>
      <c r="J467">
        <v>24.690732493570003</v>
      </c>
      <c r="K467">
        <v>0.65</v>
      </c>
    </row>
    <row r="468" spans="9:11" x14ac:dyDescent="0.25">
      <c r="I468">
        <v>436.49293053618015</v>
      </c>
      <c r="J468">
        <v>25.014350684635001</v>
      </c>
      <c r="K468">
        <v>0.65</v>
      </c>
    </row>
    <row r="469" spans="9:11" x14ac:dyDescent="0.25">
      <c r="I469">
        <v>405.12993938870142</v>
      </c>
      <c r="J469">
        <v>25.625729292345</v>
      </c>
      <c r="K469">
        <v>0.65</v>
      </c>
    </row>
    <row r="470" spans="9:11" x14ac:dyDescent="0.25">
      <c r="I470">
        <v>396.78778157455622</v>
      </c>
      <c r="J470">
        <v>25.949347483410001</v>
      </c>
      <c r="K470">
        <v>0.65</v>
      </c>
    </row>
    <row r="471" spans="9:11" x14ac:dyDescent="0.25">
      <c r="I471">
        <v>388.4456237604108</v>
      </c>
      <c r="J471">
        <v>26.272965674475</v>
      </c>
      <c r="K471">
        <v>0.65</v>
      </c>
    </row>
    <row r="472" spans="9:11" x14ac:dyDescent="0.25">
      <c r="I472">
        <v>357.08263261293217</v>
      </c>
      <c r="J472">
        <v>26.692504004400003</v>
      </c>
      <c r="K472">
        <v>0.65</v>
      </c>
    </row>
    <row r="473" spans="9:11" x14ac:dyDescent="0.25">
      <c r="I473">
        <v>348.74047479878681</v>
      </c>
      <c r="J473">
        <v>27.016122195465002</v>
      </c>
      <c r="K473">
        <v>0.65</v>
      </c>
    </row>
    <row r="474" spans="9:11" x14ac:dyDescent="0.25">
      <c r="I474">
        <v>340.39831698464161</v>
      </c>
      <c r="J474">
        <v>27.339740386530003</v>
      </c>
      <c r="K474">
        <v>0.65</v>
      </c>
    </row>
    <row r="475" spans="9:11" x14ac:dyDescent="0.25">
      <c r="I475">
        <v>332.05615917049647</v>
      </c>
      <c r="J475">
        <v>27.663358577595005</v>
      </c>
      <c r="K475">
        <v>0.65</v>
      </c>
    </row>
    <row r="476" spans="9:11" x14ac:dyDescent="0.25">
      <c r="I476">
        <v>323.7140013563511</v>
      </c>
      <c r="J476">
        <v>27.986976768659996</v>
      </c>
      <c r="K476">
        <v>0.65</v>
      </c>
    </row>
    <row r="477" spans="9:11" x14ac:dyDescent="0.25">
      <c r="I477">
        <v>292.35101020887237</v>
      </c>
      <c r="J477">
        <v>28.214674820865003</v>
      </c>
      <c r="K477">
        <v>0.65</v>
      </c>
    </row>
    <row r="478" spans="9:11" x14ac:dyDescent="0.25">
      <c r="I478">
        <v>284.00885239472717</v>
      </c>
      <c r="J478">
        <v>28.538293011930005</v>
      </c>
      <c r="K478">
        <v>0.65</v>
      </c>
    </row>
    <row r="479" spans="9:11" x14ac:dyDescent="0.25">
      <c r="I479">
        <v>275.66669458058192</v>
      </c>
      <c r="J479">
        <v>28.861911202994996</v>
      </c>
      <c r="K479">
        <v>0.65</v>
      </c>
    </row>
    <row r="480" spans="9:11" x14ac:dyDescent="0.25">
      <c r="I480">
        <v>270.08122792038051</v>
      </c>
      <c r="J480">
        <v>29.486494998179122</v>
      </c>
      <c r="K480">
        <v>0.65670289855071962</v>
      </c>
    </row>
    <row r="481" spans="9:11" x14ac:dyDescent="0.25">
      <c r="I481">
        <v>267.7475144648613</v>
      </c>
      <c r="J481">
        <v>29.915519508754659</v>
      </c>
      <c r="K481">
        <v>0.66413043478260358</v>
      </c>
    </row>
    <row r="482" spans="9:11" x14ac:dyDescent="0.25">
      <c r="I482">
        <v>242.40053309814493</v>
      </c>
      <c r="J482">
        <v>29.982506049446705</v>
      </c>
      <c r="K482">
        <v>0.67155797101448755</v>
      </c>
    </row>
    <row r="483" spans="9:11" x14ac:dyDescent="0.25">
      <c r="I483">
        <v>240.47403381642792</v>
      </c>
      <c r="J483">
        <v>30.344166086432011</v>
      </c>
      <c r="K483">
        <v>0.67898550724637152</v>
      </c>
    </row>
    <row r="484" spans="9:11" x14ac:dyDescent="0.25">
      <c r="I484">
        <v>238.44673038782614</v>
      </c>
      <c r="J484">
        <v>30.7064835416991</v>
      </c>
      <c r="K484">
        <v>0.68641304347825538</v>
      </c>
    </row>
    <row r="485" spans="9:11" x14ac:dyDescent="0.25">
      <c r="I485">
        <v>236.31862281233964</v>
      </c>
      <c r="J485">
        <v>31.069458415315157</v>
      </c>
      <c r="K485">
        <v>0.69384057971013957</v>
      </c>
    </row>
    <row r="486" spans="9:11" x14ac:dyDescent="0.25">
      <c r="I486">
        <v>234.08971108996835</v>
      </c>
      <c r="J486">
        <v>31.433090707280147</v>
      </c>
      <c r="K486">
        <v>0.70126811594202343</v>
      </c>
    </row>
    <row r="487" spans="9:11" x14ac:dyDescent="0.25">
      <c r="I487">
        <v>231.75999522071234</v>
      </c>
      <c r="J487">
        <v>31.797380417594095</v>
      </c>
      <c r="K487">
        <v>0.7086956521739074</v>
      </c>
    </row>
    <row r="488" spans="9:11" x14ac:dyDescent="0.25">
      <c r="I488">
        <v>229.32947520457157</v>
      </c>
      <c r="J488">
        <v>32.162327546328605</v>
      </c>
      <c r="K488">
        <v>0.71612318840579148</v>
      </c>
    </row>
    <row r="489" spans="9:11" x14ac:dyDescent="0.25">
      <c r="I489">
        <v>201.17239621062814</v>
      </c>
      <c r="J489">
        <v>31.994062201046482</v>
      </c>
      <c r="K489">
        <v>0.72355072463767534</v>
      </c>
    </row>
    <row r="490" spans="9:11" x14ac:dyDescent="0.25">
      <c r="I490">
        <v>198.27720932583867</v>
      </c>
      <c r="J490">
        <v>32.354843779431533</v>
      </c>
      <c r="K490">
        <v>0.7309782608695593</v>
      </c>
    </row>
    <row r="491" spans="9:11" x14ac:dyDescent="0.25">
      <c r="I491">
        <v>195.28121829416438</v>
      </c>
      <c r="J491">
        <v>32.716282776165528</v>
      </c>
      <c r="K491">
        <v>0.73840579710144327</v>
      </c>
    </row>
    <row r="492" spans="9:11" x14ac:dyDescent="0.25">
      <c r="I492">
        <v>192.18442311560545</v>
      </c>
      <c r="J492">
        <v>33.078379191248487</v>
      </c>
      <c r="K492">
        <v>0.74583333333332735</v>
      </c>
    </row>
    <row r="493" spans="9:11" x14ac:dyDescent="0.25">
      <c r="I493">
        <v>188.98682379016171</v>
      </c>
      <c r="J493">
        <v>33.441133024680383</v>
      </c>
      <c r="K493">
        <v>0.75326086956521132</v>
      </c>
    </row>
    <row r="494" spans="9:11" x14ac:dyDescent="0.25">
      <c r="I494">
        <v>185.68842031783325</v>
      </c>
      <c r="J494">
        <v>33.804544276537293</v>
      </c>
      <c r="K494">
        <v>0.76068840579709518</v>
      </c>
    </row>
    <row r="495" spans="9:11" x14ac:dyDescent="0.25">
      <c r="I495">
        <v>182.28921269861999</v>
      </c>
      <c r="J495">
        <v>34.168612946667835</v>
      </c>
      <c r="K495">
        <v>0.76811594202897926</v>
      </c>
    </row>
    <row r="496" spans="9:11" x14ac:dyDescent="0.25">
      <c r="I496">
        <v>178.78920093252208</v>
      </c>
      <c r="J496">
        <v>34.533339035147328</v>
      </c>
      <c r="K496">
        <v>0.77554347826086323</v>
      </c>
    </row>
    <row r="497" spans="9:11" x14ac:dyDescent="0.25">
      <c r="I497">
        <v>147.4581615895876</v>
      </c>
      <c r="J497">
        <v>34.089924358610872</v>
      </c>
      <c r="K497">
        <v>0.78297101449274709</v>
      </c>
    </row>
    <row r="498" spans="9:11" x14ac:dyDescent="0.25">
      <c r="I498">
        <v>143.49348295484089</v>
      </c>
      <c r="J498">
        <v>34.448292742021039</v>
      </c>
      <c r="K498">
        <v>0.79039855072463117</v>
      </c>
    </row>
    <row r="499" spans="9:11" x14ac:dyDescent="0.25">
      <c r="I499">
        <v>139.42800017320945</v>
      </c>
      <c r="J499">
        <v>34.807318543780148</v>
      </c>
      <c r="K499">
        <v>0.79782608695651513</v>
      </c>
    </row>
    <row r="500" spans="9:11" x14ac:dyDescent="0.25">
      <c r="I500">
        <v>135.26171324469323</v>
      </c>
      <c r="J500">
        <v>35.167001763968727</v>
      </c>
      <c r="K500">
        <v>0.8052536231883991</v>
      </c>
    </row>
    <row r="501" spans="9:11" x14ac:dyDescent="0.25">
      <c r="I501">
        <v>130.99462216929231</v>
      </c>
      <c r="J501">
        <v>35.527342402426477</v>
      </c>
      <c r="K501">
        <v>0.81268115942028296</v>
      </c>
    </row>
    <row r="502" spans="9:11" x14ac:dyDescent="0.25">
      <c r="I502">
        <v>126.62672694700656</v>
      </c>
      <c r="J502">
        <v>35.88834045923317</v>
      </c>
      <c r="K502">
        <v>0.82010869565216704</v>
      </c>
    </row>
    <row r="503" spans="9:11" x14ac:dyDescent="0.25">
      <c r="I503">
        <v>122.15802757783617</v>
      </c>
      <c r="J503">
        <v>36.249995934388814</v>
      </c>
      <c r="K503">
        <v>0.8275362318840509</v>
      </c>
    </row>
    <row r="504" spans="9:11" x14ac:dyDescent="0.25">
      <c r="I504">
        <v>117.95804127783677</v>
      </c>
      <c r="J504">
        <v>36.603070897558766</v>
      </c>
      <c r="K504">
        <v>0.83496376811593498</v>
      </c>
    </row>
    <row r="505" spans="9:11" x14ac:dyDescent="0.25">
      <c r="I505">
        <v>116.89479568209593</v>
      </c>
      <c r="J505">
        <v>36.875864657738816</v>
      </c>
      <c r="K505">
        <v>0.84239130434781884</v>
      </c>
    </row>
    <row r="506" spans="9:11" x14ac:dyDescent="0.25">
      <c r="I506">
        <v>115.66893258004778</v>
      </c>
      <c r="J506">
        <v>37.138324790251467</v>
      </c>
      <c r="K506">
        <v>0.84981884057970281</v>
      </c>
    </row>
    <row r="507" spans="9:11" x14ac:dyDescent="0.25">
      <c r="I507">
        <v>83.536977209902787</v>
      </c>
      <c r="J507">
        <v>36.223221032199476</v>
      </c>
      <c r="K507">
        <v>0.857246376811587</v>
      </c>
    </row>
    <row r="508" spans="9:11" x14ac:dyDescent="0.25">
      <c r="I508">
        <v>81.454561764677692</v>
      </c>
      <c r="J508">
        <v>36.435029806194194</v>
      </c>
      <c r="K508">
        <v>0.86467391304347085</v>
      </c>
    </row>
    <row r="509" spans="9:11" x14ac:dyDescent="0.25">
      <c r="I509">
        <v>79.32393564050777</v>
      </c>
      <c r="J509">
        <v>36.645085464590728</v>
      </c>
      <c r="K509">
        <v>0.87210144927535471</v>
      </c>
    </row>
    <row r="510" spans="9:11" x14ac:dyDescent="0.25">
      <c r="I510">
        <v>77.145098837392879</v>
      </c>
      <c r="J510">
        <v>36.853388007477037</v>
      </c>
      <c r="K510">
        <v>0.87952898550723879</v>
      </c>
    </row>
    <row r="511" spans="9:11" x14ac:dyDescent="0.25">
      <c r="I511">
        <v>74.918051355333262</v>
      </c>
      <c r="J511">
        <v>37.059937434677941</v>
      </c>
      <c r="K511">
        <v>0.88695652173912276</v>
      </c>
    </row>
    <row r="512" spans="9:11" x14ac:dyDescent="0.25">
      <c r="I512">
        <v>72.642793194328604</v>
      </c>
      <c r="J512">
        <v>37.264733746280662</v>
      </c>
      <c r="K512">
        <v>0.89438405797100684</v>
      </c>
    </row>
    <row r="513" spans="9:11" x14ac:dyDescent="0.25">
      <c r="I513">
        <v>70.17806416081936</v>
      </c>
      <c r="J513">
        <v>37.392510214799998</v>
      </c>
      <c r="K513">
        <v>0.9</v>
      </c>
    </row>
    <row r="514" spans="9:11" x14ac:dyDescent="0.25">
      <c r="I514">
        <v>67.257202538890439</v>
      </c>
      <c r="J514">
        <v>37.286297064899998</v>
      </c>
      <c r="K514">
        <v>0.9</v>
      </c>
    </row>
    <row r="515" spans="9:11" x14ac:dyDescent="0.25">
      <c r="I515">
        <v>64.336340916961689</v>
      </c>
      <c r="J515">
        <v>37.180083914999997</v>
      </c>
      <c r="K515">
        <v>0.9</v>
      </c>
    </row>
    <row r="516" spans="9:11" x14ac:dyDescent="0.25">
      <c r="I516">
        <v>61.415479295032917</v>
      </c>
      <c r="J516">
        <v>37.073870765099997</v>
      </c>
      <c r="K516">
        <v>0.9</v>
      </c>
    </row>
    <row r="517" spans="9:11" x14ac:dyDescent="0.25">
      <c r="I517">
        <v>58.494617673103996</v>
      </c>
      <c r="J517">
        <v>36.967657615290001</v>
      </c>
      <c r="K517">
        <v>0.9</v>
      </c>
    </row>
    <row r="518" spans="9:11" x14ac:dyDescent="0.25">
      <c r="I518">
        <v>55.573756051175174</v>
      </c>
      <c r="J518">
        <v>36.861444465390001</v>
      </c>
      <c r="K518">
        <v>0.9</v>
      </c>
    </row>
    <row r="519" spans="9:11" x14ac:dyDescent="0.25">
      <c r="I519">
        <v>52.652894429246246</v>
      </c>
      <c r="J519">
        <v>36.755231315490001</v>
      </c>
      <c r="K519">
        <v>0.9</v>
      </c>
    </row>
    <row r="520" spans="9:11" x14ac:dyDescent="0.25">
      <c r="I520">
        <v>49.732032807317403</v>
      </c>
      <c r="J520">
        <v>36.64901816559</v>
      </c>
      <c r="K520">
        <v>0.9</v>
      </c>
    </row>
    <row r="521" spans="9:11" x14ac:dyDescent="0.25">
      <c r="I521">
        <v>14.93617118538833</v>
      </c>
      <c r="J521">
        <v>35.081867515680003</v>
      </c>
      <c r="K521">
        <v>0.9</v>
      </c>
    </row>
    <row r="522" spans="9:11" x14ac:dyDescent="0.25">
      <c r="I522">
        <v>12.015309563459509</v>
      </c>
      <c r="J522">
        <v>34.975654365780002</v>
      </c>
      <c r="K522">
        <v>0.9</v>
      </c>
    </row>
    <row r="523" spans="9:11" x14ac:dyDescent="0.25">
      <c r="I523">
        <v>9.0944479415306088</v>
      </c>
      <c r="J523">
        <v>34.869441215880002</v>
      </c>
      <c r="K523">
        <v>0.9</v>
      </c>
    </row>
    <row r="524" spans="9:11" x14ac:dyDescent="0.25">
      <c r="I524">
        <v>6.1735863196018386</v>
      </c>
      <c r="J524">
        <v>34.763228066069999</v>
      </c>
      <c r="K524">
        <v>0.9</v>
      </c>
    </row>
    <row r="525" spans="9:11" x14ac:dyDescent="0.25">
      <c r="I525">
        <v>3.25272469767294</v>
      </c>
      <c r="J525">
        <v>34.657014916169999</v>
      </c>
      <c r="K525">
        <v>0.9</v>
      </c>
    </row>
    <row r="526" spans="9:11" x14ac:dyDescent="0.25">
      <c r="I526">
        <v>0.33186307574419516</v>
      </c>
      <c r="J526">
        <v>34.550801766269998</v>
      </c>
      <c r="K526">
        <v>0.9</v>
      </c>
    </row>
    <row r="527" spans="9:11" x14ac:dyDescent="0.25">
      <c r="I527">
        <v>-2.5889985461846776</v>
      </c>
      <c r="J527">
        <v>34.444588616369998</v>
      </c>
      <c r="K527">
        <v>0.9</v>
      </c>
    </row>
    <row r="528" spans="9:11" x14ac:dyDescent="0.25">
      <c r="I528">
        <v>-5.5098601681135762</v>
      </c>
      <c r="J528">
        <v>34.338375466469998</v>
      </c>
      <c r="K528">
        <v>0.9</v>
      </c>
    </row>
    <row r="529" spans="9:11" x14ac:dyDescent="0.25">
      <c r="I529">
        <v>-8.4307217900423979</v>
      </c>
      <c r="J529">
        <v>34.232162316570005</v>
      </c>
      <c r="K529">
        <v>0.9</v>
      </c>
    </row>
    <row r="530" spans="9:11" x14ac:dyDescent="0.25">
      <c r="I530">
        <v>-11.351583411971246</v>
      </c>
      <c r="J530">
        <v>34.125949166670004</v>
      </c>
      <c r="K530">
        <v>0.9</v>
      </c>
    </row>
    <row r="531" spans="9:11" x14ac:dyDescent="0.25">
      <c r="I531">
        <v>-14.272445033900041</v>
      </c>
      <c r="J531">
        <v>34.019736016769997</v>
      </c>
      <c r="K531">
        <v>0.9</v>
      </c>
    </row>
    <row r="532" spans="9:11" x14ac:dyDescent="0.25">
      <c r="I532">
        <v>-17.193306655828941</v>
      </c>
      <c r="J532">
        <v>33.913522866959994</v>
      </c>
      <c r="K532">
        <v>0.9</v>
      </c>
    </row>
    <row r="533" spans="9:11" x14ac:dyDescent="0.25">
      <c r="I533">
        <v>-20.114168277757738</v>
      </c>
      <c r="J533">
        <v>33.807309717060001</v>
      </c>
      <c r="K533">
        <v>0.9</v>
      </c>
    </row>
    <row r="534" spans="9:11" x14ac:dyDescent="0.25">
      <c r="I534">
        <v>-23.035029899686531</v>
      </c>
      <c r="J534">
        <v>33.70109656716</v>
      </c>
      <c r="K534">
        <v>0.9</v>
      </c>
    </row>
    <row r="535" spans="9:11" x14ac:dyDescent="0.25">
      <c r="I535">
        <v>-25.955891521615353</v>
      </c>
      <c r="J535">
        <v>33.59488341726</v>
      </c>
      <c r="K535">
        <v>0.9</v>
      </c>
    </row>
    <row r="536" spans="9:11" x14ac:dyDescent="0.25">
      <c r="I536">
        <v>-28.876753143544331</v>
      </c>
      <c r="J536">
        <v>33.48867026736</v>
      </c>
      <c r="K536">
        <v>0.9</v>
      </c>
    </row>
    <row r="537" spans="9:11" x14ac:dyDescent="0.25">
      <c r="I537">
        <v>-31.797614765473099</v>
      </c>
      <c r="J537">
        <v>33.38245711746</v>
      </c>
      <c r="K537">
        <v>0.9</v>
      </c>
    </row>
    <row r="538" spans="9:11" x14ac:dyDescent="0.25">
      <c r="I538">
        <v>-34.71847638740195</v>
      </c>
      <c r="J538">
        <v>33.276243967560006</v>
      </c>
      <c r="K538">
        <v>0.9</v>
      </c>
    </row>
    <row r="539" spans="9:11" x14ac:dyDescent="0.25">
      <c r="I539">
        <v>-37.639338009330793</v>
      </c>
      <c r="J539">
        <v>33.170030817750003</v>
      </c>
      <c r="K539">
        <v>0.9</v>
      </c>
    </row>
    <row r="540" spans="9:11" x14ac:dyDescent="0.25">
      <c r="I540">
        <v>-40.560199631259565</v>
      </c>
      <c r="J540">
        <v>33.063817667849996</v>
      </c>
      <c r="K540">
        <v>0.9</v>
      </c>
    </row>
    <row r="541" spans="9:11" x14ac:dyDescent="0.25">
      <c r="I541">
        <v>-75.356061253188784</v>
      </c>
      <c r="J541">
        <v>31.231042017929997</v>
      </c>
      <c r="K541">
        <v>0.9</v>
      </c>
    </row>
    <row r="542" spans="9:11" x14ac:dyDescent="0.25">
      <c r="I542">
        <v>-78.276922875117606</v>
      </c>
      <c r="J542">
        <v>31.124828868030001</v>
      </c>
      <c r="K542">
        <v>0.9</v>
      </c>
    </row>
    <row r="543" spans="9:11" x14ac:dyDescent="0.25">
      <c r="I543">
        <v>-81.197784497046385</v>
      </c>
      <c r="J543">
        <v>31.01861571813</v>
      </c>
      <c r="K543">
        <v>0.9</v>
      </c>
    </row>
    <row r="544" spans="9:11" x14ac:dyDescent="0.25">
      <c r="I544">
        <v>-84.118646118975207</v>
      </c>
      <c r="J544">
        <v>30.912402568230004</v>
      </c>
      <c r="K544">
        <v>0.9</v>
      </c>
    </row>
    <row r="545" spans="9:11" x14ac:dyDescent="0.25">
      <c r="I545">
        <v>-87.039507740903971</v>
      </c>
      <c r="J545">
        <v>30.806189418420004</v>
      </c>
      <c r="K545">
        <v>0.9</v>
      </c>
    </row>
    <row r="546" spans="9:11" x14ac:dyDescent="0.25">
      <c r="I546">
        <v>-89.960369362832949</v>
      </c>
      <c r="J546">
        <v>30.69997626852</v>
      </c>
      <c r="K546">
        <v>0.9</v>
      </c>
    </row>
    <row r="547" spans="9:11" x14ac:dyDescent="0.25">
      <c r="I547">
        <v>-92.881230984761771</v>
      </c>
      <c r="J547">
        <v>30.59376311862</v>
      </c>
      <c r="K547">
        <v>0.9</v>
      </c>
    </row>
    <row r="548" spans="9:11" x14ac:dyDescent="0.25">
      <c r="I548">
        <v>-95.802092606690593</v>
      </c>
      <c r="J548">
        <v>30.48754996872</v>
      </c>
      <c r="K548">
        <v>0.9</v>
      </c>
    </row>
    <row r="549" spans="9:11" x14ac:dyDescent="0.25">
      <c r="I549">
        <v>-98.722954228619358</v>
      </c>
      <c r="J549">
        <v>30.381336818819999</v>
      </c>
      <c r="K549">
        <v>0.9</v>
      </c>
    </row>
    <row r="550" spans="9:11" x14ac:dyDescent="0.25">
      <c r="I550">
        <v>-101.64381585054834</v>
      </c>
      <c r="J550">
        <v>30.275123668919999</v>
      </c>
      <c r="K550">
        <v>0.9</v>
      </c>
    </row>
    <row r="551" spans="9:11" x14ac:dyDescent="0.25">
      <c r="I551">
        <v>-104.56467747247721</v>
      </c>
      <c r="J551">
        <v>30.168910519020002</v>
      </c>
      <c r="K551">
        <v>0.9</v>
      </c>
    </row>
    <row r="552" spans="9:11" x14ac:dyDescent="0.25">
      <c r="I552">
        <v>-107.48553909440598</v>
      </c>
      <c r="J552">
        <v>30.062697369120002</v>
      </c>
      <c r="K552">
        <v>0.9</v>
      </c>
    </row>
    <row r="553" spans="9:11" x14ac:dyDescent="0.25">
      <c r="I553">
        <v>-110.40640071633486</v>
      </c>
      <c r="J553">
        <v>29.956484219309999</v>
      </c>
      <c r="K553">
        <v>0.9</v>
      </c>
    </row>
    <row r="554" spans="9:11" x14ac:dyDescent="0.25">
      <c r="I554">
        <v>-133.38384547550831</v>
      </c>
      <c r="J554">
        <v>29.120940773460003</v>
      </c>
      <c r="K554">
        <v>0.9</v>
      </c>
    </row>
    <row r="555" spans="9:11" x14ac:dyDescent="0.25">
      <c r="I555">
        <v>-138.90692926970476</v>
      </c>
      <c r="J555">
        <v>28.721756351789999</v>
      </c>
      <c r="K555">
        <v>0.9</v>
      </c>
    </row>
    <row r="556" spans="9:11" x14ac:dyDescent="0.25">
      <c r="I556">
        <v>-176.00407580588083</v>
      </c>
      <c r="J556">
        <v>26.337907861560002</v>
      </c>
      <c r="K556">
        <v>0.9</v>
      </c>
    </row>
    <row r="557" spans="9:11" x14ac:dyDescent="0.25">
      <c r="I557">
        <v>-181.2262223420567</v>
      </c>
      <c r="J557">
        <v>25.94624687136</v>
      </c>
      <c r="K557">
        <v>0.9</v>
      </c>
    </row>
    <row r="558" spans="9:11" x14ac:dyDescent="0.25">
      <c r="I558">
        <v>-186.44836887823249</v>
      </c>
      <c r="J558">
        <v>25.554585881160001</v>
      </c>
      <c r="K558">
        <v>0.9</v>
      </c>
    </row>
    <row r="559" spans="9:11" x14ac:dyDescent="0.25">
      <c r="I559">
        <v>-191.67051541440836</v>
      </c>
      <c r="J559">
        <v>25.162924890960003</v>
      </c>
      <c r="K559">
        <v>0.9</v>
      </c>
    </row>
    <row r="560" spans="9:11" x14ac:dyDescent="0.25">
      <c r="I560">
        <v>-196.89266195058411</v>
      </c>
      <c r="J560">
        <v>24.771263900760001</v>
      </c>
      <c r="K560">
        <v>0.9</v>
      </c>
    </row>
    <row r="561" spans="9:11" x14ac:dyDescent="0.25">
      <c r="I561">
        <v>-202.11480848676001</v>
      </c>
      <c r="J561">
        <v>24.379602910559996</v>
      </c>
      <c r="K561">
        <v>0.9</v>
      </c>
    </row>
    <row r="562" spans="9:11" x14ac:dyDescent="0.25">
      <c r="I562">
        <v>-239.21195502293574</v>
      </c>
      <c r="J562">
        <v>21.730129420320004</v>
      </c>
      <c r="K562">
        <v>0.9</v>
      </c>
    </row>
    <row r="563" spans="9:11" x14ac:dyDescent="0.25">
      <c r="I563">
        <v>-244.43410155911153</v>
      </c>
      <c r="J563">
        <v>21.338468430120002</v>
      </c>
      <c r="K563">
        <v>0.9</v>
      </c>
    </row>
    <row r="564" spans="9:11" x14ac:dyDescent="0.25">
      <c r="I564">
        <v>-249.65624809528728</v>
      </c>
      <c r="J564">
        <v>20.946807439919997</v>
      </c>
      <c r="K564">
        <v>0.9</v>
      </c>
    </row>
    <row r="565" spans="9:11" x14ac:dyDescent="0.25">
      <c r="I565">
        <v>-254.87839463146315</v>
      </c>
      <c r="J565">
        <v>20.555146449719999</v>
      </c>
      <c r="K565">
        <v>0.9</v>
      </c>
    </row>
    <row r="566" spans="9:11" x14ac:dyDescent="0.25">
      <c r="I566">
        <v>-260.10054116763894</v>
      </c>
      <c r="J566">
        <v>20.163485459429999</v>
      </c>
      <c r="K566">
        <v>0.9</v>
      </c>
    </row>
    <row r="567" spans="9:11" x14ac:dyDescent="0.25">
      <c r="I567">
        <v>-265.32268770381484</v>
      </c>
      <c r="J567">
        <v>19.771824469230001</v>
      </c>
      <c r="K567">
        <v>0.9</v>
      </c>
    </row>
    <row r="568" spans="9:11" x14ac:dyDescent="0.25">
      <c r="I568">
        <v>-270.54483423999068</v>
      </c>
      <c r="J568">
        <v>19.380163479029999</v>
      </c>
      <c r="K568">
        <v>0.9</v>
      </c>
    </row>
    <row r="569" spans="9:11" x14ac:dyDescent="0.25">
      <c r="I569">
        <v>-275.76698077616635</v>
      </c>
      <c r="J569">
        <v>18.988502488830001</v>
      </c>
      <c r="K569">
        <v>0.9</v>
      </c>
    </row>
    <row r="570" spans="9:11" x14ac:dyDescent="0.25">
      <c r="I570">
        <v>-280.98912731234225</v>
      </c>
      <c r="J570">
        <v>18.596841498630003</v>
      </c>
      <c r="K570">
        <v>0.9</v>
      </c>
    </row>
    <row r="571" spans="9:11" x14ac:dyDescent="0.25">
      <c r="I571">
        <v>-286.21127384851809</v>
      </c>
      <c r="J571">
        <v>18.205180508430001</v>
      </c>
      <c r="K571">
        <v>0.9</v>
      </c>
    </row>
    <row r="572" spans="9:11" x14ac:dyDescent="0.25">
      <c r="I572">
        <v>-291.43342038469387</v>
      </c>
      <c r="J572">
        <v>17.813519518229999</v>
      </c>
      <c r="K572">
        <v>0.9</v>
      </c>
    </row>
    <row r="573" spans="9:11" x14ac:dyDescent="0.25">
      <c r="I573">
        <v>-296.65556692086955</v>
      </c>
      <c r="J573">
        <v>17.42185852794</v>
      </c>
      <c r="K573">
        <v>0.9</v>
      </c>
    </row>
    <row r="574" spans="9:11" x14ac:dyDescent="0.25">
      <c r="I574">
        <v>-333.75271345704539</v>
      </c>
      <c r="J574">
        <v>14.506760037779999</v>
      </c>
      <c r="K574">
        <v>0.9</v>
      </c>
    </row>
    <row r="575" spans="9:11" x14ac:dyDescent="0.25">
      <c r="I575">
        <v>-338.97485999322129</v>
      </c>
      <c r="J575">
        <v>14.115099047579999</v>
      </c>
      <c r="K575">
        <v>0.9</v>
      </c>
    </row>
    <row r="576" spans="9:11" x14ac:dyDescent="0.25">
      <c r="I576">
        <v>-344.19700652939713</v>
      </c>
      <c r="J576">
        <v>13.723438057380001</v>
      </c>
      <c r="K576">
        <v>0.9</v>
      </c>
    </row>
    <row r="577" spans="9:11" x14ac:dyDescent="0.25">
      <c r="I577">
        <v>-349.41915306557303</v>
      </c>
      <c r="J577">
        <v>13.33177706709</v>
      </c>
      <c r="K577">
        <v>0.9</v>
      </c>
    </row>
    <row r="578" spans="9:11" x14ac:dyDescent="0.25">
      <c r="I578">
        <v>-354.64129960174881</v>
      </c>
      <c r="J578">
        <v>12.940116076890002</v>
      </c>
      <c r="K578">
        <v>0.9</v>
      </c>
    </row>
    <row r="579" spans="9:11" x14ac:dyDescent="0.25">
      <c r="I579">
        <v>-359.86344613792465</v>
      </c>
      <c r="J579">
        <v>12.548455086690002</v>
      </c>
      <c r="K579">
        <v>0.9</v>
      </c>
    </row>
    <row r="580" spans="9:11" x14ac:dyDescent="0.25">
      <c r="I580">
        <v>-365.08559267410033</v>
      </c>
      <c r="J580">
        <v>12.15679409649</v>
      </c>
      <c r="K580">
        <v>0.9</v>
      </c>
    </row>
    <row r="581" spans="9:11" x14ac:dyDescent="0.25">
      <c r="I581">
        <v>-370.30773921027622</v>
      </c>
      <c r="J581">
        <v>11.76513310629</v>
      </c>
      <c r="K581">
        <v>0.9</v>
      </c>
    </row>
    <row r="582" spans="9:11" x14ac:dyDescent="0.25">
      <c r="I582">
        <v>-375.52988574645201</v>
      </c>
      <c r="J582">
        <v>11.373472116090001</v>
      </c>
      <c r="K582">
        <v>0.9</v>
      </c>
    </row>
    <row r="583" spans="9:11" x14ac:dyDescent="0.25">
      <c r="I583">
        <v>-380.75203228262768</v>
      </c>
      <c r="J583">
        <v>10.981811125889999</v>
      </c>
      <c r="K583">
        <v>0.9</v>
      </c>
    </row>
    <row r="584" spans="9:11" x14ac:dyDescent="0.25">
      <c r="I584">
        <v>-385.97417881880352</v>
      </c>
      <c r="J584">
        <v>10.590150135600002</v>
      </c>
      <c r="K584">
        <v>0.9</v>
      </c>
    </row>
    <row r="585" spans="9:11" x14ac:dyDescent="0.25">
      <c r="I585">
        <v>-391.19632535497942</v>
      </c>
      <c r="J585">
        <v>10.1984891454</v>
      </c>
      <c r="K585">
        <v>0.9</v>
      </c>
    </row>
    <row r="586" spans="9:11" x14ac:dyDescent="0.25">
      <c r="I586">
        <v>-396.41847189115509</v>
      </c>
      <c r="J586">
        <v>9.8068281552000016</v>
      </c>
      <c r="K586">
        <v>0.9</v>
      </c>
    </row>
    <row r="587" spans="9:11" x14ac:dyDescent="0.25">
      <c r="I587">
        <v>-401.64061842733099</v>
      </c>
      <c r="J587">
        <v>9.4151671650000015</v>
      </c>
      <c r="K587">
        <v>0.9</v>
      </c>
    </row>
    <row r="588" spans="9:11" x14ac:dyDescent="0.25">
      <c r="I588">
        <v>-406.86276496350672</v>
      </c>
      <c r="J588">
        <v>9.0235061747999996</v>
      </c>
      <c r="K588">
        <v>0.9</v>
      </c>
    </row>
    <row r="589" spans="9:11" x14ac:dyDescent="0.25">
      <c r="I589">
        <v>-412.08491149968273</v>
      </c>
      <c r="J589">
        <v>8.6318451846000013</v>
      </c>
      <c r="K589">
        <v>0.9</v>
      </c>
    </row>
    <row r="590" spans="9:11" x14ac:dyDescent="0.25">
      <c r="I590">
        <v>-417.30705803585829</v>
      </c>
      <c r="J590">
        <v>8.2401841943999994</v>
      </c>
      <c r="K590">
        <v>0.9</v>
      </c>
    </row>
    <row r="591" spans="9:11" x14ac:dyDescent="0.25">
      <c r="I591">
        <v>-422.52920457203425</v>
      </c>
      <c r="J591">
        <v>7.8485232041100002</v>
      </c>
      <c r="K591">
        <v>0.9</v>
      </c>
    </row>
    <row r="592" spans="9:11" x14ac:dyDescent="0.25">
      <c r="I592">
        <v>-427.75135110821003</v>
      </c>
      <c r="J592">
        <v>7.45686221391</v>
      </c>
      <c r="K592">
        <v>0.9</v>
      </c>
    </row>
    <row r="593" spans="9:11" x14ac:dyDescent="0.25">
      <c r="I593">
        <v>-432.97349764438604</v>
      </c>
      <c r="J593">
        <v>7.0652012237099999</v>
      </c>
      <c r="K593">
        <v>0.9</v>
      </c>
    </row>
    <row r="594" spans="9:11" x14ac:dyDescent="0.25">
      <c r="I594">
        <v>-438.1956441805616</v>
      </c>
      <c r="J594">
        <v>6.6735402335099998</v>
      </c>
      <c r="K594">
        <v>0.9</v>
      </c>
    </row>
    <row r="595" spans="9:11" x14ac:dyDescent="0.25">
      <c r="I595">
        <v>-443.41779071673756</v>
      </c>
      <c r="J595">
        <v>6.2818792433099997</v>
      </c>
      <c r="K595">
        <v>0.9</v>
      </c>
    </row>
    <row r="596" spans="9:11" x14ac:dyDescent="0.25">
      <c r="I596">
        <v>-448.63993725291334</v>
      </c>
      <c r="J596">
        <v>5.8902182531100005</v>
      </c>
      <c r="K596">
        <v>0.9</v>
      </c>
    </row>
    <row r="597" spans="9:11" x14ac:dyDescent="0.25">
      <c r="I597">
        <v>-449.25951396059889</v>
      </c>
      <c r="J597">
        <v>5.8437500000400009</v>
      </c>
      <c r="K597">
        <v>0.9</v>
      </c>
    </row>
    <row r="598" spans="9:11" x14ac:dyDescent="0.25">
      <c r="I598">
        <v>-449.25951396059889</v>
      </c>
      <c r="J598">
        <v>5.8437500000400009</v>
      </c>
      <c r="K598">
        <v>0.9</v>
      </c>
    </row>
    <row r="599" spans="9:11" x14ac:dyDescent="0.25">
      <c r="I599">
        <v>-449.25951396059889</v>
      </c>
      <c r="J599">
        <v>5.8437500000400009</v>
      </c>
      <c r="K599">
        <v>0.9</v>
      </c>
    </row>
    <row r="600" spans="9:11" x14ac:dyDescent="0.25">
      <c r="I600">
        <v>-449.25951396059889</v>
      </c>
      <c r="J600">
        <v>5.8437500000400009</v>
      </c>
      <c r="K600">
        <v>0.9</v>
      </c>
    </row>
    <row r="601" spans="9:11" x14ac:dyDescent="0.25">
      <c r="I601">
        <v>-449.25951396059889</v>
      </c>
      <c r="J601">
        <v>5.8437500000400009</v>
      </c>
      <c r="K601">
        <v>0.9</v>
      </c>
    </row>
    <row r="602" spans="9:11" x14ac:dyDescent="0.25">
      <c r="I602">
        <v>-449.25951396059889</v>
      </c>
      <c r="J602">
        <v>5.8437500000400009</v>
      </c>
      <c r="K602">
        <v>0.9</v>
      </c>
    </row>
    <row r="603" spans="9:11" x14ac:dyDescent="0.25">
      <c r="I603">
        <v>-449.25951396059889</v>
      </c>
      <c r="J603">
        <v>5.8437500000400009</v>
      </c>
      <c r="K603">
        <v>0.9</v>
      </c>
    </row>
    <row r="604" spans="9:11" x14ac:dyDescent="0.25">
      <c r="I604">
        <v>-449.25951396059889</v>
      </c>
      <c r="J604">
        <v>5.8437500000400009</v>
      </c>
      <c r="K604">
        <v>0.9</v>
      </c>
    </row>
    <row r="605" spans="9:11" x14ac:dyDescent="0.25">
      <c r="I605">
        <v>-449.25951396059889</v>
      </c>
      <c r="J605">
        <v>5.8437500000400009</v>
      </c>
      <c r="K605">
        <v>0.9</v>
      </c>
    </row>
    <row r="606" spans="9:11" x14ac:dyDescent="0.25">
      <c r="I606">
        <v>-449.25951396059889</v>
      </c>
      <c r="J606">
        <v>5.8437500000400009</v>
      </c>
      <c r="K606">
        <v>0.9</v>
      </c>
    </row>
    <row r="607" spans="9:11" x14ac:dyDescent="0.25">
      <c r="I607">
        <v>-449.25951396059889</v>
      </c>
      <c r="J607">
        <v>5.8437500000400009</v>
      </c>
      <c r="K607">
        <v>0.9</v>
      </c>
    </row>
    <row r="608" spans="9:11" x14ac:dyDescent="0.25">
      <c r="I608">
        <v>-449.25951396059889</v>
      </c>
      <c r="J608">
        <v>5.8437500000400009</v>
      </c>
      <c r="K608">
        <v>0.9</v>
      </c>
    </row>
    <row r="609" spans="9:11" x14ac:dyDescent="0.25">
      <c r="I609">
        <v>-449.25951396059889</v>
      </c>
      <c r="J609">
        <v>5.8437500000400009</v>
      </c>
      <c r="K609">
        <v>0.9</v>
      </c>
    </row>
    <row r="610" spans="9:11" x14ac:dyDescent="0.25">
      <c r="I610">
        <v>-449.25951396059889</v>
      </c>
      <c r="J610">
        <v>5.8437500000400009</v>
      </c>
      <c r="K610">
        <v>0.9</v>
      </c>
    </row>
    <row r="611" spans="9:11" x14ac:dyDescent="0.25">
      <c r="I611">
        <v>-449.25951396059889</v>
      </c>
      <c r="J611">
        <v>5.8437500000400009</v>
      </c>
      <c r="K611">
        <v>0.9</v>
      </c>
    </row>
    <row r="612" spans="9:11" x14ac:dyDescent="0.25">
      <c r="I612">
        <v>-481.13451396059889</v>
      </c>
      <c r="J612">
        <v>3.05468749998</v>
      </c>
      <c r="K612">
        <v>0.9</v>
      </c>
    </row>
    <row r="613" spans="9:11" x14ac:dyDescent="0.25">
      <c r="I613">
        <v>-481.13451396059889</v>
      </c>
      <c r="J613">
        <v>3.05468749998</v>
      </c>
      <c r="K613">
        <v>0.9</v>
      </c>
    </row>
    <row r="614" spans="9:11" x14ac:dyDescent="0.25">
      <c r="I614">
        <v>-481.13451396059889</v>
      </c>
      <c r="J614">
        <v>3.05468749998</v>
      </c>
      <c r="K614">
        <v>0.9</v>
      </c>
    </row>
    <row r="615" spans="9:11" x14ac:dyDescent="0.25">
      <c r="I615">
        <v>-481.13451396059889</v>
      </c>
      <c r="J615">
        <v>3.05468749998</v>
      </c>
      <c r="K615">
        <v>0.9</v>
      </c>
    </row>
    <row r="616" spans="9:11" x14ac:dyDescent="0.25">
      <c r="I616">
        <v>-481.13451396059889</v>
      </c>
      <c r="J616">
        <v>3.05468749998</v>
      </c>
      <c r="K616">
        <v>0.9</v>
      </c>
    </row>
    <row r="617" spans="9:11" x14ac:dyDescent="0.25">
      <c r="I617">
        <v>-481.13451396059889</v>
      </c>
      <c r="J617">
        <v>3.05468749998</v>
      </c>
      <c r="K617">
        <v>0.9</v>
      </c>
    </row>
    <row r="618" spans="9:11" x14ac:dyDescent="0.25">
      <c r="I618">
        <v>-481.13451396059889</v>
      </c>
      <c r="J618">
        <v>3.05468749998</v>
      </c>
      <c r="K618">
        <v>0.9</v>
      </c>
    </row>
    <row r="619" spans="9:11" x14ac:dyDescent="0.25">
      <c r="I619">
        <v>-481.13451396059889</v>
      </c>
      <c r="J619">
        <v>3.05468749998</v>
      </c>
      <c r="K619">
        <v>0.9</v>
      </c>
    </row>
    <row r="620" spans="9:11" x14ac:dyDescent="0.25">
      <c r="I620">
        <v>-481.13451396059889</v>
      </c>
      <c r="J620">
        <v>3.05468749998</v>
      </c>
      <c r="K620">
        <v>0.9</v>
      </c>
    </row>
    <row r="621" spans="9:11" x14ac:dyDescent="0.25">
      <c r="I621">
        <v>-481.13451396059889</v>
      </c>
      <c r="J621">
        <v>3.05468749998</v>
      </c>
      <c r="K621">
        <v>0.9</v>
      </c>
    </row>
    <row r="622" spans="9:11" x14ac:dyDescent="0.25">
      <c r="I622">
        <v>-481.13451396059889</v>
      </c>
      <c r="J622">
        <v>3.05468749998</v>
      </c>
      <c r="K622">
        <v>0.9</v>
      </c>
    </row>
    <row r="623" spans="9:11" x14ac:dyDescent="0.25">
      <c r="I623">
        <v>-481.13451396059889</v>
      </c>
      <c r="J623">
        <v>3.05468749998</v>
      </c>
      <c r="K623">
        <v>0.9</v>
      </c>
    </row>
    <row r="624" spans="9:11" x14ac:dyDescent="0.25">
      <c r="I624">
        <v>-481.13451396059889</v>
      </c>
      <c r="J624">
        <v>3.05468749998</v>
      </c>
      <c r="K624">
        <v>0.9</v>
      </c>
    </row>
    <row r="625" spans="9:11" x14ac:dyDescent="0.25">
      <c r="I625">
        <v>-481.13451396059889</v>
      </c>
      <c r="J625">
        <v>3.05468749998</v>
      </c>
      <c r="K625">
        <v>0.9</v>
      </c>
    </row>
    <row r="626" spans="9:11" x14ac:dyDescent="0.25">
      <c r="I626">
        <v>-481.13451396059889</v>
      </c>
      <c r="J626">
        <v>3.05468749998</v>
      </c>
      <c r="K626">
        <v>0.9</v>
      </c>
    </row>
    <row r="627" spans="9:11" x14ac:dyDescent="0.25">
      <c r="I627">
        <v>-481.13451396059889</v>
      </c>
      <c r="J627">
        <v>3.05468749998</v>
      </c>
      <c r="K627">
        <v>0.9</v>
      </c>
    </row>
    <row r="628" spans="9:11" x14ac:dyDescent="0.25">
      <c r="I628">
        <v>-481.13451396059889</v>
      </c>
      <c r="J628">
        <v>3.05468749998</v>
      </c>
      <c r="K628">
        <v>0.9</v>
      </c>
    </row>
    <row r="629" spans="9:11" x14ac:dyDescent="0.25">
      <c r="I629">
        <v>-481.13451396059889</v>
      </c>
      <c r="J629">
        <v>3.05468749998</v>
      </c>
      <c r="K629">
        <v>0.9</v>
      </c>
    </row>
    <row r="630" spans="9:11" x14ac:dyDescent="0.25">
      <c r="I630">
        <v>-481.13451396059889</v>
      </c>
      <c r="J630">
        <v>3.05468749998</v>
      </c>
      <c r="K630">
        <v>0.9</v>
      </c>
    </row>
    <row r="631" spans="9:11" x14ac:dyDescent="0.25">
      <c r="I631">
        <v>-481.13451396059889</v>
      </c>
      <c r="J631">
        <v>3.05468749998</v>
      </c>
      <c r="K631">
        <v>0.9</v>
      </c>
    </row>
    <row r="632" spans="9:11" x14ac:dyDescent="0.25">
      <c r="I632">
        <v>-481.13451396059889</v>
      </c>
      <c r="J632">
        <v>3.05468749998</v>
      </c>
      <c r="K632">
        <v>0.9</v>
      </c>
    </row>
    <row r="633" spans="9:11" x14ac:dyDescent="0.25">
      <c r="I633">
        <v>-481.13451396059889</v>
      </c>
      <c r="J633">
        <v>3.05468749998</v>
      </c>
      <c r="K633">
        <v>0.9</v>
      </c>
    </row>
    <row r="634" spans="9:11" x14ac:dyDescent="0.25">
      <c r="I634">
        <v>-481.13451396059889</v>
      </c>
      <c r="J634">
        <v>3.05468749998</v>
      </c>
      <c r="K634">
        <v>0.9</v>
      </c>
    </row>
    <row r="635" spans="9:11" x14ac:dyDescent="0.25">
      <c r="I635">
        <v>-481.13451396059889</v>
      </c>
      <c r="J635">
        <v>3.05468749998</v>
      </c>
      <c r="K635">
        <v>0.9</v>
      </c>
    </row>
    <row r="636" spans="9:11" x14ac:dyDescent="0.25">
      <c r="I636">
        <v>-481.13451396059889</v>
      </c>
      <c r="J636">
        <v>3.05468749998</v>
      </c>
      <c r="K636">
        <v>0.9</v>
      </c>
    </row>
    <row r="637" spans="9:11" x14ac:dyDescent="0.25">
      <c r="I637">
        <v>-481.13451396059889</v>
      </c>
      <c r="J637">
        <v>3.05468749998</v>
      </c>
      <c r="K637">
        <v>0.9</v>
      </c>
    </row>
    <row r="638" spans="9:11" x14ac:dyDescent="0.25">
      <c r="I638">
        <v>-481.13451396059889</v>
      </c>
      <c r="J638">
        <v>3.05468749998</v>
      </c>
      <c r="K638">
        <v>0.9</v>
      </c>
    </row>
    <row r="639" spans="9:11" x14ac:dyDescent="0.25">
      <c r="I639">
        <v>-481.13451396059889</v>
      </c>
      <c r="J639">
        <v>3.05468749998</v>
      </c>
      <c r="K639">
        <v>0.9</v>
      </c>
    </row>
    <row r="640" spans="9:11" x14ac:dyDescent="0.25">
      <c r="I640">
        <v>-481.13451396059889</v>
      </c>
      <c r="J640">
        <v>3.05468749998</v>
      </c>
      <c r="K640">
        <v>0.9</v>
      </c>
    </row>
    <row r="641" spans="9:11" x14ac:dyDescent="0.25">
      <c r="I641">
        <v>-481.13451396059889</v>
      </c>
      <c r="J641">
        <v>3.05468749998</v>
      </c>
      <c r="K641">
        <v>0.9</v>
      </c>
    </row>
    <row r="642" spans="9:11" x14ac:dyDescent="0.25">
      <c r="I642">
        <v>-481.13451396059889</v>
      </c>
      <c r="J642">
        <v>3.05468749998</v>
      </c>
      <c r="K642">
        <v>0.9</v>
      </c>
    </row>
    <row r="643" spans="9:11" x14ac:dyDescent="0.25">
      <c r="I643">
        <v>-481.13451396059889</v>
      </c>
      <c r="J643">
        <v>3.05468749998</v>
      </c>
      <c r="K643">
        <v>0.9</v>
      </c>
    </row>
    <row r="644" spans="9:11" x14ac:dyDescent="0.25">
      <c r="I644">
        <v>-481.13451396059889</v>
      </c>
      <c r="J644">
        <v>3.05468749998</v>
      </c>
      <c r="K644">
        <v>0.9</v>
      </c>
    </row>
    <row r="645" spans="9:11" x14ac:dyDescent="0.25">
      <c r="I645">
        <v>-513.00951396059895</v>
      </c>
      <c r="J645">
        <v>0</v>
      </c>
      <c r="K645">
        <v>0.9</v>
      </c>
    </row>
    <row r="646" spans="9:11" x14ac:dyDescent="0.25">
      <c r="I646">
        <v>-513.00951396059895</v>
      </c>
      <c r="J646">
        <v>0</v>
      </c>
      <c r="K646">
        <v>0.9</v>
      </c>
    </row>
    <row r="647" spans="9:11" x14ac:dyDescent="0.25">
      <c r="I647">
        <v>-513.00951396059895</v>
      </c>
      <c r="J647">
        <v>0</v>
      </c>
      <c r="K647">
        <v>0.9</v>
      </c>
    </row>
    <row r="648" spans="9:11" x14ac:dyDescent="0.25">
      <c r="I648">
        <v>-513.00951396059895</v>
      </c>
      <c r="J648">
        <v>0</v>
      </c>
      <c r="K648">
        <v>0.9</v>
      </c>
    </row>
    <row r="649" spans="9:11" x14ac:dyDescent="0.25">
      <c r="I649">
        <v>-513.00951396059895</v>
      </c>
      <c r="J649">
        <v>0</v>
      </c>
      <c r="K649">
        <v>0.9</v>
      </c>
    </row>
    <row r="650" spans="9:11" x14ac:dyDescent="0.25">
      <c r="I650">
        <v>-513.00951396059895</v>
      </c>
      <c r="J650">
        <v>0</v>
      </c>
      <c r="K650">
        <v>0.9</v>
      </c>
    </row>
    <row r="651" spans="9:11" x14ac:dyDescent="0.25">
      <c r="I651">
        <v>-513.00951396059895</v>
      </c>
      <c r="J651">
        <v>0</v>
      </c>
      <c r="K651">
        <v>0.9</v>
      </c>
    </row>
    <row r="652" spans="9:11" x14ac:dyDescent="0.25">
      <c r="I652">
        <v>-513.00951396059895</v>
      </c>
      <c r="J652">
        <v>0</v>
      </c>
      <c r="K652">
        <v>0.9</v>
      </c>
    </row>
    <row r="653" spans="9:11" x14ac:dyDescent="0.25">
      <c r="I653">
        <v>-513.00951396059895</v>
      </c>
      <c r="J653">
        <v>0</v>
      </c>
      <c r="K653">
        <v>0.9</v>
      </c>
    </row>
    <row r="654" spans="9:11" x14ac:dyDescent="0.25">
      <c r="I654">
        <v>-513.00951396059895</v>
      </c>
      <c r="J654">
        <v>0</v>
      </c>
      <c r="K654">
        <v>0.9</v>
      </c>
    </row>
    <row r="655" spans="9:11" x14ac:dyDescent="0.25">
      <c r="I655">
        <v>-513.00951396059895</v>
      </c>
      <c r="J655">
        <v>0</v>
      </c>
      <c r="K655">
        <v>0.9</v>
      </c>
    </row>
    <row r="656" spans="9:11" x14ac:dyDescent="0.25">
      <c r="I656">
        <v>-513.00951396059895</v>
      </c>
      <c r="J656">
        <v>0</v>
      </c>
      <c r="K656">
        <v>0.9</v>
      </c>
    </row>
    <row r="657" spans="9:11" x14ac:dyDescent="0.25">
      <c r="I657">
        <v>-513.00951396059895</v>
      </c>
      <c r="J657">
        <v>0</v>
      </c>
      <c r="K657">
        <v>0.9</v>
      </c>
    </row>
    <row r="658" spans="9:11" x14ac:dyDescent="0.25">
      <c r="I658">
        <v>-513.00951396059895</v>
      </c>
      <c r="J658">
        <v>0</v>
      </c>
      <c r="K658">
        <v>0.9</v>
      </c>
    </row>
    <row r="659" spans="9:11" x14ac:dyDescent="0.25">
      <c r="I659">
        <v>-513.00951396059895</v>
      </c>
      <c r="J659">
        <v>0</v>
      </c>
      <c r="K659">
        <v>0.9</v>
      </c>
    </row>
    <row r="660" spans="9:11" x14ac:dyDescent="0.25">
      <c r="I660">
        <v>-513.00951396059895</v>
      </c>
      <c r="J660">
        <v>0</v>
      </c>
      <c r="K660">
        <v>0.9</v>
      </c>
    </row>
    <row r="661" spans="9:11" x14ac:dyDescent="0.25">
      <c r="I661">
        <v>-513.00951396059895</v>
      </c>
      <c r="J661">
        <v>0</v>
      </c>
      <c r="K661">
        <v>0.9</v>
      </c>
    </row>
    <row r="662" spans="9:11" x14ac:dyDescent="0.25">
      <c r="I662">
        <v>-513.00951396059895</v>
      </c>
      <c r="J662">
        <v>0</v>
      </c>
      <c r="K662">
        <v>0.9</v>
      </c>
    </row>
    <row r="663" spans="9:11" x14ac:dyDescent="0.25">
      <c r="I663">
        <v>-513.00951396059895</v>
      </c>
      <c r="J663">
        <v>0</v>
      </c>
      <c r="K663">
        <v>0.9</v>
      </c>
    </row>
    <row r="664" spans="9:11" x14ac:dyDescent="0.25">
      <c r="I664">
        <v>-513.00951396059895</v>
      </c>
      <c r="J664">
        <v>0</v>
      </c>
      <c r="K664">
        <v>0.9</v>
      </c>
    </row>
    <row r="665" spans="9:11" x14ac:dyDescent="0.25">
      <c r="I665">
        <v>-513.00951396059895</v>
      </c>
      <c r="J665">
        <v>0</v>
      </c>
      <c r="K665">
        <v>0.9</v>
      </c>
    </row>
    <row r="666" spans="9:11" x14ac:dyDescent="0.25">
      <c r="I666">
        <v>-513.00951396059895</v>
      </c>
      <c r="J666">
        <v>0</v>
      </c>
      <c r="K666">
        <v>0.9</v>
      </c>
    </row>
    <row r="667" spans="9:11" x14ac:dyDescent="0.25">
      <c r="I667">
        <v>-513.00951396059895</v>
      </c>
      <c r="J667">
        <v>0</v>
      </c>
      <c r="K667">
        <v>0.9</v>
      </c>
    </row>
    <row r="668" spans="9:11" x14ac:dyDescent="0.25">
      <c r="I668">
        <v>-513.00951396059895</v>
      </c>
      <c r="J668">
        <v>0</v>
      </c>
      <c r="K668">
        <v>0.9</v>
      </c>
    </row>
    <row r="669" spans="9:11" x14ac:dyDescent="0.25">
      <c r="I669">
        <v>-513.00951396059895</v>
      </c>
      <c r="J669">
        <v>0</v>
      </c>
      <c r="K669">
        <v>0.9</v>
      </c>
    </row>
    <row r="670" spans="9:11" x14ac:dyDescent="0.25">
      <c r="I670">
        <v>-513.00951396059895</v>
      </c>
      <c r="J670">
        <v>0</v>
      </c>
      <c r="K670">
        <v>0.9</v>
      </c>
    </row>
    <row r="671" spans="9:11" x14ac:dyDescent="0.25">
      <c r="I671">
        <v>-513.00951396059895</v>
      </c>
      <c r="J671">
        <v>0</v>
      </c>
      <c r="K671">
        <v>0.9</v>
      </c>
    </row>
    <row r="672" spans="9:11" x14ac:dyDescent="0.25">
      <c r="I672">
        <v>-513.00951396059895</v>
      </c>
      <c r="J672">
        <v>0</v>
      </c>
      <c r="K672">
        <v>0.9</v>
      </c>
    </row>
    <row r="673" spans="9:11" x14ac:dyDescent="0.25">
      <c r="I673">
        <v>-513.00951396059895</v>
      </c>
      <c r="J673">
        <v>0</v>
      </c>
      <c r="K673">
        <v>0.9</v>
      </c>
    </row>
    <row r="674" spans="9:11" x14ac:dyDescent="0.25">
      <c r="I674">
        <v>-513.00951396059895</v>
      </c>
      <c r="J674">
        <v>0</v>
      </c>
      <c r="K674">
        <v>0.9</v>
      </c>
    </row>
    <row r="675" spans="9:11" x14ac:dyDescent="0.25">
      <c r="I675">
        <v>-513.00951396059895</v>
      </c>
      <c r="J675">
        <v>0</v>
      </c>
      <c r="K675">
        <v>0.9</v>
      </c>
    </row>
    <row r="676" spans="9:11" x14ac:dyDescent="0.25">
      <c r="I676">
        <v>-513.00951396059895</v>
      </c>
      <c r="J676">
        <v>0</v>
      </c>
      <c r="K676">
        <v>0.9</v>
      </c>
    </row>
    <row r="677" spans="9:11" x14ac:dyDescent="0.25">
      <c r="I677">
        <v>-513.00951396059895</v>
      </c>
      <c r="J677">
        <v>0</v>
      </c>
      <c r="K677">
        <v>0.9</v>
      </c>
    </row>
    <row r="678" spans="9:11" x14ac:dyDescent="0.25">
      <c r="I678">
        <v>-513.00951396059895</v>
      </c>
      <c r="J678">
        <v>0</v>
      </c>
      <c r="K678">
        <v>0.9</v>
      </c>
    </row>
    <row r="679" spans="9:11" x14ac:dyDescent="0.25">
      <c r="I679">
        <v>-513.00951396059895</v>
      </c>
      <c r="J679">
        <v>0</v>
      </c>
      <c r="K679">
        <v>0.9</v>
      </c>
    </row>
    <row r="680" spans="9:11" x14ac:dyDescent="0.25">
      <c r="I680">
        <v>-513.00951396059895</v>
      </c>
      <c r="J680">
        <v>0</v>
      </c>
      <c r="K680">
        <v>0.9</v>
      </c>
    </row>
    <row r="681" spans="9:11" x14ac:dyDescent="0.25">
      <c r="I681">
        <v>-513.00951396059895</v>
      </c>
      <c r="J681">
        <v>0</v>
      </c>
      <c r="K681">
        <v>0.9</v>
      </c>
    </row>
    <row r="682" spans="9:11" x14ac:dyDescent="0.25">
      <c r="I682">
        <v>-513.00951396059895</v>
      </c>
      <c r="J682">
        <v>0</v>
      </c>
      <c r="K682">
        <v>0.9</v>
      </c>
    </row>
    <row r="683" spans="9:11" x14ac:dyDescent="0.25">
      <c r="I683">
        <v>-513.00951396059895</v>
      </c>
      <c r="J683">
        <v>0</v>
      </c>
      <c r="K683">
        <v>0.9</v>
      </c>
    </row>
    <row r="684" spans="9:11" x14ac:dyDescent="0.25">
      <c r="I684">
        <v>-513.00951396059895</v>
      </c>
      <c r="J684">
        <v>0</v>
      </c>
      <c r="K684">
        <v>0.9</v>
      </c>
    </row>
    <row r="685" spans="9:11" x14ac:dyDescent="0.25">
      <c r="I685">
        <v>-513.00951396059895</v>
      </c>
      <c r="J685">
        <v>0</v>
      </c>
      <c r="K685">
        <v>0.9</v>
      </c>
    </row>
    <row r="686" spans="9:11" x14ac:dyDescent="0.25">
      <c r="I686">
        <v>-513.00951396059895</v>
      </c>
      <c r="J686">
        <v>0</v>
      </c>
      <c r="K686">
        <v>0.9</v>
      </c>
    </row>
    <row r="687" spans="9:11" x14ac:dyDescent="0.25">
      <c r="I687">
        <v>-513.00951396059895</v>
      </c>
      <c r="J687">
        <v>0</v>
      </c>
      <c r="K687">
        <v>0.9</v>
      </c>
    </row>
    <row r="688" spans="9:11" x14ac:dyDescent="0.25">
      <c r="I688">
        <v>-513.00951396059895</v>
      </c>
      <c r="J688">
        <v>0</v>
      </c>
      <c r="K688">
        <v>0.9</v>
      </c>
    </row>
    <row r="689" spans="9:11" x14ac:dyDescent="0.25">
      <c r="I689">
        <v>-513.00951396059895</v>
      </c>
      <c r="J689">
        <v>0</v>
      </c>
      <c r="K689">
        <v>0.9</v>
      </c>
    </row>
    <row r="690" spans="9:11" x14ac:dyDescent="0.25">
      <c r="I690">
        <v>-513.00951396059895</v>
      </c>
      <c r="J690">
        <v>0</v>
      </c>
      <c r="K690">
        <v>0.9</v>
      </c>
    </row>
    <row r="691" spans="9:11" x14ac:dyDescent="0.25">
      <c r="I691">
        <v>-513.00951396059895</v>
      </c>
      <c r="J691">
        <v>0</v>
      </c>
      <c r="K691">
        <v>0.9</v>
      </c>
    </row>
    <row r="692" spans="9:11" x14ac:dyDescent="0.25">
      <c r="I692">
        <v>-513.00951396059895</v>
      </c>
      <c r="J692">
        <v>0</v>
      </c>
      <c r="K692">
        <v>0.9</v>
      </c>
    </row>
    <row r="693" spans="9:11" x14ac:dyDescent="0.25">
      <c r="I693">
        <v>-513.00951396059895</v>
      </c>
      <c r="J693">
        <v>0</v>
      </c>
      <c r="K693">
        <v>0.9</v>
      </c>
    </row>
    <row r="694" spans="9:11" x14ac:dyDescent="0.25">
      <c r="I694">
        <v>-513.00951396059895</v>
      </c>
      <c r="J694">
        <v>0</v>
      </c>
      <c r="K694">
        <v>0.9</v>
      </c>
    </row>
    <row r="695" spans="9:11" x14ac:dyDescent="0.25">
      <c r="I695">
        <v>-513.00951396059895</v>
      </c>
      <c r="J695">
        <v>0</v>
      </c>
      <c r="K695">
        <v>0.9</v>
      </c>
    </row>
    <row r="696" spans="9:11" x14ac:dyDescent="0.25">
      <c r="I696">
        <v>-513.00951396059895</v>
      </c>
      <c r="J696">
        <v>0</v>
      </c>
      <c r="K696">
        <v>0.9</v>
      </c>
    </row>
    <row r="697" spans="9:11" x14ac:dyDescent="0.25">
      <c r="I697">
        <v>-513.00951396059895</v>
      </c>
      <c r="J697">
        <v>0</v>
      </c>
      <c r="K697">
        <v>0.9</v>
      </c>
    </row>
    <row r="698" spans="9:11" x14ac:dyDescent="0.25">
      <c r="I698">
        <v>-513.00951396059895</v>
      </c>
      <c r="J698">
        <v>0</v>
      </c>
      <c r="K698">
        <v>0.9</v>
      </c>
    </row>
    <row r="699" spans="9:11" x14ac:dyDescent="0.25">
      <c r="I699">
        <v>-513.00951396059895</v>
      </c>
      <c r="J699">
        <v>0</v>
      </c>
      <c r="K699">
        <v>0.9</v>
      </c>
    </row>
    <row r="700" spans="9:11" x14ac:dyDescent="0.25">
      <c r="I700">
        <v>-513.00951396059895</v>
      </c>
      <c r="J700">
        <v>0</v>
      </c>
      <c r="K700">
        <v>0.9</v>
      </c>
    </row>
    <row r="701" spans="9:11" x14ac:dyDescent="0.25">
      <c r="I701">
        <v>-513.00951396059895</v>
      </c>
      <c r="J701">
        <v>0</v>
      </c>
      <c r="K701">
        <v>0.9</v>
      </c>
    </row>
    <row r="702" spans="9:11" x14ac:dyDescent="0.25">
      <c r="I702">
        <v>-513.00951396059895</v>
      </c>
      <c r="J702">
        <v>0</v>
      </c>
      <c r="K702">
        <v>0.9</v>
      </c>
    </row>
  </sheetData>
  <mergeCells count="10">
    <mergeCell ref="E33:G42"/>
    <mergeCell ref="L1:O8"/>
    <mergeCell ref="A31:B32"/>
    <mergeCell ref="C31:C32"/>
    <mergeCell ref="D31:D32"/>
    <mergeCell ref="K1:K2"/>
    <mergeCell ref="A1:F2"/>
    <mergeCell ref="G1:G2"/>
    <mergeCell ref="I1:I2"/>
    <mergeCell ref="J1:J2"/>
  </mergeCells>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31AC1-26AB-44B7-9DE8-C1E15DE1206E}">
  <sheetPr codeName="Sheet3">
    <tabColor rgb="FF0070C0"/>
  </sheetPr>
  <dimension ref="A1:E6"/>
  <sheetViews>
    <sheetView tabSelected="1" zoomScaleNormal="100" workbookViewId="0">
      <selection activeCell="D28" sqref="D28"/>
    </sheetView>
  </sheetViews>
  <sheetFormatPr defaultColWidth="9.140625" defaultRowHeight="14.25" x14ac:dyDescent="0.25"/>
  <cols>
    <col min="1" max="1" width="21.5703125" style="23" customWidth="1"/>
    <col min="2" max="3" width="14.28515625" style="23" customWidth="1"/>
    <col min="4" max="4" width="13.42578125" style="23" customWidth="1"/>
    <col min="5" max="5" width="12.5703125" style="23" customWidth="1"/>
    <col min="6" max="16384" width="9.140625" style="23"/>
  </cols>
  <sheetData>
    <row r="1" spans="1:5" ht="28.5" customHeight="1" thickBot="1" x14ac:dyDescent="0.3">
      <c r="A1" s="173" t="s">
        <v>27</v>
      </c>
      <c r="B1" s="174"/>
      <c r="C1" s="174"/>
      <c r="D1" s="174"/>
      <c r="E1" s="175"/>
    </row>
    <row r="2" spans="1:5" ht="37.5" customHeight="1" thickBot="1" x14ac:dyDescent="0.3">
      <c r="A2" s="31" t="s">
        <v>23</v>
      </c>
      <c r="B2" s="32" t="s">
        <v>3</v>
      </c>
      <c r="C2" s="32" t="s">
        <v>22</v>
      </c>
      <c r="D2" s="32" t="s">
        <v>21</v>
      </c>
      <c r="E2" s="33" t="s">
        <v>24</v>
      </c>
    </row>
    <row r="3" spans="1:5" ht="48.75" customHeight="1" x14ac:dyDescent="0.25">
      <c r="A3" s="26" t="s">
        <v>25</v>
      </c>
      <c r="B3" s="23">
        <v>420</v>
      </c>
      <c r="C3" s="23">
        <v>500</v>
      </c>
      <c r="D3" s="23">
        <v>220</v>
      </c>
      <c r="E3" s="29"/>
    </row>
    <row r="4" spans="1:5" ht="31.5" customHeight="1" x14ac:dyDescent="0.25">
      <c r="A4" s="25" t="s">
        <v>26</v>
      </c>
      <c r="B4" s="23">
        <v>200000</v>
      </c>
      <c r="C4" s="23">
        <v>200000</v>
      </c>
      <c r="D4" s="23">
        <v>200000</v>
      </c>
      <c r="E4" s="29"/>
    </row>
    <row r="5" spans="1:5" ht="28.5" x14ac:dyDescent="0.25">
      <c r="A5" s="26" t="s">
        <v>40</v>
      </c>
      <c r="B5" s="24">
        <f>B3/B4</f>
        <v>2.0999999999999999E-3</v>
      </c>
      <c r="C5" s="24">
        <f>C3/C4</f>
        <v>2.5000000000000001E-3</v>
      </c>
      <c r="D5" s="24">
        <f>D3/D4</f>
        <v>1.1000000000000001E-3</v>
      </c>
      <c r="E5" s="29"/>
    </row>
    <row r="6" spans="1:5" ht="29.25" thickBot="1" x14ac:dyDescent="0.3">
      <c r="A6" s="27" t="s">
        <v>41</v>
      </c>
      <c r="B6" s="28">
        <v>0.12</v>
      </c>
      <c r="C6" s="28">
        <v>0.12</v>
      </c>
      <c r="D6" s="28">
        <v>0.12</v>
      </c>
      <c r="E6" s="30"/>
    </row>
  </sheetData>
  <mergeCells count="1">
    <mergeCell ref="A1:E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8F6BD-75CF-49FA-BE9D-FDDC775A75B0}">
  <sheetPr codeName="Sheet4">
    <tabColor rgb="FF0070C0"/>
  </sheetPr>
  <dimension ref="A1:E11"/>
  <sheetViews>
    <sheetView zoomScaleNormal="100" workbookViewId="0">
      <selection sqref="A1:E1"/>
    </sheetView>
  </sheetViews>
  <sheetFormatPr defaultColWidth="9.140625" defaultRowHeight="14.25" x14ac:dyDescent="0.25"/>
  <cols>
    <col min="1" max="1" width="21.5703125" style="23" customWidth="1"/>
    <col min="2" max="3" width="14.28515625" style="23" customWidth="1"/>
    <col min="4" max="4" width="13.42578125" style="23" customWidth="1"/>
    <col min="5" max="5" width="12.5703125" style="23" customWidth="1"/>
    <col min="6" max="16384" width="9.140625" style="23"/>
  </cols>
  <sheetData>
    <row r="1" spans="1:5" ht="28.5" customHeight="1" thickBot="1" x14ac:dyDescent="0.3">
      <c r="A1" s="176" t="s">
        <v>36</v>
      </c>
      <c r="B1" s="177"/>
      <c r="C1" s="177"/>
      <c r="D1" s="177"/>
      <c r="E1" s="178"/>
    </row>
    <row r="2" spans="1:5" ht="37.5" customHeight="1" thickTop="1" thickBot="1" x14ac:dyDescent="0.3">
      <c r="A2" s="38" t="s">
        <v>23</v>
      </c>
      <c r="B2" s="35" t="s">
        <v>28</v>
      </c>
      <c r="C2" s="35" t="s">
        <v>29</v>
      </c>
      <c r="D2" s="35" t="s">
        <v>30</v>
      </c>
      <c r="E2" s="39" t="s">
        <v>24</v>
      </c>
    </row>
    <row r="3" spans="1:5" ht="37.5" customHeight="1" thickTop="1" x14ac:dyDescent="0.25">
      <c r="A3" s="40" t="s">
        <v>38</v>
      </c>
      <c r="B3" s="23">
        <v>200000</v>
      </c>
      <c r="C3" s="23">
        <v>200000</v>
      </c>
      <c r="D3" s="23">
        <v>200000</v>
      </c>
      <c r="E3" s="41"/>
    </row>
    <row r="4" spans="1:5" ht="48.75" customHeight="1" x14ac:dyDescent="0.25">
      <c r="A4" s="42" t="s">
        <v>31</v>
      </c>
      <c r="B4" s="23">
        <v>952</v>
      </c>
      <c r="C4" s="23">
        <v>1505</v>
      </c>
      <c r="D4" s="23">
        <v>1665</v>
      </c>
      <c r="E4" s="43"/>
    </row>
    <row r="5" spans="1:5" ht="31.5" customHeight="1" x14ac:dyDescent="0.25">
      <c r="A5" s="42" t="s">
        <v>32</v>
      </c>
      <c r="B5" s="23">
        <v>1050</v>
      </c>
      <c r="C5" s="23">
        <v>1650</v>
      </c>
      <c r="D5" s="23">
        <v>1860</v>
      </c>
      <c r="E5" s="43"/>
    </row>
    <row r="6" spans="1:5" ht="31.5" customHeight="1" x14ac:dyDescent="0.25">
      <c r="A6" s="44" t="s">
        <v>42</v>
      </c>
      <c r="B6" s="36">
        <v>4.1000000000000002E-2</v>
      </c>
      <c r="C6" s="36">
        <v>8.6999999999999994E-2</v>
      </c>
      <c r="D6" s="36">
        <v>6.9000000000000006E-2</v>
      </c>
      <c r="E6" s="45"/>
    </row>
    <row r="7" spans="1:5" ht="31.5" customHeight="1" x14ac:dyDescent="0.25">
      <c r="A7" s="42" t="s">
        <v>33</v>
      </c>
      <c r="B7" s="23">
        <v>7.1</v>
      </c>
      <c r="C7" s="23">
        <v>6.06</v>
      </c>
      <c r="D7" s="23">
        <v>7.3440000000000003</v>
      </c>
      <c r="E7" s="43"/>
    </row>
    <row r="8" spans="1:5" x14ac:dyDescent="0.25">
      <c r="A8" s="42" t="s">
        <v>34</v>
      </c>
      <c r="B8" s="34">
        <v>1.0041</v>
      </c>
      <c r="C8" s="34">
        <v>1.0325</v>
      </c>
      <c r="D8" s="34">
        <v>1.0618000000000001</v>
      </c>
      <c r="E8" s="43"/>
    </row>
    <row r="9" spans="1:5" ht="30.75" customHeight="1" thickBot="1" x14ac:dyDescent="0.3">
      <c r="A9" s="46" t="s">
        <v>35</v>
      </c>
      <c r="B9" s="47">
        <v>1.7500000000000002E-2</v>
      </c>
      <c r="C9" s="47">
        <v>6.2500000000000003E-3</v>
      </c>
      <c r="D9" s="47">
        <v>1.174E-2</v>
      </c>
      <c r="E9" s="48"/>
    </row>
    <row r="11" spans="1:5" ht="15" x14ac:dyDescent="0.25">
      <c r="A11"/>
    </row>
  </sheetData>
  <mergeCells count="1">
    <mergeCell ref="A1:E1"/>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84579-75F6-4C03-A056-57780E92867D}">
  <sheetPr codeName="Sheet6">
    <tabColor rgb="FFFF0000"/>
  </sheetPr>
  <dimension ref="A1:XFC50"/>
  <sheetViews>
    <sheetView topLeftCell="A28" zoomScaleNormal="100" workbookViewId="0">
      <selection activeCell="C46" sqref="C46"/>
    </sheetView>
  </sheetViews>
  <sheetFormatPr defaultColWidth="0" defaultRowHeight="15" x14ac:dyDescent="0.25"/>
  <cols>
    <col min="1" max="1" width="18.85546875" style="16" customWidth="1"/>
    <col min="2" max="2" width="12.5703125" style="16" customWidth="1"/>
    <col min="3" max="3" width="22.85546875" style="16" customWidth="1"/>
    <col min="4" max="4" width="15.42578125" style="16" customWidth="1"/>
    <col min="5" max="5" width="17.85546875" style="16" customWidth="1"/>
    <col min="6" max="6" width="11.42578125" style="16" customWidth="1"/>
    <col min="7" max="7" width="15.7109375" style="16" customWidth="1"/>
    <col min="8" max="8" width="100.7109375" style="75" hidden="1" customWidth="1"/>
    <col min="9" max="16379" width="9.140625" style="16" hidden="1"/>
    <col min="16380" max="16380" width="7" style="16" hidden="1" customWidth="1"/>
    <col min="16381" max="16381" width="5.28515625" style="16" hidden="1" customWidth="1"/>
    <col min="16382" max="16382" width="12.140625" style="16" hidden="1" customWidth="1"/>
    <col min="16383" max="16383" width="17.85546875" style="16" hidden="1" customWidth="1"/>
    <col min="16384" max="16384" width="10.85546875" style="16" hidden="1" customWidth="1"/>
  </cols>
  <sheetData>
    <row r="1" spans="1:7" s="75" customFormat="1" x14ac:dyDescent="0.25">
      <c r="A1" s="92" t="s">
        <v>128</v>
      </c>
      <c r="B1" s="92"/>
      <c r="C1" s="92"/>
      <c r="D1" s="74"/>
      <c r="E1" s="74"/>
      <c r="F1" s="74"/>
      <c r="G1" s="3"/>
    </row>
    <row r="2" spans="1:7" s="75" customFormat="1" ht="28.5" customHeight="1" x14ac:dyDescent="0.25">
      <c r="A2" s="4"/>
      <c r="B2" s="4"/>
      <c r="C2" s="5" t="s">
        <v>0</v>
      </c>
      <c r="D2" s="6"/>
      <c r="E2" s="7"/>
      <c r="F2" s="6"/>
      <c r="G2" s="7"/>
    </row>
    <row r="3" spans="1:7" s="75" customFormat="1" x14ac:dyDescent="0.25">
      <c r="A3" s="8"/>
      <c r="B3" s="3"/>
      <c r="C3" s="3"/>
      <c r="D3" s="9"/>
      <c r="E3" s="10"/>
      <c r="F3" s="10"/>
      <c r="G3" s="10"/>
    </row>
    <row r="4" spans="1:7" s="75" customFormat="1" x14ac:dyDescent="0.25">
      <c r="A4" s="152" t="s">
        <v>1</v>
      </c>
      <c r="B4" s="152"/>
      <c r="C4" s="11">
        <v>25</v>
      </c>
      <c r="D4" s="10"/>
      <c r="E4" s="10"/>
      <c r="F4" s="10"/>
      <c r="G4" s="10"/>
    </row>
    <row r="5" spans="1:7" s="75" customFormat="1" x14ac:dyDescent="0.25">
      <c r="A5" s="5"/>
      <c r="B5" s="5"/>
      <c r="C5" s="5"/>
      <c r="D5" s="10"/>
      <c r="E5" s="10"/>
      <c r="F5" s="10"/>
      <c r="G5" s="10"/>
    </row>
    <row r="6" spans="1:7" s="75" customFormat="1" x14ac:dyDescent="0.25">
      <c r="A6" s="152" t="s">
        <v>2</v>
      </c>
      <c r="B6" s="152"/>
      <c r="C6" s="1" t="s">
        <v>3</v>
      </c>
      <c r="D6" s="7"/>
      <c r="E6" s="16"/>
      <c r="F6" s="3"/>
      <c r="G6" s="22"/>
    </row>
    <row r="7" spans="1:7" s="75" customFormat="1" x14ac:dyDescent="0.25">
      <c r="A7" s="5"/>
      <c r="B7" s="5"/>
      <c r="C7" s="5"/>
      <c r="D7" s="5"/>
      <c r="E7" s="5"/>
      <c r="F7" s="5"/>
      <c r="G7" s="3"/>
    </row>
    <row r="8" spans="1:7" s="75" customFormat="1" x14ac:dyDescent="0.25">
      <c r="A8" s="152" t="s">
        <v>4</v>
      </c>
      <c r="B8" s="152"/>
      <c r="C8" s="11" t="s">
        <v>37</v>
      </c>
      <c r="D8" s="5" t="s">
        <v>5</v>
      </c>
      <c r="E8" s="12">
        <v>5.21</v>
      </c>
      <c r="F8" s="3" t="s">
        <v>39</v>
      </c>
      <c r="G8" s="3"/>
    </row>
    <row r="9" spans="1:7" s="75" customFormat="1" x14ac:dyDescent="0.25">
      <c r="A9" s="153"/>
      <c r="B9" s="154"/>
      <c r="C9" s="154"/>
      <c r="D9" s="154"/>
      <c r="E9" s="154"/>
      <c r="F9" s="154"/>
      <c r="G9" s="155"/>
    </row>
    <row r="10" spans="1:7" s="75" customFormat="1" x14ac:dyDescent="0.25">
      <c r="A10" s="152" t="s">
        <v>127</v>
      </c>
      <c r="B10" s="152"/>
      <c r="C10" s="11" t="s">
        <v>6</v>
      </c>
      <c r="D10" s="113"/>
      <c r="E10" s="90"/>
      <c r="F10" s="90"/>
      <c r="G10" s="13"/>
    </row>
    <row r="11" spans="1:7" s="75" customFormat="1" x14ac:dyDescent="0.25">
      <c r="A11" s="13"/>
      <c r="B11" s="13"/>
      <c r="C11" s="13"/>
      <c r="D11" s="13"/>
      <c r="E11" s="13"/>
      <c r="F11" s="13"/>
      <c r="G11" s="13"/>
    </row>
    <row r="12" spans="1:7" s="75" customFormat="1" x14ac:dyDescent="0.25">
      <c r="A12" s="90" t="s">
        <v>7</v>
      </c>
      <c r="B12" s="90"/>
      <c r="C12" s="90"/>
      <c r="D12" s="90"/>
      <c r="E12" s="90"/>
      <c r="F12" s="13"/>
      <c r="G12" s="13"/>
    </row>
    <row r="13" spans="1:7" s="75" customFormat="1" x14ac:dyDescent="0.25">
      <c r="A13" s="13"/>
      <c r="B13" s="13"/>
      <c r="C13" s="13"/>
      <c r="D13" s="13"/>
      <c r="E13" s="13"/>
      <c r="F13" s="13"/>
      <c r="G13" s="13"/>
    </row>
    <row r="14" spans="1:7" s="75" customFormat="1" x14ac:dyDescent="0.25">
      <c r="A14" s="149" t="s">
        <v>8</v>
      </c>
      <c r="B14" s="150"/>
      <c r="C14" s="151"/>
      <c r="D14" s="37">
        <v>1</v>
      </c>
      <c r="E14" s="13"/>
      <c r="F14" s="13"/>
      <c r="G14" s="13"/>
    </row>
    <row r="15" spans="1:7" s="75" customFormat="1" x14ac:dyDescent="0.25">
      <c r="A15" s="49"/>
      <c r="B15" s="13"/>
      <c r="C15" s="50"/>
      <c r="D15" s="13"/>
      <c r="E15" s="13"/>
      <c r="F15" s="13"/>
      <c r="G15" s="13"/>
    </row>
    <row r="16" spans="1:7" s="75" customFormat="1" ht="28.5" x14ac:dyDescent="0.25">
      <c r="A16" s="23" t="s">
        <v>57</v>
      </c>
      <c r="B16" s="23" t="s">
        <v>56</v>
      </c>
      <c r="C16" s="1" t="s">
        <v>45</v>
      </c>
      <c r="D16" s="23" t="s">
        <v>55</v>
      </c>
      <c r="E16" s="1" t="s">
        <v>46</v>
      </c>
      <c r="F16" s="61" t="s">
        <v>9</v>
      </c>
      <c r="G16" s="1">
        <v>4</v>
      </c>
    </row>
    <row r="17" spans="1:7" s="75" customFormat="1" x14ac:dyDescent="0.25">
      <c r="A17" s="62"/>
      <c r="B17" s="62"/>
      <c r="C17" s="62"/>
      <c r="D17" s="62"/>
      <c r="E17" s="63"/>
      <c r="F17" s="64"/>
      <c r="G17" s="64"/>
    </row>
    <row r="18" spans="1:7" s="75" customFormat="1" x14ac:dyDescent="0.25">
      <c r="A18" s="60" t="s">
        <v>43</v>
      </c>
      <c r="B18" s="55"/>
      <c r="C18" s="58" t="s">
        <v>10</v>
      </c>
      <c r="D18" s="55"/>
      <c r="E18" s="81" t="s">
        <v>11</v>
      </c>
      <c r="F18" s="3"/>
      <c r="G18" s="3"/>
    </row>
    <row r="19" spans="1:7" s="75" customFormat="1" x14ac:dyDescent="0.25">
      <c r="A19" s="66">
        <v>1</v>
      </c>
      <c r="B19" s="51"/>
      <c r="C19" s="79">
        <v>0</v>
      </c>
      <c r="D19" s="80"/>
      <c r="E19" s="79">
        <v>0</v>
      </c>
      <c r="F19" s="52"/>
      <c r="G19" s="3"/>
    </row>
    <row r="20" spans="1:7" s="75" customFormat="1" x14ac:dyDescent="0.25">
      <c r="A20" s="67">
        <v>2</v>
      </c>
      <c r="B20" s="51"/>
      <c r="C20" s="79">
        <v>0</v>
      </c>
      <c r="D20" s="80"/>
      <c r="E20" s="79">
        <v>0</v>
      </c>
      <c r="F20" s="52"/>
      <c r="G20" s="3"/>
    </row>
    <row r="21" spans="1:7" s="75" customFormat="1" x14ac:dyDescent="0.25">
      <c r="A21" s="67">
        <v>3</v>
      </c>
      <c r="B21" s="51"/>
      <c r="C21" s="79">
        <v>0</v>
      </c>
      <c r="D21" s="80"/>
      <c r="E21" s="79">
        <v>0</v>
      </c>
      <c r="F21" s="52"/>
      <c r="G21" s="3"/>
    </row>
    <row r="22" spans="1:7" s="75" customFormat="1" x14ac:dyDescent="0.25">
      <c r="A22" s="68">
        <f>A21+1</f>
        <v>4</v>
      </c>
      <c r="B22" s="51"/>
      <c r="C22" s="79">
        <v>0</v>
      </c>
      <c r="D22" s="80"/>
      <c r="E22" s="79">
        <v>0</v>
      </c>
      <c r="F22" s="52"/>
      <c r="G22" s="3"/>
    </row>
    <row r="23" spans="1:7" s="75" customFormat="1" x14ac:dyDescent="0.25">
      <c r="A23" s="55"/>
      <c r="B23" s="55"/>
      <c r="C23" s="55"/>
      <c r="D23" s="3"/>
      <c r="E23" s="3"/>
      <c r="F23" s="3"/>
      <c r="G23" s="59"/>
    </row>
    <row r="24" spans="1:7" s="75" customFormat="1" x14ac:dyDescent="0.25">
      <c r="A24" s="76" t="s">
        <v>12</v>
      </c>
      <c r="B24" s="77"/>
      <c r="C24" s="91"/>
      <c r="D24" s="157"/>
      <c r="E24" s="158"/>
      <c r="F24" s="158"/>
      <c r="G24" s="159"/>
    </row>
    <row r="25" spans="1:7" s="75" customFormat="1" x14ac:dyDescent="0.25">
      <c r="A25" s="13"/>
      <c r="B25" s="13"/>
      <c r="C25" s="13"/>
      <c r="D25" s="13"/>
      <c r="E25" s="13"/>
      <c r="F25" s="13"/>
      <c r="G25" s="13"/>
    </row>
    <row r="26" spans="1:7" s="75" customFormat="1" x14ac:dyDescent="0.25">
      <c r="A26" s="149" t="s">
        <v>13</v>
      </c>
      <c r="B26" s="150"/>
      <c r="C26" s="151"/>
      <c r="D26" s="17">
        <v>0</v>
      </c>
      <c r="E26" s="13"/>
      <c r="F26" s="13"/>
      <c r="G26" s="13"/>
    </row>
    <row r="27" spans="1:7" s="75" customFormat="1" x14ac:dyDescent="0.25">
      <c r="A27" s="13"/>
      <c r="B27" s="13"/>
      <c r="C27" s="13"/>
      <c r="D27" s="13"/>
      <c r="E27" s="13"/>
      <c r="F27" s="13"/>
      <c r="G27" s="13"/>
    </row>
    <row r="28" spans="1:7" s="75" customFormat="1" x14ac:dyDescent="0.25">
      <c r="A28" s="14" t="s">
        <v>14</v>
      </c>
      <c r="B28" s="13"/>
      <c r="C28" s="14" t="s">
        <v>10</v>
      </c>
      <c r="D28" s="13"/>
      <c r="E28" s="14" t="s">
        <v>11</v>
      </c>
      <c r="F28" s="13"/>
      <c r="G28" s="94" t="s">
        <v>92</v>
      </c>
    </row>
    <row r="29" spans="1:7" s="75" customFormat="1" x14ac:dyDescent="0.25">
      <c r="A29" s="160"/>
      <c r="B29" s="161"/>
      <c r="C29" s="161"/>
      <c r="D29" s="161"/>
      <c r="E29" s="161"/>
      <c r="F29" s="161"/>
      <c r="G29" s="162"/>
    </row>
    <row r="30" spans="1:7" s="75" customFormat="1" x14ac:dyDescent="0.25">
      <c r="A30" s="76" t="s">
        <v>15</v>
      </c>
      <c r="B30" s="77"/>
      <c r="C30" s="91"/>
      <c r="D30" s="16"/>
      <c r="E30" s="13"/>
      <c r="F30" s="16"/>
      <c r="G30" s="16"/>
    </row>
    <row r="31" spans="1:7" s="75" customFormat="1" x14ac:dyDescent="0.25">
      <c r="A31" s="13"/>
      <c r="B31" s="13"/>
      <c r="C31" s="13"/>
      <c r="D31" s="13"/>
      <c r="E31" s="13"/>
      <c r="F31" s="13"/>
      <c r="G31" s="13"/>
    </row>
    <row r="32" spans="1:7" s="75" customFormat="1" x14ac:dyDescent="0.25">
      <c r="A32" s="149" t="s">
        <v>13</v>
      </c>
      <c r="B32" s="150"/>
      <c r="C32" s="151"/>
      <c r="D32" s="17">
        <v>0</v>
      </c>
      <c r="E32" s="13"/>
      <c r="F32" s="13"/>
      <c r="G32" s="13"/>
    </row>
    <row r="33" spans="1:7" x14ac:dyDescent="0.25">
      <c r="A33" s="13"/>
      <c r="B33" s="13"/>
      <c r="C33" s="13"/>
      <c r="D33" s="13"/>
      <c r="E33" s="13"/>
      <c r="F33" s="13"/>
      <c r="G33" s="13"/>
    </row>
    <row r="34" spans="1:7" x14ac:dyDescent="0.25">
      <c r="A34" s="14" t="s">
        <v>14</v>
      </c>
      <c r="B34" s="13"/>
      <c r="C34" s="14" t="s">
        <v>10</v>
      </c>
      <c r="D34" s="13"/>
      <c r="E34" s="14" t="s">
        <v>11</v>
      </c>
      <c r="F34" s="13"/>
      <c r="G34" s="94" t="s">
        <v>16</v>
      </c>
    </row>
    <row r="35" spans="1:7" x14ac:dyDescent="0.25">
      <c r="A35" s="3"/>
      <c r="B35" s="3"/>
      <c r="C35" s="55"/>
      <c r="D35" s="3"/>
      <c r="E35" s="55"/>
      <c r="F35" s="3"/>
      <c r="G35"/>
    </row>
    <row r="36" spans="1:7" x14ac:dyDescent="0.25">
      <c r="A36" s="76" t="s">
        <v>17</v>
      </c>
      <c r="B36" s="77"/>
      <c r="C36" s="13"/>
      <c r="D36" s="13"/>
      <c r="E36" s="13"/>
      <c r="F36" s="13"/>
      <c r="G36" s="13"/>
    </row>
    <row r="37" spans="1:7" x14ac:dyDescent="0.25">
      <c r="A37" s="13"/>
      <c r="B37" s="13"/>
      <c r="C37" s="13"/>
      <c r="D37" s="13"/>
      <c r="E37" s="13"/>
      <c r="F37" s="13"/>
      <c r="G37" s="13"/>
    </row>
    <row r="38" spans="1:7" x14ac:dyDescent="0.25">
      <c r="A38" s="149" t="s">
        <v>58</v>
      </c>
      <c r="B38" s="150"/>
      <c r="C38" s="163" t="s">
        <v>129</v>
      </c>
      <c r="D38" s="163"/>
      <c r="E38" s="89"/>
      <c r="F38" s="13"/>
      <c r="G38" s="13"/>
    </row>
    <row r="39" spans="1:7" x14ac:dyDescent="0.25">
      <c r="A39" s="13"/>
      <c r="B39" s="13"/>
      <c r="C39" s="13"/>
      <c r="D39" s="13"/>
      <c r="E39" s="13"/>
      <c r="F39" s="13"/>
      <c r="G39" s="13"/>
    </row>
    <row r="40" spans="1:7" hidden="1" x14ac:dyDescent="0.25">
      <c r="A40" s="156" t="s">
        <v>93</v>
      </c>
      <c r="B40" s="156"/>
      <c r="C40" s="15">
        <v>2</v>
      </c>
      <c r="D40" s="13"/>
      <c r="E40" s="13" t="s">
        <v>89</v>
      </c>
      <c r="F40" s="13"/>
      <c r="G40" s="13"/>
    </row>
    <row r="41" spans="1:7" hidden="1" x14ac:dyDescent="0.25">
      <c r="A41" s="13"/>
      <c r="B41" s="13"/>
      <c r="C41" s="18"/>
      <c r="D41" s="13"/>
      <c r="E41" s="13" t="s">
        <v>88</v>
      </c>
      <c r="F41" s="13"/>
      <c r="G41" s="13"/>
    </row>
    <row r="42" spans="1:7" hidden="1" x14ac:dyDescent="0.25">
      <c r="A42" s="156" t="s">
        <v>94</v>
      </c>
      <c r="B42" s="156"/>
      <c r="C42" s="15">
        <v>2</v>
      </c>
      <c r="D42" s="13"/>
      <c r="E42" s="13" t="s">
        <v>90</v>
      </c>
      <c r="F42" s="13"/>
      <c r="G42" s="13"/>
    </row>
    <row r="43" spans="1:7" ht="15.75" hidden="1" customHeight="1" x14ac:dyDescent="0.25">
      <c r="A43" s="3"/>
      <c r="B43" s="3"/>
      <c r="C43" s="55"/>
      <c r="D43" s="3"/>
      <c r="E43" s="55" t="s">
        <v>91</v>
      </c>
      <c r="F43" s="13"/>
      <c r="G43" s="13"/>
    </row>
    <row r="44" spans="1:7" ht="21" hidden="1" customHeight="1" x14ac:dyDescent="0.25">
      <c r="A44" s="156" t="s">
        <v>95</v>
      </c>
      <c r="B44" s="156"/>
      <c r="C44" s="15">
        <v>2</v>
      </c>
      <c r="D44" s="13"/>
      <c r="F44" s="13"/>
      <c r="G44" s="13"/>
    </row>
    <row r="45" spans="1:7" ht="21" hidden="1" customHeight="1" x14ac:dyDescent="0.25">
      <c r="A45" s="3"/>
      <c r="B45" s="3"/>
      <c r="C45" s="55"/>
      <c r="D45" s="3"/>
      <c r="F45" s="3"/>
      <c r="G45"/>
    </row>
    <row r="46" spans="1:7" x14ac:dyDescent="0.25">
      <c r="A46" s="76" t="s">
        <v>80</v>
      </c>
      <c r="B46" s="13"/>
      <c r="C46" s="13"/>
      <c r="D46" s="13"/>
      <c r="E46" s="13"/>
      <c r="F46" s="13"/>
      <c r="G46" s="13"/>
    </row>
    <row r="47" spans="1:7" x14ac:dyDescent="0.25">
      <c r="B47" s="13"/>
      <c r="C47" s="13"/>
      <c r="D47" s="13"/>
      <c r="E47" s="13"/>
      <c r="F47" s="13"/>
      <c r="G47" s="13"/>
    </row>
    <row r="48" spans="1:7" x14ac:dyDescent="0.25">
      <c r="A48" s="149" t="s">
        <v>55</v>
      </c>
      <c r="B48" s="151"/>
      <c r="C48" s="15" t="s">
        <v>59</v>
      </c>
      <c r="G48" s="13"/>
    </row>
    <row r="50" spans="1:3" x14ac:dyDescent="0.25">
      <c r="A50" s="149" t="s">
        <v>61</v>
      </c>
      <c r="B50" s="151"/>
      <c r="C50" s="19">
        <v>0</v>
      </c>
    </row>
  </sheetData>
  <dataConsolidate/>
  <mergeCells count="17">
    <mergeCell ref="A14:C14"/>
    <mergeCell ref="A4:B4"/>
    <mergeCell ref="A6:B6"/>
    <mergeCell ref="A8:B8"/>
    <mergeCell ref="A9:G9"/>
    <mergeCell ref="A10:B10"/>
    <mergeCell ref="D24:G24"/>
    <mergeCell ref="A26:C26"/>
    <mergeCell ref="A29:G29"/>
    <mergeCell ref="A32:C32"/>
    <mergeCell ref="A38:B38"/>
    <mergeCell ref="C38:D38"/>
    <mergeCell ref="A40:B40"/>
    <mergeCell ref="A42:B42"/>
    <mergeCell ref="A44:B44"/>
    <mergeCell ref="A48:B48"/>
    <mergeCell ref="A50:B50"/>
  </mergeCells>
  <dataValidations count="15">
    <dataValidation type="whole" operator="greaterThanOrEqual" allowBlank="1" showInputMessage="1" showErrorMessage="1" errorTitle="Ingreso de Contornos" error="Por lo menos debe ingresar 1 contorno." sqref="D14" xr:uid="{888B13D5-7C62-4D62-B32A-0F0E66A90DAC}">
      <formula1>1</formula1>
    </dataValidation>
    <dataValidation type="whole" allowBlank="1" showInputMessage="1" showErrorMessage="1" errorTitle="Error" error="El número de barras debe estar comprendido entre 1 y 500" sqref="D32" xr:uid="{1C69A999-CE3A-4017-B1ED-FD9DAB0A1249}">
      <formula1>0</formula1>
      <formula2>500</formula2>
    </dataValidation>
    <dataValidation type="decimal" operator="greaterThan" allowBlank="1" showInputMessage="1" showErrorMessage="1" errorTitle="Discretización" error="Los valores para ΔX, ΔY o Δθ deben ser siempre postiivos mayores a 0." sqref="C40 C42 C44" xr:uid="{7DBF28A9-B166-4381-8AF0-8C85D00AD3B5}">
      <formula1>0</formula1>
    </dataValidation>
    <dataValidation type="whole" allowBlank="1" showInputMessage="1" showErrorMessage="1" errorTitle="Error" error="El número de barras debe estar comprendido entre 0 y 500" sqref="D26" xr:uid="{32E18556-2EBD-4C42-8280-40866A1CA86F}">
      <formula1>0</formula1>
      <formula2>500</formula2>
    </dataValidation>
    <dataValidation type="whole" allowBlank="1" showInputMessage="1" showErrorMessage="1" errorTitle="Error" error="El número de nodos debe estar comprendido entre 3 y 500" sqref="G16" xr:uid="{805ED717-3B84-495C-89C1-AF1B6DF6F1E7}">
      <formula1>3</formula1>
      <formula2>500</formula2>
    </dataValidation>
    <dataValidation type="list" allowBlank="1" showInputMessage="1" showErrorMessage="1" sqref="C16" xr:uid="{35DDC1CD-BF34-4C90-A2F6-C825D6496EF9}">
      <formula1>"Positivo, Negativo"</formula1>
    </dataValidation>
    <dataValidation type="list" allowBlank="1" showInputMessage="1" showErrorMessage="1" sqref="E16" xr:uid="{B104D374-A4E9-4376-B0E6-1928237DFA30}">
      <formula1>"Poligonal, Circular"</formula1>
    </dataValidation>
    <dataValidation type="whole" allowBlank="1" showInputMessage="1" showErrorMessage="1" errorTitle="Error" error="El número de nodos debe estar comprendido entre 1 y 500" sqref="A19:A22" xr:uid="{B03588E7-D1EF-4A41-8B41-73785544C17B}">
      <formula1>1</formula1>
      <formula2>500</formula2>
    </dataValidation>
    <dataValidation type="list" allowBlank="1" showInputMessage="1" showErrorMessage="1" sqref="C10:D10" xr:uid="{484BA9C3-806B-4DEB-8B50-675BA17109B3}">
      <formula1>"Estribos, Barras Zunchadas"</formula1>
    </dataValidation>
    <dataValidation type="list" allowBlank="1" showInputMessage="1" showErrorMessage="1" sqref="C48" xr:uid="{FF0B2CE4-AF34-4110-80C5-651FCFFF6FE9}">
      <formula1>"2D,3D, Verificación"</formula1>
    </dataValidation>
    <dataValidation type="list" allowBlank="1" showInputMessage="1" sqref="C4" xr:uid="{0229C449-F26A-4E09-8E8E-DE6E3C61D9B6}">
      <formula1>"20,25,30,35,40,45,50,55, 60, Otro(Ingresar en misma Celda)"</formula1>
    </dataValidation>
    <dataValidation type="whole" allowBlank="1" showInputMessage="1" showErrorMessage="1" errorTitle="Error" error="El número de barras debe estar comprendido entre 1 y 500" sqref="A29 A35" xr:uid="{8E583253-3782-41ED-A29E-11E6F199E8C1}">
      <formula1>1</formula1>
      <formula2>500</formula2>
    </dataValidation>
    <dataValidation type="list" allowBlank="1" showInputMessage="1" showErrorMessage="1" sqref="C8" xr:uid="{047151CC-E05E-43EF-8396-C11743173519}">
      <formula1>"Barras 1050, Trenzas C1650, Trenzas C1900, Provisto por Usuario"</formula1>
    </dataValidation>
    <dataValidation type="decimal" allowBlank="1" showInputMessage="1" showErrorMessage="1" errorTitle="ERROR" error="El ángulo de inclinación del plano de carga debe estar comprendido entre -90º y 90º" sqref="C50" xr:uid="{CB7FD1BF-F94F-4C64-9F5E-479CC496D9B6}">
      <formula1>-90</formula1>
      <formula2>90</formula2>
    </dataValidation>
    <dataValidation type="list" allowBlank="1" showInputMessage="1" showErrorMessage="1" sqref="C38:D38" xr:uid="{389D990A-7024-4CEE-9EF7-B017B80CE6B9}">
      <formula1>"Muy Fina, Fina, Media, Gruesa, Muy Gruesa, Avanzada (Ingreso Manual)"</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Sheet1.RunPyExe_Click">
                <anchor moveWithCells="1" sizeWithCells="1">
                  <from>
                    <xdr:col>3</xdr:col>
                    <xdr:colOff>381000</xdr:colOff>
                    <xdr:row>46</xdr:row>
                    <xdr:rowOff>133350</xdr:rowOff>
                  </from>
                  <to>
                    <xdr:col>6</xdr:col>
                    <xdr:colOff>723900</xdr:colOff>
                    <xdr:row>49</xdr:row>
                    <xdr:rowOff>152400</xdr:rowOff>
                  </to>
                </anchor>
              </controlPr>
            </control>
          </mc:Choice>
        </mc:AlternateContent>
        <mc:AlternateContent xmlns:mc="http://schemas.openxmlformats.org/markup-compatibility/2006">
          <mc:Choice Requires="x14">
            <control shapeId="16386" r:id="rId5" name="Button 2">
              <controlPr defaultSize="0" print="0" autoFill="0" autoPict="0" macro="[0]!Sheet1.CopyBackupSheet">
                <anchor moveWithCells="1" sizeWithCells="1">
                  <from>
                    <xdr:col>3</xdr:col>
                    <xdr:colOff>542925</xdr:colOff>
                    <xdr:row>1</xdr:row>
                    <xdr:rowOff>285750</xdr:rowOff>
                  </from>
                  <to>
                    <xdr:col>6</xdr:col>
                    <xdr:colOff>771525</xdr:colOff>
                    <xdr:row>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629677D-82E8-4C2E-8FB8-F62653BF46B0}">
          <x14:formula1>
            <xm:f>'Armaduras Pasivas'!$B$2:$E$2</xm:f>
          </x14:formula1>
          <xm:sqref>C6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47D3F-C365-45E5-A802-07D48861D211}">
  <sheetPr codeName="Sheet5">
    <tabColor rgb="FFFF0000"/>
  </sheetPr>
  <dimension ref="A1:G57"/>
  <sheetViews>
    <sheetView zoomScaleNormal="100" workbookViewId="0"/>
  </sheetViews>
  <sheetFormatPr defaultRowHeight="15" x14ac:dyDescent="0.25"/>
  <cols>
    <col min="1" max="1" width="19.28515625" customWidth="1"/>
    <col min="3" max="3" width="17.7109375" customWidth="1"/>
    <col min="6" max="6" width="9.7109375" customWidth="1"/>
  </cols>
  <sheetData>
    <row r="1" spans="1:7" ht="30" customHeight="1" x14ac:dyDescent="0.25">
      <c r="A1" s="23" t="s">
        <v>44</v>
      </c>
      <c r="B1" s="23" t="s">
        <v>56</v>
      </c>
      <c r="C1" s="1" t="s">
        <v>45</v>
      </c>
      <c r="D1" s="23" t="s">
        <v>55</v>
      </c>
      <c r="E1" s="1" t="s">
        <v>46</v>
      </c>
      <c r="F1" s="61" t="s">
        <v>9</v>
      </c>
      <c r="G1" s="1">
        <v>4</v>
      </c>
    </row>
    <row r="2" spans="1:7" x14ac:dyDescent="0.25">
      <c r="A2" s="62"/>
      <c r="B2" s="62"/>
      <c r="C2" s="62"/>
      <c r="D2" s="62"/>
      <c r="E2" s="63"/>
      <c r="F2" s="64"/>
      <c r="G2" s="64"/>
    </row>
    <row r="3" spans="1:7" x14ac:dyDescent="0.25">
      <c r="A3" s="60" t="s">
        <v>43</v>
      </c>
      <c r="B3" s="55"/>
      <c r="C3" s="58" t="s">
        <v>10</v>
      </c>
      <c r="D3" s="55"/>
      <c r="E3" s="81" t="s">
        <v>11</v>
      </c>
      <c r="F3" s="3"/>
      <c r="G3" s="3"/>
    </row>
    <row r="4" spans="1:7" x14ac:dyDescent="0.25">
      <c r="A4" s="66">
        <v>1</v>
      </c>
      <c r="B4" s="51"/>
      <c r="C4" s="79">
        <v>0</v>
      </c>
      <c r="D4" s="80"/>
      <c r="E4" s="79">
        <v>0</v>
      </c>
      <c r="F4" s="52"/>
      <c r="G4" s="3"/>
    </row>
    <row r="5" spans="1:7" x14ac:dyDescent="0.25">
      <c r="A5" s="67">
        <v>2</v>
      </c>
      <c r="B5" s="51"/>
      <c r="C5" s="79">
        <v>0</v>
      </c>
      <c r="D5" s="80"/>
      <c r="E5" s="79">
        <v>0</v>
      </c>
      <c r="F5" s="52"/>
      <c r="G5" s="3"/>
    </row>
    <row r="6" spans="1:7" x14ac:dyDescent="0.25">
      <c r="A6" s="67">
        <v>3</v>
      </c>
      <c r="B6" s="51"/>
      <c r="C6" s="79">
        <v>0</v>
      </c>
      <c r="D6" s="80"/>
      <c r="E6" s="79">
        <v>0</v>
      </c>
      <c r="F6" s="52"/>
      <c r="G6" s="3"/>
    </row>
    <row r="7" spans="1:7" x14ac:dyDescent="0.25">
      <c r="A7" s="68">
        <f>A6+1</f>
        <v>4</v>
      </c>
      <c r="B7" s="51"/>
      <c r="C7" s="79">
        <v>0</v>
      </c>
      <c r="D7" s="80"/>
      <c r="E7" s="79">
        <v>0</v>
      </c>
      <c r="F7" s="52"/>
      <c r="G7" s="3"/>
    </row>
    <row r="8" spans="1:7" x14ac:dyDescent="0.25">
      <c r="A8" s="3"/>
      <c r="B8" s="3"/>
      <c r="C8" s="55"/>
      <c r="D8" s="3"/>
      <c r="E8" s="55"/>
      <c r="F8" s="3"/>
    </row>
    <row r="10" spans="1:7" ht="30" customHeight="1" x14ac:dyDescent="0.25">
      <c r="A10" s="23" t="s">
        <v>44</v>
      </c>
      <c r="B10" s="23" t="s">
        <v>56</v>
      </c>
      <c r="C10" s="1" t="s">
        <v>45</v>
      </c>
      <c r="D10" s="23" t="s">
        <v>55</v>
      </c>
      <c r="E10" s="1" t="s">
        <v>47</v>
      </c>
      <c r="F10" s="65" t="s">
        <v>9</v>
      </c>
      <c r="G10" s="65"/>
    </row>
    <row r="11" spans="1:7" x14ac:dyDescent="0.25">
      <c r="A11" s="3"/>
      <c r="B11" s="3"/>
      <c r="C11" s="82"/>
      <c r="D11" s="3"/>
      <c r="E11" s="55"/>
      <c r="F11" s="55"/>
      <c r="G11" s="3"/>
    </row>
    <row r="12" spans="1:7" ht="15.75" thickBot="1" x14ac:dyDescent="0.3">
      <c r="A12" s="83" t="s">
        <v>53</v>
      </c>
      <c r="B12" s="84" t="s">
        <v>10</v>
      </c>
      <c r="C12" s="79">
        <v>0</v>
      </c>
      <c r="D12" s="78" t="s">
        <v>11</v>
      </c>
      <c r="E12" s="53">
        <v>0</v>
      </c>
      <c r="F12" s="3"/>
      <c r="G12" s="3"/>
    </row>
    <row r="13" spans="1:7" ht="15.75" thickBot="1" x14ac:dyDescent="0.3">
      <c r="A13" s="3" t="s">
        <v>49</v>
      </c>
      <c r="B13" s="51"/>
      <c r="C13" s="79">
        <v>0</v>
      </c>
      <c r="E13" s="85"/>
      <c r="F13" s="52"/>
      <c r="G13" s="3"/>
    </row>
    <row r="14" spans="1:7" x14ac:dyDescent="0.25">
      <c r="A14" s="3" t="s">
        <v>50</v>
      </c>
      <c r="B14" s="51"/>
      <c r="C14" s="79">
        <v>0</v>
      </c>
      <c r="D14" s="52"/>
      <c r="E14" s="55"/>
      <c r="F14" s="3"/>
      <c r="G14" s="3"/>
    </row>
    <row r="15" spans="1:7" x14ac:dyDescent="0.25">
      <c r="A15" s="55"/>
      <c r="B15" s="55"/>
      <c r="C15" s="55"/>
      <c r="D15" s="3"/>
      <c r="E15" s="3"/>
      <c r="F15" s="3"/>
      <c r="G15" s="59"/>
    </row>
    <row r="17" spans="1:7" x14ac:dyDescent="0.25">
      <c r="A17" s="56" t="s">
        <v>44</v>
      </c>
      <c r="B17" s="57" t="s">
        <v>45</v>
      </c>
      <c r="C17" s="57" t="s">
        <v>79</v>
      </c>
      <c r="D17" s="3"/>
      <c r="E17" s="55"/>
      <c r="F17" s="93" t="s">
        <v>9</v>
      </c>
      <c r="G17" s="3"/>
    </row>
    <row r="18" spans="1:7" x14ac:dyDescent="0.25">
      <c r="A18" s="3"/>
      <c r="B18" s="3"/>
      <c r="C18" s="3"/>
      <c r="D18" s="3"/>
      <c r="E18" s="55"/>
      <c r="F18" s="55"/>
      <c r="G18" s="3"/>
    </row>
    <row r="19" spans="1:7" x14ac:dyDescent="0.25">
      <c r="A19" s="5" t="s">
        <v>48</v>
      </c>
      <c r="B19" s="5" t="s">
        <v>10</v>
      </c>
      <c r="C19" s="53">
        <v>0</v>
      </c>
      <c r="D19" s="5" t="s">
        <v>11</v>
      </c>
      <c r="E19" s="53">
        <v>0</v>
      </c>
      <c r="F19" s="3"/>
      <c r="G19" s="3"/>
    </row>
    <row r="20" spans="1:7" x14ac:dyDescent="0.25">
      <c r="A20" s="5" t="s">
        <v>49</v>
      </c>
      <c r="B20" s="3"/>
      <c r="C20" s="53">
        <v>0</v>
      </c>
      <c r="F20" s="3"/>
      <c r="G20" s="3"/>
    </row>
    <row r="21" spans="1:7" x14ac:dyDescent="0.25">
      <c r="A21" s="5" t="s">
        <v>50</v>
      </c>
      <c r="B21" s="3"/>
      <c r="C21" s="54">
        <v>0</v>
      </c>
      <c r="D21" s="3"/>
      <c r="E21" s="3"/>
      <c r="F21" s="3"/>
      <c r="G21" s="3"/>
    </row>
    <row r="22" spans="1:7" x14ac:dyDescent="0.25">
      <c r="A22" s="58" t="s">
        <v>51</v>
      </c>
      <c r="C22" s="54">
        <v>0</v>
      </c>
      <c r="D22" s="179" t="s">
        <v>54</v>
      </c>
      <c r="E22" s="180"/>
      <c r="F22" s="180"/>
      <c r="G22" s="181"/>
    </row>
    <row r="23" spans="1:7" x14ac:dyDescent="0.25">
      <c r="A23" s="58" t="s">
        <v>52</v>
      </c>
      <c r="C23" s="54">
        <v>0</v>
      </c>
      <c r="D23" s="182"/>
      <c r="E23" s="183"/>
      <c r="F23" s="183"/>
      <c r="G23" s="184"/>
    </row>
    <row r="26" spans="1:7" x14ac:dyDescent="0.25">
      <c r="A26" s="185" t="s">
        <v>17</v>
      </c>
      <c r="B26" s="186"/>
      <c r="C26" s="186"/>
      <c r="D26" s="186"/>
      <c r="E26" s="187"/>
      <c r="F26" s="13"/>
      <c r="G26" s="13"/>
    </row>
    <row r="27" spans="1:7" x14ac:dyDescent="0.25">
      <c r="A27" s="13"/>
      <c r="B27" s="13"/>
      <c r="C27" s="13"/>
      <c r="D27" s="13"/>
      <c r="E27" s="13"/>
      <c r="F27" s="13"/>
      <c r="G27" s="13"/>
    </row>
    <row r="28" spans="1:7" x14ac:dyDescent="0.25">
      <c r="A28" s="149" t="s">
        <v>58</v>
      </c>
      <c r="B28" s="151"/>
      <c r="C28" s="15" t="s">
        <v>78</v>
      </c>
      <c r="D28" s="13"/>
      <c r="E28" s="13"/>
      <c r="F28" s="13"/>
      <c r="G28" s="13"/>
    </row>
    <row r="29" spans="1:7" x14ac:dyDescent="0.25">
      <c r="A29" s="13"/>
      <c r="B29" s="13"/>
      <c r="C29" s="13"/>
      <c r="D29" s="13"/>
      <c r="E29" s="13"/>
      <c r="F29" s="13"/>
      <c r="G29" s="13"/>
    </row>
    <row r="30" spans="1:7" x14ac:dyDescent="0.25">
      <c r="A30" s="149" t="s">
        <v>18</v>
      </c>
      <c r="B30" s="151"/>
      <c r="C30" s="15">
        <v>2</v>
      </c>
      <c r="D30" s="13" t="s">
        <v>19</v>
      </c>
      <c r="E30" s="13"/>
      <c r="F30" s="13"/>
      <c r="G30" s="13"/>
    </row>
    <row r="31" spans="1:7" x14ac:dyDescent="0.25">
      <c r="A31" s="13"/>
      <c r="B31" s="13"/>
      <c r="C31" s="18"/>
      <c r="D31" s="13"/>
      <c r="E31" s="13"/>
      <c r="F31" s="13"/>
      <c r="G31" s="13"/>
    </row>
    <row r="32" spans="1:7" x14ac:dyDescent="0.25">
      <c r="A32" s="149" t="s">
        <v>20</v>
      </c>
      <c r="B32" s="151"/>
      <c r="C32" s="15">
        <v>2</v>
      </c>
      <c r="D32" s="13" t="s">
        <v>19</v>
      </c>
      <c r="E32" s="13"/>
      <c r="F32" s="13"/>
      <c r="G32" s="13"/>
    </row>
    <row r="34" spans="1:7" x14ac:dyDescent="0.25">
      <c r="A34" s="185" t="s">
        <v>60</v>
      </c>
      <c r="B34" s="186"/>
      <c r="C34" s="186"/>
      <c r="D34" s="186"/>
      <c r="E34" s="187"/>
      <c r="F34" s="13"/>
      <c r="G34" s="13"/>
    </row>
    <row r="35" spans="1:7" x14ac:dyDescent="0.25">
      <c r="A35" s="13"/>
      <c r="B35" s="13"/>
      <c r="C35" s="13"/>
      <c r="D35" s="13"/>
      <c r="E35" s="13"/>
      <c r="F35" s="13"/>
      <c r="G35" s="13"/>
    </row>
    <row r="36" spans="1:7" x14ac:dyDescent="0.25">
      <c r="A36" s="149" t="s">
        <v>55</v>
      </c>
      <c r="B36" s="151"/>
      <c r="C36" s="15" t="s">
        <v>62</v>
      </c>
      <c r="D36" s="16"/>
      <c r="E36" s="16"/>
      <c r="F36" s="16"/>
      <c r="G36" s="16"/>
    </row>
    <row r="37" spans="1:7" x14ac:dyDescent="0.25">
      <c r="A37" s="16"/>
      <c r="B37" s="16"/>
      <c r="C37" s="16"/>
      <c r="D37" s="16"/>
      <c r="E37" s="16"/>
      <c r="F37" s="16"/>
      <c r="G37" s="16"/>
    </row>
    <row r="38" spans="1:7" x14ac:dyDescent="0.25">
      <c r="A38" s="149" t="s">
        <v>63</v>
      </c>
      <c r="B38" s="150"/>
      <c r="C38" s="70">
        <v>2</v>
      </c>
      <c r="D38" s="16"/>
      <c r="E38" s="16"/>
      <c r="F38" s="16"/>
      <c r="G38" s="16"/>
    </row>
    <row r="39" spans="1:7" x14ac:dyDescent="0.25">
      <c r="A39" s="3"/>
      <c r="B39" s="3"/>
      <c r="C39" s="3"/>
      <c r="D39" s="3"/>
      <c r="E39" s="3"/>
      <c r="F39" s="3"/>
      <c r="G39" s="3"/>
    </row>
    <row r="40" spans="1:7" x14ac:dyDescent="0.25">
      <c r="A40" s="60" t="s">
        <v>64</v>
      </c>
      <c r="B40" s="3"/>
      <c r="C40" s="71" t="s">
        <v>65</v>
      </c>
      <c r="D40" s="3"/>
      <c r="E40" s="3"/>
      <c r="F40" s="3"/>
      <c r="G40" s="3"/>
    </row>
    <row r="41" spans="1:7" x14ac:dyDescent="0.25">
      <c r="A41" s="66">
        <v>1</v>
      </c>
      <c r="B41" s="3"/>
      <c r="C41" s="19">
        <v>0</v>
      </c>
      <c r="D41" s="3"/>
      <c r="E41" s="3"/>
      <c r="F41" s="3"/>
      <c r="G41" s="3"/>
    </row>
    <row r="42" spans="1:7" x14ac:dyDescent="0.25">
      <c r="A42" s="67">
        <v>2</v>
      </c>
      <c r="B42" s="3"/>
      <c r="C42" s="19">
        <v>0</v>
      </c>
      <c r="D42" s="3"/>
      <c r="E42" s="3"/>
      <c r="F42" s="3"/>
      <c r="G42" s="3"/>
    </row>
    <row r="45" spans="1:7" x14ac:dyDescent="0.25">
      <c r="A45" s="185" t="s">
        <v>60</v>
      </c>
      <c r="B45" s="186"/>
      <c r="C45" s="186"/>
      <c r="D45" s="186"/>
      <c r="E45" s="187"/>
      <c r="F45" s="13"/>
      <c r="G45" s="13"/>
    </row>
    <row r="46" spans="1:7" x14ac:dyDescent="0.25">
      <c r="A46" s="13"/>
      <c r="B46" s="13"/>
      <c r="C46" s="13"/>
      <c r="D46" s="13"/>
      <c r="E46" s="13"/>
      <c r="F46" s="13"/>
      <c r="G46" s="13"/>
    </row>
    <row r="47" spans="1:7" x14ac:dyDescent="0.25">
      <c r="A47" s="149" t="s">
        <v>55</v>
      </c>
      <c r="B47" s="151"/>
      <c r="C47" s="15" t="s">
        <v>66</v>
      </c>
      <c r="D47" s="190" t="s">
        <v>72</v>
      </c>
      <c r="E47" s="191"/>
      <c r="F47" s="188" t="s">
        <v>73</v>
      </c>
      <c r="G47" s="189"/>
    </row>
    <row r="48" spans="1:7" x14ac:dyDescent="0.25">
      <c r="A48" s="16"/>
      <c r="B48" s="16"/>
      <c r="C48" s="16"/>
      <c r="D48" s="16"/>
      <c r="E48" s="16"/>
      <c r="F48" s="16"/>
      <c r="G48" s="16"/>
    </row>
    <row r="49" spans="1:7" x14ac:dyDescent="0.25">
      <c r="A49" s="149" t="s">
        <v>67</v>
      </c>
      <c r="B49" s="150"/>
      <c r="C49" s="70">
        <v>2</v>
      </c>
      <c r="D49" s="190" t="s">
        <v>75</v>
      </c>
      <c r="E49" s="191"/>
      <c r="F49" s="188" t="s">
        <v>74</v>
      </c>
      <c r="G49" s="189"/>
    </row>
    <row r="50" spans="1:7" x14ac:dyDescent="0.25">
      <c r="A50" s="3"/>
      <c r="B50" s="3"/>
      <c r="C50" s="3"/>
      <c r="D50" s="3"/>
      <c r="E50" s="3"/>
      <c r="F50" s="3"/>
      <c r="G50" s="3"/>
    </row>
    <row r="51" spans="1:7" x14ac:dyDescent="0.25">
      <c r="A51" s="60" t="s">
        <v>68</v>
      </c>
      <c r="B51" s="3"/>
      <c r="C51" s="71" t="s">
        <v>71</v>
      </c>
      <c r="D51" s="3"/>
      <c r="E51" s="71" t="s">
        <v>76</v>
      </c>
      <c r="F51" s="3"/>
      <c r="G51" s="71" t="s">
        <v>77</v>
      </c>
    </row>
    <row r="52" spans="1:7" x14ac:dyDescent="0.25">
      <c r="A52" s="72" t="s">
        <v>69</v>
      </c>
      <c r="B52" s="3"/>
      <c r="C52" s="69">
        <v>0</v>
      </c>
      <c r="D52" s="73"/>
      <c r="E52" s="69">
        <v>0</v>
      </c>
      <c r="F52" s="73"/>
      <c r="G52" s="69">
        <v>0</v>
      </c>
    </row>
    <row r="53" spans="1:7" x14ac:dyDescent="0.25">
      <c r="A53" s="72" t="s">
        <v>70</v>
      </c>
      <c r="B53" s="3"/>
      <c r="C53" s="69">
        <v>0</v>
      </c>
      <c r="D53" s="73"/>
      <c r="E53" s="69">
        <v>0</v>
      </c>
      <c r="F53" s="73"/>
      <c r="G53" s="69">
        <v>0</v>
      </c>
    </row>
    <row r="57" spans="1:7" x14ac:dyDescent="0.25">
      <c r="A57" s="21">
        <v>1</v>
      </c>
      <c r="B57" s="13"/>
      <c r="C57" s="20">
        <v>0</v>
      </c>
      <c r="D57" s="13"/>
      <c r="E57" s="20">
        <v>0</v>
      </c>
      <c r="F57" s="13"/>
      <c r="G57" s="2">
        <v>12</v>
      </c>
    </row>
  </sheetData>
  <mergeCells count="15">
    <mergeCell ref="D22:G23"/>
    <mergeCell ref="A34:E34"/>
    <mergeCell ref="A36:B36"/>
    <mergeCell ref="A38:B38"/>
    <mergeCell ref="F49:G49"/>
    <mergeCell ref="F47:G47"/>
    <mergeCell ref="A26:E26"/>
    <mergeCell ref="A28:B28"/>
    <mergeCell ref="A30:B30"/>
    <mergeCell ref="A32:B32"/>
    <mergeCell ref="A45:E45"/>
    <mergeCell ref="A47:B47"/>
    <mergeCell ref="A49:B49"/>
    <mergeCell ref="D47:E47"/>
    <mergeCell ref="D49:E49"/>
  </mergeCells>
  <dataValidations count="13">
    <dataValidation type="whole" allowBlank="1" showInputMessage="1" showErrorMessage="1" errorTitle="Error" error="El número de nodos debe estar comprendido entre 1 y 500" sqref="A41:A42 A4:A7 G10" xr:uid="{32D64FBA-B40B-413A-8B29-90B6044FEBCD}">
      <formula1>1</formula1>
      <formula2>500</formula2>
    </dataValidation>
    <dataValidation type="list" allowBlank="1" showInputMessage="1" showErrorMessage="1" sqref="C1 B17 C10" xr:uid="{82BD09D8-0305-4931-AB32-B55F81757ABA}">
      <formula1>"Positivo, Negativo"</formula1>
    </dataValidation>
    <dataValidation type="list" allowBlank="1" showInputMessage="1" showErrorMessage="1" sqref="E1 E10" xr:uid="{DC5F1A77-3B5A-4942-A5AD-9CF2F9DEEB24}">
      <formula1>"Poligonal, Circular, Trapecio Circular"</formula1>
    </dataValidation>
    <dataValidation type="list" allowBlank="1" showInputMessage="1" showErrorMessage="1" sqref="C36 C47" xr:uid="{06AB9E5C-0F14-418E-8FB3-8DC472C453C4}">
      <formula1>"2D,3D, Verificación"</formula1>
    </dataValidation>
    <dataValidation type="decimal" allowBlank="1" showInputMessage="1" showErrorMessage="1" errorTitle="ERROR" error="El ángulo de inclinación del plano de carga debe estar comprendido entre -90º y 90º" sqref="C38 C41:C42 C49 C52:C53 E52:E53 G52:G53" xr:uid="{CDCFC1C5-255F-4C5B-980E-827D7879AF74}">
      <formula1>-90</formula1>
      <formula2>90</formula2>
    </dataValidation>
    <dataValidation allowBlank="1" showInputMessage="1" showErrorMessage="1" errorTitle="Error" error="El número de nodos debe estar comprendido entre 1 y 500" sqref="A52" xr:uid="{709CA49A-7201-4765-BDBC-57ED9688C0D6}"/>
    <dataValidation type="list" allowBlank="1" showInputMessage="1" showErrorMessage="1" errorTitle="ERROR" error="El ángulo de inclinación del plano de carga debe estar comprendido entre -90º y 90º" sqref="F47" xr:uid="{7DFA8BE4-EA97-408C-B663-7691597E09A8}">
      <formula1>"Tracción, Compresión"</formula1>
    </dataValidation>
    <dataValidation type="list" allowBlank="1" showInputMessage="1" showErrorMessage="1" errorTitle="ERROR" error="El ángulo de inclinación del plano de carga debe estar comprendido entre -90º y 90º" sqref="F49" xr:uid="{98FB552D-1589-4723-B392-450D6F9F9BC5}">
      <formula1>"Anithorario, Horario"</formula1>
    </dataValidation>
    <dataValidation type="list" allowBlank="1" showInputMessage="1" showErrorMessage="1" sqref="C28" xr:uid="{7E078A67-C239-4373-AAEC-E464F6B012F6}">
      <formula1>"Extra Fina, Fina, Media, Gruesa, Muy Gruesa, Avanzada (Ingreso Manual)"</formula1>
    </dataValidation>
    <dataValidation type="list" allowBlank="1" showInputMessage="1" showErrorMessage="1" sqref="C17" xr:uid="{4946371A-90E5-451E-B9A0-F4BE28F4FC03}">
      <formula1>"Poligonal, Circular, Región Circular"</formula1>
    </dataValidation>
    <dataValidation type="whole" allowBlank="1" showInputMessage="1" showErrorMessage="1" errorTitle="Error" error="El número de barras debe estar comprendido entre 1 y 500" sqref="A57" xr:uid="{FC49E37A-5E7A-4020-A21F-6878B7EBA197}">
      <formula1>1</formula1>
      <formula2>500</formula2>
    </dataValidation>
    <dataValidation type="whole" allowBlank="1" showInputMessage="1" showErrorMessage="1" errorTitle="Error" error="El número de nodos debe estar comprendido entre 3 y 500" sqref="G1" xr:uid="{292CEF3F-18CD-41C4-91C9-F76F5248B6ED}">
      <formula1>3</formula1>
      <formula2>500</formula2>
    </dataValidation>
    <dataValidation type="decimal" operator="greaterThanOrEqual" allowBlank="1" showInputMessage="1" showErrorMessage="1" errorTitle="Error en ingreso de radio." error="Los radios deben ser valores positivos." sqref="C13:C14" xr:uid="{6DF11B6B-7D9B-44C5-8B0E-E3C11D02DC2E}">
      <formula1>0</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Instrucciones</vt:lpstr>
      <vt:lpstr>Ingreso de Datos</vt:lpstr>
      <vt:lpstr>Diagrama de Interacción 2D</vt:lpstr>
      <vt:lpstr>Armaduras Pasivas</vt:lpstr>
      <vt:lpstr>Armaduras Activas</vt:lpstr>
      <vt:lpstr>BACKUP Ingreso de Datos</vt:lpstr>
      <vt:lpstr>AUX</vt:lpstr>
      <vt:lpstr>'Diagrama de Interacción 2D'!Print_Area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Facundo L. Pfeffer</dc:creator>
  <cp:lastModifiedBy>Facundo Leguizamón</cp:lastModifiedBy>
  <dcterms:created xsi:type="dcterms:W3CDTF">2023-04-14T12:25:15Z</dcterms:created>
  <dcterms:modified xsi:type="dcterms:W3CDTF">2024-02-21T02:31:10Z</dcterms:modified>
</cp:coreProperties>
</file>